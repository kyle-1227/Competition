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3" r:id="rId1"/>
  </sheets>
  <definedNames>
    <definedName name="_xlnm._FilterDatabase" localSheetId="0" hidden="1">Sheet1!$CW$1:$CW$1557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CR45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更多数据，关注淘宝店【行行文库】</t>
        </r>
      </text>
    </comment>
    <comment ref="CT89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更多数据，关注淘宝店【行行文库】</t>
        </r>
      </text>
    </comment>
    <comment ref="CQ164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更多数据，关注淘宝店【行行文库】</t>
        </r>
      </text>
    </comment>
  </commentList>
</comments>
</file>

<file path=xl/sharedStrings.xml><?xml version="1.0" encoding="utf-8"?>
<sst xmlns="http://schemas.openxmlformats.org/spreadsheetml/2006/main" count="851" uniqueCount="130">
  <si>
    <t>年份</t>
  </si>
  <si>
    <t>省份</t>
  </si>
  <si>
    <t>绿色金融综合指数</t>
  </si>
  <si>
    <t>绿色信贷</t>
  </si>
  <si>
    <t>绿色投资</t>
  </si>
  <si>
    <t>绿色保险</t>
  </si>
  <si>
    <t>绿色债券</t>
  </si>
  <si>
    <t>绿色支持</t>
  </si>
  <si>
    <t>绿色基金</t>
  </si>
  <si>
    <t>绿色权益</t>
  </si>
  <si>
    <t>x_绿色信贷</t>
  </si>
  <si>
    <t>x_绿色投资</t>
  </si>
  <si>
    <t>x_绿色保险</t>
  </si>
  <si>
    <t>x_绿色债券</t>
  </si>
  <si>
    <t>x_绿色支持</t>
  </si>
  <si>
    <t>x_绿色基金</t>
  </si>
  <si>
    <t>x_绿色权益</t>
  </si>
  <si>
    <t>绿色信贷_sum</t>
  </si>
  <si>
    <t>y_绿色信贷</t>
  </si>
  <si>
    <t>绿色投资_sum</t>
  </si>
  <si>
    <t>y_绿色投资</t>
  </si>
  <si>
    <t>绿色保险_sum</t>
  </si>
  <si>
    <t>y_绿色保险</t>
  </si>
  <si>
    <t>绿色债券_sum</t>
  </si>
  <si>
    <t>y_绿色债券</t>
  </si>
  <si>
    <t>绿色支持_sum</t>
  </si>
  <si>
    <t>y_绿色支持</t>
  </si>
  <si>
    <t>绿色基金_sum</t>
  </si>
  <si>
    <t>y_绿色基金</t>
  </si>
  <si>
    <t>绿色权益_sum</t>
  </si>
  <si>
    <t>y_绿色权益</t>
  </si>
  <si>
    <t>n</t>
  </si>
  <si>
    <t>y_lny_绿色信贷</t>
  </si>
  <si>
    <t>y_lny_绿色投资</t>
  </si>
  <si>
    <t>y_lny_绿色保险</t>
  </si>
  <si>
    <t>y_lny_绿色债券</t>
  </si>
  <si>
    <t>y_lny_绿色支持</t>
  </si>
  <si>
    <t>y_lny_绿色基金</t>
  </si>
  <si>
    <t>y_lny_绿色权益</t>
  </si>
  <si>
    <t>y_lny_绿色信贷_sum</t>
  </si>
  <si>
    <t>y_lny_绿色投资_sum</t>
  </si>
  <si>
    <t>y_lny_绿色保险_sum</t>
  </si>
  <si>
    <t>y_lny_绿色债券_sum</t>
  </si>
  <si>
    <t>y_lny_绿色支持_sum</t>
  </si>
  <si>
    <t>y_lny_绿色基金_sum</t>
  </si>
  <si>
    <t>y_lny_绿色权益_sum</t>
  </si>
  <si>
    <t>E_绿色信贷</t>
  </si>
  <si>
    <t>E_绿色投资</t>
  </si>
  <si>
    <t>E_绿色保险</t>
  </si>
  <si>
    <t>E_绿色债券</t>
  </si>
  <si>
    <t>E_绿色支持</t>
  </si>
  <si>
    <t>E_绿色基金</t>
  </si>
  <si>
    <t>E_绿色权益</t>
  </si>
  <si>
    <t>d_绿色信贷</t>
  </si>
  <si>
    <t>d_绿色投资</t>
  </si>
  <si>
    <t>d_绿色保险</t>
  </si>
  <si>
    <t>d_绿色债券</t>
  </si>
  <si>
    <t>d_绿色支持</t>
  </si>
  <si>
    <t>d_绿色基金</t>
  </si>
  <si>
    <t>d_绿色权益</t>
  </si>
  <si>
    <t>d_sum</t>
  </si>
  <si>
    <t>W_绿色信贷</t>
  </si>
  <si>
    <t>W_绿色投资</t>
  </si>
  <si>
    <t>W_绿色保险</t>
  </si>
  <si>
    <t>W_绿色债券</t>
  </si>
  <si>
    <t>W_绿色支持</t>
  </si>
  <si>
    <t>W_绿色基金</t>
  </si>
  <si>
    <t>W_绿色权益</t>
  </si>
  <si>
    <t>Score_绿色信贷</t>
  </si>
  <si>
    <t>Score_绿色投资</t>
  </si>
  <si>
    <t>Score_绿色保险</t>
  </si>
  <si>
    <t>Score_绿色债券</t>
  </si>
  <si>
    <t>Score_绿色支持</t>
  </si>
  <si>
    <t>Score_绿色基金</t>
  </si>
  <si>
    <t>Score_绿色权益</t>
  </si>
  <si>
    <t>能源消费总量</t>
  </si>
  <si>
    <t>年末常住人口</t>
  </si>
  <si>
    <t>地区生产总值</t>
  </si>
  <si>
    <t>人均能源消耗</t>
  </si>
  <si>
    <t>能源强度</t>
  </si>
  <si>
    <t>CO2排放量</t>
  </si>
  <si>
    <t>碳排放强度</t>
  </si>
  <si>
    <t>第一产业增加值</t>
  </si>
  <si>
    <t>第二产业增加值</t>
  </si>
  <si>
    <t>第三产业增加值</t>
  </si>
  <si>
    <t>人均地区生产总值</t>
  </si>
  <si>
    <t>Post</t>
  </si>
  <si>
    <t>Treat</t>
  </si>
  <si>
    <t>DID</t>
  </si>
  <si>
    <t>全国均值</t>
  </si>
  <si>
    <t>减排效率</t>
  </si>
  <si>
    <t>煤炭消费量</t>
  </si>
  <si>
    <t>焦炭消费量</t>
  </si>
  <si>
    <t>原油消费量</t>
  </si>
  <si>
    <t>汽油消费量</t>
  </si>
  <si>
    <t>煤油消费量</t>
  </si>
  <si>
    <t>柴油消费量</t>
  </si>
  <si>
    <t>燃料油消费量</t>
  </si>
  <si>
    <t>天然气消费量</t>
  </si>
  <si>
    <t>电力消费量</t>
  </si>
  <si>
    <t>上海市</t>
  </si>
  <si>
    <t>云南省</t>
  </si>
  <si>
    <t>内蒙古自治区</t>
  </si>
  <si>
    <t>北京市</t>
  </si>
  <si>
    <t>吉林省</t>
  </si>
  <si>
    <t>四川省</t>
  </si>
  <si>
    <t>天津市</t>
  </si>
  <si>
    <t>宁夏回族自治区</t>
  </si>
  <si>
    <t>安徽省</t>
  </si>
  <si>
    <t>山东省</t>
  </si>
  <si>
    <t>山西省</t>
  </si>
  <si>
    <t>广东省</t>
  </si>
  <si>
    <t>广西壮族自治区</t>
  </si>
  <si>
    <t>新疆维吾尔自治区</t>
  </si>
  <si>
    <t>江苏省</t>
  </si>
  <si>
    <t>江西省</t>
  </si>
  <si>
    <t>河北省</t>
  </si>
  <si>
    <t>河南省</t>
  </si>
  <si>
    <t>浙江省</t>
  </si>
  <si>
    <t>海南省</t>
  </si>
  <si>
    <t>湖北省</t>
  </si>
  <si>
    <t>湖南省</t>
  </si>
  <si>
    <t>甘肃省</t>
  </si>
  <si>
    <t>福建省</t>
  </si>
  <si>
    <t>贵州省</t>
  </si>
  <si>
    <t>辽宁省</t>
  </si>
  <si>
    <t>重庆市</t>
  </si>
  <si>
    <t>陕西省</t>
  </si>
  <si>
    <t>青海省</t>
  </si>
  <si>
    <t>黑龙江省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</si>
</sst>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9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0"/>
      <name val="等线"/>
      <charset val="134"/>
      <scheme val="minor"/>
    </font>
    <font>
      <sz val="10"/>
      <color theme="1"/>
      <name val="等线"/>
      <charset val="134"/>
      <scheme val="minor"/>
    </font>
    <font>
      <sz val="10"/>
      <color indexed="8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indexed="8"/>
      <name val="等线"/>
      <charset val="134"/>
      <scheme val="minor"/>
    </font>
    <font>
      <sz val="9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9" fillId="6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20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Fill="1"/>
    <xf numFmtId="0" fontId="2" fillId="0" borderId="0" xfId="0" applyFont="1" applyFill="1" applyBorder="1" applyAlignment="1">
      <alignment horizontal="center" vertical="center" wrapText="1"/>
    </xf>
    <xf numFmtId="176" fontId="2" fillId="0" borderId="0" xfId="0" applyNumberFormat="1" applyFont="1" applyFill="1" applyBorder="1" applyAlignment="1">
      <alignment horizontal="center" vertical="center" wrapText="1"/>
    </xf>
    <xf numFmtId="176" fontId="2" fillId="0" borderId="0" xfId="0" applyNumberFormat="1" applyFont="1" applyFill="1" applyBorder="1" applyAlignment="1" applyProtection="1">
      <alignment horizontal="center" wrapText="1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0" fillId="0" borderId="0" xfId="0" applyFill="1"/>
    <xf numFmtId="0" fontId="5" fillId="2" borderId="0" xfId="0" applyFont="1" applyFill="1" applyAlignment="1">
      <alignment horizontal="center" vertical="center"/>
    </xf>
    <xf numFmtId="176" fontId="2" fillId="0" borderId="0" xfId="0" applyNumberFormat="1" applyFont="1" applyFill="1" applyBorder="1" applyAlignment="1">
      <alignment horizontal="center" vertical="center"/>
    </xf>
    <xf numFmtId="176" fontId="2" fillId="0" borderId="0" xfId="0" applyNumberFormat="1" applyFont="1" applyFill="1" applyBorder="1" applyAlignment="1" applyProtection="1">
      <alignment horizontal="center"/>
    </xf>
    <xf numFmtId="0" fontId="3" fillId="0" borderId="0" xfId="0" applyFont="1" applyBorder="1" applyAlignment="1">
      <alignment horizontal="center"/>
    </xf>
    <xf numFmtId="176" fontId="6" fillId="0" borderId="0" xfId="0" applyNumberFormat="1" applyFont="1" applyFill="1" applyAlignment="1">
      <alignment horizontal="center" vertical="center"/>
    </xf>
    <xf numFmtId="11" fontId="2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11" fontId="7" fillId="0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W1557"/>
  <sheetViews>
    <sheetView tabSelected="1" topLeftCell="CC1" workbookViewId="0">
      <selection activeCell="CP2" sqref="CP2"/>
    </sheetView>
  </sheetViews>
  <sheetFormatPr defaultColWidth="9" defaultRowHeight="13.8"/>
  <cols>
    <col min="1" max="1" width="9.2037037037037" style="2" customWidth="1"/>
    <col min="2" max="2" width="9" style="2"/>
    <col min="3" max="29" width="9.33333333333333" style="2" customWidth="1"/>
    <col min="30" max="30" width="9.7962962962963" style="2" customWidth="1"/>
    <col min="31" max="31" width="10.7314814814815" style="2" customWidth="1"/>
    <col min="32" max="32" width="9.7962962962963" style="2" customWidth="1"/>
    <col min="33" max="34" width="10.7314814814815" style="2" customWidth="1"/>
    <col min="35" max="37" width="9.33333333333333" style="2" customWidth="1"/>
    <col min="38" max="38" width="10.6018518518519" style="2" customWidth="1"/>
    <col min="39" max="41" width="9.33333333333333" style="2" customWidth="1"/>
    <col min="42" max="42" width="10.7962962962963" style="2" customWidth="1"/>
    <col min="43" max="66" width="9.33333333333333" style="2" customWidth="1"/>
    <col min="67" max="75" width="9.26851851851852" style="2" customWidth="1"/>
    <col min="76" max="77" width="9.12962962962963" style="2" customWidth="1"/>
    <col min="78" max="78" width="12.2222222222222" style="2" customWidth="1"/>
    <col min="79" max="80" width="9.12962962962963" style="2" customWidth="1"/>
    <col min="81" max="81" width="16.8888888888889" customWidth="1"/>
    <col min="82" max="146" width="9.12962962962963" customWidth="1"/>
    <col min="147" max="147" width="10.6018518518519" customWidth="1"/>
    <col min="148" max="149" width="9.12962962962963" customWidth="1"/>
    <col min="150" max="151" width="10.6018518518519" customWidth="1"/>
    <col min="152" max="203" width="9.12962962962963" customWidth="1"/>
  </cols>
  <sheetData>
    <row r="1" s="1" customFormat="1" ht="26.4" spans="1:10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4" t="s">
        <v>75</v>
      </c>
      <c r="BY1" s="5" t="s">
        <v>76</v>
      </c>
      <c r="BZ1" s="4" t="s">
        <v>77</v>
      </c>
      <c r="CA1" s="3" t="s">
        <v>78</v>
      </c>
      <c r="CB1" s="6" t="s">
        <v>79</v>
      </c>
      <c r="CC1" s="7" t="s">
        <v>80</v>
      </c>
      <c r="CD1" s="7" t="s">
        <v>81</v>
      </c>
      <c r="CE1" s="8" t="s">
        <v>82</v>
      </c>
      <c r="CF1" s="8" t="s">
        <v>83</v>
      </c>
      <c r="CG1" s="8" t="s">
        <v>84</v>
      </c>
      <c r="CH1" s="8" t="s">
        <v>85</v>
      </c>
      <c r="CI1" s="9" t="s">
        <v>86</v>
      </c>
      <c r="CJ1" s="9" t="s">
        <v>87</v>
      </c>
      <c r="CK1" s="9" t="s">
        <v>88</v>
      </c>
      <c r="CL1" s="1" t="s">
        <v>89</v>
      </c>
      <c r="CM1" t="s">
        <v>90</v>
      </c>
      <c r="CN1" s="10" t="s">
        <v>75</v>
      </c>
      <c r="CO1" s="11" t="s">
        <v>91</v>
      </c>
      <c r="CP1" s="11" t="s">
        <v>92</v>
      </c>
      <c r="CQ1" s="11" t="s">
        <v>93</v>
      </c>
      <c r="CR1" s="11" t="s">
        <v>94</v>
      </c>
      <c r="CS1" s="11" t="s">
        <v>95</v>
      </c>
      <c r="CT1" s="11" t="s">
        <v>96</v>
      </c>
      <c r="CU1" s="11" t="s">
        <v>97</v>
      </c>
      <c r="CV1" s="11" t="s">
        <v>98</v>
      </c>
      <c r="CW1" s="11" t="s">
        <v>99</v>
      </c>
    </row>
    <row r="2" spans="1:101">
      <c r="A2" s="6">
        <v>2000</v>
      </c>
      <c r="B2" s="6" t="s">
        <v>100</v>
      </c>
      <c r="C2" s="6">
        <v>0.25015693</v>
      </c>
      <c r="D2" s="6">
        <v>0.044683</v>
      </c>
      <c r="E2" s="6">
        <v>0.0109</v>
      </c>
      <c r="F2" s="6">
        <v>0.020242</v>
      </c>
      <c r="G2" s="6">
        <v>0.007058</v>
      </c>
      <c r="H2" s="6">
        <v>0.006483</v>
      </c>
      <c r="I2" s="6">
        <v>0.040404</v>
      </c>
      <c r="J2" s="6">
        <v>0.021092</v>
      </c>
      <c r="K2" s="6">
        <v>0.29892779</v>
      </c>
      <c r="L2" s="6">
        <v>0.21721493</v>
      </c>
      <c r="M2" s="6">
        <v>0.26819589</v>
      </c>
      <c r="N2" s="6">
        <v>0.1801405</v>
      </c>
      <c r="O2" s="6">
        <v>0.16296192</v>
      </c>
      <c r="P2" s="6">
        <v>0.36024211</v>
      </c>
      <c r="Q2" s="6">
        <v>0.30733667</v>
      </c>
      <c r="R2" s="6">
        <v>217.69486</v>
      </c>
      <c r="S2" s="6">
        <v>0.00137315</v>
      </c>
      <c r="T2" s="6">
        <v>169.97573</v>
      </c>
      <c r="U2" s="6">
        <v>0.00127792</v>
      </c>
      <c r="V2" s="6">
        <v>197.11803</v>
      </c>
      <c r="W2" s="6">
        <v>0.00136059</v>
      </c>
      <c r="X2" s="6">
        <v>134.47093</v>
      </c>
      <c r="Y2" s="6">
        <v>0.00133962</v>
      </c>
      <c r="Z2" s="6">
        <v>134.86767</v>
      </c>
      <c r="AA2" s="6">
        <v>0.00120831</v>
      </c>
      <c r="AB2" s="6">
        <v>294.9318</v>
      </c>
      <c r="AC2" s="6">
        <v>0.00122144</v>
      </c>
      <c r="AD2" s="6">
        <v>243.86163</v>
      </c>
      <c r="AE2" s="6">
        <v>0.00126029</v>
      </c>
      <c r="AF2" s="6">
        <v>775</v>
      </c>
      <c r="AG2" s="6">
        <v>-0.00904995</v>
      </c>
      <c r="AH2" s="6">
        <v>-0.00851415</v>
      </c>
      <c r="AI2" s="6">
        <v>-0.00897965</v>
      </c>
      <c r="AJ2" s="6">
        <v>-0.0088621</v>
      </c>
      <c r="AK2" s="6">
        <v>-0.00811807</v>
      </c>
      <c r="AL2" s="6">
        <v>-0.0081931</v>
      </c>
      <c r="AM2" s="6">
        <v>-0.00841422</v>
      </c>
      <c r="AN2" s="6">
        <v>-6.4762184</v>
      </c>
      <c r="AO2" s="6">
        <v>-6.4515561</v>
      </c>
      <c r="AP2" s="6">
        <v>-6.4739881</v>
      </c>
      <c r="AQ2" s="6">
        <v>-6.4253629</v>
      </c>
      <c r="AR2" s="6">
        <v>-6.4020076</v>
      </c>
      <c r="AS2" s="6">
        <v>-6.4618417</v>
      </c>
      <c r="AT2" s="6">
        <v>-6.4506396</v>
      </c>
      <c r="AU2" s="6">
        <v>0.97344833</v>
      </c>
      <c r="AV2" s="6">
        <v>0.96974131</v>
      </c>
      <c r="AW2" s="6">
        <v>0.97311308</v>
      </c>
      <c r="AX2" s="6">
        <v>0.96580418</v>
      </c>
      <c r="AY2" s="6">
        <v>0.96229362</v>
      </c>
      <c r="AZ2" s="6">
        <v>0.97128734</v>
      </c>
      <c r="BA2" s="6">
        <v>0.96960354</v>
      </c>
      <c r="BB2" s="6">
        <v>0.02655167</v>
      </c>
      <c r="BC2" s="6">
        <v>0.03025869</v>
      </c>
      <c r="BD2" s="6">
        <v>0.02688692</v>
      </c>
      <c r="BE2" s="6">
        <v>0.03419582</v>
      </c>
      <c r="BF2" s="6">
        <v>0.03770638</v>
      </c>
      <c r="BG2" s="6">
        <v>0.02871266</v>
      </c>
      <c r="BH2" s="6">
        <v>0.03039646</v>
      </c>
      <c r="BI2" s="6">
        <v>0.21470859</v>
      </c>
      <c r="BJ2" s="6">
        <v>0.12366373</v>
      </c>
      <c r="BK2" s="6">
        <v>0.1409291</v>
      </c>
      <c r="BL2" s="6">
        <v>0.12522516</v>
      </c>
      <c r="BM2" s="6">
        <v>0.1592662</v>
      </c>
      <c r="BN2" s="6">
        <v>0.17561655</v>
      </c>
      <c r="BO2" s="6">
        <v>0.1337285</v>
      </c>
      <c r="BP2" s="6">
        <v>0.14157076</v>
      </c>
      <c r="BQ2" s="6">
        <v>0.03696653</v>
      </c>
      <c r="BR2" s="6">
        <v>0.0306119</v>
      </c>
      <c r="BS2" s="6">
        <v>0.03358487</v>
      </c>
      <c r="BT2" s="6">
        <v>0.02869029</v>
      </c>
      <c r="BU2" s="6">
        <v>0.02861881</v>
      </c>
      <c r="BV2" s="6">
        <v>0.04817464</v>
      </c>
      <c r="BW2" s="6">
        <v>0.04350989</v>
      </c>
      <c r="BX2" s="12">
        <v>5499</v>
      </c>
      <c r="BY2" s="13">
        <v>1608.63</v>
      </c>
      <c r="BZ2" s="12">
        <v>4551.15</v>
      </c>
      <c r="CA2" s="6">
        <v>3.41843680647507</v>
      </c>
      <c r="CB2" s="6">
        <v>1.20826604264856</v>
      </c>
      <c r="CC2" s="7">
        <v>71238765.23</v>
      </c>
      <c r="CD2" s="7">
        <f>CC2/10000/BZ2</f>
        <v>1.56529152477945</v>
      </c>
      <c r="CE2" s="8">
        <v>271</v>
      </c>
      <c r="CF2" s="8">
        <v>391.2</v>
      </c>
      <c r="CG2" s="8">
        <v>367.7</v>
      </c>
      <c r="CH2" s="8">
        <v>2759</v>
      </c>
      <c r="CI2" s="14">
        <v>0</v>
      </c>
      <c r="CJ2" s="14">
        <v>0</v>
      </c>
      <c r="CK2" s="14">
        <f>CI2*CJ2</f>
        <v>0</v>
      </c>
      <c r="CL2">
        <f>AVERAGEIF($A:$A,$A2,$CD:$CD)</f>
        <v>4.53658228674969</v>
      </c>
      <c r="CM2">
        <f>MAX(0,1-CD2/CL2)</f>
        <v>0.654962386695529</v>
      </c>
      <c r="CN2" s="15">
        <v>5499.48</v>
      </c>
      <c r="CO2" s="15">
        <v>4496.08</v>
      </c>
      <c r="CP2" s="15">
        <v>719.99</v>
      </c>
      <c r="CQ2" s="15">
        <v>1309.7</v>
      </c>
      <c r="CR2" s="15">
        <v>133.25</v>
      </c>
      <c r="CS2" s="15">
        <v>55.71</v>
      </c>
      <c r="CT2" s="15">
        <v>176.44</v>
      </c>
      <c r="CU2" s="15">
        <v>494.2</v>
      </c>
      <c r="CV2" s="15">
        <v>2.54</v>
      </c>
      <c r="CW2" s="15">
        <v>559.45</v>
      </c>
    </row>
    <row r="3" spans="1:101">
      <c r="A3" s="6">
        <v>2001</v>
      </c>
      <c r="B3" s="6" t="s">
        <v>100</v>
      </c>
      <c r="C3" s="6">
        <v>0.26246803</v>
      </c>
      <c r="D3" s="6">
        <v>0.046675</v>
      </c>
      <c r="E3" s="6">
        <v>0.011835</v>
      </c>
      <c r="F3" s="6">
        <v>0.021441</v>
      </c>
      <c r="G3" s="6">
        <v>0.00722</v>
      </c>
      <c r="H3" s="6">
        <v>0.006179</v>
      </c>
      <c r="I3" s="6">
        <v>0.045147</v>
      </c>
      <c r="J3" s="6">
        <v>0.020595</v>
      </c>
      <c r="K3" s="6">
        <v>0.31455501</v>
      </c>
      <c r="L3" s="6">
        <v>0.23932206</v>
      </c>
      <c r="M3" s="6">
        <v>0.28662546</v>
      </c>
      <c r="N3" s="6">
        <v>0.18492009</v>
      </c>
      <c r="O3" s="6">
        <v>0.15376136</v>
      </c>
      <c r="P3" s="6">
        <v>0.41307438</v>
      </c>
      <c r="Q3" s="6">
        <v>0.29846875</v>
      </c>
      <c r="R3" s="6">
        <v>217.69486</v>
      </c>
      <c r="S3" s="6">
        <v>0.00144494</v>
      </c>
      <c r="T3" s="6">
        <v>169.97573</v>
      </c>
      <c r="U3" s="6">
        <v>0.00140798</v>
      </c>
      <c r="V3" s="6">
        <v>197.11803</v>
      </c>
      <c r="W3" s="6">
        <v>0.00145408</v>
      </c>
      <c r="X3" s="6">
        <v>134.47093</v>
      </c>
      <c r="Y3" s="6">
        <v>0.00137517</v>
      </c>
      <c r="Z3" s="6">
        <v>134.86767</v>
      </c>
      <c r="AA3" s="6">
        <v>0.00114009</v>
      </c>
      <c r="AB3" s="6">
        <v>294.9318</v>
      </c>
      <c r="AC3" s="6">
        <v>0.00140058</v>
      </c>
      <c r="AD3" s="6">
        <v>243.86163</v>
      </c>
      <c r="AE3" s="6">
        <v>0.00122393</v>
      </c>
      <c r="AF3" s="6">
        <v>775</v>
      </c>
      <c r="AG3" s="6">
        <v>-0.00944943</v>
      </c>
      <c r="AH3" s="6">
        <v>-0.00924422</v>
      </c>
      <c r="AI3" s="6">
        <v>-0.00950006</v>
      </c>
      <c r="AJ3" s="6">
        <v>-0.00906123</v>
      </c>
      <c r="AK3" s="6">
        <v>-0.00772599</v>
      </c>
      <c r="AL3" s="6">
        <v>-0.009203</v>
      </c>
      <c r="AM3" s="6">
        <v>-0.00820727</v>
      </c>
      <c r="AN3" s="6">
        <v>-6.4762184</v>
      </c>
      <c r="AO3" s="6">
        <v>-6.4515561</v>
      </c>
      <c r="AP3" s="6">
        <v>-6.4739881</v>
      </c>
      <c r="AQ3" s="6">
        <v>-6.4253629</v>
      </c>
      <c r="AR3" s="6">
        <v>-6.4020076</v>
      </c>
      <c r="AS3" s="6">
        <v>-6.4618417</v>
      </c>
      <c r="AT3" s="6">
        <v>-6.4506396</v>
      </c>
      <c r="AU3" s="6">
        <v>0.97344833</v>
      </c>
      <c r="AV3" s="6">
        <v>0.96974131</v>
      </c>
      <c r="AW3" s="6">
        <v>0.97311308</v>
      </c>
      <c r="AX3" s="6">
        <v>0.96580418</v>
      </c>
      <c r="AY3" s="6">
        <v>0.96229362</v>
      </c>
      <c r="AZ3" s="6">
        <v>0.97128734</v>
      </c>
      <c r="BA3" s="6">
        <v>0.96960354</v>
      </c>
      <c r="BB3" s="6">
        <v>0.02655167</v>
      </c>
      <c r="BC3" s="6">
        <v>0.03025869</v>
      </c>
      <c r="BD3" s="6">
        <v>0.02688692</v>
      </c>
      <c r="BE3" s="6">
        <v>0.03419582</v>
      </c>
      <c r="BF3" s="6">
        <v>0.03770638</v>
      </c>
      <c r="BG3" s="6">
        <v>0.02871266</v>
      </c>
      <c r="BH3" s="6">
        <v>0.03039646</v>
      </c>
      <c r="BI3" s="6">
        <v>0.21470859</v>
      </c>
      <c r="BJ3" s="6">
        <v>0.12366373</v>
      </c>
      <c r="BK3" s="6">
        <v>0.1409291</v>
      </c>
      <c r="BL3" s="6">
        <v>0.12522516</v>
      </c>
      <c r="BM3" s="6">
        <v>0.1592662</v>
      </c>
      <c r="BN3" s="6">
        <v>0.17561655</v>
      </c>
      <c r="BO3" s="6">
        <v>0.1337285</v>
      </c>
      <c r="BP3" s="6">
        <v>0.14157076</v>
      </c>
      <c r="BQ3" s="6">
        <v>0.03889905</v>
      </c>
      <c r="BR3" s="6">
        <v>0.03372744</v>
      </c>
      <c r="BS3" s="6">
        <v>0.03589272</v>
      </c>
      <c r="BT3" s="6">
        <v>0.02945152</v>
      </c>
      <c r="BU3" s="6">
        <v>0.02700304</v>
      </c>
      <c r="BV3" s="6">
        <v>0.05523982</v>
      </c>
      <c r="BW3" s="6">
        <v>0.04225445</v>
      </c>
      <c r="BX3" s="12">
        <v>5818</v>
      </c>
      <c r="BY3" s="13">
        <v>1668.33</v>
      </c>
      <c r="BZ3" s="12">
        <v>5210.12</v>
      </c>
      <c r="CA3" s="6">
        <v>3.48731965498433</v>
      </c>
      <c r="CB3" s="6">
        <v>1.11667293651586</v>
      </c>
      <c r="CC3" s="7">
        <v>69336069.87</v>
      </c>
      <c r="CD3" s="7">
        <f t="shared" ref="CD3:CD66" si="0">CC3/10000/BZ3</f>
        <v>1.3307960252355</v>
      </c>
      <c r="CE3" s="8">
        <v>274.2</v>
      </c>
      <c r="CF3" s="8">
        <v>433.5</v>
      </c>
      <c r="CG3" s="8">
        <v>425.6</v>
      </c>
      <c r="CH3" s="8">
        <v>3000</v>
      </c>
      <c r="CI3" s="14">
        <v>0</v>
      </c>
      <c r="CJ3" s="14">
        <v>0</v>
      </c>
      <c r="CK3" s="14">
        <f t="shared" ref="CK3:CK66" si="1">CI3*CJ3</f>
        <v>0</v>
      </c>
      <c r="CL3">
        <f t="shared" ref="CL3:CL66" si="2">AVERAGEIF($A:$A,$A3,$CD:$CD)</f>
        <v>4.16809156222866</v>
      </c>
      <c r="CM3">
        <f t="shared" ref="CM3:CM66" si="3">MAX(0,1-CD3/CL3)</f>
        <v>0.680718140336647</v>
      </c>
      <c r="CN3" s="15">
        <v>5818</v>
      </c>
      <c r="CO3" s="15">
        <v>4610</v>
      </c>
      <c r="CP3" s="15">
        <v>709.82</v>
      </c>
      <c r="CQ3" s="15">
        <v>1355.03</v>
      </c>
      <c r="CR3" s="15">
        <v>137.33</v>
      </c>
      <c r="CS3" s="15">
        <v>59.57</v>
      </c>
      <c r="CT3" s="15">
        <v>231.8</v>
      </c>
      <c r="CU3" s="15">
        <v>492.61</v>
      </c>
      <c r="CV3" s="15">
        <v>3.3</v>
      </c>
      <c r="CW3" s="15">
        <v>592.99</v>
      </c>
    </row>
    <row r="4" spans="1:101">
      <c r="A4" s="6">
        <v>2002</v>
      </c>
      <c r="B4" s="6" t="s">
        <v>100</v>
      </c>
      <c r="C4" s="6">
        <v>0.29612249</v>
      </c>
      <c r="D4" s="6">
        <v>0.050214</v>
      </c>
      <c r="E4" s="6">
        <v>0.012715</v>
      </c>
      <c r="F4" s="6">
        <v>0.022137</v>
      </c>
      <c r="G4" s="6">
        <v>0.007243</v>
      </c>
      <c r="H4" s="6">
        <v>0.00812</v>
      </c>
      <c r="I4" s="6">
        <v>0.05069</v>
      </c>
      <c r="J4" s="6">
        <v>0.023468</v>
      </c>
      <c r="K4" s="6">
        <v>0.34231723</v>
      </c>
      <c r="L4" s="6">
        <v>0.2601243</v>
      </c>
      <c r="M4" s="6">
        <v>0.29731572</v>
      </c>
      <c r="N4" s="6">
        <v>0.18561701</v>
      </c>
      <c r="O4" s="6">
        <v>0.21256099</v>
      </c>
      <c r="P4" s="6">
        <v>0.47480847</v>
      </c>
      <c r="Q4" s="6">
        <v>0.34973754</v>
      </c>
      <c r="R4" s="6">
        <v>217.69486</v>
      </c>
      <c r="S4" s="6">
        <v>0.00157246</v>
      </c>
      <c r="T4" s="6">
        <v>169.97573</v>
      </c>
      <c r="U4" s="6">
        <v>0.00153036</v>
      </c>
      <c r="V4" s="6">
        <v>197.11803</v>
      </c>
      <c r="W4" s="6">
        <v>0.00150831</v>
      </c>
      <c r="X4" s="6">
        <v>134.47093</v>
      </c>
      <c r="Y4" s="6">
        <v>0.00138035</v>
      </c>
      <c r="Z4" s="6">
        <v>134.86767</v>
      </c>
      <c r="AA4" s="6">
        <v>0.00157607</v>
      </c>
      <c r="AB4" s="6">
        <v>294.9318</v>
      </c>
      <c r="AC4" s="6">
        <v>0.00160989</v>
      </c>
      <c r="AD4" s="6">
        <v>243.86163</v>
      </c>
      <c r="AE4" s="6">
        <v>0.00143416</v>
      </c>
      <c r="AF4" s="6">
        <v>775</v>
      </c>
      <c r="AG4" s="6">
        <v>-0.01015043</v>
      </c>
      <c r="AH4" s="6">
        <v>-0.00992019</v>
      </c>
      <c r="AI4" s="6">
        <v>-0.00979915</v>
      </c>
      <c r="AJ4" s="6">
        <v>-0.00909018</v>
      </c>
      <c r="AK4" s="6">
        <v>-0.0101701</v>
      </c>
      <c r="AL4" s="6">
        <v>-0.01035416</v>
      </c>
      <c r="AM4" s="6">
        <v>-0.00938972</v>
      </c>
      <c r="AN4" s="6">
        <v>-6.4762184</v>
      </c>
      <c r="AO4" s="6">
        <v>-6.4515561</v>
      </c>
      <c r="AP4" s="6">
        <v>-6.4739881</v>
      </c>
      <c r="AQ4" s="6">
        <v>-6.4253629</v>
      </c>
      <c r="AR4" s="6">
        <v>-6.4020076</v>
      </c>
      <c r="AS4" s="6">
        <v>-6.4618417</v>
      </c>
      <c r="AT4" s="6">
        <v>-6.4506396</v>
      </c>
      <c r="AU4" s="6">
        <v>0.97344833</v>
      </c>
      <c r="AV4" s="6">
        <v>0.96974131</v>
      </c>
      <c r="AW4" s="6">
        <v>0.97311308</v>
      </c>
      <c r="AX4" s="6">
        <v>0.96580418</v>
      </c>
      <c r="AY4" s="6">
        <v>0.96229362</v>
      </c>
      <c r="AZ4" s="6">
        <v>0.97128734</v>
      </c>
      <c r="BA4" s="6">
        <v>0.96960354</v>
      </c>
      <c r="BB4" s="6">
        <v>0.02655167</v>
      </c>
      <c r="BC4" s="6">
        <v>0.03025869</v>
      </c>
      <c r="BD4" s="6">
        <v>0.02688692</v>
      </c>
      <c r="BE4" s="6">
        <v>0.03419582</v>
      </c>
      <c r="BF4" s="6">
        <v>0.03770638</v>
      </c>
      <c r="BG4" s="6">
        <v>0.02871266</v>
      </c>
      <c r="BH4" s="6">
        <v>0.03039646</v>
      </c>
      <c r="BI4" s="6">
        <v>0.21470859</v>
      </c>
      <c r="BJ4" s="6">
        <v>0.12366373</v>
      </c>
      <c r="BK4" s="6">
        <v>0.1409291</v>
      </c>
      <c r="BL4" s="6">
        <v>0.12522516</v>
      </c>
      <c r="BM4" s="6">
        <v>0.1592662</v>
      </c>
      <c r="BN4" s="6">
        <v>0.17561655</v>
      </c>
      <c r="BO4" s="6">
        <v>0.1337285</v>
      </c>
      <c r="BP4" s="6">
        <v>0.14157076</v>
      </c>
      <c r="BQ4" s="6">
        <v>0.04233223</v>
      </c>
      <c r="BR4" s="6">
        <v>0.03665908</v>
      </c>
      <c r="BS4" s="6">
        <v>0.03723141</v>
      </c>
      <c r="BT4" s="6">
        <v>0.02956252</v>
      </c>
      <c r="BU4" s="6">
        <v>0.03732923</v>
      </c>
      <c r="BV4" s="6">
        <v>0.06349542</v>
      </c>
      <c r="BW4" s="6">
        <v>0.04951261</v>
      </c>
      <c r="BX4" s="12">
        <v>6249</v>
      </c>
      <c r="BY4" s="13">
        <v>1712.97</v>
      </c>
      <c r="BZ4" s="12">
        <v>5741.03</v>
      </c>
      <c r="CA4" s="6">
        <v>3.64804987828158</v>
      </c>
      <c r="CB4" s="6">
        <v>1.0884806384917</v>
      </c>
      <c r="CC4" s="7">
        <v>80592789.52</v>
      </c>
      <c r="CD4" s="7">
        <f t="shared" si="0"/>
        <v>1.40380366449923</v>
      </c>
      <c r="CE4" s="8">
        <v>280.8</v>
      </c>
      <c r="CF4" s="8">
        <v>482</v>
      </c>
      <c r="CG4" s="8">
        <v>480.7</v>
      </c>
      <c r="CH4" s="8">
        <v>3257</v>
      </c>
      <c r="CI4" s="14">
        <v>0</v>
      </c>
      <c r="CJ4" s="14">
        <v>0</v>
      </c>
      <c r="CK4" s="14">
        <f t="shared" si="1"/>
        <v>0</v>
      </c>
      <c r="CL4">
        <f t="shared" si="2"/>
        <v>4.06804884448575</v>
      </c>
      <c r="CM4">
        <f t="shared" si="3"/>
        <v>0.654919663415033</v>
      </c>
      <c r="CN4" s="15">
        <v>6249</v>
      </c>
      <c r="CO4" s="15">
        <v>4737</v>
      </c>
      <c r="CP4" s="15">
        <v>681.24</v>
      </c>
      <c r="CQ4" s="15">
        <v>1424.91</v>
      </c>
      <c r="CR4" s="15">
        <v>191.73</v>
      </c>
      <c r="CS4" s="15">
        <v>103.62</v>
      </c>
      <c r="CT4" s="15">
        <v>262.33</v>
      </c>
      <c r="CU4" s="15">
        <v>519.71</v>
      </c>
      <c r="CV4" s="15">
        <v>4.33</v>
      </c>
      <c r="CW4" s="15">
        <v>645.71</v>
      </c>
    </row>
    <row r="5" spans="1:101">
      <c r="A5" s="6">
        <v>2003</v>
      </c>
      <c r="B5" s="6" t="s">
        <v>100</v>
      </c>
      <c r="C5" s="6">
        <v>0.31428316</v>
      </c>
      <c r="D5" s="6">
        <v>0.054759</v>
      </c>
      <c r="E5" s="6">
        <v>0.013547</v>
      </c>
      <c r="F5" s="6">
        <v>0.025082</v>
      </c>
      <c r="G5" s="6">
        <v>0.008282</v>
      </c>
      <c r="H5" s="6">
        <v>0.007849</v>
      </c>
      <c r="I5" s="6">
        <v>0.049052</v>
      </c>
      <c r="J5" s="6">
        <v>0.025172</v>
      </c>
      <c r="K5" s="6">
        <v>0.37796548</v>
      </c>
      <c r="L5" s="6">
        <v>0.2797944</v>
      </c>
      <c r="M5" s="6">
        <v>0.34257889</v>
      </c>
      <c r="N5" s="6">
        <v>0.2163189</v>
      </c>
      <c r="O5" s="6">
        <v>0.20434879</v>
      </c>
      <c r="P5" s="6">
        <v>0.45656461</v>
      </c>
      <c r="Q5" s="6">
        <v>0.38014104</v>
      </c>
      <c r="R5" s="6">
        <v>217.69486</v>
      </c>
      <c r="S5" s="6">
        <v>0.00173622</v>
      </c>
      <c r="T5" s="6">
        <v>169.97573</v>
      </c>
      <c r="U5" s="6">
        <v>0.00164608</v>
      </c>
      <c r="V5" s="6">
        <v>197.11803</v>
      </c>
      <c r="W5" s="6">
        <v>0.00173794</v>
      </c>
      <c r="X5" s="6">
        <v>134.47093</v>
      </c>
      <c r="Y5" s="6">
        <v>0.00160867</v>
      </c>
      <c r="Z5" s="6">
        <v>134.86767</v>
      </c>
      <c r="AA5" s="6">
        <v>0.00151518</v>
      </c>
      <c r="AB5" s="6">
        <v>294.9318</v>
      </c>
      <c r="AC5" s="6">
        <v>0.00154803</v>
      </c>
      <c r="AD5" s="6">
        <v>243.86163</v>
      </c>
      <c r="AE5" s="6">
        <v>0.00155884</v>
      </c>
      <c r="AF5" s="6">
        <v>775</v>
      </c>
      <c r="AG5" s="6">
        <v>-0.01103548</v>
      </c>
      <c r="AH5" s="6">
        <v>-0.01055034</v>
      </c>
      <c r="AI5" s="6">
        <v>-0.01104469</v>
      </c>
      <c r="AJ5" s="6">
        <v>-0.01034751</v>
      </c>
      <c r="AK5" s="6">
        <v>-0.00983688</v>
      </c>
      <c r="AL5" s="6">
        <v>-0.01001697</v>
      </c>
      <c r="AM5" s="6">
        <v>-0.01007605</v>
      </c>
      <c r="AN5" s="6">
        <v>-6.4762184</v>
      </c>
      <c r="AO5" s="6">
        <v>-6.4515561</v>
      </c>
      <c r="AP5" s="6">
        <v>-6.4739881</v>
      </c>
      <c r="AQ5" s="6">
        <v>-6.4253629</v>
      </c>
      <c r="AR5" s="6">
        <v>-6.4020076</v>
      </c>
      <c r="AS5" s="6">
        <v>-6.4618417</v>
      </c>
      <c r="AT5" s="6">
        <v>-6.4506396</v>
      </c>
      <c r="AU5" s="6">
        <v>0.97344833</v>
      </c>
      <c r="AV5" s="6">
        <v>0.96974131</v>
      </c>
      <c r="AW5" s="6">
        <v>0.97311308</v>
      </c>
      <c r="AX5" s="6">
        <v>0.96580418</v>
      </c>
      <c r="AY5" s="6">
        <v>0.96229362</v>
      </c>
      <c r="AZ5" s="6">
        <v>0.97128734</v>
      </c>
      <c r="BA5" s="6">
        <v>0.96960354</v>
      </c>
      <c r="BB5" s="6">
        <v>0.02655167</v>
      </c>
      <c r="BC5" s="6">
        <v>0.03025869</v>
      </c>
      <c r="BD5" s="6">
        <v>0.02688692</v>
      </c>
      <c r="BE5" s="6">
        <v>0.03419582</v>
      </c>
      <c r="BF5" s="6">
        <v>0.03770638</v>
      </c>
      <c r="BG5" s="6">
        <v>0.02871266</v>
      </c>
      <c r="BH5" s="6">
        <v>0.03039646</v>
      </c>
      <c r="BI5" s="6">
        <v>0.21470859</v>
      </c>
      <c r="BJ5" s="6">
        <v>0.12366373</v>
      </c>
      <c r="BK5" s="6">
        <v>0.1409291</v>
      </c>
      <c r="BL5" s="6">
        <v>0.12522516</v>
      </c>
      <c r="BM5" s="6">
        <v>0.1592662</v>
      </c>
      <c r="BN5" s="6">
        <v>0.17561655</v>
      </c>
      <c r="BO5" s="6">
        <v>0.1337285</v>
      </c>
      <c r="BP5" s="6">
        <v>0.14157076</v>
      </c>
      <c r="BQ5" s="6">
        <v>0.04674062</v>
      </c>
      <c r="BR5" s="6">
        <v>0.03943117</v>
      </c>
      <c r="BS5" s="6">
        <v>0.0428995</v>
      </c>
      <c r="BT5" s="6">
        <v>0.03445229</v>
      </c>
      <c r="BU5" s="6">
        <v>0.03588703</v>
      </c>
      <c r="BV5" s="6">
        <v>0.0610557</v>
      </c>
      <c r="BW5" s="6">
        <v>0.05381686</v>
      </c>
      <c r="BX5" s="12">
        <v>6796</v>
      </c>
      <c r="BY5" s="13">
        <v>1765.84</v>
      </c>
      <c r="BZ5" s="12">
        <v>6694.23</v>
      </c>
      <c r="CA5" s="6">
        <v>3.84859330403661</v>
      </c>
      <c r="CB5" s="6">
        <v>1.01520264466563</v>
      </c>
      <c r="CC5" s="7">
        <v>92042758.47</v>
      </c>
      <c r="CD5" s="7">
        <f t="shared" si="0"/>
        <v>1.37495661890912</v>
      </c>
      <c r="CE5" s="8">
        <v>290.9</v>
      </c>
      <c r="CF5" s="8">
        <v>570.7</v>
      </c>
      <c r="CG5" s="8">
        <v>567.4</v>
      </c>
      <c r="CH5" s="8">
        <v>3708</v>
      </c>
      <c r="CI5" s="14">
        <v>0</v>
      </c>
      <c r="CJ5" s="14">
        <v>0</v>
      </c>
      <c r="CK5" s="14">
        <f t="shared" si="1"/>
        <v>0</v>
      </c>
      <c r="CL5">
        <f t="shared" si="2"/>
        <v>4.08414499624993</v>
      </c>
      <c r="CM5">
        <f t="shared" si="3"/>
        <v>0.663342848950856</v>
      </c>
      <c r="CN5" s="15">
        <v>6796.34</v>
      </c>
      <c r="CO5" s="15">
        <v>5017.5</v>
      </c>
      <c r="CP5" s="15">
        <v>627.81</v>
      </c>
      <c r="CQ5" s="15">
        <v>1737.52</v>
      </c>
      <c r="CR5" s="15">
        <v>202.24</v>
      </c>
      <c r="CS5" s="15">
        <v>103.44</v>
      </c>
      <c r="CT5" s="15">
        <v>288.32</v>
      </c>
      <c r="CU5" s="15">
        <v>616.07</v>
      </c>
      <c r="CV5" s="15">
        <v>4.97</v>
      </c>
      <c r="CW5" s="15">
        <v>745.97</v>
      </c>
    </row>
    <row r="6" spans="1:101">
      <c r="A6" s="6">
        <v>2004</v>
      </c>
      <c r="B6" s="6" t="s">
        <v>100</v>
      </c>
      <c r="C6" s="6">
        <v>0.33779185</v>
      </c>
      <c r="D6" s="6">
        <v>0.058916</v>
      </c>
      <c r="E6" s="6">
        <v>0.014604</v>
      </c>
      <c r="F6" s="6">
        <v>0.026929</v>
      </c>
      <c r="G6" s="6">
        <v>0.009461</v>
      </c>
      <c r="H6" s="6">
        <v>0.007922</v>
      </c>
      <c r="I6" s="6">
        <v>0.054268</v>
      </c>
      <c r="J6" s="6">
        <v>0.024652</v>
      </c>
      <c r="K6" s="6">
        <v>0.41057404</v>
      </c>
      <c r="L6" s="6">
        <v>0.30478467</v>
      </c>
      <c r="M6" s="6">
        <v>0.37097303</v>
      </c>
      <c r="N6" s="6">
        <v>0.25116636</v>
      </c>
      <c r="O6" s="6">
        <v>0.20658487</v>
      </c>
      <c r="P6" s="6">
        <v>0.51466421</v>
      </c>
      <c r="Q6" s="6">
        <v>0.37086216</v>
      </c>
      <c r="R6" s="6">
        <v>217.69486</v>
      </c>
      <c r="S6" s="6">
        <v>0.00188601</v>
      </c>
      <c r="T6" s="6">
        <v>169.97573</v>
      </c>
      <c r="U6" s="6">
        <v>0.00179311</v>
      </c>
      <c r="V6" s="6">
        <v>197.11803</v>
      </c>
      <c r="W6" s="6">
        <v>0.00188198</v>
      </c>
      <c r="X6" s="6">
        <v>134.47093</v>
      </c>
      <c r="Y6" s="6">
        <v>0.00186781</v>
      </c>
      <c r="Z6" s="6">
        <v>134.86767</v>
      </c>
      <c r="AA6" s="6">
        <v>0.00153176</v>
      </c>
      <c r="AB6" s="6">
        <v>294.9318</v>
      </c>
      <c r="AC6" s="6">
        <v>0.00174503</v>
      </c>
      <c r="AD6" s="6">
        <v>243.86163</v>
      </c>
      <c r="AE6" s="6">
        <v>0.00152079</v>
      </c>
      <c r="AF6" s="6">
        <v>775</v>
      </c>
      <c r="AG6" s="6">
        <v>-0.01183148</v>
      </c>
      <c r="AH6" s="6">
        <v>-0.01133926</v>
      </c>
      <c r="AI6" s="6">
        <v>-0.01181026</v>
      </c>
      <c r="AJ6" s="6">
        <v>-0.01173544</v>
      </c>
      <c r="AK6" s="6">
        <v>-0.00992785</v>
      </c>
      <c r="AL6" s="6">
        <v>-0.01108265</v>
      </c>
      <c r="AM6" s="6">
        <v>-0.00986768</v>
      </c>
      <c r="AN6" s="6">
        <v>-6.4762184</v>
      </c>
      <c r="AO6" s="6">
        <v>-6.4515561</v>
      </c>
      <c r="AP6" s="6">
        <v>-6.4739881</v>
      </c>
      <c r="AQ6" s="6">
        <v>-6.4253629</v>
      </c>
      <c r="AR6" s="6">
        <v>-6.4020076</v>
      </c>
      <c r="AS6" s="6">
        <v>-6.4618417</v>
      </c>
      <c r="AT6" s="6">
        <v>-6.4506396</v>
      </c>
      <c r="AU6" s="6">
        <v>0.97344833</v>
      </c>
      <c r="AV6" s="6">
        <v>0.96974131</v>
      </c>
      <c r="AW6" s="6">
        <v>0.97311308</v>
      </c>
      <c r="AX6" s="6">
        <v>0.96580418</v>
      </c>
      <c r="AY6" s="6">
        <v>0.96229362</v>
      </c>
      <c r="AZ6" s="6">
        <v>0.97128734</v>
      </c>
      <c r="BA6" s="6">
        <v>0.96960354</v>
      </c>
      <c r="BB6" s="6">
        <v>0.02655167</v>
      </c>
      <c r="BC6" s="6">
        <v>0.03025869</v>
      </c>
      <c r="BD6" s="6">
        <v>0.02688692</v>
      </c>
      <c r="BE6" s="6">
        <v>0.03419582</v>
      </c>
      <c r="BF6" s="6">
        <v>0.03770638</v>
      </c>
      <c r="BG6" s="6">
        <v>0.02871266</v>
      </c>
      <c r="BH6" s="6">
        <v>0.03039646</v>
      </c>
      <c r="BI6" s="6">
        <v>0.21470859</v>
      </c>
      <c r="BJ6" s="6">
        <v>0.12366373</v>
      </c>
      <c r="BK6" s="6">
        <v>0.1409291</v>
      </c>
      <c r="BL6" s="6">
        <v>0.12522516</v>
      </c>
      <c r="BM6" s="6">
        <v>0.1592662</v>
      </c>
      <c r="BN6" s="6">
        <v>0.17561655</v>
      </c>
      <c r="BO6" s="6">
        <v>0.1337285</v>
      </c>
      <c r="BP6" s="6">
        <v>0.14157076</v>
      </c>
      <c r="BQ6" s="6">
        <v>0.05077312</v>
      </c>
      <c r="BR6" s="6">
        <v>0.04295303</v>
      </c>
      <c r="BS6" s="6">
        <v>0.04645516</v>
      </c>
      <c r="BT6" s="6">
        <v>0.04000231</v>
      </c>
      <c r="BU6" s="6">
        <v>0.03627972</v>
      </c>
      <c r="BV6" s="6">
        <v>0.06882527</v>
      </c>
      <c r="BW6" s="6">
        <v>0.05250324</v>
      </c>
      <c r="BX6" s="12">
        <v>7406</v>
      </c>
      <c r="BY6" s="13">
        <v>1834.98</v>
      </c>
      <c r="BZ6" s="12">
        <v>8072.83</v>
      </c>
      <c r="CA6" s="6">
        <v>4.0360112916762</v>
      </c>
      <c r="CB6" s="6">
        <v>0.917398235810738</v>
      </c>
      <c r="CC6" s="7">
        <v>107873304.4</v>
      </c>
      <c r="CD6" s="7">
        <f t="shared" si="0"/>
        <v>1.33625140626026</v>
      </c>
      <c r="CE6" s="8">
        <v>335.1</v>
      </c>
      <c r="CF6" s="8">
        <v>667</v>
      </c>
      <c r="CG6" s="8">
        <v>647.3</v>
      </c>
      <c r="CH6" s="8">
        <v>4244</v>
      </c>
      <c r="CI6" s="14">
        <v>0</v>
      </c>
      <c r="CJ6" s="14">
        <v>0</v>
      </c>
      <c r="CK6" s="14">
        <f t="shared" si="1"/>
        <v>0</v>
      </c>
      <c r="CL6">
        <f t="shared" si="2"/>
        <v>3.89549779892895</v>
      </c>
      <c r="CM6">
        <f t="shared" si="3"/>
        <v>0.656975443131387</v>
      </c>
      <c r="CN6" s="15">
        <v>7405.64</v>
      </c>
      <c r="CO6" s="15">
        <v>5144.32</v>
      </c>
      <c r="CP6" s="15">
        <v>590.65</v>
      </c>
      <c r="CQ6" s="15">
        <v>1842.29</v>
      </c>
      <c r="CR6" s="15">
        <v>221.02</v>
      </c>
      <c r="CS6" s="15">
        <v>168.15</v>
      </c>
      <c r="CT6" s="15">
        <v>346.56</v>
      </c>
      <c r="CU6" s="15">
        <v>657.95</v>
      </c>
      <c r="CV6" s="15">
        <v>10.69</v>
      </c>
      <c r="CW6" s="15">
        <v>821.44</v>
      </c>
    </row>
    <row r="7" spans="1:101">
      <c r="A7" s="6">
        <v>2005</v>
      </c>
      <c r="B7" s="6" t="s">
        <v>100</v>
      </c>
      <c r="C7" s="6">
        <v>0.3383083</v>
      </c>
      <c r="D7" s="6">
        <v>0.057074</v>
      </c>
      <c r="E7" s="6">
        <v>0.013682</v>
      </c>
      <c r="F7" s="6">
        <v>0.025452</v>
      </c>
      <c r="G7" s="6">
        <v>0.008291</v>
      </c>
      <c r="H7" s="6">
        <v>0.009649</v>
      </c>
      <c r="I7" s="6">
        <v>0.05275</v>
      </c>
      <c r="J7" s="6">
        <v>0.027343</v>
      </c>
      <c r="K7" s="6">
        <v>0.396121</v>
      </c>
      <c r="L7" s="6">
        <v>0.28297794</v>
      </c>
      <c r="M7" s="6">
        <v>0.34826608</v>
      </c>
      <c r="N7" s="6">
        <v>0.21658242</v>
      </c>
      <c r="O7" s="6">
        <v>0.25892632</v>
      </c>
      <c r="P7" s="6">
        <v>0.49775874</v>
      </c>
      <c r="Q7" s="6">
        <v>0.4188751</v>
      </c>
      <c r="R7" s="6">
        <v>217.69486</v>
      </c>
      <c r="S7" s="6">
        <v>0.00181962</v>
      </c>
      <c r="T7" s="6">
        <v>169.97573</v>
      </c>
      <c r="U7" s="6">
        <v>0.00166481</v>
      </c>
      <c r="V7" s="6">
        <v>197.11803</v>
      </c>
      <c r="W7" s="6">
        <v>0.00176679</v>
      </c>
      <c r="X7" s="6">
        <v>134.47093</v>
      </c>
      <c r="Y7" s="6">
        <v>0.00161063</v>
      </c>
      <c r="Z7" s="6">
        <v>134.86767</v>
      </c>
      <c r="AA7" s="6">
        <v>0.00191985</v>
      </c>
      <c r="AB7" s="6">
        <v>294.9318</v>
      </c>
      <c r="AC7" s="6">
        <v>0.00168771</v>
      </c>
      <c r="AD7" s="6">
        <v>243.86163</v>
      </c>
      <c r="AE7" s="6">
        <v>0.00171768</v>
      </c>
      <c r="AF7" s="6">
        <v>775</v>
      </c>
      <c r="AG7" s="6">
        <v>-0.01148019</v>
      </c>
      <c r="AH7" s="6">
        <v>-0.01065155</v>
      </c>
      <c r="AI7" s="6">
        <v>-0.01119896</v>
      </c>
      <c r="AJ7" s="6">
        <v>-0.01035815</v>
      </c>
      <c r="AK7" s="6">
        <v>-0.01200966</v>
      </c>
      <c r="AL7" s="6">
        <v>-0.01077498</v>
      </c>
      <c r="AM7" s="6">
        <v>-0.01093607</v>
      </c>
      <c r="AN7" s="6">
        <v>-6.4762184</v>
      </c>
      <c r="AO7" s="6">
        <v>-6.4515561</v>
      </c>
      <c r="AP7" s="6">
        <v>-6.4739881</v>
      </c>
      <c r="AQ7" s="6">
        <v>-6.4253629</v>
      </c>
      <c r="AR7" s="6">
        <v>-6.4020076</v>
      </c>
      <c r="AS7" s="6">
        <v>-6.4618417</v>
      </c>
      <c r="AT7" s="6">
        <v>-6.4506396</v>
      </c>
      <c r="AU7" s="6">
        <v>0.97344833</v>
      </c>
      <c r="AV7" s="6">
        <v>0.96974131</v>
      </c>
      <c r="AW7" s="6">
        <v>0.97311308</v>
      </c>
      <c r="AX7" s="6">
        <v>0.96580418</v>
      </c>
      <c r="AY7" s="6">
        <v>0.96229362</v>
      </c>
      <c r="AZ7" s="6">
        <v>0.97128734</v>
      </c>
      <c r="BA7" s="6">
        <v>0.96960354</v>
      </c>
      <c r="BB7" s="6">
        <v>0.02655167</v>
      </c>
      <c r="BC7" s="6">
        <v>0.03025869</v>
      </c>
      <c r="BD7" s="6">
        <v>0.02688692</v>
      </c>
      <c r="BE7" s="6">
        <v>0.03419582</v>
      </c>
      <c r="BF7" s="6">
        <v>0.03770638</v>
      </c>
      <c r="BG7" s="6">
        <v>0.02871266</v>
      </c>
      <c r="BH7" s="6">
        <v>0.03039646</v>
      </c>
      <c r="BI7" s="6">
        <v>0.21470859</v>
      </c>
      <c r="BJ7" s="6">
        <v>0.12366373</v>
      </c>
      <c r="BK7" s="6">
        <v>0.1409291</v>
      </c>
      <c r="BL7" s="6">
        <v>0.12522516</v>
      </c>
      <c r="BM7" s="6">
        <v>0.1592662</v>
      </c>
      <c r="BN7" s="6">
        <v>0.17561655</v>
      </c>
      <c r="BO7" s="6">
        <v>0.1337285</v>
      </c>
      <c r="BP7" s="6">
        <v>0.14157076</v>
      </c>
      <c r="BQ7" s="6">
        <v>0.0489858</v>
      </c>
      <c r="BR7" s="6">
        <v>0.03987983</v>
      </c>
      <c r="BS7" s="6">
        <v>0.04361168</v>
      </c>
      <c r="BT7" s="6">
        <v>0.03449426</v>
      </c>
      <c r="BU7" s="6">
        <v>0.04547175</v>
      </c>
      <c r="BV7" s="6">
        <v>0.06656453</v>
      </c>
      <c r="BW7" s="6">
        <v>0.05930047</v>
      </c>
      <c r="BX7" s="12">
        <v>8225</v>
      </c>
      <c r="BY7" s="13">
        <v>1890.26</v>
      </c>
      <c r="BZ7" s="12">
        <v>9247.66</v>
      </c>
      <c r="CA7" s="6">
        <v>4.35125326674637</v>
      </c>
      <c r="CB7" s="6">
        <v>0.889414186940264</v>
      </c>
      <c r="CC7" s="7">
        <v>114917647.3</v>
      </c>
      <c r="CD7" s="7">
        <f t="shared" si="0"/>
        <v>1.24266730502635</v>
      </c>
      <c r="CE7" s="8">
        <v>362.5</v>
      </c>
      <c r="CF7" s="8">
        <v>797.9</v>
      </c>
      <c r="CG7" s="8">
        <v>779.6</v>
      </c>
      <c r="CH7" s="8">
        <v>5218</v>
      </c>
      <c r="CI7" s="14">
        <v>0</v>
      </c>
      <c r="CJ7" s="14">
        <v>0</v>
      </c>
      <c r="CK7" s="14">
        <f t="shared" si="1"/>
        <v>0</v>
      </c>
      <c r="CL7">
        <f t="shared" si="2"/>
        <v>3.71995059106252</v>
      </c>
      <c r="CM7">
        <f t="shared" si="3"/>
        <v>0.665945212279981</v>
      </c>
      <c r="CN7" s="15">
        <v>8312.09</v>
      </c>
      <c r="CO7" s="15">
        <v>5324.52</v>
      </c>
      <c r="CP7" s="15">
        <v>630.51</v>
      </c>
      <c r="CQ7" s="15">
        <v>1967</v>
      </c>
      <c r="CR7" s="15">
        <v>242.34</v>
      </c>
      <c r="CS7" s="15">
        <v>223.32</v>
      </c>
      <c r="CT7" s="15">
        <v>329.6</v>
      </c>
      <c r="CU7" s="15">
        <v>765.95</v>
      </c>
      <c r="CV7" s="15">
        <v>18.72</v>
      </c>
      <c r="CW7" s="15">
        <v>921.97</v>
      </c>
    </row>
    <row r="8" spans="1:101">
      <c r="A8" s="6">
        <v>2006</v>
      </c>
      <c r="B8" s="6" t="s">
        <v>100</v>
      </c>
      <c r="C8" s="6">
        <v>0.36450067</v>
      </c>
      <c r="D8" s="6">
        <v>0.05899</v>
      </c>
      <c r="E8" s="6">
        <v>0.014085</v>
      </c>
      <c r="F8" s="6">
        <v>0.025706</v>
      </c>
      <c r="G8" s="6">
        <v>0.008169</v>
      </c>
      <c r="H8" s="6">
        <v>0.011031</v>
      </c>
      <c r="I8" s="6">
        <v>0.058324</v>
      </c>
      <c r="J8" s="6">
        <v>0.030281</v>
      </c>
      <c r="K8" s="6">
        <v>0.41115612</v>
      </c>
      <c r="L8" s="6">
        <v>0.29250378</v>
      </c>
      <c r="M8" s="6">
        <v>0.35217873</v>
      </c>
      <c r="N8" s="6">
        <v>0.21298227</v>
      </c>
      <c r="O8" s="6">
        <v>0.30077902</v>
      </c>
      <c r="P8" s="6">
        <v>0.55984301</v>
      </c>
      <c r="Q8" s="6">
        <v>0.47129805</v>
      </c>
      <c r="R8" s="6">
        <v>217.69486</v>
      </c>
      <c r="S8" s="6">
        <v>0.00188868</v>
      </c>
      <c r="T8" s="6">
        <v>169.97573</v>
      </c>
      <c r="U8" s="6">
        <v>0.00172086</v>
      </c>
      <c r="V8" s="6">
        <v>197.11803</v>
      </c>
      <c r="W8" s="6">
        <v>0.00178664</v>
      </c>
      <c r="X8" s="6">
        <v>134.47093</v>
      </c>
      <c r="Y8" s="6">
        <v>0.00158385</v>
      </c>
      <c r="Z8" s="6">
        <v>134.86767</v>
      </c>
      <c r="AA8" s="6">
        <v>0.00223018</v>
      </c>
      <c r="AB8" s="6">
        <v>294.9318</v>
      </c>
      <c r="AC8" s="6">
        <v>0.00189821</v>
      </c>
      <c r="AD8" s="6">
        <v>243.86163</v>
      </c>
      <c r="AE8" s="6">
        <v>0.00193265</v>
      </c>
      <c r="AF8" s="6">
        <v>775</v>
      </c>
      <c r="AG8" s="6">
        <v>-0.01184557</v>
      </c>
      <c r="AH8" s="6">
        <v>-0.01095313</v>
      </c>
      <c r="AI8" s="6">
        <v>-0.01130481</v>
      </c>
      <c r="AJ8" s="6">
        <v>-0.01021252</v>
      </c>
      <c r="AK8" s="6">
        <v>-0.01361674</v>
      </c>
      <c r="AL8" s="6">
        <v>-0.0118958</v>
      </c>
      <c r="AM8" s="6">
        <v>-0.01207684</v>
      </c>
      <c r="AN8" s="6">
        <v>-6.4762184</v>
      </c>
      <c r="AO8" s="6">
        <v>-6.4515561</v>
      </c>
      <c r="AP8" s="6">
        <v>-6.4739881</v>
      </c>
      <c r="AQ8" s="6">
        <v>-6.4253629</v>
      </c>
      <c r="AR8" s="6">
        <v>-6.4020076</v>
      </c>
      <c r="AS8" s="6">
        <v>-6.4618417</v>
      </c>
      <c r="AT8" s="6">
        <v>-6.4506396</v>
      </c>
      <c r="AU8" s="6">
        <v>0.97344833</v>
      </c>
      <c r="AV8" s="6">
        <v>0.96974131</v>
      </c>
      <c r="AW8" s="6">
        <v>0.97311308</v>
      </c>
      <c r="AX8" s="6">
        <v>0.96580418</v>
      </c>
      <c r="AY8" s="6">
        <v>0.96229362</v>
      </c>
      <c r="AZ8" s="6">
        <v>0.97128734</v>
      </c>
      <c r="BA8" s="6">
        <v>0.96960354</v>
      </c>
      <c r="BB8" s="6">
        <v>0.02655167</v>
      </c>
      <c r="BC8" s="6">
        <v>0.03025869</v>
      </c>
      <c r="BD8" s="6">
        <v>0.02688692</v>
      </c>
      <c r="BE8" s="6">
        <v>0.03419582</v>
      </c>
      <c r="BF8" s="6">
        <v>0.03770638</v>
      </c>
      <c r="BG8" s="6">
        <v>0.02871266</v>
      </c>
      <c r="BH8" s="6">
        <v>0.03039646</v>
      </c>
      <c r="BI8" s="6">
        <v>0.21470859</v>
      </c>
      <c r="BJ8" s="6">
        <v>0.12366373</v>
      </c>
      <c r="BK8" s="6">
        <v>0.1409291</v>
      </c>
      <c r="BL8" s="6">
        <v>0.12522516</v>
      </c>
      <c r="BM8" s="6">
        <v>0.1592662</v>
      </c>
      <c r="BN8" s="6">
        <v>0.17561655</v>
      </c>
      <c r="BO8" s="6">
        <v>0.1337285</v>
      </c>
      <c r="BP8" s="6">
        <v>0.14157076</v>
      </c>
      <c r="BQ8" s="6">
        <v>0.0508451</v>
      </c>
      <c r="BR8" s="6">
        <v>0.04122229</v>
      </c>
      <c r="BS8" s="6">
        <v>0.04410164</v>
      </c>
      <c r="BT8" s="6">
        <v>0.03392088</v>
      </c>
      <c r="BU8" s="6">
        <v>0.05282177</v>
      </c>
      <c r="BV8" s="6">
        <v>0.07486696</v>
      </c>
      <c r="BW8" s="6">
        <v>0.06672203</v>
      </c>
      <c r="BX8" s="12">
        <v>8876</v>
      </c>
      <c r="BY8" s="13">
        <v>1964.11</v>
      </c>
      <c r="BZ8" s="12">
        <v>10572.24</v>
      </c>
      <c r="CA8" s="6">
        <v>4.51909516269455</v>
      </c>
      <c r="CB8" s="6">
        <v>0.839557179935378</v>
      </c>
      <c r="CC8" s="7">
        <v>124174851.6</v>
      </c>
      <c r="CD8" s="7">
        <f t="shared" si="0"/>
        <v>1.17453682095753</v>
      </c>
      <c r="CE8" s="8">
        <v>367.2</v>
      </c>
      <c r="CF8" s="8">
        <v>953</v>
      </c>
      <c r="CG8" s="8">
        <v>944</v>
      </c>
      <c r="CH8" s="8">
        <v>6103</v>
      </c>
      <c r="CI8" s="14">
        <v>0</v>
      </c>
      <c r="CJ8" s="14">
        <v>0</v>
      </c>
      <c r="CK8" s="14">
        <f t="shared" si="1"/>
        <v>0</v>
      </c>
      <c r="CL8">
        <f t="shared" si="2"/>
        <v>3.57740717995078</v>
      </c>
      <c r="CM8">
        <f t="shared" si="3"/>
        <v>0.671679302389702</v>
      </c>
      <c r="CN8" s="15">
        <v>8967.32</v>
      </c>
      <c r="CO8" s="15">
        <v>5143.09</v>
      </c>
      <c r="CP8" s="15">
        <v>655.46</v>
      </c>
      <c r="CQ8" s="15">
        <v>1832.84</v>
      </c>
      <c r="CR8" s="15">
        <v>268.73</v>
      </c>
      <c r="CS8" s="15">
        <v>261.97</v>
      </c>
      <c r="CT8" s="15">
        <v>370.98</v>
      </c>
      <c r="CU8" s="15">
        <v>805.79</v>
      </c>
      <c r="CV8" s="15">
        <v>25.25</v>
      </c>
      <c r="CW8" s="15">
        <v>990.15</v>
      </c>
    </row>
    <row r="9" spans="1:101">
      <c r="A9" s="6">
        <v>2007</v>
      </c>
      <c r="B9" s="6" t="s">
        <v>100</v>
      </c>
      <c r="C9" s="6">
        <v>0.36513883</v>
      </c>
      <c r="D9" s="6">
        <v>0.059619</v>
      </c>
      <c r="E9" s="6">
        <v>0.015202</v>
      </c>
      <c r="F9" s="6">
        <v>0.026577</v>
      </c>
      <c r="G9" s="6">
        <v>0.008909</v>
      </c>
      <c r="H9" s="6">
        <v>0.008931</v>
      </c>
      <c r="I9" s="6">
        <v>0.061126</v>
      </c>
      <c r="J9" s="6">
        <v>0.029547</v>
      </c>
      <c r="K9" s="6">
        <v>0.41608705</v>
      </c>
      <c r="L9" s="6">
        <v>0.31891869</v>
      </c>
      <c r="M9" s="6">
        <v>0.3655666</v>
      </c>
      <c r="N9" s="6">
        <v>0.23485917</v>
      </c>
      <c r="O9" s="6">
        <v>0.23714542</v>
      </c>
      <c r="P9" s="6">
        <v>0.59104788</v>
      </c>
      <c r="Q9" s="6">
        <v>0.45821016</v>
      </c>
      <c r="R9" s="6">
        <v>217.69486</v>
      </c>
      <c r="S9" s="6">
        <v>0.00191133</v>
      </c>
      <c r="T9" s="6">
        <v>169.97573</v>
      </c>
      <c r="U9" s="6">
        <v>0.00187626</v>
      </c>
      <c r="V9" s="6">
        <v>197.11803</v>
      </c>
      <c r="W9" s="6">
        <v>0.00185456</v>
      </c>
      <c r="X9" s="6">
        <v>134.47093</v>
      </c>
      <c r="Y9" s="6">
        <v>0.00174654</v>
      </c>
      <c r="Z9" s="6">
        <v>134.86767</v>
      </c>
      <c r="AA9" s="6">
        <v>0.00175836</v>
      </c>
      <c r="AB9" s="6">
        <v>294.9318</v>
      </c>
      <c r="AC9" s="6">
        <v>0.00200402</v>
      </c>
      <c r="AD9" s="6">
        <v>243.86163</v>
      </c>
      <c r="AE9" s="6">
        <v>0.00187898</v>
      </c>
      <c r="AF9" s="6">
        <v>775</v>
      </c>
      <c r="AG9" s="6">
        <v>-0.01196485</v>
      </c>
      <c r="AH9" s="6">
        <v>-0.01178005</v>
      </c>
      <c r="AI9" s="6">
        <v>-0.01166537</v>
      </c>
      <c r="AJ9" s="6">
        <v>-0.01109075</v>
      </c>
      <c r="AK9" s="6">
        <v>-0.01115392</v>
      </c>
      <c r="AL9" s="6">
        <v>-0.01245015</v>
      </c>
      <c r="AM9" s="6">
        <v>-0.01179439</v>
      </c>
      <c r="AN9" s="6">
        <v>-6.4762184</v>
      </c>
      <c r="AO9" s="6">
        <v>-6.4515561</v>
      </c>
      <c r="AP9" s="6">
        <v>-6.4739881</v>
      </c>
      <c r="AQ9" s="6">
        <v>-6.4253629</v>
      </c>
      <c r="AR9" s="6">
        <v>-6.4020076</v>
      </c>
      <c r="AS9" s="6">
        <v>-6.4618417</v>
      </c>
      <c r="AT9" s="6">
        <v>-6.4506396</v>
      </c>
      <c r="AU9" s="6">
        <v>0.97344833</v>
      </c>
      <c r="AV9" s="6">
        <v>0.96974131</v>
      </c>
      <c r="AW9" s="6">
        <v>0.97311308</v>
      </c>
      <c r="AX9" s="6">
        <v>0.96580418</v>
      </c>
      <c r="AY9" s="6">
        <v>0.96229362</v>
      </c>
      <c r="AZ9" s="6">
        <v>0.97128734</v>
      </c>
      <c r="BA9" s="6">
        <v>0.96960354</v>
      </c>
      <c r="BB9" s="6">
        <v>0.02655167</v>
      </c>
      <c r="BC9" s="6">
        <v>0.03025869</v>
      </c>
      <c r="BD9" s="6">
        <v>0.02688692</v>
      </c>
      <c r="BE9" s="6">
        <v>0.03419582</v>
      </c>
      <c r="BF9" s="6">
        <v>0.03770638</v>
      </c>
      <c r="BG9" s="6">
        <v>0.02871266</v>
      </c>
      <c r="BH9" s="6">
        <v>0.03039646</v>
      </c>
      <c r="BI9" s="6">
        <v>0.21470859</v>
      </c>
      <c r="BJ9" s="6">
        <v>0.12366373</v>
      </c>
      <c r="BK9" s="6">
        <v>0.1409291</v>
      </c>
      <c r="BL9" s="6">
        <v>0.12522516</v>
      </c>
      <c r="BM9" s="6">
        <v>0.1592662</v>
      </c>
      <c r="BN9" s="6">
        <v>0.17561655</v>
      </c>
      <c r="BO9" s="6">
        <v>0.1337285</v>
      </c>
      <c r="BP9" s="6">
        <v>0.14157076</v>
      </c>
      <c r="BQ9" s="6">
        <v>0.05145488</v>
      </c>
      <c r="BR9" s="6">
        <v>0.04494492</v>
      </c>
      <c r="BS9" s="6">
        <v>0.04577814</v>
      </c>
      <c r="BT9" s="6">
        <v>0.03740513</v>
      </c>
      <c r="BU9" s="6">
        <v>0.04164666</v>
      </c>
      <c r="BV9" s="6">
        <v>0.07903994</v>
      </c>
      <c r="BW9" s="6">
        <v>0.06486916</v>
      </c>
      <c r="BX9" s="12">
        <v>9670</v>
      </c>
      <c r="BY9" s="13">
        <v>2063.59</v>
      </c>
      <c r="BZ9" s="12">
        <v>12494.01</v>
      </c>
      <c r="CA9" s="6">
        <v>4.68600836406457</v>
      </c>
      <c r="CB9" s="6">
        <v>0.773970886848978</v>
      </c>
      <c r="CC9" s="7">
        <v>126685297.2</v>
      </c>
      <c r="CD9" s="7">
        <f t="shared" si="0"/>
        <v>1.01396827119556</v>
      </c>
      <c r="CE9" s="8">
        <v>430.6</v>
      </c>
      <c r="CF9" s="8">
        <v>1187.2</v>
      </c>
      <c r="CG9" s="8">
        <v>1229.7</v>
      </c>
      <c r="CH9" s="8">
        <v>7778</v>
      </c>
      <c r="CI9" s="14">
        <v>0</v>
      </c>
      <c r="CJ9" s="14">
        <v>0</v>
      </c>
      <c r="CK9" s="14">
        <f t="shared" si="1"/>
        <v>0</v>
      </c>
      <c r="CL9">
        <f t="shared" si="2"/>
        <v>3.23986794305777</v>
      </c>
      <c r="CM9">
        <f t="shared" si="3"/>
        <v>0.687034073913956</v>
      </c>
      <c r="CN9" s="15">
        <v>9767.75</v>
      </c>
      <c r="CO9" s="15">
        <v>5259.53</v>
      </c>
      <c r="CP9" s="15">
        <v>729.7</v>
      </c>
      <c r="CQ9" s="15">
        <v>1719.57</v>
      </c>
      <c r="CR9" s="15">
        <v>299.66</v>
      </c>
      <c r="CS9" s="15">
        <v>295.45</v>
      </c>
      <c r="CT9" s="15">
        <v>417.17</v>
      </c>
      <c r="CU9" s="15">
        <v>848.61</v>
      </c>
      <c r="CV9" s="15">
        <v>27.78</v>
      </c>
      <c r="CW9" s="15">
        <v>1072.38</v>
      </c>
    </row>
    <row r="10" spans="1:101">
      <c r="A10" s="6">
        <v>2008</v>
      </c>
      <c r="B10" s="6" t="s">
        <v>100</v>
      </c>
      <c r="C10" s="6">
        <v>0.39763687</v>
      </c>
      <c r="D10" s="6">
        <v>0.06436</v>
      </c>
      <c r="E10" s="6">
        <v>0.016129</v>
      </c>
      <c r="F10" s="6">
        <v>0.028793</v>
      </c>
      <c r="G10" s="6">
        <v>0.010262</v>
      </c>
      <c r="H10" s="6">
        <v>0.009176</v>
      </c>
      <c r="I10" s="6">
        <v>0.063692</v>
      </c>
      <c r="J10" s="6">
        <v>0.033128</v>
      </c>
      <c r="K10" s="6">
        <v>0.45327881</v>
      </c>
      <c r="L10" s="6">
        <v>0.34084603</v>
      </c>
      <c r="M10" s="6">
        <v>0.39961336</v>
      </c>
      <c r="N10" s="6">
        <v>0.27485639</v>
      </c>
      <c r="O10" s="6">
        <v>0.24458914</v>
      </c>
      <c r="P10" s="6">
        <v>0.6196354</v>
      </c>
      <c r="Q10" s="6">
        <v>0.52209794</v>
      </c>
      <c r="R10" s="6">
        <v>217.69486</v>
      </c>
      <c r="S10" s="6">
        <v>0.00208218</v>
      </c>
      <c r="T10" s="6">
        <v>169.97573</v>
      </c>
      <c r="U10" s="6">
        <v>0.00200526</v>
      </c>
      <c r="V10" s="6">
        <v>197.11803</v>
      </c>
      <c r="W10" s="6">
        <v>0.00202728</v>
      </c>
      <c r="X10" s="6">
        <v>134.47093</v>
      </c>
      <c r="Y10" s="6">
        <v>0.00204398</v>
      </c>
      <c r="Z10" s="6">
        <v>134.86767</v>
      </c>
      <c r="AA10" s="6">
        <v>0.00181355</v>
      </c>
      <c r="AB10" s="6">
        <v>294.9318</v>
      </c>
      <c r="AC10" s="6">
        <v>0.00210094</v>
      </c>
      <c r="AD10" s="6">
        <v>243.86163</v>
      </c>
      <c r="AE10" s="6">
        <v>0.00214096</v>
      </c>
      <c r="AF10" s="6">
        <v>775</v>
      </c>
      <c r="AG10" s="6">
        <v>-0.01285606</v>
      </c>
      <c r="AH10" s="6">
        <v>-0.01245665</v>
      </c>
      <c r="AI10" s="6">
        <v>-0.01257128</v>
      </c>
      <c r="AJ10" s="6">
        <v>-0.01265809</v>
      </c>
      <c r="AK10" s="6">
        <v>-0.01144797</v>
      </c>
      <c r="AL10" s="6">
        <v>-0.0129531</v>
      </c>
      <c r="AM10" s="6">
        <v>-0.01315941</v>
      </c>
      <c r="AN10" s="6">
        <v>-6.4762184</v>
      </c>
      <c r="AO10" s="6">
        <v>-6.4515561</v>
      </c>
      <c r="AP10" s="6">
        <v>-6.4739881</v>
      </c>
      <c r="AQ10" s="6">
        <v>-6.4253629</v>
      </c>
      <c r="AR10" s="6">
        <v>-6.4020076</v>
      </c>
      <c r="AS10" s="6">
        <v>-6.4618417</v>
      </c>
      <c r="AT10" s="6">
        <v>-6.4506396</v>
      </c>
      <c r="AU10" s="6">
        <v>0.97344833</v>
      </c>
      <c r="AV10" s="6">
        <v>0.96974131</v>
      </c>
      <c r="AW10" s="6">
        <v>0.97311308</v>
      </c>
      <c r="AX10" s="6">
        <v>0.96580418</v>
      </c>
      <c r="AY10" s="6">
        <v>0.96229362</v>
      </c>
      <c r="AZ10" s="6">
        <v>0.97128734</v>
      </c>
      <c r="BA10" s="6">
        <v>0.96960354</v>
      </c>
      <c r="BB10" s="6">
        <v>0.02655167</v>
      </c>
      <c r="BC10" s="6">
        <v>0.03025869</v>
      </c>
      <c r="BD10" s="6">
        <v>0.02688692</v>
      </c>
      <c r="BE10" s="6">
        <v>0.03419582</v>
      </c>
      <c r="BF10" s="6">
        <v>0.03770638</v>
      </c>
      <c r="BG10" s="6">
        <v>0.02871266</v>
      </c>
      <c r="BH10" s="6">
        <v>0.03039646</v>
      </c>
      <c r="BI10" s="6">
        <v>0.21470859</v>
      </c>
      <c r="BJ10" s="6">
        <v>0.12366373</v>
      </c>
      <c r="BK10" s="6">
        <v>0.1409291</v>
      </c>
      <c r="BL10" s="6">
        <v>0.12522516</v>
      </c>
      <c r="BM10" s="6">
        <v>0.1592662</v>
      </c>
      <c r="BN10" s="6">
        <v>0.17561655</v>
      </c>
      <c r="BO10" s="6">
        <v>0.1337285</v>
      </c>
      <c r="BP10" s="6">
        <v>0.14157076</v>
      </c>
      <c r="BQ10" s="6">
        <v>0.05605415</v>
      </c>
      <c r="BR10" s="6">
        <v>0.04803512</v>
      </c>
      <c r="BS10" s="6">
        <v>0.05004165</v>
      </c>
      <c r="BT10" s="6">
        <v>0.04377533</v>
      </c>
      <c r="BU10" s="6">
        <v>0.0429539</v>
      </c>
      <c r="BV10" s="6">
        <v>0.08286291</v>
      </c>
      <c r="BW10" s="6">
        <v>0.0739138</v>
      </c>
      <c r="BX10" s="12">
        <v>10207</v>
      </c>
      <c r="BY10" s="13">
        <v>2140.64</v>
      </c>
      <c r="BZ10" s="12">
        <v>14069.87</v>
      </c>
      <c r="CA10" s="6">
        <v>4.7682001644368</v>
      </c>
      <c r="CB10" s="6">
        <v>0.725450910349563</v>
      </c>
      <c r="CC10" s="7">
        <v>132790694.8</v>
      </c>
      <c r="CD10" s="7">
        <f t="shared" si="0"/>
        <v>0.943794752901057</v>
      </c>
      <c r="CE10" s="8">
        <v>522.6</v>
      </c>
      <c r="CF10" s="8">
        <v>1437.7</v>
      </c>
      <c r="CG10" s="8">
        <v>1544.2</v>
      </c>
      <c r="CH10" s="8">
        <v>9697</v>
      </c>
      <c r="CI10" s="14">
        <v>0</v>
      </c>
      <c r="CJ10" s="14">
        <v>0</v>
      </c>
      <c r="CK10" s="14">
        <f t="shared" si="1"/>
        <v>0</v>
      </c>
      <c r="CL10">
        <f t="shared" si="2"/>
        <v>2.71728515287532</v>
      </c>
      <c r="CM10">
        <f t="shared" si="3"/>
        <v>0.652669962921494</v>
      </c>
      <c r="CN10" s="15">
        <v>10207</v>
      </c>
      <c r="CO10" s="15">
        <v>5464</v>
      </c>
      <c r="CP10" s="15">
        <v>714.44</v>
      </c>
      <c r="CQ10" s="15">
        <v>1951.55</v>
      </c>
      <c r="CR10" s="15">
        <v>340.5</v>
      </c>
      <c r="CS10" s="15">
        <v>321.47</v>
      </c>
      <c r="CT10" s="15">
        <v>427.05</v>
      </c>
      <c r="CU10" s="15">
        <v>788.73</v>
      </c>
      <c r="CV10" s="15">
        <v>30</v>
      </c>
      <c r="CW10" s="15">
        <v>1138.22</v>
      </c>
    </row>
    <row r="11" spans="1:101">
      <c r="A11" s="6">
        <v>2009</v>
      </c>
      <c r="B11" s="6" t="s">
        <v>100</v>
      </c>
      <c r="C11" s="6">
        <v>0.42163331</v>
      </c>
      <c r="D11" s="6">
        <v>0.069346</v>
      </c>
      <c r="E11" s="6">
        <v>0.017437</v>
      </c>
      <c r="F11" s="6">
        <v>0.031176</v>
      </c>
      <c r="G11" s="6">
        <v>0.010273</v>
      </c>
      <c r="H11" s="6">
        <v>0.010459</v>
      </c>
      <c r="I11" s="6">
        <v>0.064827</v>
      </c>
      <c r="J11" s="6">
        <v>0.033779</v>
      </c>
      <c r="K11" s="6">
        <v>0.4923831</v>
      </c>
      <c r="L11" s="6">
        <v>0.37176828</v>
      </c>
      <c r="M11" s="6">
        <v>0.43624081</v>
      </c>
      <c r="N11" s="6">
        <v>0.27518808</v>
      </c>
      <c r="O11" s="6">
        <v>0.28346945</v>
      </c>
      <c r="P11" s="6">
        <v>0.63227902</v>
      </c>
      <c r="Q11" s="6">
        <v>0.53371382</v>
      </c>
      <c r="R11" s="6">
        <v>217.69486</v>
      </c>
      <c r="S11" s="6">
        <v>0.0022618</v>
      </c>
      <c r="T11" s="6">
        <v>169.97573</v>
      </c>
      <c r="U11" s="6">
        <v>0.00218718</v>
      </c>
      <c r="V11" s="6">
        <v>197.11803</v>
      </c>
      <c r="W11" s="6">
        <v>0.00221309</v>
      </c>
      <c r="X11" s="6">
        <v>134.47093</v>
      </c>
      <c r="Y11" s="6">
        <v>0.00204645</v>
      </c>
      <c r="Z11" s="6">
        <v>134.86767</v>
      </c>
      <c r="AA11" s="6">
        <v>0.00210183</v>
      </c>
      <c r="AB11" s="6">
        <v>294.9318</v>
      </c>
      <c r="AC11" s="6">
        <v>0.00214381</v>
      </c>
      <c r="AD11" s="6">
        <v>243.86163</v>
      </c>
      <c r="AE11" s="6">
        <v>0.00218859</v>
      </c>
      <c r="AF11" s="6">
        <v>775</v>
      </c>
      <c r="AG11" s="6">
        <v>-0.01377799</v>
      </c>
      <c r="AH11" s="6">
        <v>-0.01339681</v>
      </c>
      <c r="AI11" s="6">
        <v>-0.01352945</v>
      </c>
      <c r="AJ11" s="6">
        <v>-0.0126709</v>
      </c>
      <c r="AK11" s="6">
        <v>-0.01295769</v>
      </c>
      <c r="AL11" s="6">
        <v>-0.0131741</v>
      </c>
      <c r="AM11" s="6">
        <v>-0.01340403</v>
      </c>
      <c r="AN11" s="6">
        <v>-6.4762184</v>
      </c>
      <c r="AO11" s="6">
        <v>-6.4515561</v>
      </c>
      <c r="AP11" s="6">
        <v>-6.4739881</v>
      </c>
      <c r="AQ11" s="6">
        <v>-6.4253629</v>
      </c>
      <c r="AR11" s="6">
        <v>-6.4020076</v>
      </c>
      <c r="AS11" s="6">
        <v>-6.4618417</v>
      </c>
      <c r="AT11" s="6">
        <v>-6.4506396</v>
      </c>
      <c r="AU11" s="6">
        <v>0.97344833</v>
      </c>
      <c r="AV11" s="6">
        <v>0.96974131</v>
      </c>
      <c r="AW11" s="6">
        <v>0.97311308</v>
      </c>
      <c r="AX11" s="6">
        <v>0.96580418</v>
      </c>
      <c r="AY11" s="6">
        <v>0.96229362</v>
      </c>
      <c r="AZ11" s="6">
        <v>0.97128734</v>
      </c>
      <c r="BA11" s="6">
        <v>0.96960354</v>
      </c>
      <c r="BB11" s="6">
        <v>0.02655167</v>
      </c>
      <c r="BC11" s="6">
        <v>0.03025869</v>
      </c>
      <c r="BD11" s="6">
        <v>0.02688692</v>
      </c>
      <c r="BE11" s="6">
        <v>0.03419582</v>
      </c>
      <c r="BF11" s="6">
        <v>0.03770638</v>
      </c>
      <c r="BG11" s="6">
        <v>0.02871266</v>
      </c>
      <c r="BH11" s="6">
        <v>0.03039646</v>
      </c>
      <c r="BI11" s="6">
        <v>0.21470859</v>
      </c>
      <c r="BJ11" s="6">
        <v>0.12366373</v>
      </c>
      <c r="BK11" s="6">
        <v>0.1409291</v>
      </c>
      <c r="BL11" s="6">
        <v>0.12522516</v>
      </c>
      <c r="BM11" s="6">
        <v>0.1592662</v>
      </c>
      <c r="BN11" s="6">
        <v>0.17561655</v>
      </c>
      <c r="BO11" s="6">
        <v>0.1337285</v>
      </c>
      <c r="BP11" s="6">
        <v>0.14157076</v>
      </c>
      <c r="BQ11" s="6">
        <v>0.06088993</v>
      </c>
      <c r="BR11" s="6">
        <v>0.05239297</v>
      </c>
      <c r="BS11" s="6">
        <v>0.05462832</v>
      </c>
      <c r="BT11" s="6">
        <v>0.04382816</v>
      </c>
      <c r="BU11" s="6">
        <v>0.04978193</v>
      </c>
      <c r="BV11" s="6">
        <v>0.08455372</v>
      </c>
      <c r="BW11" s="6">
        <v>0.07555827</v>
      </c>
      <c r="BX11" s="12">
        <v>10367</v>
      </c>
      <c r="BY11" s="13">
        <v>2210.28</v>
      </c>
      <c r="BZ11" s="12">
        <v>15046.45</v>
      </c>
      <c r="CA11" s="6">
        <v>4.6903559729989</v>
      </c>
      <c r="CB11" s="6">
        <v>0.688999730833519</v>
      </c>
      <c r="CC11" s="7">
        <v>149143881.2</v>
      </c>
      <c r="CD11" s="7">
        <f t="shared" si="0"/>
        <v>0.991223053942957</v>
      </c>
      <c r="CE11" s="8">
        <v>531.2</v>
      </c>
      <c r="CF11" s="8">
        <v>1574.9</v>
      </c>
      <c r="CG11" s="8">
        <v>1750.6</v>
      </c>
      <c r="CH11" s="8">
        <v>10814</v>
      </c>
      <c r="CI11" s="14">
        <v>0</v>
      </c>
      <c r="CJ11" s="14">
        <v>0</v>
      </c>
      <c r="CK11" s="14">
        <f t="shared" si="1"/>
        <v>0</v>
      </c>
      <c r="CL11">
        <f t="shared" si="2"/>
        <v>2.66960201713366</v>
      </c>
      <c r="CM11">
        <f t="shared" si="3"/>
        <v>0.628700065559873</v>
      </c>
      <c r="CN11" s="15">
        <v>10367</v>
      </c>
      <c r="CO11" s="15">
        <v>5305</v>
      </c>
      <c r="CP11" s="15">
        <v>677.68</v>
      </c>
      <c r="CQ11" s="15">
        <v>1937.18</v>
      </c>
      <c r="CR11" s="15">
        <v>388.52</v>
      </c>
      <c r="CS11" s="15">
        <v>353.11</v>
      </c>
      <c r="CT11" s="15">
        <v>483.19</v>
      </c>
      <c r="CU11" s="15">
        <v>742.79</v>
      </c>
      <c r="CV11" s="15">
        <v>33.52</v>
      </c>
      <c r="CW11" s="15">
        <v>1153.38</v>
      </c>
    </row>
    <row r="12" spans="1:101">
      <c r="A12" s="6">
        <v>2010</v>
      </c>
      <c r="B12" s="6" t="s">
        <v>100</v>
      </c>
      <c r="C12" s="6">
        <v>0.41174611</v>
      </c>
      <c r="D12" s="6">
        <v>0.065911</v>
      </c>
      <c r="E12" s="6">
        <v>0.016281</v>
      </c>
      <c r="F12" s="6">
        <v>0.029572</v>
      </c>
      <c r="G12" s="6">
        <v>0.010123</v>
      </c>
      <c r="H12" s="6">
        <v>0.009935</v>
      </c>
      <c r="I12" s="6">
        <v>0.069458</v>
      </c>
      <c r="J12" s="6">
        <v>0.032586</v>
      </c>
      <c r="K12" s="6">
        <v>0.46543968</v>
      </c>
      <c r="L12" s="6">
        <v>0.34441775</v>
      </c>
      <c r="M12" s="6">
        <v>0.41159543</v>
      </c>
      <c r="N12" s="6">
        <v>0.27073713</v>
      </c>
      <c r="O12" s="6">
        <v>0.26759088</v>
      </c>
      <c r="P12" s="6">
        <v>0.68385549</v>
      </c>
      <c r="Q12" s="6">
        <v>0.51242142</v>
      </c>
      <c r="R12" s="6">
        <v>217.69486</v>
      </c>
      <c r="S12" s="6">
        <v>0.00213804</v>
      </c>
      <c r="T12" s="6">
        <v>169.97573</v>
      </c>
      <c r="U12" s="6">
        <v>0.00202628</v>
      </c>
      <c r="V12" s="6">
        <v>197.11803</v>
      </c>
      <c r="W12" s="6">
        <v>0.00208807</v>
      </c>
      <c r="X12" s="6">
        <v>134.47093</v>
      </c>
      <c r="Y12" s="6">
        <v>0.00201335</v>
      </c>
      <c r="Z12" s="6">
        <v>134.86767</v>
      </c>
      <c r="AA12" s="6">
        <v>0.0019841</v>
      </c>
      <c r="AB12" s="6">
        <v>294.9318</v>
      </c>
      <c r="AC12" s="6">
        <v>0.00231869</v>
      </c>
      <c r="AD12" s="6">
        <v>243.86163</v>
      </c>
      <c r="AE12" s="6">
        <v>0.00210128</v>
      </c>
      <c r="AF12" s="6">
        <v>775</v>
      </c>
      <c r="AG12" s="6">
        <v>-0.01314437</v>
      </c>
      <c r="AH12" s="6">
        <v>-0.01256606</v>
      </c>
      <c r="AI12" s="6">
        <v>-0.01288653</v>
      </c>
      <c r="AJ12" s="6">
        <v>-0.01249879</v>
      </c>
      <c r="AK12" s="6">
        <v>-0.01234624</v>
      </c>
      <c r="AL12" s="6">
        <v>-0.01406692</v>
      </c>
      <c r="AM12" s="6">
        <v>-0.01295483</v>
      </c>
      <c r="AN12" s="6">
        <v>-6.4762184</v>
      </c>
      <c r="AO12" s="6">
        <v>-6.4515561</v>
      </c>
      <c r="AP12" s="6">
        <v>-6.4739881</v>
      </c>
      <c r="AQ12" s="6">
        <v>-6.4253629</v>
      </c>
      <c r="AR12" s="6">
        <v>-6.4020076</v>
      </c>
      <c r="AS12" s="6">
        <v>-6.4618417</v>
      </c>
      <c r="AT12" s="6">
        <v>-6.4506396</v>
      </c>
      <c r="AU12" s="6">
        <v>0.97344833</v>
      </c>
      <c r="AV12" s="6">
        <v>0.96974131</v>
      </c>
      <c r="AW12" s="6">
        <v>0.97311308</v>
      </c>
      <c r="AX12" s="6">
        <v>0.96580418</v>
      </c>
      <c r="AY12" s="6">
        <v>0.96229362</v>
      </c>
      <c r="AZ12" s="6">
        <v>0.97128734</v>
      </c>
      <c r="BA12" s="6">
        <v>0.96960354</v>
      </c>
      <c r="BB12" s="6">
        <v>0.02655167</v>
      </c>
      <c r="BC12" s="6">
        <v>0.03025869</v>
      </c>
      <c r="BD12" s="6">
        <v>0.02688692</v>
      </c>
      <c r="BE12" s="6">
        <v>0.03419582</v>
      </c>
      <c r="BF12" s="6">
        <v>0.03770638</v>
      </c>
      <c r="BG12" s="6">
        <v>0.02871266</v>
      </c>
      <c r="BH12" s="6">
        <v>0.03039646</v>
      </c>
      <c r="BI12" s="6">
        <v>0.21470859</v>
      </c>
      <c r="BJ12" s="6">
        <v>0.12366373</v>
      </c>
      <c r="BK12" s="6">
        <v>0.1409291</v>
      </c>
      <c r="BL12" s="6">
        <v>0.12522516</v>
      </c>
      <c r="BM12" s="6">
        <v>0.1592662</v>
      </c>
      <c r="BN12" s="6">
        <v>0.17561655</v>
      </c>
      <c r="BO12" s="6">
        <v>0.1337285</v>
      </c>
      <c r="BP12" s="6">
        <v>0.14157076</v>
      </c>
      <c r="BQ12" s="6">
        <v>0.05755801</v>
      </c>
      <c r="BR12" s="6">
        <v>0.04853848</v>
      </c>
      <c r="BS12" s="6">
        <v>0.0515421</v>
      </c>
      <c r="BT12" s="6">
        <v>0.04311927</v>
      </c>
      <c r="BU12" s="6">
        <v>0.04699339</v>
      </c>
      <c r="BV12" s="6">
        <v>0.09145097</v>
      </c>
      <c r="BW12" s="6">
        <v>0.07254389</v>
      </c>
      <c r="BX12" s="12">
        <v>11201</v>
      </c>
      <c r="BY12" s="13">
        <v>2302.66</v>
      </c>
      <c r="BZ12" s="12">
        <v>17165.98</v>
      </c>
      <c r="CA12" s="6">
        <v>4.86437424543788</v>
      </c>
      <c r="CB12" s="6">
        <v>0.652511537354698</v>
      </c>
      <c r="CC12" s="7">
        <v>167087869.6</v>
      </c>
      <c r="CD12" s="7">
        <f t="shared" si="0"/>
        <v>0.97336633038137</v>
      </c>
      <c r="CE12" s="8">
        <v>602.8</v>
      </c>
      <c r="CF12" s="8">
        <v>1820.7</v>
      </c>
      <c r="CG12" s="8">
        <v>2095.5</v>
      </c>
      <c r="CH12" s="8">
        <v>12882</v>
      </c>
      <c r="CI12" s="14">
        <v>0</v>
      </c>
      <c r="CJ12" s="14">
        <v>0</v>
      </c>
      <c r="CK12" s="14">
        <f t="shared" si="1"/>
        <v>0</v>
      </c>
      <c r="CL12">
        <f t="shared" si="2"/>
        <v>2.40850270516871</v>
      </c>
      <c r="CM12">
        <f t="shared" si="3"/>
        <v>0.59586247161255</v>
      </c>
      <c r="CN12" s="15">
        <v>11201.13</v>
      </c>
      <c r="CO12" s="15">
        <v>5875.52</v>
      </c>
      <c r="CP12" s="15">
        <v>717.08</v>
      </c>
      <c r="CQ12" s="15">
        <v>2126.5</v>
      </c>
      <c r="CR12" s="15">
        <v>415.37</v>
      </c>
      <c r="CS12" s="15">
        <v>399.07</v>
      </c>
      <c r="CT12" s="15">
        <v>509.04</v>
      </c>
      <c r="CU12" s="15">
        <v>744.28</v>
      </c>
      <c r="CV12" s="15">
        <v>45.01</v>
      </c>
      <c r="CW12" s="15">
        <v>1295.87</v>
      </c>
    </row>
    <row r="13" spans="1:101">
      <c r="A13" s="6">
        <v>2011</v>
      </c>
      <c r="B13" s="6" t="s">
        <v>100</v>
      </c>
      <c r="C13" s="6">
        <v>0.42802152</v>
      </c>
      <c r="D13" s="6">
        <v>0.070721</v>
      </c>
      <c r="E13" s="6">
        <v>0.017765</v>
      </c>
      <c r="F13" s="6">
        <v>0.031601</v>
      </c>
      <c r="G13" s="6">
        <v>0.01036</v>
      </c>
      <c r="H13" s="6">
        <v>0.010995</v>
      </c>
      <c r="I13" s="6">
        <v>0.065373</v>
      </c>
      <c r="J13" s="6">
        <v>0.033412</v>
      </c>
      <c r="K13" s="6">
        <v>0.50317177</v>
      </c>
      <c r="L13" s="6">
        <v>0.37951485</v>
      </c>
      <c r="M13" s="6">
        <v>0.44278227</v>
      </c>
      <c r="N13" s="6">
        <v>0.27773399</v>
      </c>
      <c r="O13" s="6">
        <v>0.29971276</v>
      </c>
      <c r="P13" s="6">
        <v>0.63835447</v>
      </c>
      <c r="Q13" s="6">
        <v>0.52716333</v>
      </c>
      <c r="R13" s="6">
        <v>217.69486</v>
      </c>
      <c r="S13" s="6">
        <v>0.00231136</v>
      </c>
      <c r="T13" s="6">
        <v>169.97573</v>
      </c>
      <c r="U13" s="6">
        <v>0.00223276</v>
      </c>
      <c r="V13" s="6">
        <v>197.11803</v>
      </c>
      <c r="W13" s="6">
        <v>0.00224628</v>
      </c>
      <c r="X13" s="6">
        <v>134.47093</v>
      </c>
      <c r="Y13" s="6">
        <v>0.00206538</v>
      </c>
      <c r="Z13" s="6">
        <v>134.86767</v>
      </c>
      <c r="AA13" s="6">
        <v>0.00222227</v>
      </c>
      <c r="AB13" s="6">
        <v>294.9318</v>
      </c>
      <c r="AC13" s="6">
        <v>0.00216441</v>
      </c>
      <c r="AD13" s="6">
        <v>243.86163</v>
      </c>
      <c r="AE13" s="6">
        <v>0.00216173</v>
      </c>
      <c r="AF13" s="6">
        <v>775</v>
      </c>
      <c r="AG13" s="6">
        <v>-0.01402978</v>
      </c>
      <c r="AH13" s="6">
        <v>-0.01362992</v>
      </c>
      <c r="AI13" s="6">
        <v>-0.01369889</v>
      </c>
      <c r="AJ13" s="6">
        <v>-0.01276911</v>
      </c>
      <c r="AK13" s="6">
        <v>-0.01357636</v>
      </c>
      <c r="AL13" s="6">
        <v>-0.01327999</v>
      </c>
      <c r="AM13" s="6">
        <v>-0.01326621</v>
      </c>
      <c r="AN13" s="6">
        <v>-6.4762184</v>
      </c>
      <c r="AO13" s="6">
        <v>-6.4515561</v>
      </c>
      <c r="AP13" s="6">
        <v>-6.4739881</v>
      </c>
      <c r="AQ13" s="6">
        <v>-6.4253629</v>
      </c>
      <c r="AR13" s="6">
        <v>-6.4020076</v>
      </c>
      <c r="AS13" s="6">
        <v>-6.4618417</v>
      </c>
      <c r="AT13" s="6">
        <v>-6.4506396</v>
      </c>
      <c r="AU13" s="6">
        <v>0.97344833</v>
      </c>
      <c r="AV13" s="6">
        <v>0.96974131</v>
      </c>
      <c r="AW13" s="6">
        <v>0.97311308</v>
      </c>
      <c r="AX13" s="6">
        <v>0.96580418</v>
      </c>
      <c r="AY13" s="6">
        <v>0.96229362</v>
      </c>
      <c r="AZ13" s="6">
        <v>0.97128734</v>
      </c>
      <c r="BA13" s="6">
        <v>0.96960354</v>
      </c>
      <c r="BB13" s="6">
        <v>0.02655167</v>
      </c>
      <c r="BC13" s="6">
        <v>0.03025869</v>
      </c>
      <c r="BD13" s="6">
        <v>0.02688692</v>
      </c>
      <c r="BE13" s="6">
        <v>0.03419582</v>
      </c>
      <c r="BF13" s="6">
        <v>0.03770638</v>
      </c>
      <c r="BG13" s="6">
        <v>0.02871266</v>
      </c>
      <c r="BH13" s="6">
        <v>0.03039646</v>
      </c>
      <c r="BI13" s="6">
        <v>0.21470859</v>
      </c>
      <c r="BJ13" s="6">
        <v>0.12366373</v>
      </c>
      <c r="BK13" s="6">
        <v>0.1409291</v>
      </c>
      <c r="BL13" s="6">
        <v>0.12522516</v>
      </c>
      <c r="BM13" s="6">
        <v>0.1592662</v>
      </c>
      <c r="BN13" s="6">
        <v>0.17561655</v>
      </c>
      <c r="BO13" s="6">
        <v>0.1337285</v>
      </c>
      <c r="BP13" s="6">
        <v>0.14157076</v>
      </c>
      <c r="BQ13" s="6">
        <v>0.0622241</v>
      </c>
      <c r="BR13" s="6">
        <v>0.05348469</v>
      </c>
      <c r="BS13" s="6">
        <v>0.05544748</v>
      </c>
      <c r="BT13" s="6">
        <v>0.04423364</v>
      </c>
      <c r="BU13" s="6">
        <v>0.05263452</v>
      </c>
      <c r="BV13" s="6">
        <v>0.08536618</v>
      </c>
      <c r="BW13" s="6">
        <v>0.07463092</v>
      </c>
      <c r="BX13" s="12">
        <v>11270</v>
      </c>
      <c r="BY13" s="13">
        <v>2356</v>
      </c>
      <c r="BZ13" s="12">
        <v>19195.69</v>
      </c>
      <c r="CA13" s="6">
        <v>4.78353140916808</v>
      </c>
      <c r="CB13" s="6">
        <v>0.587110960845898</v>
      </c>
      <c r="CC13" s="7">
        <v>174000023.1</v>
      </c>
      <c r="CD13" s="7">
        <f t="shared" si="0"/>
        <v>0.906453600261309</v>
      </c>
      <c r="CE13" s="8">
        <v>699.6</v>
      </c>
      <c r="CF13" s="8">
        <v>2258.9</v>
      </c>
      <c r="CG13" s="8">
        <v>2657.1</v>
      </c>
      <c r="CH13" s="8">
        <v>16024</v>
      </c>
      <c r="CI13" s="14">
        <v>0</v>
      </c>
      <c r="CJ13" s="14">
        <v>0</v>
      </c>
      <c r="CK13" s="14">
        <f t="shared" si="1"/>
        <v>0</v>
      </c>
      <c r="CL13">
        <f t="shared" si="2"/>
        <v>2.18035126729488</v>
      </c>
      <c r="CM13">
        <f t="shared" si="3"/>
        <v>0.584262584722906</v>
      </c>
      <c r="CN13" s="15">
        <v>11270</v>
      </c>
      <c r="CO13" s="15">
        <v>6142</v>
      </c>
      <c r="CP13" s="15">
        <v>714.15</v>
      </c>
      <c r="CQ13" s="15">
        <v>2134.69</v>
      </c>
      <c r="CR13" s="15">
        <v>472.87</v>
      </c>
      <c r="CS13" s="15">
        <v>400.5</v>
      </c>
      <c r="CT13" s="15">
        <v>532.96</v>
      </c>
      <c r="CU13" s="15">
        <v>675.04</v>
      </c>
      <c r="CV13" s="15">
        <v>55.43</v>
      </c>
      <c r="CW13" s="15">
        <v>1340</v>
      </c>
    </row>
    <row r="14" spans="1:101">
      <c r="A14" s="6">
        <v>2012</v>
      </c>
      <c r="B14" s="6" t="s">
        <v>100</v>
      </c>
      <c r="C14" s="6">
        <v>0.4376176</v>
      </c>
      <c r="D14" s="6">
        <v>0.067505</v>
      </c>
      <c r="E14" s="6">
        <v>0.017113</v>
      </c>
      <c r="F14" s="6">
        <v>0.030404</v>
      </c>
      <c r="G14" s="6">
        <v>0.009704</v>
      </c>
      <c r="H14" s="6">
        <v>0.010283</v>
      </c>
      <c r="I14" s="6">
        <v>0.074438</v>
      </c>
      <c r="J14" s="6">
        <v>0.037593</v>
      </c>
      <c r="K14" s="6">
        <v>0.47794517</v>
      </c>
      <c r="L14" s="6">
        <v>0.36411111</v>
      </c>
      <c r="M14" s="6">
        <v>0.42438213</v>
      </c>
      <c r="N14" s="6">
        <v>0.25837247</v>
      </c>
      <c r="O14" s="6">
        <v>0.27812651</v>
      </c>
      <c r="P14" s="6">
        <v>0.73932721</v>
      </c>
      <c r="Q14" s="6">
        <v>0.60177122</v>
      </c>
      <c r="R14" s="6">
        <v>217.69486</v>
      </c>
      <c r="S14" s="6">
        <v>0.00219548</v>
      </c>
      <c r="T14" s="6">
        <v>169.97573</v>
      </c>
      <c r="U14" s="6">
        <v>0.00214214</v>
      </c>
      <c r="V14" s="6">
        <v>197.11803</v>
      </c>
      <c r="W14" s="6">
        <v>0.00215293</v>
      </c>
      <c r="X14" s="6">
        <v>134.47093</v>
      </c>
      <c r="Y14" s="6">
        <v>0.0019214</v>
      </c>
      <c r="Z14" s="6">
        <v>134.86767</v>
      </c>
      <c r="AA14" s="6">
        <v>0.00206222</v>
      </c>
      <c r="AB14" s="6">
        <v>294.9318</v>
      </c>
      <c r="AC14" s="6">
        <v>0.00250677</v>
      </c>
      <c r="AD14" s="6">
        <v>243.86163</v>
      </c>
      <c r="AE14" s="6">
        <v>0.00246767</v>
      </c>
      <c r="AF14" s="6">
        <v>775</v>
      </c>
      <c r="AG14" s="6">
        <v>-0.01343932</v>
      </c>
      <c r="AH14" s="6">
        <v>-0.01316546</v>
      </c>
      <c r="AI14" s="6">
        <v>-0.013221</v>
      </c>
      <c r="AJ14" s="6">
        <v>-0.01201778</v>
      </c>
      <c r="AK14" s="6">
        <v>-0.0127527</v>
      </c>
      <c r="AL14" s="6">
        <v>-0.01501246</v>
      </c>
      <c r="AM14" s="6">
        <v>-0.0148171</v>
      </c>
      <c r="AN14" s="6">
        <v>-6.4762184</v>
      </c>
      <c r="AO14" s="6">
        <v>-6.4515561</v>
      </c>
      <c r="AP14" s="6">
        <v>-6.4739881</v>
      </c>
      <c r="AQ14" s="6">
        <v>-6.4253629</v>
      </c>
      <c r="AR14" s="6">
        <v>-6.4020076</v>
      </c>
      <c r="AS14" s="6">
        <v>-6.4618417</v>
      </c>
      <c r="AT14" s="6">
        <v>-6.4506396</v>
      </c>
      <c r="AU14" s="6">
        <v>0.97344833</v>
      </c>
      <c r="AV14" s="6">
        <v>0.96974131</v>
      </c>
      <c r="AW14" s="6">
        <v>0.97311308</v>
      </c>
      <c r="AX14" s="6">
        <v>0.96580418</v>
      </c>
      <c r="AY14" s="6">
        <v>0.96229362</v>
      </c>
      <c r="AZ14" s="6">
        <v>0.97128734</v>
      </c>
      <c r="BA14" s="6">
        <v>0.96960354</v>
      </c>
      <c r="BB14" s="6">
        <v>0.02655167</v>
      </c>
      <c r="BC14" s="6">
        <v>0.03025869</v>
      </c>
      <c r="BD14" s="6">
        <v>0.02688692</v>
      </c>
      <c r="BE14" s="6">
        <v>0.03419582</v>
      </c>
      <c r="BF14" s="6">
        <v>0.03770638</v>
      </c>
      <c r="BG14" s="6">
        <v>0.02871266</v>
      </c>
      <c r="BH14" s="6">
        <v>0.03039646</v>
      </c>
      <c r="BI14" s="6">
        <v>0.21470859</v>
      </c>
      <c r="BJ14" s="6">
        <v>0.12366373</v>
      </c>
      <c r="BK14" s="6">
        <v>0.1409291</v>
      </c>
      <c r="BL14" s="6">
        <v>0.12522516</v>
      </c>
      <c r="BM14" s="6">
        <v>0.1592662</v>
      </c>
      <c r="BN14" s="6">
        <v>0.17561655</v>
      </c>
      <c r="BO14" s="6">
        <v>0.1337285</v>
      </c>
      <c r="BP14" s="6">
        <v>0.14157076</v>
      </c>
      <c r="BQ14" s="6">
        <v>0.05910448</v>
      </c>
      <c r="BR14" s="6">
        <v>0.05131385</v>
      </c>
      <c r="BS14" s="6">
        <v>0.05314332</v>
      </c>
      <c r="BT14" s="6">
        <v>0.04115</v>
      </c>
      <c r="BU14" s="6">
        <v>0.04884362</v>
      </c>
      <c r="BV14" s="6">
        <v>0.09886912</v>
      </c>
      <c r="BW14" s="6">
        <v>0.08519321</v>
      </c>
      <c r="BX14" s="12">
        <v>11362</v>
      </c>
      <c r="BY14" s="13">
        <v>2399</v>
      </c>
      <c r="BZ14" s="12">
        <v>20181.72</v>
      </c>
      <c r="CA14" s="6">
        <v>4.73614005835765</v>
      </c>
      <c r="CB14" s="6">
        <v>0.56298472082657</v>
      </c>
      <c r="CC14" s="7">
        <v>178808937.8</v>
      </c>
      <c r="CD14" s="7">
        <f t="shared" si="0"/>
        <v>0.885994542586063</v>
      </c>
      <c r="CE14" s="8">
        <v>862.7</v>
      </c>
      <c r="CF14" s="8">
        <v>2716.8</v>
      </c>
      <c r="CG14" s="8">
        <v>3162.8</v>
      </c>
      <c r="CH14" s="8">
        <v>18947</v>
      </c>
      <c r="CI14" s="14">
        <v>0</v>
      </c>
      <c r="CJ14" s="14">
        <v>0</v>
      </c>
      <c r="CK14" s="14">
        <f t="shared" si="1"/>
        <v>0</v>
      </c>
      <c r="CL14">
        <f t="shared" si="2"/>
        <v>2.01609935715007</v>
      </c>
      <c r="CM14">
        <f t="shared" si="3"/>
        <v>0.560540238533437</v>
      </c>
      <c r="CN14" s="15">
        <v>11362.15</v>
      </c>
      <c r="CO14" s="15">
        <v>5703</v>
      </c>
      <c r="CP14" s="15">
        <v>673.17</v>
      </c>
      <c r="CQ14" s="15">
        <v>2210.55</v>
      </c>
      <c r="CR14" s="15">
        <v>517.35</v>
      </c>
      <c r="CS14" s="15">
        <v>402.74</v>
      </c>
      <c r="CT14" s="15">
        <v>568.99</v>
      </c>
      <c r="CU14" s="15">
        <v>640.15</v>
      </c>
      <c r="CV14" s="15">
        <v>64.38</v>
      </c>
      <c r="CW14" s="15">
        <v>1353.45</v>
      </c>
    </row>
    <row r="15" spans="1:101">
      <c r="A15" s="6">
        <v>2013</v>
      </c>
      <c r="B15" s="6" t="s">
        <v>100</v>
      </c>
      <c r="C15" s="6">
        <v>0.48070954</v>
      </c>
      <c r="D15" s="6">
        <v>0.071562</v>
      </c>
      <c r="E15" s="6">
        <v>0.018186</v>
      </c>
      <c r="F15" s="6">
        <v>0.032347</v>
      </c>
      <c r="G15" s="6">
        <v>0.011163</v>
      </c>
      <c r="H15" s="6">
        <v>0.009866</v>
      </c>
      <c r="I15" s="6">
        <v>0.083301</v>
      </c>
      <c r="J15" s="6">
        <v>0.043135</v>
      </c>
      <c r="K15" s="6">
        <v>0.50976704</v>
      </c>
      <c r="L15" s="6">
        <v>0.38946219</v>
      </c>
      <c r="M15" s="6">
        <v>0.4542471</v>
      </c>
      <c r="N15" s="6">
        <v>0.30149246</v>
      </c>
      <c r="O15" s="6">
        <v>0.26547962</v>
      </c>
      <c r="P15" s="6">
        <v>0.83803893</v>
      </c>
      <c r="Q15" s="6">
        <v>0.70064088</v>
      </c>
      <c r="R15" s="6">
        <v>217.69486</v>
      </c>
      <c r="S15" s="6">
        <v>0.00234166</v>
      </c>
      <c r="T15" s="6">
        <v>169.97573</v>
      </c>
      <c r="U15" s="6">
        <v>0.00229128</v>
      </c>
      <c r="V15" s="6">
        <v>197.11803</v>
      </c>
      <c r="W15" s="6">
        <v>0.00230444</v>
      </c>
      <c r="X15" s="6">
        <v>134.47093</v>
      </c>
      <c r="Y15" s="6">
        <v>0.00224206</v>
      </c>
      <c r="Z15" s="6">
        <v>134.86767</v>
      </c>
      <c r="AA15" s="6">
        <v>0.00196845</v>
      </c>
      <c r="AB15" s="6">
        <v>294.9318</v>
      </c>
      <c r="AC15" s="6">
        <v>0.00284147</v>
      </c>
      <c r="AD15" s="6">
        <v>243.86163</v>
      </c>
      <c r="AE15" s="6">
        <v>0.00287311</v>
      </c>
      <c r="AF15" s="6">
        <v>775</v>
      </c>
      <c r="AG15" s="6">
        <v>-0.01418318</v>
      </c>
      <c r="AH15" s="6">
        <v>-0.01392788</v>
      </c>
      <c r="AI15" s="6">
        <v>-0.01399469</v>
      </c>
      <c r="AJ15" s="6">
        <v>-0.0136774</v>
      </c>
      <c r="AK15" s="6">
        <v>-0.01226442</v>
      </c>
      <c r="AL15" s="6">
        <v>-0.01666076</v>
      </c>
      <c r="AM15" s="6">
        <v>-0.01681447</v>
      </c>
      <c r="AN15" s="6">
        <v>-6.4762184</v>
      </c>
      <c r="AO15" s="6">
        <v>-6.4515561</v>
      </c>
      <c r="AP15" s="6">
        <v>-6.4739881</v>
      </c>
      <c r="AQ15" s="6">
        <v>-6.4253629</v>
      </c>
      <c r="AR15" s="6">
        <v>-6.4020076</v>
      </c>
      <c r="AS15" s="6">
        <v>-6.4618417</v>
      </c>
      <c r="AT15" s="6">
        <v>-6.4506396</v>
      </c>
      <c r="AU15" s="6">
        <v>0.97344833</v>
      </c>
      <c r="AV15" s="6">
        <v>0.96974131</v>
      </c>
      <c r="AW15" s="6">
        <v>0.97311308</v>
      </c>
      <c r="AX15" s="6">
        <v>0.96580418</v>
      </c>
      <c r="AY15" s="6">
        <v>0.96229362</v>
      </c>
      <c r="AZ15" s="6">
        <v>0.97128734</v>
      </c>
      <c r="BA15" s="6">
        <v>0.96960354</v>
      </c>
      <c r="BB15" s="6">
        <v>0.02655167</v>
      </c>
      <c r="BC15" s="6">
        <v>0.03025869</v>
      </c>
      <c r="BD15" s="6">
        <v>0.02688692</v>
      </c>
      <c r="BE15" s="6">
        <v>0.03419582</v>
      </c>
      <c r="BF15" s="6">
        <v>0.03770638</v>
      </c>
      <c r="BG15" s="6">
        <v>0.02871266</v>
      </c>
      <c r="BH15" s="6">
        <v>0.03039646</v>
      </c>
      <c r="BI15" s="6">
        <v>0.21470859</v>
      </c>
      <c r="BJ15" s="6">
        <v>0.12366373</v>
      </c>
      <c r="BK15" s="6">
        <v>0.1409291</v>
      </c>
      <c r="BL15" s="6">
        <v>0.12522516</v>
      </c>
      <c r="BM15" s="6">
        <v>0.1592662</v>
      </c>
      <c r="BN15" s="6">
        <v>0.17561655</v>
      </c>
      <c r="BO15" s="6">
        <v>0.1337285</v>
      </c>
      <c r="BP15" s="6">
        <v>0.14157076</v>
      </c>
      <c r="BQ15" s="6">
        <v>0.0630397</v>
      </c>
      <c r="BR15" s="6">
        <v>0.05488655</v>
      </c>
      <c r="BS15" s="6">
        <v>0.05688317</v>
      </c>
      <c r="BT15" s="6">
        <v>0.04801756</v>
      </c>
      <c r="BU15" s="6">
        <v>0.04662261</v>
      </c>
      <c r="BV15" s="6">
        <v>0.11206969</v>
      </c>
      <c r="BW15" s="6">
        <v>0.09919026</v>
      </c>
      <c r="BX15" s="12">
        <v>11346</v>
      </c>
      <c r="BY15" s="13">
        <v>2448</v>
      </c>
      <c r="BZ15" s="12">
        <v>21818.15</v>
      </c>
      <c r="CA15" s="6">
        <v>4.63480392156863</v>
      </c>
      <c r="CB15" s="6">
        <v>0.520025758370898</v>
      </c>
      <c r="CC15" s="7">
        <v>181461097.6</v>
      </c>
      <c r="CD15" s="7">
        <f t="shared" si="0"/>
        <v>0.831697910226119</v>
      </c>
      <c r="CE15" s="8">
        <v>999.3</v>
      </c>
      <c r="CF15" s="8">
        <v>3171</v>
      </c>
      <c r="CG15" s="8">
        <v>3802.7</v>
      </c>
      <c r="CH15" s="8">
        <v>22089</v>
      </c>
      <c r="CI15" s="14">
        <v>0</v>
      </c>
      <c r="CJ15" s="14">
        <v>0</v>
      </c>
      <c r="CK15" s="14">
        <f t="shared" si="1"/>
        <v>0</v>
      </c>
      <c r="CL15">
        <f t="shared" si="2"/>
        <v>1.91398219724656</v>
      </c>
      <c r="CM15">
        <f t="shared" si="3"/>
        <v>0.565462044828529</v>
      </c>
      <c r="CN15" s="15">
        <v>11346</v>
      </c>
      <c r="CO15" s="15">
        <v>5681.19</v>
      </c>
      <c r="CP15" s="15">
        <v>640.3</v>
      </c>
      <c r="CQ15" s="15">
        <v>2611.76</v>
      </c>
      <c r="CR15" s="15">
        <v>532.55</v>
      </c>
      <c r="CS15" s="15">
        <v>437.48</v>
      </c>
      <c r="CT15" s="15">
        <v>555.84</v>
      </c>
      <c r="CU15" s="15">
        <v>603.14</v>
      </c>
      <c r="CV15" s="15">
        <v>72.89</v>
      </c>
      <c r="CW15" s="15">
        <v>1410.6</v>
      </c>
    </row>
    <row r="16" spans="1:101">
      <c r="A16" s="6">
        <v>2014</v>
      </c>
      <c r="B16" s="6" t="s">
        <v>100</v>
      </c>
      <c r="C16" s="6">
        <v>0.51026031</v>
      </c>
      <c r="D16" s="6">
        <v>0.08363</v>
      </c>
      <c r="E16" s="6">
        <v>0.020383</v>
      </c>
      <c r="F16" s="6">
        <v>0.037937</v>
      </c>
      <c r="G16" s="6">
        <v>0.012392</v>
      </c>
      <c r="H16" s="6">
        <v>0.012918</v>
      </c>
      <c r="I16" s="6">
        <v>0.081305</v>
      </c>
      <c r="J16" s="6">
        <v>0.035496</v>
      </c>
      <c r="K16" s="6">
        <v>0.60443337</v>
      </c>
      <c r="L16" s="6">
        <v>0.44141287</v>
      </c>
      <c r="M16" s="6">
        <v>0.54016076</v>
      </c>
      <c r="N16" s="6">
        <v>0.33782758</v>
      </c>
      <c r="O16" s="6">
        <v>0.35797384</v>
      </c>
      <c r="P16" s="6">
        <v>0.81581369</v>
      </c>
      <c r="Q16" s="6">
        <v>0.56435387</v>
      </c>
      <c r="R16" s="6">
        <v>217.69486</v>
      </c>
      <c r="S16" s="6">
        <v>0.00277652</v>
      </c>
      <c r="T16" s="6">
        <v>169.97573</v>
      </c>
      <c r="U16" s="6">
        <v>0.00259692</v>
      </c>
      <c r="V16" s="6">
        <v>197.11803</v>
      </c>
      <c r="W16" s="6">
        <v>0.00274029</v>
      </c>
      <c r="X16" s="6">
        <v>134.47093</v>
      </c>
      <c r="Y16" s="6">
        <v>0.00251227</v>
      </c>
      <c r="Z16" s="6">
        <v>134.86767</v>
      </c>
      <c r="AA16" s="6">
        <v>0.00265426</v>
      </c>
      <c r="AB16" s="6">
        <v>294.9318</v>
      </c>
      <c r="AC16" s="6">
        <v>0.00276611</v>
      </c>
      <c r="AD16" s="6">
        <v>243.86163</v>
      </c>
      <c r="AE16" s="6">
        <v>0.00231424</v>
      </c>
      <c r="AF16" s="6">
        <v>775</v>
      </c>
      <c r="AG16" s="6">
        <v>-0.01634413</v>
      </c>
      <c r="AH16" s="6">
        <v>-0.01546056</v>
      </c>
      <c r="AI16" s="6">
        <v>-0.01616687</v>
      </c>
      <c r="AJ16" s="6">
        <v>-0.01503989</v>
      </c>
      <c r="AK16" s="6">
        <v>-0.01574398</v>
      </c>
      <c r="AL16" s="6">
        <v>-0.01629325</v>
      </c>
      <c r="AM16" s="6">
        <v>-0.01404436</v>
      </c>
      <c r="AN16" s="6">
        <v>-6.4762184</v>
      </c>
      <c r="AO16" s="6">
        <v>-6.4515561</v>
      </c>
      <c r="AP16" s="6">
        <v>-6.4739881</v>
      </c>
      <c r="AQ16" s="6">
        <v>-6.4253629</v>
      </c>
      <c r="AR16" s="6">
        <v>-6.4020076</v>
      </c>
      <c r="AS16" s="6">
        <v>-6.4618417</v>
      </c>
      <c r="AT16" s="6">
        <v>-6.4506396</v>
      </c>
      <c r="AU16" s="6">
        <v>0.97344833</v>
      </c>
      <c r="AV16" s="6">
        <v>0.96974131</v>
      </c>
      <c r="AW16" s="6">
        <v>0.97311308</v>
      </c>
      <c r="AX16" s="6">
        <v>0.96580418</v>
      </c>
      <c r="AY16" s="6">
        <v>0.96229362</v>
      </c>
      <c r="AZ16" s="6">
        <v>0.97128734</v>
      </c>
      <c r="BA16" s="6">
        <v>0.96960354</v>
      </c>
      <c r="BB16" s="6">
        <v>0.02655167</v>
      </c>
      <c r="BC16" s="6">
        <v>0.03025869</v>
      </c>
      <c r="BD16" s="6">
        <v>0.02688692</v>
      </c>
      <c r="BE16" s="6">
        <v>0.03419582</v>
      </c>
      <c r="BF16" s="6">
        <v>0.03770638</v>
      </c>
      <c r="BG16" s="6">
        <v>0.02871266</v>
      </c>
      <c r="BH16" s="6">
        <v>0.03039646</v>
      </c>
      <c r="BI16" s="6">
        <v>0.21470859</v>
      </c>
      <c r="BJ16" s="6">
        <v>0.12366373</v>
      </c>
      <c r="BK16" s="6">
        <v>0.1409291</v>
      </c>
      <c r="BL16" s="6">
        <v>0.12522516</v>
      </c>
      <c r="BM16" s="6">
        <v>0.1592662</v>
      </c>
      <c r="BN16" s="6">
        <v>0.17561655</v>
      </c>
      <c r="BO16" s="6">
        <v>0.1337285</v>
      </c>
      <c r="BP16" s="6">
        <v>0.14157076</v>
      </c>
      <c r="BQ16" s="6">
        <v>0.07474649</v>
      </c>
      <c r="BR16" s="6">
        <v>0.06220792</v>
      </c>
      <c r="BS16" s="6">
        <v>0.06764172</v>
      </c>
      <c r="BT16" s="6">
        <v>0.05380452</v>
      </c>
      <c r="BU16" s="6">
        <v>0.06286613</v>
      </c>
      <c r="BV16" s="6">
        <v>0.10909754</v>
      </c>
      <c r="BW16" s="6">
        <v>0.07989601</v>
      </c>
      <c r="BX16" s="12">
        <v>11085</v>
      </c>
      <c r="BY16" s="13">
        <v>2467</v>
      </c>
      <c r="BZ16" s="12">
        <v>23567.7</v>
      </c>
      <c r="CA16" s="6">
        <v>4.49331171463316</v>
      </c>
      <c r="CB16" s="6">
        <v>0.470347127636553</v>
      </c>
      <c r="CC16" s="7">
        <v>185708868.6</v>
      </c>
      <c r="CD16" s="7">
        <f t="shared" si="0"/>
        <v>0.787980450362148</v>
      </c>
      <c r="CE16" s="8">
        <v>1281.5</v>
      </c>
      <c r="CF16" s="8">
        <v>3582.4</v>
      </c>
      <c r="CG16" s="8">
        <v>4309.3</v>
      </c>
      <c r="CH16" s="8">
        <v>25101</v>
      </c>
      <c r="CI16" s="14">
        <v>0</v>
      </c>
      <c r="CJ16" s="14">
        <v>0</v>
      </c>
      <c r="CK16" s="14">
        <f t="shared" si="1"/>
        <v>0</v>
      </c>
      <c r="CL16">
        <f t="shared" si="2"/>
        <v>1.79640226266579</v>
      </c>
      <c r="CM16">
        <f t="shared" si="3"/>
        <v>0.561356347217679</v>
      </c>
      <c r="CN16" s="15">
        <v>11084.63</v>
      </c>
      <c r="CO16" s="15">
        <v>4895.78</v>
      </c>
      <c r="CP16" s="15">
        <v>654.84</v>
      </c>
      <c r="CQ16" s="15">
        <v>2242.07</v>
      </c>
      <c r="CR16" s="15">
        <v>577.03</v>
      </c>
      <c r="CS16" s="15">
        <v>450.72</v>
      </c>
      <c r="CT16" s="15">
        <v>548.41</v>
      </c>
      <c r="CU16" s="15">
        <v>556.15</v>
      </c>
      <c r="CV16" s="15">
        <v>72.43</v>
      </c>
      <c r="CW16" s="15">
        <v>1369.03</v>
      </c>
    </row>
    <row r="17" spans="1:101">
      <c r="A17" s="6">
        <v>2015</v>
      </c>
      <c r="B17" s="6" t="s">
        <v>100</v>
      </c>
      <c r="C17" s="6">
        <v>0.49544013</v>
      </c>
      <c r="D17" s="6">
        <v>0.079148</v>
      </c>
      <c r="E17" s="6">
        <v>0.019746</v>
      </c>
      <c r="F17" s="6">
        <v>0.035503</v>
      </c>
      <c r="G17" s="6">
        <v>0.012079</v>
      </c>
      <c r="H17" s="6">
        <v>0.01182</v>
      </c>
      <c r="I17" s="6">
        <v>0.077645</v>
      </c>
      <c r="J17" s="6">
        <v>0.0391</v>
      </c>
      <c r="K17" s="6">
        <v>0.5692757</v>
      </c>
      <c r="L17" s="6">
        <v>0.42634497</v>
      </c>
      <c r="M17" s="6">
        <v>0.50274797</v>
      </c>
      <c r="N17" s="6">
        <v>0.32857215</v>
      </c>
      <c r="O17" s="6">
        <v>0.3247163</v>
      </c>
      <c r="P17" s="6">
        <v>0.77504465</v>
      </c>
      <c r="Q17" s="6">
        <v>0.62865183</v>
      </c>
      <c r="R17" s="6">
        <v>217.69486</v>
      </c>
      <c r="S17" s="6">
        <v>0.00261502</v>
      </c>
      <c r="T17" s="6">
        <v>169.97573</v>
      </c>
      <c r="U17" s="6">
        <v>0.00250827</v>
      </c>
      <c r="V17" s="6">
        <v>197.11803</v>
      </c>
      <c r="W17" s="6">
        <v>0.00255049</v>
      </c>
      <c r="X17" s="6">
        <v>134.47093</v>
      </c>
      <c r="Y17" s="6">
        <v>0.00244344</v>
      </c>
      <c r="Z17" s="6">
        <v>134.86767</v>
      </c>
      <c r="AA17" s="6">
        <v>0.00240767</v>
      </c>
      <c r="AB17" s="6">
        <v>294.9318</v>
      </c>
      <c r="AC17" s="6">
        <v>0.00262788</v>
      </c>
      <c r="AD17" s="6">
        <v>243.86163</v>
      </c>
      <c r="AE17" s="6">
        <v>0.0025779</v>
      </c>
      <c r="AF17" s="6">
        <v>775</v>
      </c>
      <c r="AG17" s="6">
        <v>-0.01555016</v>
      </c>
      <c r="AH17" s="6">
        <v>-0.01501993</v>
      </c>
      <c r="AI17" s="6">
        <v>-0.01523018</v>
      </c>
      <c r="AJ17" s="6">
        <v>-0.01469572</v>
      </c>
      <c r="AK17" s="6">
        <v>-0.01451605</v>
      </c>
      <c r="AL17" s="6">
        <v>-0.01561374</v>
      </c>
      <c r="AM17" s="6">
        <v>-0.01536631</v>
      </c>
      <c r="AN17" s="6">
        <v>-6.4762184</v>
      </c>
      <c r="AO17" s="6">
        <v>-6.4515561</v>
      </c>
      <c r="AP17" s="6">
        <v>-6.4739881</v>
      </c>
      <c r="AQ17" s="6">
        <v>-6.4253629</v>
      </c>
      <c r="AR17" s="6">
        <v>-6.4020076</v>
      </c>
      <c r="AS17" s="6">
        <v>-6.4618417</v>
      </c>
      <c r="AT17" s="6">
        <v>-6.4506396</v>
      </c>
      <c r="AU17" s="6">
        <v>0.97344833</v>
      </c>
      <c r="AV17" s="6">
        <v>0.96974131</v>
      </c>
      <c r="AW17" s="6">
        <v>0.97311308</v>
      </c>
      <c r="AX17" s="6">
        <v>0.96580418</v>
      </c>
      <c r="AY17" s="6">
        <v>0.96229362</v>
      </c>
      <c r="AZ17" s="6">
        <v>0.97128734</v>
      </c>
      <c r="BA17" s="6">
        <v>0.96960354</v>
      </c>
      <c r="BB17" s="6">
        <v>0.02655167</v>
      </c>
      <c r="BC17" s="6">
        <v>0.03025869</v>
      </c>
      <c r="BD17" s="6">
        <v>0.02688692</v>
      </c>
      <c r="BE17" s="6">
        <v>0.03419582</v>
      </c>
      <c r="BF17" s="6">
        <v>0.03770638</v>
      </c>
      <c r="BG17" s="6">
        <v>0.02871266</v>
      </c>
      <c r="BH17" s="6">
        <v>0.03039646</v>
      </c>
      <c r="BI17" s="6">
        <v>0.21470859</v>
      </c>
      <c r="BJ17" s="6">
        <v>0.12366373</v>
      </c>
      <c r="BK17" s="6">
        <v>0.1409291</v>
      </c>
      <c r="BL17" s="6">
        <v>0.12522516</v>
      </c>
      <c r="BM17" s="6">
        <v>0.1592662</v>
      </c>
      <c r="BN17" s="6">
        <v>0.17561655</v>
      </c>
      <c r="BO17" s="6">
        <v>0.1337285</v>
      </c>
      <c r="BP17" s="6">
        <v>0.14157076</v>
      </c>
      <c r="BQ17" s="6">
        <v>0.07039876</v>
      </c>
      <c r="BR17" s="6">
        <v>0.06008441</v>
      </c>
      <c r="BS17" s="6">
        <v>0.0629567</v>
      </c>
      <c r="BT17" s="6">
        <v>0.05233044</v>
      </c>
      <c r="BU17" s="6">
        <v>0.05702556</v>
      </c>
      <c r="BV17" s="6">
        <v>0.10364556</v>
      </c>
      <c r="BW17" s="6">
        <v>0.08899872</v>
      </c>
      <c r="BX17" s="12">
        <v>10931</v>
      </c>
      <c r="BY17" s="13">
        <v>2458</v>
      </c>
      <c r="BZ17" s="12">
        <v>25123.45</v>
      </c>
      <c r="CA17" s="6">
        <v>4.44711147274207</v>
      </c>
      <c r="CB17" s="6">
        <v>0.435091518083703</v>
      </c>
      <c r="CC17" s="7">
        <v>193623151.9</v>
      </c>
      <c r="CD17" s="7">
        <f t="shared" si="0"/>
        <v>0.770686955414165</v>
      </c>
      <c r="CE17" s="8">
        <v>1642</v>
      </c>
      <c r="CF17" s="8">
        <v>4026.7</v>
      </c>
      <c r="CG17" s="8">
        <v>4872.3</v>
      </c>
      <c r="CH17" s="8">
        <v>28547</v>
      </c>
      <c r="CI17" s="14">
        <v>0</v>
      </c>
      <c r="CJ17" s="14">
        <v>0</v>
      </c>
      <c r="CK17" s="14">
        <f t="shared" si="1"/>
        <v>0</v>
      </c>
      <c r="CL17">
        <f t="shared" si="2"/>
        <v>1.71577514742415</v>
      </c>
      <c r="CM17">
        <f t="shared" si="3"/>
        <v>0.550822870600976</v>
      </c>
      <c r="CN17" s="15">
        <v>10931</v>
      </c>
      <c r="CO17" s="15">
        <v>4728.13</v>
      </c>
      <c r="CP17" s="15">
        <v>630.75</v>
      </c>
      <c r="CQ17" s="15">
        <v>2526.11</v>
      </c>
      <c r="CR17" s="15">
        <v>467.04</v>
      </c>
      <c r="CS17" s="15">
        <v>511.45</v>
      </c>
      <c r="CT17" s="15">
        <v>448.87</v>
      </c>
      <c r="CU17" s="15">
        <v>539.72</v>
      </c>
      <c r="CV17" s="15">
        <v>77.41</v>
      </c>
      <c r="CW17" s="15">
        <v>1406</v>
      </c>
    </row>
    <row r="18" spans="1:101">
      <c r="A18" s="6">
        <v>2016</v>
      </c>
      <c r="B18" s="6" t="s">
        <v>100</v>
      </c>
      <c r="C18" s="6">
        <v>0.51740295</v>
      </c>
      <c r="D18" s="6">
        <v>0.080308</v>
      </c>
      <c r="E18" s="6">
        <v>0.02044</v>
      </c>
      <c r="F18" s="6">
        <v>0.036627</v>
      </c>
      <c r="G18" s="6">
        <v>0.011968</v>
      </c>
      <c r="H18" s="6">
        <v>0.011273</v>
      </c>
      <c r="I18" s="6">
        <v>0.082729</v>
      </c>
      <c r="J18" s="6">
        <v>0.043941</v>
      </c>
      <c r="K18" s="6">
        <v>0.57837099</v>
      </c>
      <c r="L18" s="6">
        <v>0.44275253</v>
      </c>
      <c r="M18" s="6">
        <v>0.52002945</v>
      </c>
      <c r="N18" s="6">
        <v>0.32528172</v>
      </c>
      <c r="O18" s="6">
        <v>0.30812312</v>
      </c>
      <c r="P18" s="6">
        <v>0.83166595</v>
      </c>
      <c r="Q18" s="6">
        <v>0.71502481</v>
      </c>
      <c r="R18" s="6">
        <v>217.69486</v>
      </c>
      <c r="S18" s="6">
        <v>0.0026568</v>
      </c>
      <c r="T18" s="6">
        <v>169.97573</v>
      </c>
      <c r="U18" s="6">
        <v>0.0026048</v>
      </c>
      <c r="V18" s="6">
        <v>197.11803</v>
      </c>
      <c r="W18" s="6">
        <v>0.00263816</v>
      </c>
      <c r="X18" s="6">
        <v>134.47093</v>
      </c>
      <c r="Y18" s="6">
        <v>0.00241897</v>
      </c>
      <c r="Z18" s="6">
        <v>134.86767</v>
      </c>
      <c r="AA18" s="6">
        <v>0.00228463</v>
      </c>
      <c r="AB18" s="6">
        <v>294.9318</v>
      </c>
      <c r="AC18" s="6">
        <v>0.00281986</v>
      </c>
      <c r="AD18" s="6">
        <v>243.86163</v>
      </c>
      <c r="AE18" s="6">
        <v>0.00293209</v>
      </c>
      <c r="AF18" s="6">
        <v>775</v>
      </c>
      <c r="AG18" s="6">
        <v>-0.01575649</v>
      </c>
      <c r="AH18" s="6">
        <v>-0.01549959</v>
      </c>
      <c r="AI18" s="6">
        <v>-0.01566455</v>
      </c>
      <c r="AJ18" s="6">
        <v>-0.0145729</v>
      </c>
      <c r="AK18" s="6">
        <v>-0.01389411</v>
      </c>
      <c r="AL18" s="6">
        <v>-0.01655558</v>
      </c>
      <c r="AM18" s="6">
        <v>-0.01710008</v>
      </c>
      <c r="AN18" s="6">
        <v>-6.4762184</v>
      </c>
      <c r="AO18" s="6">
        <v>-6.4515561</v>
      </c>
      <c r="AP18" s="6">
        <v>-6.4739881</v>
      </c>
      <c r="AQ18" s="6">
        <v>-6.4253629</v>
      </c>
      <c r="AR18" s="6">
        <v>-6.4020076</v>
      </c>
      <c r="AS18" s="6">
        <v>-6.4618417</v>
      </c>
      <c r="AT18" s="6">
        <v>-6.4506396</v>
      </c>
      <c r="AU18" s="6">
        <v>0.97344833</v>
      </c>
      <c r="AV18" s="6">
        <v>0.96974131</v>
      </c>
      <c r="AW18" s="6">
        <v>0.97311308</v>
      </c>
      <c r="AX18" s="6">
        <v>0.96580418</v>
      </c>
      <c r="AY18" s="6">
        <v>0.96229362</v>
      </c>
      <c r="AZ18" s="6">
        <v>0.97128734</v>
      </c>
      <c r="BA18" s="6">
        <v>0.96960354</v>
      </c>
      <c r="BB18" s="6">
        <v>0.02655167</v>
      </c>
      <c r="BC18" s="6">
        <v>0.03025869</v>
      </c>
      <c r="BD18" s="6">
        <v>0.02688692</v>
      </c>
      <c r="BE18" s="6">
        <v>0.03419582</v>
      </c>
      <c r="BF18" s="6">
        <v>0.03770638</v>
      </c>
      <c r="BG18" s="6">
        <v>0.02871266</v>
      </c>
      <c r="BH18" s="6">
        <v>0.03039646</v>
      </c>
      <c r="BI18" s="6">
        <v>0.21470859</v>
      </c>
      <c r="BJ18" s="6">
        <v>0.12366373</v>
      </c>
      <c r="BK18" s="6">
        <v>0.1409291</v>
      </c>
      <c r="BL18" s="6">
        <v>0.12522516</v>
      </c>
      <c r="BM18" s="6">
        <v>0.1592662</v>
      </c>
      <c r="BN18" s="6">
        <v>0.17561655</v>
      </c>
      <c r="BO18" s="6">
        <v>0.1337285</v>
      </c>
      <c r="BP18" s="6">
        <v>0.14157076</v>
      </c>
      <c r="BQ18" s="6">
        <v>0.07152352</v>
      </c>
      <c r="BR18" s="6">
        <v>0.06239671</v>
      </c>
      <c r="BS18" s="6">
        <v>0.06512077</v>
      </c>
      <c r="BT18" s="6">
        <v>0.05180638</v>
      </c>
      <c r="BU18" s="6">
        <v>0.05411152</v>
      </c>
      <c r="BV18" s="6">
        <v>0.11121744</v>
      </c>
      <c r="BW18" s="6">
        <v>0.10122661</v>
      </c>
      <c r="BX18" s="12">
        <v>11242</v>
      </c>
      <c r="BY18" s="13">
        <v>2467</v>
      </c>
      <c r="BZ18" s="12">
        <v>28178.65</v>
      </c>
      <c r="CA18" s="6">
        <v>4.55695176327523</v>
      </c>
      <c r="CB18" s="6">
        <v>0.398954527629961</v>
      </c>
      <c r="CC18" s="7">
        <v>180941221.2</v>
      </c>
      <c r="CD18" s="7">
        <f t="shared" si="0"/>
        <v>0.642121681485806</v>
      </c>
      <c r="CE18" s="8">
        <v>1861.8</v>
      </c>
      <c r="CF18" s="8">
        <v>4468.7</v>
      </c>
      <c r="CG18" s="8">
        <v>5461.8</v>
      </c>
      <c r="CH18" s="8">
        <v>31589</v>
      </c>
      <c r="CI18" s="14">
        <v>0</v>
      </c>
      <c r="CJ18" s="14">
        <v>0</v>
      </c>
      <c r="CK18" s="14">
        <f t="shared" si="1"/>
        <v>0</v>
      </c>
      <c r="CL18">
        <f t="shared" si="2"/>
        <v>1.62438398605541</v>
      </c>
      <c r="CM18">
        <f t="shared" si="3"/>
        <v>0.60469834288067</v>
      </c>
      <c r="CN18" s="15">
        <v>11242</v>
      </c>
      <c r="CO18" s="15">
        <v>4625.62</v>
      </c>
      <c r="CP18" s="15">
        <v>596.95</v>
      </c>
      <c r="CQ18" s="15">
        <v>2474.23</v>
      </c>
      <c r="CR18" s="15">
        <v>480.82</v>
      </c>
      <c r="CS18" s="15">
        <v>585.82</v>
      </c>
      <c r="CT18" s="15">
        <v>446.28</v>
      </c>
      <c r="CU18" s="15">
        <v>586.96</v>
      </c>
      <c r="CV18" s="15">
        <v>79.04</v>
      </c>
      <c r="CW18" s="15">
        <v>1486.02</v>
      </c>
    </row>
    <row r="19" spans="1:101">
      <c r="A19" s="6">
        <v>2017</v>
      </c>
      <c r="B19" s="6" t="s">
        <v>100</v>
      </c>
      <c r="C19" s="6">
        <v>0.52198179</v>
      </c>
      <c r="D19" s="6">
        <v>0.083097</v>
      </c>
      <c r="E19" s="6">
        <v>0.021276</v>
      </c>
      <c r="F19" s="6">
        <v>0.03766</v>
      </c>
      <c r="G19" s="6">
        <v>0.012187</v>
      </c>
      <c r="H19" s="6">
        <v>0.011974</v>
      </c>
      <c r="I19" s="6">
        <v>0.086403</v>
      </c>
      <c r="J19" s="6">
        <v>0.038741</v>
      </c>
      <c r="K19" s="6">
        <v>0.60024825</v>
      </c>
      <c r="L19" s="6">
        <v>0.46251662</v>
      </c>
      <c r="M19" s="6">
        <v>0.53590376</v>
      </c>
      <c r="N19" s="6">
        <v>0.33174965</v>
      </c>
      <c r="O19" s="6">
        <v>0.32937951</v>
      </c>
      <c r="P19" s="6">
        <v>0.87259159</v>
      </c>
      <c r="Q19" s="6">
        <v>0.62223866</v>
      </c>
      <c r="R19" s="6">
        <v>217.69486</v>
      </c>
      <c r="S19" s="6">
        <v>0.00275729</v>
      </c>
      <c r="T19" s="6">
        <v>169.97573</v>
      </c>
      <c r="U19" s="6">
        <v>0.00272107</v>
      </c>
      <c r="V19" s="6">
        <v>197.11803</v>
      </c>
      <c r="W19" s="6">
        <v>0.00271869</v>
      </c>
      <c r="X19" s="6">
        <v>134.47093</v>
      </c>
      <c r="Y19" s="6">
        <v>0.00246707</v>
      </c>
      <c r="Z19" s="6">
        <v>134.86767</v>
      </c>
      <c r="AA19" s="6">
        <v>0.00244224</v>
      </c>
      <c r="AB19" s="6">
        <v>294.9318</v>
      </c>
      <c r="AC19" s="6">
        <v>0.00295862</v>
      </c>
      <c r="AD19" s="6">
        <v>243.86163</v>
      </c>
      <c r="AE19" s="6">
        <v>0.00255161</v>
      </c>
      <c r="AF19" s="6">
        <v>775</v>
      </c>
      <c r="AG19" s="6">
        <v>-0.01625012</v>
      </c>
      <c r="AH19" s="6">
        <v>-0.01607265</v>
      </c>
      <c r="AI19" s="6">
        <v>-0.01606097</v>
      </c>
      <c r="AJ19" s="6">
        <v>-0.01481409</v>
      </c>
      <c r="AK19" s="6">
        <v>-0.01468969</v>
      </c>
      <c r="AL19" s="6">
        <v>-0.01722815</v>
      </c>
      <c r="AM19" s="6">
        <v>-0.01523572</v>
      </c>
      <c r="AN19" s="6">
        <v>-6.4762184</v>
      </c>
      <c r="AO19" s="6">
        <v>-6.4515561</v>
      </c>
      <c r="AP19" s="6">
        <v>-6.4739881</v>
      </c>
      <c r="AQ19" s="6">
        <v>-6.4253629</v>
      </c>
      <c r="AR19" s="6">
        <v>-6.4020076</v>
      </c>
      <c r="AS19" s="6">
        <v>-6.4618417</v>
      </c>
      <c r="AT19" s="6">
        <v>-6.4506396</v>
      </c>
      <c r="AU19" s="6">
        <v>0.97344833</v>
      </c>
      <c r="AV19" s="6">
        <v>0.96974131</v>
      </c>
      <c r="AW19" s="6">
        <v>0.97311308</v>
      </c>
      <c r="AX19" s="6">
        <v>0.96580418</v>
      </c>
      <c r="AY19" s="6">
        <v>0.96229362</v>
      </c>
      <c r="AZ19" s="6">
        <v>0.97128734</v>
      </c>
      <c r="BA19" s="6">
        <v>0.96960354</v>
      </c>
      <c r="BB19" s="6">
        <v>0.02655167</v>
      </c>
      <c r="BC19" s="6">
        <v>0.03025869</v>
      </c>
      <c r="BD19" s="6">
        <v>0.02688692</v>
      </c>
      <c r="BE19" s="6">
        <v>0.03419582</v>
      </c>
      <c r="BF19" s="6">
        <v>0.03770638</v>
      </c>
      <c r="BG19" s="6">
        <v>0.02871266</v>
      </c>
      <c r="BH19" s="6">
        <v>0.03039646</v>
      </c>
      <c r="BI19" s="6">
        <v>0.21470859</v>
      </c>
      <c r="BJ19" s="6">
        <v>0.12366373</v>
      </c>
      <c r="BK19" s="6">
        <v>0.1409291</v>
      </c>
      <c r="BL19" s="6">
        <v>0.12522516</v>
      </c>
      <c r="BM19" s="6">
        <v>0.1592662</v>
      </c>
      <c r="BN19" s="6">
        <v>0.17561655</v>
      </c>
      <c r="BO19" s="6">
        <v>0.1337285</v>
      </c>
      <c r="BP19" s="6">
        <v>0.14157076</v>
      </c>
      <c r="BQ19" s="6">
        <v>0.07422894</v>
      </c>
      <c r="BR19" s="6">
        <v>0.06518205</v>
      </c>
      <c r="BS19" s="6">
        <v>0.06710863</v>
      </c>
      <c r="BT19" s="6">
        <v>0.05283651</v>
      </c>
      <c r="BU19" s="6">
        <v>0.05784449</v>
      </c>
      <c r="BV19" s="6">
        <v>0.11669036</v>
      </c>
      <c r="BW19" s="6">
        <v>0.0880908</v>
      </c>
      <c r="BX19" s="12">
        <v>11382</v>
      </c>
      <c r="BY19" s="13">
        <v>2466</v>
      </c>
      <c r="BZ19" s="12">
        <v>30632.99</v>
      </c>
      <c r="CA19" s="6">
        <v>4.61557177615572</v>
      </c>
      <c r="CB19" s="6">
        <v>0.371560203558321</v>
      </c>
      <c r="CC19" s="7">
        <v>183395166.3</v>
      </c>
      <c r="CD19" s="7">
        <f t="shared" si="0"/>
        <v>0.598685163609559</v>
      </c>
      <c r="CE19" s="8">
        <v>2032.3</v>
      </c>
      <c r="CF19" s="8">
        <v>4970.9</v>
      </c>
      <c r="CG19" s="8">
        <v>6602.3</v>
      </c>
      <c r="CH19" s="8">
        <v>35988</v>
      </c>
      <c r="CI19" s="14">
        <v>1</v>
      </c>
      <c r="CJ19" s="14">
        <v>0</v>
      </c>
      <c r="CK19" s="14">
        <f t="shared" si="1"/>
        <v>0</v>
      </c>
      <c r="CL19">
        <f t="shared" si="2"/>
        <v>1.56738551218677</v>
      </c>
      <c r="CM19">
        <f t="shared" si="3"/>
        <v>0.618035793393106</v>
      </c>
      <c r="CN19" s="15">
        <v>11382</v>
      </c>
      <c r="CO19" s="15">
        <v>4577.84</v>
      </c>
      <c r="CP19" s="15">
        <v>592.31</v>
      </c>
      <c r="CQ19" s="15">
        <v>2492.77</v>
      </c>
      <c r="CR19" s="15">
        <v>485.18</v>
      </c>
      <c r="CS19" s="15">
        <v>652.3</v>
      </c>
      <c r="CT19" s="15">
        <v>441.49</v>
      </c>
      <c r="CU19" s="15">
        <v>672.44</v>
      </c>
      <c r="CV19" s="15">
        <v>83.23</v>
      </c>
      <c r="CW19" s="15">
        <v>1526.77</v>
      </c>
    </row>
    <row r="20" spans="1:101">
      <c r="A20" s="6">
        <v>2018</v>
      </c>
      <c r="B20" s="6" t="s">
        <v>100</v>
      </c>
      <c r="C20" s="6">
        <v>0.51466229</v>
      </c>
      <c r="D20" s="6">
        <v>0.079338</v>
      </c>
      <c r="E20" s="6">
        <v>0.019623</v>
      </c>
      <c r="F20" s="6">
        <v>0.036318</v>
      </c>
      <c r="G20" s="6">
        <v>0.012297</v>
      </c>
      <c r="H20" s="6">
        <v>0.011101</v>
      </c>
      <c r="I20" s="6">
        <v>0.084451</v>
      </c>
      <c r="J20" s="6">
        <v>0.043277</v>
      </c>
      <c r="K20" s="6">
        <v>0.57076165</v>
      </c>
      <c r="L20" s="6">
        <v>0.42343979</v>
      </c>
      <c r="M20" s="6">
        <v>0.51527021</v>
      </c>
      <c r="N20" s="6">
        <v>0.33499349</v>
      </c>
      <c r="O20" s="6">
        <v>0.30290725</v>
      </c>
      <c r="P20" s="6">
        <v>0.85084702</v>
      </c>
      <c r="Q20" s="6">
        <v>0.7031737</v>
      </c>
      <c r="R20" s="6">
        <v>217.69486</v>
      </c>
      <c r="S20" s="6">
        <v>0.00262184</v>
      </c>
      <c r="T20" s="6">
        <v>169.97573</v>
      </c>
      <c r="U20" s="6">
        <v>0.00249118</v>
      </c>
      <c r="V20" s="6">
        <v>197.11803</v>
      </c>
      <c r="W20" s="6">
        <v>0.00261402</v>
      </c>
      <c r="X20" s="6">
        <v>134.47093</v>
      </c>
      <c r="Y20" s="6">
        <v>0.0024912</v>
      </c>
      <c r="Z20" s="6">
        <v>134.86767</v>
      </c>
      <c r="AA20" s="6">
        <v>0.00224596</v>
      </c>
      <c r="AB20" s="6">
        <v>294.9318</v>
      </c>
      <c r="AC20" s="6">
        <v>0.00288489</v>
      </c>
      <c r="AD20" s="6">
        <v>243.86163</v>
      </c>
      <c r="AE20" s="6">
        <v>0.00288349</v>
      </c>
      <c r="AF20" s="6">
        <v>775</v>
      </c>
      <c r="AG20" s="6">
        <v>-0.01558391</v>
      </c>
      <c r="AH20" s="6">
        <v>-0.01493461</v>
      </c>
      <c r="AI20" s="6">
        <v>-0.01554522</v>
      </c>
      <c r="AJ20" s="6">
        <v>-0.0149347</v>
      </c>
      <c r="AK20" s="6">
        <v>-0.01369726</v>
      </c>
      <c r="AL20" s="6">
        <v>-0.01687163</v>
      </c>
      <c r="AM20" s="6">
        <v>-0.01686485</v>
      </c>
      <c r="AN20" s="6">
        <v>-6.4762184</v>
      </c>
      <c r="AO20" s="6">
        <v>-6.4515561</v>
      </c>
      <c r="AP20" s="6">
        <v>-6.4739881</v>
      </c>
      <c r="AQ20" s="6">
        <v>-6.4253629</v>
      </c>
      <c r="AR20" s="6">
        <v>-6.4020076</v>
      </c>
      <c r="AS20" s="6">
        <v>-6.4618417</v>
      </c>
      <c r="AT20" s="6">
        <v>-6.4506396</v>
      </c>
      <c r="AU20" s="6">
        <v>0.97344833</v>
      </c>
      <c r="AV20" s="6">
        <v>0.96974131</v>
      </c>
      <c r="AW20" s="6">
        <v>0.97311308</v>
      </c>
      <c r="AX20" s="6">
        <v>0.96580418</v>
      </c>
      <c r="AY20" s="6">
        <v>0.96229362</v>
      </c>
      <c r="AZ20" s="6">
        <v>0.97128734</v>
      </c>
      <c r="BA20" s="6">
        <v>0.96960354</v>
      </c>
      <c r="BB20" s="6">
        <v>0.02655167</v>
      </c>
      <c r="BC20" s="6">
        <v>0.03025869</v>
      </c>
      <c r="BD20" s="6">
        <v>0.02688692</v>
      </c>
      <c r="BE20" s="6">
        <v>0.03419582</v>
      </c>
      <c r="BF20" s="6">
        <v>0.03770638</v>
      </c>
      <c r="BG20" s="6">
        <v>0.02871266</v>
      </c>
      <c r="BH20" s="6">
        <v>0.03039646</v>
      </c>
      <c r="BI20" s="6">
        <v>0.21470859</v>
      </c>
      <c r="BJ20" s="6">
        <v>0.12366373</v>
      </c>
      <c r="BK20" s="6">
        <v>0.1409291</v>
      </c>
      <c r="BL20" s="6">
        <v>0.12522516</v>
      </c>
      <c r="BM20" s="6">
        <v>0.1592662</v>
      </c>
      <c r="BN20" s="6">
        <v>0.17561655</v>
      </c>
      <c r="BO20" s="6">
        <v>0.1337285</v>
      </c>
      <c r="BP20" s="6">
        <v>0.14157076</v>
      </c>
      <c r="BQ20" s="6">
        <v>0.07058252</v>
      </c>
      <c r="BR20" s="6">
        <v>0.05967499</v>
      </c>
      <c r="BS20" s="6">
        <v>0.06452479</v>
      </c>
      <c r="BT20" s="6">
        <v>0.05335314</v>
      </c>
      <c r="BU20" s="6">
        <v>0.05319553</v>
      </c>
      <c r="BV20" s="6">
        <v>0.11378249</v>
      </c>
      <c r="BW20" s="6">
        <v>0.09954884</v>
      </c>
      <c r="BX20" s="12">
        <v>11454</v>
      </c>
      <c r="BY20" s="13">
        <v>2475</v>
      </c>
      <c r="BZ20" s="12">
        <v>32679.87</v>
      </c>
      <c r="CA20" s="6">
        <v>4.62787878787879</v>
      </c>
      <c r="CB20" s="6">
        <v>0.350490990325237</v>
      </c>
      <c r="CC20" s="7">
        <v>188249237.8</v>
      </c>
      <c r="CD20" s="7">
        <f t="shared" si="0"/>
        <v>0.576040350833709</v>
      </c>
      <c r="CE20" s="8">
        <v>2156</v>
      </c>
      <c r="CF20" s="8">
        <v>5506.2</v>
      </c>
      <c r="CG20" s="8">
        <v>7691</v>
      </c>
      <c r="CH20" s="8">
        <v>40271</v>
      </c>
      <c r="CI20" s="14">
        <v>1</v>
      </c>
      <c r="CJ20" s="14">
        <v>0</v>
      </c>
      <c r="CK20" s="14">
        <f t="shared" si="1"/>
        <v>0</v>
      </c>
      <c r="CL20">
        <f t="shared" si="2"/>
        <v>1.51591455826218</v>
      </c>
      <c r="CM20">
        <f t="shared" si="3"/>
        <v>0.620004737276173</v>
      </c>
      <c r="CN20" s="15">
        <v>11454</v>
      </c>
      <c r="CO20" s="15">
        <v>4420.62</v>
      </c>
      <c r="CP20" s="15">
        <v>621.28</v>
      </c>
      <c r="CQ20" s="15">
        <v>2309.12</v>
      </c>
      <c r="CR20" s="15">
        <v>494.01</v>
      </c>
      <c r="CS20" s="15">
        <v>701.64</v>
      </c>
      <c r="CT20" s="15">
        <v>439.49</v>
      </c>
      <c r="CU20" s="15">
        <v>658.22</v>
      </c>
      <c r="CV20" s="15">
        <v>93.49</v>
      </c>
      <c r="CW20" s="15">
        <v>1566.66</v>
      </c>
    </row>
    <row r="21" spans="1:101">
      <c r="A21" s="6">
        <v>2019</v>
      </c>
      <c r="B21" s="6" t="s">
        <v>100</v>
      </c>
      <c r="C21" s="6">
        <v>0.54640232</v>
      </c>
      <c r="D21" s="6">
        <v>0.088985</v>
      </c>
      <c r="E21" s="6">
        <v>0.022192</v>
      </c>
      <c r="F21" s="6">
        <v>0.040849</v>
      </c>
      <c r="G21" s="6">
        <v>0.013794</v>
      </c>
      <c r="H21" s="6">
        <v>0.012151</v>
      </c>
      <c r="I21" s="6">
        <v>0.085097</v>
      </c>
      <c r="J21" s="6">
        <v>0.039912</v>
      </c>
      <c r="K21" s="6">
        <v>0.64643784</v>
      </c>
      <c r="L21" s="6">
        <v>0.48417958</v>
      </c>
      <c r="M21" s="6">
        <v>0.58491021</v>
      </c>
      <c r="N21" s="6">
        <v>0.37925254</v>
      </c>
      <c r="O21" s="6">
        <v>0.3347329</v>
      </c>
      <c r="P21" s="6">
        <v>0.85804826</v>
      </c>
      <c r="Q21" s="6">
        <v>0.64313195</v>
      </c>
      <c r="R21" s="6">
        <v>217.69486</v>
      </c>
      <c r="S21" s="6">
        <v>0.00296947</v>
      </c>
      <c r="T21" s="6">
        <v>169.97573</v>
      </c>
      <c r="U21" s="6">
        <v>0.00284852</v>
      </c>
      <c r="V21" s="6">
        <v>197.11803</v>
      </c>
      <c r="W21" s="6">
        <v>0.00296731</v>
      </c>
      <c r="X21" s="6">
        <v>134.47093</v>
      </c>
      <c r="Y21" s="6">
        <v>0.00282033</v>
      </c>
      <c r="Z21" s="6">
        <v>134.86767</v>
      </c>
      <c r="AA21" s="6">
        <v>0.00248194</v>
      </c>
      <c r="AB21" s="6">
        <v>294.9318</v>
      </c>
      <c r="AC21" s="6">
        <v>0.00290931</v>
      </c>
      <c r="AD21" s="6">
        <v>243.86163</v>
      </c>
      <c r="AE21" s="6">
        <v>0.00263728</v>
      </c>
      <c r="AF21" s="6">
        <v>775</v>
      </c>
      <c r="AG21" s="6">
        <v>-0.01728044</v>
      </c>
      <c r="AH21" s="6">
        <v>-0.01669506</v>
      </c>
      <c r="AI21" s="6">
        <v>-0.01727004</v>
      </c>
      <c r="AJ21" s="6">
        <v>-0.01655788</v>
      </c>
      <c r="AK21" s="6">
        <v>-0.01488843</v>
      </c>
      <c r="AL21" s="6">
        <v>-0.01698991</v>
      </c>
      <c r="AM21" s="6">
        <v>-0.0156602</v>
      </c>
      <c r="AN21" s="6">
        <v>-6.4762184</v>
      </c>
      <c r="AO21" s="6">
        <v>-6.4515561</v>
      </c>
      <c r="AP21" s="6">
        <v>-6.4739881</v>
      </c>
      <c r="AQ21" s="6">
        <v>-6.4253629</v>
      </c>
      <c r="AR21" s="6">
        <v>-6.4020076</v>
      </c>
      <c r="AS21" s="6">
        <v>-6.4618417</v>
      </c>
      <c r="AT21" s="6">
        <v>-6.4506396</v>
      </c>
      <c r="AU21" s="6">
        <v>0.97344833</v>
      </c>
      <c r="AV21" s="6">
        <v>0.96974131</v>
      </c>
      <c r="AW21" s="6">
        <v>0.97311308</v>
      </c>
      <c r="AX21" s="6">
        <v>0.96580418</v>
      </c>
      <c r="AY21" s="6">
        <v>0.96229362</v>
      </c>
      <c r="AZ21" s="6">
        <v>0.97128734</v>
      </c>
      <c r="BA21" s="6">
        <v>0.96960354</v>
      </c>
      <c r="BB21" s="6">
        <v>0.02655167</v>
      </c>
      <c r="BC21" s="6">
        <v>0.03025869</v>
      </c>
      <c r="BD21" s="6">
        <v>0.02688692</v>
      </c>
      <c r="BE21" s="6">
        <v>0.03419582</v>
      </c>
      <c r="BF21" s="6">
        <v>0.03770638</v>
      </c>
      <c r="BG21" s="6">
        <v>0.02871266</v>
      </c>
      <c r="BH21" s="6">
        <v>0.03039646</v>
      </c>
      <c r="BI21" s="6">
        <v>0.21470859</v>
      </c>
      <c r="BJ21" s="6">
        <v>0.12366373</v>
      </c>
      <c r="BK21" s="6">
        <v>0.1409291</v>
      </c>
      <c r="BL21" s="6">
        <v>0.12522516</v>
      </c>
      <c r="BM21" s="6">
        <v>0.1592662</v>
      </c>
      <c r="BN21" s="6">
        <v>0.17561655</v>
      </c>
      <c r="BO21" s="6">
        <v>0.1337285</v>
      </c>
      <c r="BP21" s="6">
        <v>0.14157076</v>
      </c>
      <c r="BQ21" s="6">
        <v>0.07994092</v>
      </c>
      <c r="BR21" s="6">
        <v>0.06823499</v>
      </c>
      <c r="BS21" s="6">
        <v>0.07324547</v>
      </c>
      <c r="BT21" s="6">
        <v>0.06040211</v>
      </c>
      <c r="BU21" s="6">
        <v>0.05878464</v>
      </c>
      <c r="BV21" s="6">
        <v>0.1147455</v>
      </c>
      <c r="BW21" s="6">
        <v>0.09104868</v>
      </c>
      <c r="BX21" s="12">
        <v>11696</v>
      </c>
      <c r="BY21" s="13">
        <v>2481</v>
      </c>
      <c r="BZ21" s="12">
        <v>38155.32</v>
      </c>
      <c r="CA21" s="6">
        <v>4.71422813381701</v>
      </c>
      <c r="CB21" s="6">
        <v>0.306536545886655</v>
      </c>
      <c r="CC21" s="7">
        <v>196247114.6</v>
      </c>
      <c r="CD21" s="7">
        <f t="shared" si="0"/>
        <v>0.514337488455083</v>
      </c>
      <c r="CE21" s="8">
        <v>2280.6</v>
      </c>
      <c r="CF21" s="8">
        <v>5971.5</v>
      </c>
      <c r="CG21" s="8">
        <v>8517.3</v>
      </c>
      <c r="CH21" s="8">
        <v>43727</v>
      </c>
      <c r="CI21" s="14">
        <v>1</v>
      </c>
      <c r="CJ21" s="14">
        <v>0</v>
      </c>
      <c r="CK21" s="14">
        <f t="shared" si="1"/>
        <v>0</v>
      </c>
      <c r="CL21">
        <f t="shared" si="2"/>
        <v>1.5000536746505</v>
      </c>
      <c r="CM21">
        <f t="shared" si="3"/>
        <v>0.657120610317548</v>
      </c>
      <c r="CN21" s="15">
        <v>11696</v>
      </c>
      <c r="CO21" s="15">
        <v>4238.28</v>
      </c>
      <c r="CP21" s="15">
        <v>634.82</v>
      </c>
      <c r="CQ21" s="15">
        <v>2597.22</v>
      </c>
      <c r="CR21" s="15">
        <v>493.87</v>
      </c>
      <c r="CS21" s="15">
        <v>753.68</v>
      </c>
      <c r="CT21" s="15">
        <v>449.3</v>
      </c>
      <c r="CU21" s="15">
        <v>658.32</v>
      </c>
      <c r="CV21" s="15">
        <v>99.4</v>
      </c>
      <c r="CW21" s="15">
        <v>1568.58</v>
      </c>
    </row>
    <row r="22" spans="1:101">
      <c r="A22" s="6">
        <v>2020</v>
      </c>
      <c r="B22" s="6" t="s">
        <v>100</v>
      </c>
      <c r="C22" s="6">
        <v>0.59847158</v>
      </c>
      <c r="D22" s="6">
        <v>0.09572</v>
      </c>
      <c r="E22" s="6">
        <v>0.023625</v>
      </c>
      <c r="F22" s="6">
        <v>0.043758</v>
      </c>
      <c r="G22" s="6">
        <v>0.014409</v>
      </c>
      <c r="H22" s="6">
        <v>0.013929</v>
      </c>
      <c r="I22" s="6">
        <v>0.091797</v>
      </c>
      <c r="J22" s="6">
        <v>0.04499</v>
      </c>
      <c r="K22" s="6">
        <v>0.6992631</v>
      </c>
      <c r="L22" s="6">
        <v>0.51804975</v>
      </c>
      <c r="M22" s="6">
        <v>0.62962453</v>
      </c>
      <c r="N22" s="6">
        <v>0.39743293</v>
      </c>
      <c r="O22" s="6">
        <v>0.38860034</v>
      </c>
      <c r="P22" s="6">
        <v>0.93267077</v>
      </c>
      <c r="Q22" s="6">
        <v>0.73375344</v>
      </c>
      <c r="R22" s="6">
        <v>217.69486</v>
      </c>
      <c r="S22" s="6">
        <v>0.00321213</v>
      </c>
      <c r="T22" s="6">
        <v>169.97573</v>
      </c>
      <c r="U22" s="6">
        <v>0.00304779</v>
      </c>
      <c r="V22" s="6">
        <v>197.11803</v>
      </c>
      <c r="W22" s="6">
        <v>0.00319415</v>
      </c>
      <c r="X22" s="6">
        <v>134.47093</v>
      </c>
      <c r="Y22" s="6">
        <v>0.00295553</v>
      </c>
      <c r="Z22" s="6">
        <v>134.86767</v>
      </c>
      <c r="AA22" s="6">
        <v>0.00288135</v>
      </c>
      <c r="AB22" s="6">
        <v>294.9318</v>
      </c>
      <c r="AC22" s="6">
        <v>0.00316233</v>
      </c>
      <c r="AD22" s="6">
        <v>243.86163</v>
      </c>
      <c r="AE22" s="6">
        <v>0.00300889</v>
      </c>
      <c r="AF22" s="6">
        <v>775</v>
      </c>
      <c r="AG22" s="6">
        <v>-0.01844024</v>
      </c>
      <c r="AH22" s="6">
        <v>-0.01765686</v>
      </c>
      <c r="AI22" s="6">
        <v>-0.01835497</v>
      </c>
      <c r="AJ22" s="6">
        <v>-0.01721324</v>
      </c>
      <c r="AK22" s="6">
        <v>-0.01685442</v>
      </c>
      <c r="AL22" s="6">
        <v>-0.01820377</v>
      </c>
      <c r="AM22" s="6">
        <v>-0.01747018</v>
      </c>
      <c r="AN22" s="6">
        <v>-6.4762184</v>
      </c>
      <c r="AO22" s="6">
        <v>-6.4515561</v>
      </c>
      <c r="AP22" s="6">
        <v>-6.4739881</v>
      </c>
      <c r="AQ22" s="6">
        <v>-6.4253629</v>
      </c>
      <c r="AR22" s="6">
        <v>-6.4020076</v>
      </c>
      <c r="AS22" s="6">
        <v>-6.4618417</v>
      </c>
      <c r="AT22" s="6">
        <v>-6.4506396</v>
      </c>
      <c r="AU22" s="6">
        <v>0.97344833</v>
      </c>
      <c r="AV22" s="6">
        <v>0.96974131</v>
      </c>
      <c r="AW22" s="6">
        <v>0.97311308</v>
      </c>
      <c r="AX22" s="6">
        <v>0.96580418</v>
      </c>
      <c r="AY22" s="6">
        <v>0.96229362</v>
      </c>
      <c r="AZ22" s="6">
        <v>0.97128734</v>
      </c>
      <c r="BA22" s="6">
        <v>0.96960354</v>
      </c>
      <c r="BB22" s="6">
        <v>0.02655167</v>
      </c>
      <c r="BC22" s="6">
        <v>0.03025869</v>
      </c>
      <c r="BD22" s="6">
        <v>0.02688692</v>
      </c>
      <c r="BE22" s="6">
        <v>0.03419582</v>
      </c>
      <c r="BF22" s="6">
        <v>0.03770638</v>
      </c>
      <c r="BG22" s="6">
        <v>0.02871266</v>
      </c>
      <c r="BH22" s="6">
        <v>0.03039646</v>
      </c>
      <c r="BI22" s="6">
        <v>0.21470859</v>
      </c>
      <c r="BJ22" s="6">
        <v>0.12366373</v>
      </c>
      <c r="BK22" s="6">
        <v>0.1409291</v>
      </c>
      <c r="BL22" s="6">
        <v>0.12522516</v>
      </c>
      <c r="BM22" s="6">
        <v>0.1592662</v>
      </c>
      <c r="BN22" s="6">
        <v>0.17561655</v>
      </c>
      <c r="BO22" s="6">
        <v>0.1337285</v>
      </c>
      <c r="BP22" s="6">
        <v>0.14157076</v>
      </c>
      <c r="BQ22" s="6">
        <v>0.08647349</v>
      </c>
      <c r="BR22" s="6">
        <v>0.07300828</v>
      </c>
      <c r="BS22" s="6">
        <v>0.07884483</v>
      </c>
      <c r="BT22" s="6">
        <v>0.06329763</v>
      </c>
      <c r="BU22" s="6">
        <v>0.06824465</v>
      </c>
      <c r="BV22" s="6">
        <v>0.12472466</v>
      </c>
      <c r="BW22" s="6">
        <v>0.10387804</v>
      </c>
      <c r="BX22" s="12">
        <v>11099.59</v>
      </c>
      <c r="BY22" s="13">
        <v>2488.22</v>
      </c>
      <c r="BZ22" s="12">
        <v>38700.58</v>
      </c>
      <c r="CA22" s="6">
        <v>4.460855551358</v>
      </c>
      <c r="CB22" s="6">
        <v>0.286806812714435</v>
      </c>
      <c r="CC22" s="7">
        <v>192402586.4</v>
      </c>
      <c r="CD22" s="7">
        <f t="shared" si="0"/>
        <v>0.497156855013542</v>
      </c>
      <c r="CE22" s="8">
        <v>2539.9</v>
      </c>
      <c r="CF22" s="8">
        <v>6263</v>
      </c>
      <c r="CG22" s="8">
        <v>9057.5</v>
      </c>
      <c r="CH22" s="8">
        <v>46355</v>
      </c>
      <c r="CI22" s="14">
        <v>1</v>
      </c>
      <c r="CJ22" s="14">
        <v>0</v>
      </c>
      <c r="CK22" s="14">
        <f t="shared" si="1"/>
        <v>0</v>
      </c>
      <c r="CL22">
        <f t="shared" si="2"/>
        <v>1.47141701078949</v>
      </c>
      <c r="CM22">
        <f t="shared" si="3"/>
        <v>0.662123754606594</v>
      </c>
      <c r="CN22" s="15">
        <v>11099.59</v>
      </c>
      <c r="CO22" s="15">
        <v>4168.01</v>
      </c>
      <c r="CP22" s="15">
        <v>631.9</v>
      </c>
      <c r="CQ22" s="15">
        <v>2500.41</v>
      </c>
      <c r="CR22" s="15">
        <v>465.49</v>
      </c>
      <c r="CS22" s="15">
        <v>500.57</v>
      </c>
      <c r="CT22" s="15">
        <v>441.7</v>
      </c>
      <c r="CU22" s="15">
        <v>640.36</v>
      </c>
      <c r="CV22" s="15">
        <v>94.23</v>
      </c>
      <c r="CW22" s="15">
        <v>1576</v>
      </c>
    </row>
    <row r="23" spans="1:101">
      <c r="A23" s="6">
        <v>2021</v>
      </c>
      <c r="B23" s="6" t="s">
        <v>100</v>
      </c>
      <c r="C23" s="6">
        <v>0.5940209</v>
      </c>
      <c r="D23" s="6">
        <v>0.087749</v>
      </c>
      <c r="E23" s="6">
        <v>0.021623</v>
      </c>
      <c r="F23" s="6">
        <v>0.038967</v>
      </c>
      <c r="G23" s="6">
        <v>0.012987</v>
      </c>
      <c r="H23" s="6">
        <v>0.014173</v>
      </c>
      <c r="I23" s="6">
        <v>0.097842</v>
      </c>
      <c r="J23" s="6">
        <v>0.051152</v>
      </c>
      <c r="K23" s="6">
        <v>0.63673951</v>
      </c>
      <c r="L23" s="6">
        <v>0.47071874</v>
      </c>
      <c r="M23" s="6">
        <v>0.55599075</v>
      </c>
      <c r="N23" s="6">
        <v>0.35539213</v>
      </c>
      <c r="O23" s="6">
        <v>0.39600153</v>
      </c>
      <c r="P23" s="6">
        <v>1</v>
      </c>
      <c r="Q23" s="6">
        <v>0.84369428</v>
      </c>
      <c r="R23" s="6">
        <v>217.69486</v>
      </c>
      <c r="S23" s="6">
        <v>0.00292492</v>
      </c>
      <c r="T23" s="6">
        <v>169.97573</v>
      </c>
      <c r="U23" s="6">
        <v>0.00276933</v>
      </c>
      <c r="V23" s="6">
        <v>197.11803</v>
      </c>
      <c r="W23" s="6">
        <v>0.0028206</v>
      </c>
      <c r="X23" s="6">
        <v>134.47093</v>
      </c>
      <c r="Y23" s="6">
        <v>0.00264289</v>
      </c>
      <c r="Z23" s="6">
        <v>134.86767</v>
      </c>
      <c r="AA23" s="6">
        <v>0.00293622</v>
      </c>
      <c r="AB23" s="6">
        <v>294.9318</v>
      </c>
      <c r="AC23" s="6">
        <v>0.00339061</v>
      </c>
      <c r="AD23" s="6">
        <v>243.86163</v>
      </c>
      <c r="AE23" s="6">
        <v>0.00345973</v>
      </c>
      <c r="AF23" s="6">
        <v>775</v>
      </c>
      <c r="AG23" s="6">
        <v>-0.0170654</v>
      </c>
      <c r="AH23" s="6">
        <v>-0.01630899</v>
      </c>
      <c r="AI23" s="6">
        <v>-0.01655919</v>
      </c>
      <c r="AJ23" s="6">
        <v>-0.01568789</v>
      </c>
      <c r="AK23" s="6">
        <v>-0.01712003</v>
      </c>
      <c r="AL23" s="6">
        <v>-0.01928156</v>
      </c>
      <c r="AM23" s="6">
        <v>-0.01960476</v>
      </c>
      <c r="AN23" s="6">
        <v>-6.4762184</v>
      </c>
      <c r="AO23" s="6">
        <v>-6.4515561</v>
      </c>
      <c r="AP23" s="6">
        <v>-6.4739881</v>
      </c>
      <c r="AQ23" s="6">
        <v>-6.4253629</v>
      </c>
      <c r="AR23" s="6">
        <v>-6.4020076</v>
      </c>
      <c r="AS23" s="6">
        <v>-6.4618417</v>
      </c>
      <c r="AT23" s="6">
        <v>-6.4506396</v>
      </c>
      <c r="AU23" s="6">
        <v>0.97344833</v>
      </c>
      <c r="AV23" s="6">
        <v>0.96974131</v>
      </c>
      <c r="AW23" s="6">
        <v>0.97311308</v>
      </c>
      <c r="AX23" s="6">
        <v>0.96580418</v>
      </c>
      <c r="AY23" s="6">
        <v>0.96229362</v>
      </c>
      <c r="AZ23" s="6">
        <v>0.97128734</v>
      </c>
      <c r="BA23" s="6">
        <v>0.96960354</v>
      </c>
      <c r="BB23" s="6">
        <v>0.02655167</v>
      </c>
      <c r="BC23" s="6">
        <v>0.03025869</v>
      </c>
      <c r="BD23" s="6">
        <v>0.02688692</v>
      </c>
      <c r="BE23" s="6">
        <v>0.03419582</v>
      </c>
      <c r="BF23" s="6">
        <v>0.03770638</v>
      </c>
      <c r="BG23" s="6">
        <v>0.02871266</v>
      </c>
      <c r="BH23" s="6">
        <v>0.03039646</v>
      </c>
      <c r="BI23" s="6">
        <v>0.21470859</v>
      </c>
      <c r="BJ23" s="6">
        <v>0.12366373</v>
      </c>
      <c r="BK23" s="6">
        <v>0.1409291</v>
      </c>
      <c r="BL23" s="6">
        <v>0.12522516</v>
      </c>
      <c r="BM23" s="6">
        <v>0.1592662</v>
      </c>
      <c r="BN23" s="6">
        <v>0.17561655</v>
      </c>
      <c r="BO23" s="6">
        <v>0.1337285</v>
      </c>
      <c r="BP23" s="6">
        <v>0.14157076</v>
      </c>
      <c r="BQ23" s="6">
        <v>0.07874158</v>
      </c>
      <c r="BR23" s="6">
        <v>0.06633797</v>
      </c>
      <c r="BS23" s="6">
        <v>0.06962403</v>
      </c>
      <c r="BT23" s="6">
        <v>0.05660195</v>
      </c>
      <c r="BU23" s="6">
        <v>0.06954442</v>
      </c>
      <c r="BV23" s="6">
        <v>0.1337285</v>
      </c>
      <c r="BW23" s="6">
        <v>0.11944244</v>
      </c>
      <c r="BX23" s="12">
        <v>11683.02</v>
      </c>
      <c r="BY23" s="13">
        <v>2489</v>
      </c>
      <c r="BZ23" s="12">
        <v>43214.9</v>
      </c>
      <c r="CA23" s="6">
        <v>4.69386098834873</v>
      </c>
      <c r="CB23" s="6">
        <v>0.270347033083497</v>
      </c>
      <c r="CC23" s="7">
        <v>201767860.3</v>
      </c>
      <c r="CD23" s="7">
        <f t="shared" si="0"/>
        <v>0.466894196908937</v>
      </c>
      <c r="CE23" s="8">
        <v>2730.9</v>
      </c>
      <c r="CF23" s="8">
        <v>6850.5</v>
      </c>
      <c r="CG23" s="8">
        <v>9877.2</v>
      </c>
      <c r="CH23" s="8">
        <v>50476</v>
      </c>
      <c r="CI23" s="14">
        <v>1</v>
      </c>
      <c r="CJ23" s="14">
        <v>0</v>
      </c>
      <c r="CK23" s="14">
        <f t="shared" si="1"/>
        <v>0</v>
      </c>
      <c r="CL23">
        <f t="shared" si="2"/>
        <v>1.36781889095748</v>
      </c>
      <c r="CM23">
        <f t="shared" si="3"/>
        <v>0.658657882271161</v>
      </c>
      <c r="CN23" s="15">
        <v>11683.02</v>
      </c>
      <c r="CO23" s="15">
        <v>4003.15</v>
      </c>
      <c r="CP23" s="15">
        <v>616.35</v>
      </c>
      <c r="CQ23" s="15">
        <v>2282.38</v>
      </c>
      <c r="CR23" s="15">
        <v>484.99</v>
      </c>
      <c r="CS23" s="15">
        <v>552.69</v>
      </c>
      <c r="CT23" s="15">
        <v>463.1</v>
      </c>
      <c r="CU23" s="15">
        <v>647.02</v>
      </c>
      <c r="CV23" s="15">
        <v>97.75</v>
      </c>
      <c r="CW23" s="15">
        <v>1750</v>
      </c>
    </row>
    <row r="24" spans="1:101">
      <c r="A24" s="6">
        <v>2022</v>
      </c>
      <c r="B24" s="6" t="s">
        <v>100</v>
      </c>
      <c r="C24" s="6">
        <v>0.61285799</v>
      </c>
      <c r="D24" s="6">
        <v>0.100221</v>
      </c>
      <c r="E24" s="6">
        <v>0.024978</v>
      </c>
      <c r="F24" s="6">
        <v>0.044987</v>
      </c>
      <c r="G24" s="6">
        <v>0.015939</v>
      </c>
      <c r="H24" s="6">
        <v>0.014317</v>
      </c>
      <c r="I24" s="6">
        <v>0.091562</v>
      </c>
      <c r="J24" s="6">
        <v>0.042703</v>
      </c>
      <c r="K24" s="6">
        <v>0.73457349</v>
      </c>
      <c r="L24" s="6">
        <v>0.55004336</v>
      </c>
      <c r="M24" s="6">
        <v>0.64852202</v>
      </c>
      <c r="N24" s="6">
        <v>0.44266431</v>
      </c>
      <c r="O24" s="6">
        <v>0.40037691</v>
      </c>
      <c r="P24" s="6">
        <v>0.93005723</v>
      </c>
      <c r="Q24" s="6">
        <v>0.69294023</v>
      </c>
      <c r="R24" s="6">
        <v>217.69486</v>
      </c>
      <c r="S24" s="6">
        <v>0.00337433</v>
      </c>
      <c r="T24" s="6">
        <v>169.97573</v>
      </c>
      <c r="U24" s="6">
        <v>0.00323601</v>
      </c>
      <c r="V24" s="6">
        <v>197.11803</v>
      </c>
      <c r="W24" s="6">
        <v>0.00329002</v>
      </c>
      <c r="X24" s="6">
        <v>134.47093</v>
      </c>
      <c r="Y24" s="6">
        <v>0.0032919</v>
      </c>
      <c r="Z24" s="6">
        <v>134.86767</v>
      </c>
      <c r="AA24" s="6">
        <v>0.00296866</v>
      </c>
      <c r="AB24" s="6">
        <v>294.9318</v>
      </c>
      <c r="AC24" s="6">
        <v>0.00315347</v>
      </c>
      <c r="AD24" s="6">
        <v>243.86163</v>
      </c>
      <c r="AE24" s="6">
        <v>0.00284153</v>
      </c>
      <c r="AF24" s="6">
        <v>775</v>
      </c>
      <c r="AG24" s="6">
        <v>-0.01920518</v>
      </c>
      <c r="AH24" s="6">
        <v>-0.01855339</v>
      </c>
      <c r="AI24" s="6">
        <v>-0.01880858</v>
      </c>
      <c r="AJ24" s="6">
        <v>-0.01881744</v>
      </c>
      <c r="AK24" s="6">
        <v>-0.01727657</v>
      </c>
      <c r="AL24" s="6">
        <v>-0.01816161</v>
      </c>
      <c r="AM24" s="6">
        <v>-0.01666106</v>
      </c>
      <c r="AN24" s="6">
        <v>-6.4762184</v>
      </c>
      <c r="AO24" s="6">
        <v>-6.4515561</v>
      </c>
      <c r="AP24" s="6">
        <v>-6.4739881</v>
      </c>
      <c r="AQ24" s="6">
        <v>-6.4253629</v>
      </c>
      <c r="AR24" s="6">
        <v>-6.4020076</v>
      </c>
      <c r="AS24" s="6">
        <v>-6.4618417</v>
      </c>
      <c r="AT24" s="6">
        <v>-6.4506396</v>
      </c>
      <c r="AU24" s="6">
        <v>0.97344833</v>
      </c>
      <c r="AV24" s="6">
        <v>0.96974131</v>
      </c>
      <c r="AW24" s="6">
        <v>0.97311308</v>
      </c>
      <c r="AX24" s="6">
        <v>0.96580418</v>
      </c>
      <c r="AY24" s="6">
        <v>0.96229362</v>
      </c>
      <c r="AZ24" s="6">
        <v>0.97128734</v>
      </c>
      <c r="BA24" s="6">
        <v>0.96960354</v>
      </c>
      <c r="BB24" s="6">
        <v>0.02655167</v>
      </c>
      <c r="BC24" s="6">
        <v>0.03025869</v>
      </c>
      <c r="BD24" s="6">
        <v>0.02688692</v>
      </c>
      <c r="BE24" s="6">
        <v>0.03419582</v>
      </c>
      <c r="BF24" s="6">
        <v>0.03770638</v>
      </c>
      <c r="BG24" s="6">
        <v>0.02871266</v>
      </c>
      <c r="BH24" s="6">
        <v>0.03039646</v>
      </c>
      <c r="BI24" s="6">
        <v>0.21470859</v>
      </c>
      <c r="BJ24" s="6">
        <v>0.12366373</v>
      </c>
      <c r="BK24" s="6">
        <v>0.1409291</v>
      </c>
      <c r="BL24" s="6">
        <v>0.12522516</v>
      </c>
      <c r="BM24" s="6">
        <v>0.1592662</v>
      </c>
      <c r="BN24" s="6">
        <v>0.17561655</v>
      </c>
      <c r="BO24" s="6">
        <v>0.1337285</v>
      </c>
      <c r="BP24" s="6">
        <v>0.14157076</v>
      </c>
      <c r="BQ24" s="6">
        <v>0.0908401</v>
      </c>
      <c r="BR24" s="6">
        <v>0.07751711</v>
      </c>
      <c r="BS24" s="6">
        <v>0.08121127</v>
      </c>
      <c r="BT24" s="6">
        <v>0.07050146</v>
      </c>
      <c r="BU24" s="6">
        <v>0.07031281</v>
      </c>
      <c r="BV24" s="6">
        <v>0.12437515</v>
      </c>
      <c r="BW24" s="6">
        <v>0.09810008</v>
      </c>
      <c r="BX24" s="12">
        <v>10951.01</v>
      </c>
      <c r="BY24" s="13">
        <v>2475</v>
      </c>
      <c r="BZ24" s="12">
        <v>44652.8</v>
      </c>
      <c r="CA24" s="6">
        <v>4.42465050505051</v>
      </c>
      <c r="CB24" s="6">
        <v>0.245248002364913</v>
      </c>
      <c r="CC24" s="7">
        <v>206378134.7</v>
      </c>
      <c r="CD24" s="7">
        <f t="shared" si="0"/>
        <v>0.462184084088792</v>
      </c>
      <c r="CE24" s="8">
        <v>2862.3</v>
      </c>
      <c r="CF24" s="8">
        <v>7052.7</v>
      </c>
      <c r="CG24" s="8">
        <v>10095.4</v>
      </c>
      <c r="CH24" s="8">
        <v>51921</v>
      </c>
      <c r="CI24" s="14">
        <v>1</v>
      </c>
      <c r="CJ24" s="14">
        <v>0</v>
      </c>
      <c r="CK24" s="14">
        <f t="shared" si="1"/>
        <v>0</v>
      </c>
      <c r="CL24">
        <f t="shared" si="2"/>
        <v>1.27047633725244</v>
      </c>
      <c r="CM24">
        <f t="shared" si="3"/>
        <v>0.636211969844065</v>
      </c>
      <c r="CN24" s="15">
        <v>10951.01</v>
      </c>
      <c r="CO24" s="15">
        <v>3856.82</v>
      </c>
      <c r="CP24" s="15">
        <v>618.88</v>
      </c>
      <c r="CQ24" s="15">
        <v>2096.48</v>
      </c>
      <c r="CR24" s="15">
        <v>396.7</v>
      </c>
      <c r="CS24" s="15">
        <v>373.19</v>
      </c>
      <c r="CT24" s="15">
        <v>391.25</v>
      </c>
      <c r="CU24" s="15">
        <v>608.32</v>
      </c>
      <c r="CV24" s="15">
        <v>95</v>
      </c>
      <c r="CW24" s="15">
        <v>1745.55</v>
      </c>
    </row>
    <row r="25" spans="1:101">
      <c r="A25" s="6">
        <v>2023</v>
      </c>
      <c r="B25" s="6" t="s">
        <v>100</v>
      </c>
      <c r="C25" s="6">
        <v>0.82802822</v>
      </c>
      <c r="D25" s="6">
        <v>0.122379</v>
      </c>
      <c r="E25" s="6">
        <v>0.038018</v>
      </c>
      <c r="F25" s="6">
        <v>0.060693</v>
      </c>
      <c r="G25" s="6">
        <v>0.028577</v>
      </c>
      <c r="H25" s="6">
        <v>0.024146</v>
      </c>
      <c r="I25" s="6">
        <v>0.094968</v>
      </c>
      <c r="J25" s="6">
        <v>0.043939</v>
      </c>
      <c r="K25" s="6">
        <v>0.90837698</v>
      </c>
      <c r="L25" s="6">
        <v>0.85834652</v>
      </c>
      <c r="M25" s="6">
        <v>0.88990756</v>
      </c>
      <c r="N25" s="6">
        <v>0.81621832</v>
      </c>
      <c r="O25" s="6">
        <v>0.69825205</v>
      </c>
      <c r="P25" s="6">
        <v>0.96798846</v>
      </c>
      <c r="Q25" s="6">
        <v>0.7149913</v>
      </c>
      <c r="R25" s="6">
        <v>217.69486</v>
      </c>
      <c r="S25" s="6">
        <v>0.00417271</v>
      </c>
      <c r="T25" s="6">
        <v>169.97573</v>
      </c>
      <c r="U25" s="6">
        <v>0.00504982</v>
      </c>
      <c r="V25" s="6">
        <v>197.11803</v>
      </c>
      <c r="W25" s="6">
        <v>0.00451459</v>
      </c>
      <c r="X25" s="6">
        <v>134.47093</v>
      </c>
      <c r="Y25" s="6">
        <v>0.00606985</v>
      </c>
      <c r="Z25" s="6">
        <v>134.86767</v>
      </c>
      <c r="AA25" s="6">
        <v>0.00517731</v>
      </c>
      <c r="AB25" s="6">
        <v>294.9318</v>
      </c>
      <c r="AC25" s="6">
        <v>0.00328208</v>
      </c>
      <c r="AD25" s="6">
        <v>243.86163</v>
      </c>
      <c r="AE25" s="6">
        <v>0.00293195</v>
      </c>
      <c r="AF25" s="6">
        <v>775</v>
      </c>
      <c r="AG25" s="6">
        <v>-0.02286306</v>
      </c>
      <c r="AH25" s="6">
        <v>-0.02670547</v>
      </c>
      <c r="AI25" s="6">
        <v>-0.02438079</v>
      </c>
      <c r="AJ25" s="6">
        <v>-0.03098307</v>
      </c>
      <c r="AK25" s="6">
        <v>-0.02725062</v>
      </c>
      <c r="AL25" s="6">
        <v>-0.01877111</v>
      </c>
      <c r="AM25" s="6">
        <v>-0.01709941</v>
      </c>
      <c r="AN25" s="6">
        <v>-6.4762184</v>
      </c>
      <c r="AO25" s="6">
        <v>-6.4515561</v>
      </c>
      <c r="AP25" s="6">
        <v>-6.4739881</v>
      </c>
      <c r="AQ25" s="6">
        <v>-6.4253629</v>
      </c>
      <c r="AR25" s="6">
        <v>-6.4020076</v>
      </c>
      <c r="AS25" s="6">
        <v>-6.4618417</v>
      </c>
      <c r="AT25" s="6">
        <v>-6.4506396</v>
      </c>
      <c r="AU25" s="6">
        <v>0.97344833</v>
      </c>
      <c r="AV25" s="6">
        <v>0.96974131</v>
      </c>
      <c r="AW25" s="6">
        <v>0.97311308</v>
      </c>
      <c r="AX25" s="6">
        <v>0.96580418</v>
      </c>
      <c r="AY25" s="6">
        <v>0.96229362</v>
      </c>
      <c r="AZ25" s="6">
        <v>0.97128734</v>
      </c>
      <c r="BA25" s="6">
        <v>0.96960354</v>
      </c>
      <c r="BB25" s="6">
        <v>0.02655167</v>
      </c>
      <c r="BC25" s="6">
        <v>0.03025869</v>
      </c>
      <c r="BD25" s="6">
        <v>0.02688692</v>
      </c>
      <c r="BE25" s="6">
        <v>0.03419582</v>
      </c>
      <c r="BF25" s="6">
        <v>0.03770638</v>
      </c>
      <c r="BG25" s="6">
        <v>0.02871266</v>
      </c>
      <c r="BH25" s="6">
        <v>0.03039646</v>
      </c>
      <c r="BI25" s="6">
        <v>0.21470859</v>
      </c>
      <c r="BJ25" s="6">
        <v>0.12366373</v>
      </c>
      <c r="BK25" s="6">
        <v>0.1409291</v>
      </c>
      <c r="BL25" s="6">
        <v>0.12522516</v>
      </c>
      <c r="BM25" s="6">
        <v>0.1592662</v>
      </c>
      <c r="BN25" s="6">
        <v>0.17561655</v>
      </c>
      <c r="BO25" s="6">
        <v>0.1337285</v>
      </c>
      <c r="BP25" s="6">
        <v>0.14157076</v>
      </c>
      <c r="BQ25" s="6">
        <v>0.11233329</v>
      </c>
      <c r="BR25" s="6">
        <v>0.120966</v>
      </c>
      <c r="BS25" s="6">
        <v>0.11143882</v>
      </c>
      <c r="BT25" s="6">
        <v>0.12999599</v>
      </c>
      <c r="BU25" s="6">
        <v>0.12262462</v>
      </c>
      <c r="BV25" s="6">
        <v>0.12944764</v>
      </c>
      <c r="BW25" s="6">
        <v>0.10122187</v>
      </c>
      <c r="BX25" s="12">
        <v>11793</v>
      </c>
      <c r="BY25" s="13">
        <v>2487</v>
      </c>
      <c r="BZ25" s="12">
        <v>47218.7</v>
      </c>
      <c r="CA25" s="6">
        <v>4.74185765983112</v>
      </c>
      <c r="CB25" s="6">
        <v>0.249752746263663</v>
      </c>
      <c r="CC25" s="7">
        <v>214378745.6</v>
      </c>
      <c r="CD25" s="7">
        <f t="shared" si="0"/>
        <v>0.454012384076648</v>
      </c>
      <c r="CE25" s="8">
        <v>2894.3</v>
      </c>
      <c r="CF25" s="8">
        <v>7311.4</v>
      </c>
      <c r="CG25" s="8">
        <v>10707.5</v>
      </c>
      <c r="CH25" s="8">
        <v>54172</v>
      </c>
      <c r="CI25" s="14">
        <v>1</v>
      </c>
      <c r="CJ25" s="14">
        <v>0</v>
      </c>
      <c r="CK25" s="14">
        <f t="shared" si="1"/>
        <v>0</v>
      </c>
      <c r="CL25">
        <f t="shared" si="2"/>
        <v>1.2756783895882</v>
      </c>
      <c r="CM25">
        <f t="shared" si="3"/>
        <v>0.644101218785082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</row>
    <row r="26" spans="1:101">
      <c r="A26" s="6">
        <v>2024</v>
      </c>
      <c r="B26" s="6" t="s">
        <v>100</v>
      </c>
      <c r="C26" s="6">
        <v>0.9315855</v>
      </c>
      <c r="D26" s="6">
        <v>0.134059</v>
      </c>
      <c r="E26" s="6">
        <v>0.044009</v>
      </c>
      <c r="F26" s="6">
        <v>0.067856</v>
      </c>
      <c r="G26" s="6">
        <v>0.034794</v>
      </c>
      <c r="H26" s="6">
        <v>0.028759</v>
      </c>
      <c r="I26" s="6">
        <v>0.097347</v>
      </c>
      <c r="J26" s="6">
        <v>0.04438</v>
      </c>
      <c r="K26" s="6">
        <v>1</v>
      </c>
      <c r="L26" s="6">
        <v>1</v>
      </c>
      <c r="M26" s="6">
        <v>1</v>
      </c>
      <c r="N26" s="6">
        <v>1</v>
      </c>
      <c r="O26" s="6">
        <v>0.83803982</v>
      </c>
      <c r="P26" s="6">
        <v>0.99448541</v>
      </c>
      <c r="Q26" s="6">
        <v>0.72286539</v>
      </c>
      <c r="R26" s="6">
        <v>217.69486</v>
      </c>
      <c r="S26" s="6">
        <v>0.00459359</v>
      </c>
      <c r="T26" s="6">
        <v>169.97573</v>
      </c>
      <c r="U26" s="6">
        <v>0.00588319</v>
      </c>
      <c r="V26" s="6">
        <v>197.11803</v>
      </c>
      <c r="W26" s="6">
        <v>0.0050731</v>
      </c>
      <c r="X26" s="6">
        <v>134.47093</v>
      </c>
      <c r="Y26" s="6">
        <v>0.00743655</v>
      </c>
      <c r="Z26" s="6">
        <v>134.86767</v>
      </c>
      <c r="AA26" s="6">
        <v>0.00621379</v>
      </c>
      <c r="AB26" s="6">
        <v>294.9318</v>
      </c>
      <c r="AC26" s="6">
        <v>0.00337192</v>
      </c>
      <c r="AD26" s="6">
        <v>243.86163</v>
      </c>
      <c r="AE26" s="6">
        <v>0.00296424</v>
      </c>
      <c r="AF26" s="6">
        <v>775</v>
      </c>
      <c r="AG26" s="6">
        <v>-0.02472771</v>
      </c>
      <c r="AH26" s="6">
        <v>-0.03021405</v>
      </c>
      <c r="AI26" s="6">
        <v>-0.02680527</v>
      </c>
      <c r="AJ26" s="6">
        <v>-0.03644913</v>
      </c>
      <c r="AK26" s="6">
        <v>-0.03157218</v>
      </c>
      <c r="AL26" s="6">
        <v>-0.01919387</v>
      </c>
      <c r="AM26" s="6">
        <v>-0.01725526</v>
      </c>
      <c r="AN26" s="6">
        <v>-6.4762184</v>
      </c>
      <c r="AO26" s="6">
        <v>-6.4515561</v>
      </c>
      <c r="AP26" s="6">
        <v>-6.4739881</v>
      </c>
      <c r="AQ26" s="6">
        <v>-6.4253629</v>
      </c>
      <c r="AR26" s="6">
        <v>-6.4020076</v>
      </c>
      <c r="AS26" s="6">
        <v>-6.4618417</v>
      </c>
      <c r="AT26" s="6">
        <v>-6.4506396</v>
      </c>
      <c r="AU26" s="6">
        <v>0.97344833</v>
      </c>
      <c r="AV26" s="6">
        <v>0.96974131</v>
      </c>
      <c r="AW26" s="6">
        <v>0.97311308</v>
      </c>
      <c r="AX26" s="6">
        <v>0.96580418</v>
      </c>
      <c r="AY26" s="6">
        <v>0.96229362</v>
      </c>
      <c r="AZ26" s="6">
        <v>0.97128734</v>
      </c>
      <c r="BA26" s="6">
        <v>0.96960354</v>
      </c>
      <c r="BB26" s="6">
        <v>0.02655167</v>
      </c>
      <c r="BC26" s="6">
        <v>0.03025869</v>
      </c>
      <c r="BD26" s="6">
        <v>0.02688692</v>
      </c>
      <c r="BE26" s="6">
        <v>0.03419582</v>
      </c>
      <c r="BF26" s="6">
        <v>0.03770638</v>
      </c>
      <c r="BG26" s="6">
        <v>0.02871266</v>
      </c>
      <c r="BH26" s="6">
        <v>0.03039646</v>
      </c>
      <c r="BI26" s="6">
        <v>0.21470859</v>
      </c>
      <c r="BJ26" s="6">
        <v>0.12366373</v>
      </c>
      <c r="BK26" s="6">
        <v>0.1409291</v>
      </c>
      <c r="BL26" s="6">
        <v>0.12522516</v>
      </c>
      <c r="BM26" s="6">
        <v>0.1592662</v>
      </c>
      <c r="BN26" s="6">
        <v>0.17561655</v>
      </c>
      <c r="BO26" s="6">
        <v>0.1337285</v>
      </c>
      <c r="BP26" s="6">
        <v>0.14157076</v>
      </c>
      <c r="BQ26" s="6">
        <v>0.12366373</v>
      </c>
      <c r="BR26" s="6">
        <v>0.1409291</v>
      </c>
      <c r="BS26" s="6">
        <v>0.12522516</v>
      </c>
      <c r="BT26" s="6">
        <v>0.1592662</v>
      </c>
      <c r="BU26" s="6">
        <v>0.14717366</v>
      </c>
      <c r="BV26" s="6">
        <v>0.13299104</v>
      </c>
      <c r="BW26" s="6">
        <v>0.10233661</v>
      </c>
      <c r="BX26" s="12">
        <v>12634.99</v>
      </c>
      <c r="BY26" s="13">
        <v>2480</v>
      </c>
      <c r="BZ26" s="12">
        <v>53926.7</v>
      </c>
      <c r="CA26" s="6">
        <v>5.09475403225806</v>
      </c>
      <c r="CB26" s="6">
        <v>0.234299335950466</v>
      </c>
      <c r="CC26" s="7">
        <v>211640014.7</v>
      </c>
      <c r="CD26" s="7">
        <f t="shared" si="0"/>
        <v>0.392458679466758</v>
      </c>
      <c r="CE26" s="8">
        <v>2971.7</v>
      </c>
      <c r="CF26" s="8">
        <v>7097.6</v>
      </c>
      <c r="CG26" s="8">
        <v>12597.9</v>
      </c>
      <c r="CH26" s="8">
        <v>58685</v>
      </c>
      <c r="CI26" s="14">
        <v>1</v>
      </c>
      <c r="CJ26" s="14">
        <v>0</v>
      </c>
      <c r="CK26" s="14">
        <f t="shared" si="1"/>
        <v>0</v>
      </c>
      <c r="CL26">
        <f t="shared" si="2"/>
        <v>1.21200651315194</v>
      </c>
      <c r="CM26">
        <f t="shared" si="3"/>
        <v>0.676190948474253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</row>
    <row r="27" spans="1:101">
      <c r="A27" s="6">
        <v>2000</v>
      </c>
      <c r="B27" s="6" t="s">
        <v>101</v>
      </c>
      <c r="C27" s="6">
        <v>0.01025261</v>
      </c>
      <c r="D27" s="6">
        <v>0.008734</v>
      </c>
      <c r="E27" s="6">
        <v>0.00217</v>
      </c>
      <c r="F27" s="6">
        <v>0.00391</v>
      </c>
      <c r="G27" s="6">
        <v>0.001276</v>
      </c>
      <c r="H27" s="6">
        <v>0.001378</v>
      </c>
      <c r="I27" s="6">
        <v>0.008061</v>
      </c>
      <c r="J27" s="6">
        <v>0.004484</v>
      </c>
      <c r="K27" s="6">
        <v>0.01694289</v>
      </c>
      <c r="L27" s="6">
        <v>0.01080034</v>
      </c>
      <c r="M27" s="6">
        <v>0.01718261</v>
      </c>
      <c r="N27" s="6">
        <v>0.0092358</v>
      </c>
      <c r="O27" s="6">
        <v>0.0082653</v>
      </c>
      <c r="P27" s="6">
        <v>1e-5</v>
      </c>
      <c r="Q27" s="6">
        <v>0.01101779</v>
      </c>
      <c r="R27" s="6">
        <v>217.69486</v>
      </c>
      <c r="S27" s="6">
        <v>7.783e-5</v>
      </c>
      <c r="T27" s="6">
        <v>169.97573</v>
      </c>
      <c r="U27" s="6">
        <v>6.354e-5</v>
      </c>
      <c r="V27" s="6">
        <v>197.11803</v>
      </c>
      <c r="W27" s="6">
        <v>8.717e-5</v>
      </c>
      <c r="X27" s="6">
        <v>134.47093</v>
      </c>
      <c r="Y27" s="6">
        <v>6.868e-5</v>
      </c>
      <c r="Z27" s="6">
        <v>134.86767</v>
      </c>
      <c r="AA27" s="6">
        <v>6.128e-5</v>
      </c>
      <c r="AB27" s="6">
        <v>294.9318</v>
      </c>
      <c r="AC27" s="16">
        <v>3.391e-8</v>
      </c>
      <c r="AD27" s="6">
        <v>243.86163</v>
      </c>
      <c r="AE27" s="6">
        <v>4.518e-5</v>
      </c>
      <c r="AF27" s="6">
        <v>775</v>
      </c>
      <c r="AG27" s="6">
        <v>-0.00073634</v>
      </c>
      <c r="AH27" s="6">
        <v>-0.00061404</v>
      </c>
      <c r="AI27" s="6">
        <v>-0.00081483</v>
      </c>
      <c r="AJ27" s="6">
        <v>-0.00065839</v>
      </c>
      <c r="AK27" s="6">
        <v>-0.00059446</v>
      </c>
      <c r="AL27" s="16">
        <v>-5.832e-7</v>
      </c>
      <c r="AM27" s="6">
        <v>-0.00045202</v>
      </c>
      <c r="AN27" s="6">
        <v>-6.4762184</v>
      </c>
      <c r="AO27" s="6">
        <v>-6.4515561</v>
      </c>
      <c r="AP27" s="6">
        <v>-6.4739881</v>
      </c>
      <c r="AQ27" s="6">
        <v>-6.4253629</v>
      </c>
      <c r="AR27" s="6">
        <v>-6.4020076</v>
      </c>
      <c r="AS27" s="6">
        <v>-6.4618417</v>
      </c>
      <c r="AT27" s="6">
        <v>-6.4506396</v>
      </c>
      <c r="AU27" s="6">
        <v>0.97344833</v>
      </c>
      <c r="AV27" s="6">
        <v>0.96974131</v>
      </c>
      <c r="AW27" s="6">
        <v>0.97311308</v>
      </c>
      <c r="AX27" s="6">
        <v>0.96580418</v>
      </c>
      <c r="AY27" s="6">
        <v>0.96229362</v>
      </c>
      <c r="AZ27" s="6">
        <v>0.97128734</v>
      </c>
      <c r="BA27" s="6">
        <v>0.96960354</v>
      </c>
      <c r="BB27" s="6">
        <v>0.02655167</v>
      </c>
      <c r="BC27" s="6">
        <v>0.03025869</v>
      </c>
      <c r="BD27" s="6">
        <v>0.02688692</v>
      </c>
      <c r="BE27" s="6">
        <v>0.03419582</v>
      </c>
      <c r="BF27" s="6">
        <v>0.03770638</v>
      </c>
      <c r="BG27" s="6">
        <v>0.02871266</v>
      </c>
      <c r="BH27" s="6">
        <v>0.03039646</v>
      </c>
      <c r="BI27" s="6">
        <v>0.21470859</v>
      </c>
      <c r="BJ27" s="6">
        <v>0.12366373</v>
      </c>
      <c r="BK27" s="6">
        <v>0.1409291</v>
      </c>
      <c r="BL27" s="6">
        <v>0.12522516</v>
      </c>
      <c r="BM27" s="6">
        <v>0.1592662</v>
      </c>
      <c r="BN27" s="6">
        <v>0.17561655</v>
      </c>
      <c r="BO27" s="6">
        <v>0.1337285</v>
      </c>
      <c r="BP27" s="6">
        <v>0.14157076</v>
      </c>
      <c r="BQ27" s="6">
        <v>0.00209522</v>
      </c>
      <c r="BR27" s="6">
        <v>0.00152208</v>
      </c>
      <c r="BS27" s="6">
        <v>0.00215169</v>
      </c>
      <c r="BT27" s="6">
        <v>0.00147095</v>
      </c>
      <c r="BU27" s="6">
        <v>0.00145152</v>
      </c>
      <c r="BV27" s="16">
        <v>1.337e-6</v>
      </c>
      <c r="BW27" s="6">
        <v>0.0015598</v>
      </c>
      <c r="BX27" s="12">
        <v>3468.33</v>
      </c>
      <c r="BY27" s="13">
        <v>4240.8</v>
      </c>
      <c r="BZ27" s="12">
        <v>1955.09</v>
      </c>
      <c r="CA27" s="6">
        <f t="shared" ref="CA27:CA90" si="4">BX27/BY27</f>
        <v>0.8178480475382</v>
      </c>
      <c r="CB27" s="6">
        <f t="shared" ref="CB27:CB90" si="5">BX27/BZ27</f>
        <v>1.77400017390504</v>
      </c>
      <c r="CC27" s="7">
        <v>72148289.67</v>
      </c>
      <c r="CD27" s="7">
        <f t="shared" si="0"/>
        <v>3.69027971448885</v>
      </c>
      <c r="CE27" s="8">
        <v>40.1</v>
      </c>
      <c r="CF27" s="8">
        <v>80.9</v>
      </c>
      <c r="CG27" s="8">
        <v>142.7</v>
      </c>
      <c r="CH27" s="8">
        <v>5138</v>
      </c>
      <c r="CI27" s="14">
        <v>0</v>
      </c>
      <c r="CJ27" s="14">
        <v>0</v>
      </c>
      <c r="CK27" s="14">
        <f t="shared" si="1"/>
        <v>0</v>
      </c>
      <c r="CL27">
        <f t="shared" si="2"/>
        <v>4.53658228674969</v>
      </c>
      <c r="CM27">
        <f t="shared" si="3"/>
        <v>0.186550693620767</v>
      </c>
      <c r="CN27" s="15">
        <v>3468.33</v>
      </c>
      <c r="CO27" s="15">
        <v>3062.04</v>
      </c>
      <c r="CP27" s="15">
        <v>360</v>
      </c>
      <c r="CQ27">
        <v>0</v>
      </c>
      <c r="CR27" s="15">
        <v>90.79</v>
      </c>
      <c r="CS27" s="15">
        <v>19.24</v>
      </c>
      <c r="CT27" s="15">
        <v>55.46</v>
      </c>
      <c r="CU27" s="15">
        <v>11.17</v>
      </c>
      <c r="CV27" s="15">
        <v>5.17</v>
      </c>
      <c r="CW27" s="15">
        <v>273.58</v>
      </c>
    </row>
    <row r="28" spans="1:101">
      <c r="A28" s="6">
        <v>2001</v>
      </c>
      <c r="B28" s="6" t="s">
        <v>101</v>
      </c>
      <c r="C28" s="6">
        <v>0.01352165</v>
      </c>
      <c r="D28" s="6">
        <v>0.009364</v>
      </c>
      <c r="E28" s="6">
        <v>0.00233</v>
      </c>
      <c r="F28" s="6">
        <v>0.004297</v>
      </c>
      <c r="G28" s="6">
        <v>0.001384</v>
      </c>
      <c r="H28" s="6">
        <v>0.001352</v>
      </c>
      <c r="I28" s="6">
        <v>0.008874</v>
      </c>
      <c r="J28" s="6">
        <v>0.004405</v>
      </c>
      <c r="K28" s="6">
        <v>0.02188077</v>
      </c>
      <c r="L28" s="6">
        <v>0.01459235</v>
      </c>
      <c r="M28" s="6">
        <v>0.02313517</v>
      </c>
      <c r="N28" s="6">
        <v>0.0124358</v>
      </c>
      <c r="O28" s="6">
        <v>0.00746423</v>
      </c>
      <c r="P28" s="6">
        <v>0.00905754</v>
      </c>
      <c r="Q28" s="6">
        <v>0.009603</v>
      </c>
      <c r="R28" s="6">
        <v>217.69486</v>
      </c>
      <c r="S28" s="6">
        <v>0.00010051</v>
      </c>
      <c r="T28" s="6">
        <v>169.97573</v>
      </c>
      <c r="U28" s="6">
        <v>8.585e-5</v>
      </c>
      <c r="V28" s="6">
        <v>197.11803</v>
      </c>
      <c r="W28" s="6">
        <v>0.00011737</v>
      </c>
      <c r="X28" s="6">
        <v>134.47093</v>
      </c>
      <c r="Y28" s="6">
        <v>9.248e-5</v>
      </c>
      <c r="Z28" s="6">
        <v>134.86767</v>
      </c>
      <c r="AA28" s="6">
        <v>5.534e-5</v>
      </c>
      <c r="AB28" s="6">
        <v>294.9318</v>
      </c>
      <c r="AC28" s="6">
        <v>3.071e-5</v>
      </c>
      <c r="AD28" s="6">
        <v>243.86163</v>
      </c>
      <c r="AE28" s="6">
        <v>3.938e-5</v>
      </c>
      <c r="AF28" s="6">
        <v>775</v>
      </c>
      <c r="AG28" s="6">
        <v>-0.00092523</v>
      </c>
      <c r="AH28" s="6">
        <v>-0.0008038</v>
      </c>
      <c r="AI28" s="6">
        <v>-0.0010622</v>
      </c>
      <c r="AJ28" s="6">
        <v>-0.000859</v>
      </c>
      <c r="AK28" s="6">
        <v>-0.00054249</v>
      </c>
      <c r="AL28" s="6">
        <v>-0.00031911</v>
      </c>
      <c r="AM28" s="6">
        <v>-0.00039939</v>
      </c>
      <c r="AN28" s="6">
        <v>-6.4762184</v>
      </c>
      <c r="AO28" s="6">
        <v>-6.4515561</v>
      </c>
      <c r="AP28" s="6">
        <v>-6.4739881</v>
      </c>
      <c r="AQ28" s="6">
        <v>-6.4253629</v>
      </c>
      <c r="AR28" s="6">
        <v>-6.4020076</v>
      </c>
      <c r="AS28" s="6">
        <v>-6.4618417</v>
      </c>
      <c r="AT28" s="6">
        <v>-6.4506396</v>
      </c>
      <c r="AU28" s="6">
        <v>0.97344833</v>
      </c>
      <c r="AV28" s="6">
        <v>0.96974131</v>
      </c>
      <c r="AW28" s="6">
        <v>0.97311308</v>
      </c>
      <c r="AX28" s="6">
        <v>0.96580418</v>
      </c>
      <c r="AY28" s="6">
        <v>0.96229362</v>
      </c>
      <c r="AZ28" s="6">
        <v>0.97128734</v>
      </c>
      <c r="BA28" s="6">
        <v>0.96960354</v>
      </c>
      <c r="BB28" s="6">
        <v>0.02655167</v>
      </c>
      <c r="BC28" s="6">
        <v>0.03025869</v>
      </c>
      <c r="BD28" s="6">
        <v>0.02688692</v>
      </c>
      <c r="BE28" s="6">
        <v>0.03419582</v>
      </c>
      <c r="BF28" s="6">
        <v>0.03770638</v>
      </c>
      <c r="BG28" s="6">
        <v>0.02871266</v>
      </c>
      <c r="BH28" s="6">
        <v>0.03039646</v>
      </c>
      <c r="BI28" s="6">
        <v>0.21470859</v>
      </c>
      <c r="BJ28" s="6">
        <v>0.12366373</v>
      </c>
      <c r="BK28" s="6">
        <v>0.1409291</v>
      </c>
      <c r="BL28" s="6">
        <v>0.12522516</v>
      </c>
      <c r="BM28" s="6">
        <v>0.1592662</v>
      </c>
      <c r="BN28" s="6">
        <v>0.17561655</v>
      </c>
      <c r="BO28" s="6">
        <v>0.1337285</v>
      </c>
      <c r="BP28" s="6">
        <v>0.14157076</v>
      </c>
      <c r="BQ28" s="6">
        <v>0.00270586</v>
      </c>
      <c r="BR28" s="6">
        <v>0.00205649</v>
      </c>
      <c r="BS28" s="6">
        <v>0.0028971</v>
      </c>
      <c r="BT28" s="6">
        <v>0.0019806</v>
      </c>
      <c r="BU28" s="6">
        <v>0.00131084</v>
      </c>
      <c r="BV28" s="6">
        <v>0.00121125</v>
      </c>
      <c r="BW28" s="6">
        <v>0.0013595</v>
      </c>
      <c r="BX28" s="12">
        <v>3741.03</v>
      </c>
      <c r="BY28" s="13">
        <v>4287.4</v>
      </c>
      <c r="BZ28" s="12">
        <v>2138.31</v>
      </c>
      <c r="CA28" s="6">
        <f t="shared" si="4"/>
        <v>0.872563791575314</v>
      </c>
      <c r="CB28" s="6">
        <f t="shared" si="5"/>
        <v>1.74952649522286</v>
      </c>
      <c r="CC28" s="7">
        <v>75128763.94</v>
      </c>
      <c r="CD28" s="7">
        <f t="shared" si="0"/>
        <v>3.51346455565376</v>
      </c>
      <c r="CE28" s="8">
        <v>44.7</v>
      </c>
      <c r="CF28" s="8">
        <v>96.1</v>
      </c>
      <c r="CG28" s="8">
        <v>159.3</v>
      </c>
      <c r="CH28" s="8">
        <v>5774</v>
      </c>
      <c r="CI28" s="14">
        <v>0</v>
      </c>
      <c r="CJ28" s="14">
        <v>0</v>
      </c>
      <c r="CK28" s="14">
        <f t="shared" si="1"/>
        <v>0</v>
      </c>
      <c r="CL28">
        <f t="shared" si="2"/>
        <v>4.16809156222866</v>
      </c>
      <c r="CM28">
        <f t="shared" si="3"/>
        <v>0.157056772098566</v>
      </c>
      <c r="CN28" s="15">
        <v>3490</v>
      </c>
      <c r="CO28" s="15">
        <v>3101</v>
      </c>
      <c r="CP28" s="15">
        <v>380.36</v>
      </c>
      <c r="CQ28">
        <v>0</v>
      </c>
      <c r="CR28" s="15">
        <v>111.47</v>
      </c>
      <c r="CS28" s="15">
        <v>20.55</v>
      </c>
      <c r="CT28" s="15">
        <v>114.45</v>
      </c>
      <c r="CU28" s="15">
        <v>8.68</v>
      </c>
      <c r="CV28" s="15">
        <v>5.29</v>
      </c>
      <c r="CW28" s="15">
        <v>347.07</v>
      </c>
    </row>
    <row r="29" spans="1:101">
      <c r="A29" s="6">
        <v>2002</v>
      </c>
      <c r="B29" s="6" t="s">
        <v>101</v>
      </c>
      <c r="C29" s="6">
        <v>0.01116783</v>
      </c>
      <c r="D29" s="6">
        <v>0.008579</v>
      </c>
      <c r="E29" s="6">
        <v>0.002159</v>
      </c>
      <c r="F29" s="6">
        <v>0.00384</v>
      </c>
      <c r="G29" s="6">
        <v>0.001316</v>
      </c>
      <c r="H29" s="6">
        <v>0.001264</v>
      </c>
      <c r="I29" s="6">
        <v>0.008439</v>
      </c>
      <c r="J29" s="6">
        <v>0.004917</v>
      </c>
      <c r="K29" s="6">
        <v>0.01573023</v>
      </c>
      <c r="L29" s="6">
        <v>0.01055353</v>
      </c>
      <c r="M29" s="6">
        <v>0.01610586</v>
      </c>
      <c r="N29" s="6">
        <v>0.01041472</v>
      </c>
      <c r="O29" s="6">
        <v>0.00481109</v>
      </c>
      <c r="P29" s="6">
        <v>0.00420754</v>
      </c>
      <c r="Q29" s="6">
        <v>0.01873352</v>
      </c>
      <c r="R29" s="6">
        <v>217.69486</v>
      </c>
      <c r="S29" s="6">
        <v>7.226e-5</v>
      </c>
      <c r="T29" s="6">
        <v>169.97573</v>
      </c>
      <c r="U29" s="6">
        <v>6.209e-5</v>
      </c>
      <c r="V29" s="6">
        <v>197.11803</v>
      </c>
      <c r="W29" s="6">
        <v>8.171e-5</v>
      </c>
      <c r="X29" s="6">
        <v>134.47093</v>
      </c>
      <c r="Y29" s="6">
        <v>7.745e-5</v>
      </c>
      <c r="Z29" s="6">
        <v>134.86767</v>
      </c>
      <c r="AA29" s="6">
        <v>3.567e-5</v>
      </c>
      <c r="AB29" s="6">
        <v>294.9318</v>
      </c>
      <c r="AC29" s="6">
        <v>1.427e-5</v>
      </c>
      <c r="AD29" s="6">
        <v>243.86163</v>
      </c>
      <c r="AE29" s="6">
        <v>7.682e-5</v>
      </c>
      <c r="AF29" s="6">
        <v>775</v>
      </c>
      <c r="AG29" s="6">
        <v>-0.000689</v>
      </c>
      <c r="AH29" s="6">
        <v>-0.00060145</v>
      </c>
      <c r="AI29" s="6">
        <v>-0.00076905</v>
      </c>
      <c r="AJ29" s="6">
        <v>-0.00073313</v>
      </c>
      <c r="AK29" s="6">
        <v>-0.00036533</v>
      </c>
      <c r="AL29" s="6">
        <v>-0.00015918</v>
      </c>
      <c r="AM29" s="6">
        <v>-0.0007278</v>
      </c>
      <c r="AN29" s="6">
        <v>-6.4762184</v>
      </c>
      <c r="AO29" s="6">
        <v>-6.4515561</v>
      </c>
      <c r="AP29" s="6">
        <v>-6.4739881</v>
      </c>
      <c r="AQ29" s="6">
        <v>-6.4253629</v>
      </c>
      <c r="AR29" s="6">
        <v>-6.4020076</v>
      </c>
      <c r="AS29" s="6">
        <v>-6.4618417</v>
      </c>
      <c r="AT29" s="6">
        <v>-6.4506396</v>
      </c>
      <c r="AU29" s="6">
        <v>0.97344833</v>
      </c>
      <c r="AV29" s="6">
        <v>0.96974131</v>
      </c>
      <c r="AW29" s="6">
        <v>0.97311308</v>
      </c>
      <c r="AX29" s="6">
        <v>0.96580418</v>
      </c>
      <c r="AY29" s="6">
        <v>0.96229362</v>
      </c>
      <c r="AZ29" s="6">
        <v>0.97128734</v>
      </c>
      <c r="BA29" s="6">
        <v>0.96960354</v>
      </c>
      <c r="BB29" s="6">
        <v>0.02655167</v>
      </c>
      <c r="BC29" s="6">
        <v>0.03025869</v>
      </c>
      <c r="BD29" s="6">
        <v>0.02688692</v>
      </c>
      <c r="BE29" s="6">
        <v>0.03419582</v>
      </c>
      <c r="BF29" s="6">
        <v>0.03770638</v>
      </c>
      <c r="BG29" s="6">
        <v>0.02871266</v>
      </c>
      <c r="BH29" s="6">
        <v>0.03039646</v>
      </c>
      <c r="BI29" s="6">
        <v>0.21470859</v>
      </c>
      <c r="BJ29" s="6">
        <v>0.12366373</v>
      </c>
      <c r="BK29" s="6">
        <v>0.1409291</v>
      </c>
      <c r="BL29" s="6">
        <v>0.12522516</v>
      </c>
      <c r="BM29" s="6">
        <v>0.1592662</v>
      </c>
      <c r="BN29" s="6">
        <v>0.17561655</v>
      </c>
      <c r="BO29" s="6">
        <v>0.1337285</v>
      </c>
      <c r="BP29" s="6">
        <v>0.14157076</v>
      </c>
      <c r="BQ29" s="6">
        <v>0.00194526</v>
      </c>
      <c r="BR29" s="6">
        <v>0.0014873</v>
      </c>
      <c r="BS29" s="6">
        <v>0.00201686</v>
      </c>
      <c r="BT29" s="6">
        <v>0.00165871</v>
      </c>
      <c r="BU29" s="6">
        <v>0.00084491</v>
      </c>
      <c r="BV29" s="6">
        <v>0.00056267</v>
      </c>
      <c r="BW29" s="6">
        <v>0.00265212</v>
      </c>
      <c r="BX29" s="12">
        <v>4131.31</v>
      </c>
      <c r="BY29" s="13">
        <v>4333.1</v>
      </c>
      <c r="BZ29" s="12">
        <v>2312.82</v>
      </c>
      <c r="CA29" s="6">
        <f t="shared" si="4"/>
        <v>0.953430569338349</v>
      </c>
      <c r="CB29" s="6">
        <f t="shared" si="5"/>
        <v>1.78626525194351</v>
      </c>
      <c r="CC29" s="7">
        <v>78746649.47</v>
      </c>
      <c r="CD29" s="7">
        <f t="shared" si="0"/>
        <v>3.4047893683901</v>
      </c>
      <c r="CE29" s="8">
        <v>45.3</v>
      </c>
      <c r="CF29" s="8">
        <v>113</v>
      </c>
      <c r="CG29" s="8">
        <v>182.3</v>
      </c>
      <c r="CH29" s="8">
        <v>6478</v>
      </c>
      <c r="CI29" s="14">
        <v>0</v>
      </c>
      <c r="CJ29" s="14">
        <v>0</v>
      </c>
      <c r="CK29" s="14">
        <f t="shared" si="1"/>
        <v>0</v>
      </c>
      <c r="CL29">
        <f t="shared" si="2"/>
        <v>4.06804884448575</v>
      </c>
      <c r="CM29">
        <f t="shared" si="3"/>
        <v>0.163041178080913</v>
      </c>
      <c r="CN29" s="15">
        <v>4131</v>
      </c>
      <c r="CO29" s="15">
        <v>3556</v>
      </c>
      <c r="CP29" s="15">
        <v>590.14</v>
      </c>
      <c r="CQ29">
        <v>0</v>
      </c>
      <c r="CR29" s="15">
        <v>97.6</v>
      </c>
      <c r="CS29" s="15">
        <v>18.95</v>
      </c>
      <c r="CT29" s="15">
        <v>179.35</v>
      </c>
      <c r="CU29" s="15">
        <v>8.53</v>
      </c>
      <c r="CV29" s="15">
        <v>5.14</v>
      </c>
      <c r="CW29" s="15">
        <v>393.46</v>
      </c>
    </row>
    <row r="30" spans="1:101">
      <c r="A30" s="6">
        <v>2003</v>
      </c>
      <c r="B30" s="6" t="s">
        <v>101</v>
      </c>
      <c r="C30" s="6">
        <v>0.01969506</v>
      </c>
      <c r="D30" s="6">
        <v>0.00973</v>
      </c>
      <c r="E30" s="6">
        <v>0.002507</v>
      </c>
      <c r="F30" s="6">
        <v>0.004278</v>
      </c>
      <c r="G30" s="6">
        <v>0.001412</v>
      </c>
      <c r="H30" s="6">
        <v>0.001534</v>
      </c>
      <c r="I30" s="6">
        <v>0.010086</v>
      </c>
      <c r="J30" s="6">
        <v>0.00534</v>
      </c>
      <c r="K30" s="6">
        <v>0.02475866</v>
      </c>
      <c r="L30" s="6">
        <v>0.01876827</v>
      </c>
      <c r="M30" s="6">
        <v>0.02283492</v>
      </c>
      <c r="N30" s="6">
        <v>0.01325389</v>
      </c>
      <c r="O30" s="6">
        <v>0.01298333</v>
      </c>
      <c r="P30" s="6">
        <v>0.02255383</v>
      </c>
      <c r="Q30" s="6">
        <v>0.02628888</v>
      </c>
      <c r="R30" s="6">
        <v>217.69486</v>
      </c>
      <c r="S30" s="6">
        <v>0.00011373</v>
      </c>
      <c r="T30" s="6">
        <v>169.97573</v>
      </c>
      <c r="U30" s="6">
        <v>0.00011042</v>
      </c>
      <c r="V30" s="6">
        <v>197.11803</v>
      </c>
      <c r="W30" s="6">
        <v>0.00011584</v>
      </c>
      <c r="X30" s="6">
        <v>134.47093</v>
      </c>
      <c r="Y30" s="6">
        <v>9.856e-5</v>
      </c>
      <c r="Z30" s="6">
        <v>134.86767</v>
      </c>
      <c r="AA30" s="6">
        <v>9.627e-5</v>
      </c>
      <c r="AB30" s="6">
        <v>294.9318</v>
      </c>
      <c r="AC30" s="6">
        <v>7.647e-5</v>
      </c>
      <c r="AD30" s="6">
        <v>243.86163</v>
      </c>
      <c r="AE30" s="6">
        <v>0.0001078</v>
      </c>
      <c r="AF30" s="6">
        <v>775</v>
      </c>
      <c r="AG30" s="6">
        <v>-0.00103287</v>
      </c>
      <c r="AH30" s="6">
        <v>-0.00100604</v>
      </c>
      <c r="AI30" s="6">
        <v>-0.00104992</v>
      </c>
      <c r="AJ30" s="6">
        <v>-0.00090923</v>
      </c>
      <c r="AK30" s="6">
        <v>-0.00089032</v>
      </c>
      <c r="AL30" s="6">
        <v>-0.00072484</v>
      </c>
      <c r="AM30" s="6">
        <v>-0.0009848</v>
      </c>
      <c r="AN30" s="6">
        <v>-6.4762184</v>
      </c>
      <c r="AO30" s="6">
        <v>-6.4515561</v>
      </c>
      <c r="AP30" s="6">
        <v>-6.4739881</v>
      </c>
      <c r="AQ30" s="6">
        <v>-6.4253629</v>
      </c>
      <c r="AR30" s="6">
        <v>-6.4020076</v>
      </c>
      <c r="AS30" s="6">
        <v>-6.4618417</v>
      </c>
      <c r="AT30" s="6">
        <v>-6.4506396</v>
      </c>
      <c r="AU30" s="6">
        <v>0.97344833</v>
      </c>
      <c r="AV30" s="6">
        <v>0.96974131</v>
      </c>
      <c r="AW30" s="6">
        <v>0.97311308</v>
      </c>
      <c r="AX30" s="6">
        <v>0.96580418</v>
      </c>
      <c r="AY30" s="6">
        <v>0.96229362</v>
      </c>
      <c r="AZ30" s="6">
        <v>0.97128734</v>
      </c>
      <c r="BA30" s="6">
        <v>0.96960354</v>
      </c>
      <c r="BB30" s="6">
        <v>0.02655167</v>
      </c>
      <c r="BC30" s="6">
        <v>0.03025869</v>
      </c>
      <c r="BD30" s="6">
        <v>0.02688692</v>
      </c>
      <c r="BE30" s="6">
        <v>0.03419582</v>
      </c>
      <c r="BF30" s="6">
        <v>0.03770638</v>
      </c>
      <c r="BG30" s="6">
        <v>0.02871266</v>
      </c>
      <c r="BH30" s="6">
        <v>0.03039646</v>
      </c>
      <c r="BI30" s="6">
        <v>0.21470859</v>
      </c>
      <c r="BJ30" s="6">
        <v>0.12366373</v>
      </c>
      <c r="BK30" s="6">
        <v>0.1409291</v>
      </c>
      <c r="BL30" s="6">
        <v>0.12522516</v>
      </c>
      <c r="BM30" s="6">
        <v>0.1592662</v>
      </c>
      <c r="BN30" s="6">
        <v>0.17561655</v>
      </c>
      <c r="BO30" s="6">
        <v>0.1337285</v>
      </c>
      <c r="BP30" s="6">
        <v>0.14157076</v>
      </c>
      <c r="BQ30" s="6">
        <v>0.00306175</v>
      </c>
      <c r="BR30" s="6">
        <v>0.002645</v>
      </c>
      <c r="BS30" s="6">
        <v>0.00285951</v>
      </c>
      <c r="BT30" s="6">
        <v>0.0021109</v>
      </c>
      <c r="BU30" s="6">
        <v>0.00228009</v>
      </c>
      <c r="BV30" s="6">
        <v>0.00301609</v>
      </c>
      <c r="BW30" s="6">
        <v>0.00372174</v>
      </c>
      <c r="BX30" s="12">
        <v>4449.97</v>
      </c>
      <c r="BY30" s="13">
        <v>4375.6</v>
      </c>
      <c r="BZ30" s="12">
        <v>2556.02</v>
      </c>
      <c r="CA30" s="6">
        <f t="shared" si="4"/>
        <v>1.01699652619069</v>
      </c>
      <c r="CB30" s="6">
        <f t="shared" si="5"/>
        <v>1.74097620519401</v>
      </c>
      <c r="CC30" s="7">
        <v>93734727.01</v>
      </c>
      <c r="CD30" s="7">
        <f t="shared" si="0"/>
        <v>3.66721414582046</v>
      </c>
      <c r="CE30" s="8">
        <v>46</v>
      </c>
      <c r="CF30" s="8">
        <v>132.2</v>
      </c>
      <c r="CG30" s="8">
        <v>206.8</v>
      </c>
      <c r="CH30" s="8">
        <v>7248</v>
      </c>
      <c r="CI30" s="14">
        <v>0</v>
      </c>
      <c r="CJ30" s="14">
        <v>0</v>
      </c>
      <c r="CK30" s="14">
        <f t="shared" si="1"/>
        <v>0</v>
      </c>
      <c r="CL30">
        <f t="shared" si="2"/>
        <v>4.08414499624993</v>
      </c>
      <c r="CM30">
        <f t="shared" si="3"/>
        <v>0.10208522244247</v>
      </c>
      <c r="CN30" s="15">
        <v>4449.97</v>
      </c>
      <c r="CO30" s="15">
        <v>4613.54</v>
      </c>
      <c r="CP30" s="15">
        <v>759.23</v>
      </c>
      <c r="CQ30">
        <v>0</v>
      </c>
      <c r="CR30" s="15">
        <v>106.1</v>
      </c>
      <c r="CS30" s="15">
        <v>20.02</v>
      </c>
      <c r="CT30" s="15">
        <v>207.45</v>
      </c>
      <c r="CU30" s="15">
        <v>5.69</v>
      </c>
      <c r="CV30" s="15">
        <v>5.6</v>
      </c>
      <c r="CW30" s="15">
        <v>409.79</v>
      </c>
    </row>
    <row r="31" spans="1:101">
      <c r="A31" s="6">
        <v>2004</v>
      </c>
      <c r="B31" s="6" t="s">
        <v>101</v>
      </c>
      <c r="C31" s="6">
        <v>0.02227083</v>
      </c>
      <c r="D31" s="6">
        <v>0.010077</v>
      </c>
      <c r="E31" s="6">
        <v>0.002543</v>
      </c>
      <c r="F31" s="6">
        <v>0.004579</v>
      </c>
      <c r="G31" s="6">
        <v>0.001639</v>
      </c>
      <c r="H31" s="6">
        <v>0.001317</v>
      </c>
      <c r="I31" s="6">
        <v>0.010465</v>
      </c>
      <c r="J31" s="6">
        <v>0.005761</v>
      </c>
      <c r="K31" s="6">
        <v>0.02748025</v>
      </c>
      <c r="L31" s="6">
        <v>0.01962144</v>
      </c>
      <c r="M31" s="6">
        <v>0.02746513</v>
      </c>
      <c r="N31" s="6">
        <v>0.01995365</v>
      </c>
      <c r="O31" s="6">
        <v>0.00640617</v>
      </c>
      <c r="P31" s="6">
        <v>0.02677794</v>
      </c>
      <c r="Q31" s="6">
        <v>0.03379239</v>
      </c>
      <c r="R31" s="6">
        <v>217.69486</v>
      </c>
      <c r="S31" s="6">
        <v>0.00012623</v>
      </c>
      <c r="T31" s="6">
        <v>169.97573</v>
      </c>
      <c r="U31" s="6">
        <v>0.00011544</v>
      </c>
      <c r="V31" s="6">
        <v>197.11803</v>
      </c>
      <c r="W31" s="6">
        <v>0.00013933</v>
      </c>
      <c r="X31" s="6">
        <v>134.47093</v>
      </c>
      <c r="Y31" s="6">
        <v>0.00014839</v>
      </c>
      <c r="Z31" s="6">
        <v>134.86767</v>
      </c>
      <c r="AA31" s="6">
        <v>4.75e-5</v>
      </c>
      <c r="AB31" s="6">
        <v>294.9318</v>
      </c>
      <c r="AC31" s="6">
        <v>9.079e-5</v>
      </c>
      <c r="AD31" s="6">
        <v>243.86163</v>
      </c>
      <c r="AE31" s="6">
        <v>0.00013857</v>
      </c>
      <c r="AF31" s="6">
        <v>775</v>
      </c>
      <c r="AG31" s="6">
        <v>-0.00113324</v>
      </c>
      <c r="AH31" s="6">
        <v>-0.00104664</v>
      </c>
      <c r="AI31" s="6">
        <v>-0.00123709</v>
      </c>
      <c r="AJ31" s="6">
        <v>-0.00130813</v>
      </c>
      <c r="AK31" s="6">
        <v>-0.00047285</v>
      </c>
      <c r="AL31" s="6">
        <v>-0.00084501</v>
      </c>
      <c r="AM31" s="6">
        <v>-0.00123109</v>
      </c>
      <c r="AN31" s="6">
        <v>-6.4762184</v>
      </c>
      <c r="AO31" s="6">
        <v>-6.4515561</v>
      </c>
      <c r="AP31" s="6">
        <v>-6.4739881</v>
      </c>
      <c r="AQ31" s="6">
        <v>-6.4253629</v>
      </c>
      <c r="AR31" s="6">
        <v>-6.4020076</v>
      </c>
      <c r="AS31" s="6">
        <v>-6.4618417</v>
      </c>
      <c r="AT31" s="6">
        <v>-6.4506396</v>
      </c>
      <c r="AU31" s="6">
        <v>0.97344833</v>
      </c>
      <c r="AV31" s="6">
        <v>0.96974131</v>
      </c>
      <c r="AW31" s="6">
        <v>0.97311308</v>
      </c>
      <c r="AX31" s="6">
        <v>0.96580418</v>
      </c>
      <c r="AY31" s="6">
        <v>0.96229362</v>
      </c>
      <c r="AZ31" s="6">
        <v>0.97128734</v>
      </c>
      <c r="BA31" s="6">
        <v>0.96960354</v>
      </c>
      <c r="BB31" s="6">
        <v>0.02655167</v>
      </c>
      <c r="BC31" s="6">
        <v>0.03025869</v>
      </c>
      <c r="BD31" s="6">
        <v>0.02688692</v>
      </c>
      <c r="BE31" s="6">
        <v>0.03419582</v>
      </c>
      <c r="BF31" s="6">
        <v>0.03770638</v>
      </c>
      <c r="BG31" s="6">
        <v>0.02871266</v>
      </c>
      <c r="BH31" s="6">
        <v>0.03039646</v>
      </c>
      <c r="BI31" s="6">
        <v>0.21470859</v>
      </c>
      <c r="BJ31" s="6">
        <v>0.12366373</v>
      </c>
      <c r="BK31" s="6">
        <v>0.1409291</v>
      </c>
      <c r="BL31" s="6">
        <v>0.12522516</v>
      </c>
      <c r="BM31" s="6">
        <v>0.1592662</v>
      </c>
      <c r="BN31" s="6">
        <v>0.17561655</v>
      </c>
      <c r="BO31" s="6">
        <v>0.1337285</v>
      </c>
      <c r="BP31" s="6">
        <v>0.14157076</v>
      </c>
      <c r="BQ31" s="6">
        <v>0.00339831</v>
      </c>
      <c r="BR31" s="6">
        <v>0.00276523</v>
      </c>
      <c r="BS31" s="6">
        <v>0.00343932</v>
      </c>
      <c r="BT31" s="6">
        <v>0.00317794</v>
      </c>
      <c r="BU31" s="6">
        <v>0.00112503</v>
      </c>
      <c r="BV31" s="6">
        <v>0.00358097</v>
      </c>
      <c r="BW31" s="6">
        <v>0.00478401</v>
      </c>
      <c r="BX31" s="12">
        <v>5209.81</v>
      </c>
      <c r="BY31" s="13">
        <v>4415.2</v>
      </c>
      <c r="BZ31" s="12">
        <v>3081.91</v>
      </c>
      <c r="CA31" s="6">
        <f t="shared" si="4"/>
        <v>1.17997146222142</v>
      </c>
      <c r="CB31" s="6">
        <f t="shared" si="5"/>
        <v>1.69044845566548</v>
      </c>
      <c r="CC31" s="7">
        <v>108853628.3</v>
      </c>
      <c r="CD31" s="7">
        <f t="shared" si="0"/>
        <v>3.5320184009267</v>
      </c>
      <c r="CE31" s="8">
        <v>58.1</v>
      </c>
      <c r="CF31" s="8">
        <v>154.4</v>
      </c>
      <c r="CG31" s="8">
        <v>231.2</v>
      </c>
      <c r="CH31" s="8">
        <v>8275</v>
      </c>
      <c r="CI31" s="14">
        <v>0</v>
      </c>
      <c r="CJ31" s="14">
        <v>0</v>
      </c>
      <c r="CK31" s="14">
        <f t="shared" si="1"/>
        <v>0</v>
      </c>
      <c r="CL31">
        <f t="shared" si="2"/>
        <v>3.89549779892895</v>
      </c>
      <c r="CM31">
        <f t="shared" si="3"/>
        <v>0.0933075608724984</v>
      </c>
      <c r="CN31" s="15">
        <v>5209.81</v>
      </c>
      <c r="CO31" s="15">
        <v>5688.54</v>
      </c>
      <c r="CP31" s="15">
        <v>1046.32</v>
      </c>
      <c r="CQ31" s="15">
        <v>0.06</v>
      </c>
      <c r="CR31" s="15">
        <v>111.47</v>
      </c>
      <c r="CS31" s="15">
        <v>23.5</v>
      </c>
      <c r="CT31" s="15">
        <v>238.69</v>
      </c>
      <c r="CU31" s="15">
        <v>7.54</v>
      </c>
      <c r="CV31" s="15">
        <v>5.76</v>
      </c>
      <c r="CW31" s="15">
        <v>475.19</v>
      </c>
    </row>
    <row r="32" spans="1:101">
      <c r="A32" s="6">
        <v>2005</v>
      </c>
      <c r="B32" s="6" t="s">
        <v>101</v>
      </c>
      <c r="C32" s="6">
        <v>0.02612825</v>
      </c>
      <c r="D32" s="6">
        <v>0.010511</v>
      </c>
      <c r="E32" s="6">
        <v>0.002641</v>
      </c>
      <c r="F32" s="6">
        <v>0.004714</v>
      </c>
      <c r="G32" s="6">
        <v>0.001635</v>
      </c>
      <c r="H32" s="6">
        <v>0.00152</v>
      </c>
      <c r="I32" s="6">
        <v>0.01129</v>
      </c>
      <c r="J32" s="6">
        <v>0.005979</v>
      </c>
      <c r="K32" s="6">
        <v>0.03088473</v>
      </c>
      <c r="L32" s="6">
        <v>0.02195598</v>
      </c>
      <c r="M32" s="6">
        <v>0.02954157</v>
      </c>
      <c r="N32" s="6">
        <v>0.01985519</v>
      </c>
      <c r="O32" s="6">
        <v>0.01257337</v>
      </c>
      <c r="P32" s="6">
        <v>0.03596518</v>
      </c>
      <c r="Q32" s="6">
        <v>0.03768731</v>
      </c>
      <c r="R32" s="6">
        <v>217.69486</v>
      </c>
      <c r="S32" s="6">
        <v>0.00014187</v>
      </c>
      <c r="T32" s="6">
        <v>169.97573</v>
      </c>
      <c r="U32" s="6">
        <v>0.00012917</v>
      </c>
      <c r="V32" s="6">
        <v>197.11803</v>
      </c>
      <c r="W32" s="6">
        <v>0.00014987</v>
      </c>
      <c r="X32" s="6">
        <v>134.47093</v>
      </c>
      <c r="Y32" s="6">
        <v>0.00014765</v>
      </c>
      <c r="Z32" s="6">
        <v>134.86767</v>
      </c>
      <c r="AA32" s="6">
        <v>9.323e-5</v>
      </c>
      <c r="AB32" s="6">
        <v>294.9318</v>
      </c>
      <c r="AC32" s="6">
        <v>0.00012194</v>
      </c>
      <c r="AD32" s="6">
        <v>243.86163</v>
      </c>
      <c r="AE32" s="6">
        <v>0.00015454</v>
      </c>
      <c r="AF32" s="6">
        <v>775</v>
      </c>
      <c r="AG32" s="6">
        <v>-0.00125707</v>
      </c>
      <c r="AH32" s="6">
        <v>-0.00115665</v>
      </c>
      <c r="AI32" s="6">
        <v>-0.0013197</v>
      </c>
      <c r="AJ32" s="6">
        <v>-0.0013024</v>
      </c>
      <c r="AK32" s="6">
        <v>-0.00086519</v>
      </c>
      <c r="AL32" s="6">
        <v>-0.00109895</v>
      </c>
      <c r="AM32" s="6">
        <v>-0.00135613</v>
      </c>
      <c r="AN32" s="6">
        <v>-6.4762184</v>
      </c>
      <c r="AO32" s="6">
        <v>-6.4515561</v>
      </c>
      <c r="AP32" s="6">
        <v>-6.4739881</v>
      </c>
      <c r="AQ32" s="6">
        <v>-6.4253629</v>
      </c>
      <c r="AR32" s="6">
        <v>-6.4020076</v>
      </c>
      <c r="AS32" s="6">
        <v>-6.4618417</v>
      </c>
      <c r="AT32" s="6">
        <v>-6.4506396</v>
      </c>
      <c r="AU32" s="6">
        <v>0.97344833</v>
      </c>
      <c r="AV32" s="6">
        <v>0.96974131</v>
      </c>
      <c r="AW32" s="6">
        <v>0.97311308</v>
      </c>
      <c r="AX32" s="6">
        <v>0.96580418</v>
      </c>
      <c r="AY32" s="6">
        <v>0.96229362</v>
      </c>
      <c r="AZ32" s="6">
        <v>0.97128734</v>
      </c>
      <c r="BA32" s="6">
        <v>0.96960354</v>
      </c>
      <c r="BB32" s="6">
        <v>0.02655167</v>
      </c>
      <c r="BC32" s="6">
        <v>0.03025869</v>
      </c>
      <c r="BD32" s="6">
        <v>0.02688692</v>
      </c>
      <c r="BE32" s="6">
        <v>0.03419582</v>
      </c>
      <c r="BF32" s="6">
        <v>0.03770638</v>
      </c>
      <c r="BG32" s="6">
        <v>0.02871266</v>
      </c>
      <c r="BH32" s="6">
        <v>0.03039646</v>
      </c>
      <c r="BI32" s="6">
        <v>0.21470859</v>
      </c>
      <c r="BJ32" s="6">
        <v>0.12366373</v>
      </c>
      <c r="BK32" s="6">
        <v>0.1409291</v>
      </c>
      <c r="BL32" s="6">
        <v>0.12522516</v>
      </c>
      <c r="BM32" s="6">
        <v>0.1592662</v>
      </c>
      <c r="BN32" s="6">
        <v>0.17561655</v>
      </c>
      <c r="BO32" s="6">
        <v>0.1337285</v>
      </c>
      <c r="BP32" s="6">
        <v>0.14157076</v>
      </c>
      <c r="BQ32" s="6">
        <v>0.00381932</v>
      </c>
      <c r="BR32" s="6">
        <v>0.00309424</v>
      </c>
      <c r="BS32" s="6">
        <v>0.00369935</v>
      </c>
      <c r="BT32" s="6">
        <v>0.00316226</v>
      </c>
      <c r="BU32" s="6">
        <v>0.00220809</v>
      </c>
      <c r="BV32" s="6">
        <v>0.00480957</v>
      </c>
      <c r="BW32" s="6">
        <v>0.00533542</v>
      </c>
      <c r="BX32" s="12">
        <v>6023.97</v>
      </c>
      <c r="BY32" s="13">
        <v>4450.4</v>
      </c>
      <c r="BZ32" s="12">
        <v>3461.73</v>
      </c>
      <c r="CA32" s="6">
        <f t="shared" si="4"/>
        <v>1.35357945353227</v>
      </c>
      <c r="CB32" s="6">
        <f t="shared" si="5"/>
        <v>1.74016171105199</v>
      </c>
      <c r="CC32" s="7">
        <v>119192719.3</v>
      </c>
      <c r="CD32" s="7">
        <f t="shared" si="0"/>
        <v>3.44315470299532</v>
      </c>
      <c r="CE32" s="8">
        <v>62.8</v>
      </c>
      <c r="CF32" s="8">
        <v>190.3</v>
      </c>
      <c r="CG32" s="8">
        <v>246.3</v>
      </c>
      <c r="CH32" s="8">
        <v>9233</v>
      </c>
      <c r="CI32" s="14">
        <v>0</v>
      </c>
      <c r="CJ32" s="14">
        <v>0</v>
      </c>
      <c r="CK32" s="14">
        <f t="shared" si="1"/>
        <v>0</v>
      </c>
      <c r="CL32">
        <f t="shared" si="2"/>
        <v>3.71995059106252</v>
      </c>
      <c r="CM32">
        <f t="shared" si="3"/>
        <v>0.0744084850837068</v>
      </c>
      <c r="CN32" s="15">
        <v>6024</v>
      </c>
      <c r="CO32" s="15">
        <v>6681.53</v>
      </c>
      <c r="CP32" s="15">
        <v>1223.36</v>
      </c>
      <c r="CQ32" s="15">
        <v>0.07</v>
      </c>
      <c r="CR32" s="15">
        <v>122.95</v>
      </c>
      <c r="CS32" s="15">
        <v>28.71</v>
      </c>
      <c r="CT32" s="15">
        <v>283.9</v>
      </c>
      <c r="CU32" s="15">
        <v>3.91</v>
      </c>
      <c r="CV32" s="15">
        <v>6.12</v>
      </c>
      <c r="CW32" s="15">
        <v>557.25</v>
      </c>
    </row>
    <row r="33" spans="1:101">
      <c r="A33" s="6">
        <v>2006</v>
      </c>
      <c r="B33" s="6" t="s">
        <v>101</v>
      </c>
      <c r="C33" s="6">
        <v>0.03675201</v>
      </c>
      <c r="D33" s="6">
        <v>0.012248</v>
      </c>
      <c r="E33" s="6">
        <v>0.002971</v>
      </c>
      <c r="F33" s="6">
        <v>0.005527</v>
      </c>
      <c r="G33" s="6">
        <v>0.001866</v>
      </c>
      <c r="H33" s="6">
        <v>0.001885</v>
      </c>
      <c r="I33" s="6">
        <v>0.012034</v>
      </c>
      <c r="J33" s="6">
        <v>0.006829</v>
      </c>
      <c r="K33" s="6">
        <v>0.04450278</v>
      </c>
      <c r="L33" s="6">
        <v>0.02973815</v>
      </c>
      <c r="M33" s="6">
        <v>0.04202678</v>
      </c>
      <c r="N33" s="6">
        <v>0.0266619</v>
      </c>
      <c r="O33" s="6">
        <v>0.02361444</v>
      </c>
      <c r="P33" s="6">
        <v>0.04425398</v>
      </c>
      <c r="Q33" s="6">
        <v>0.05285985</v>
      </c>
      <c r="R33" s="6">
        <v>217.69486</v>
      </c>
      <c r="S33" s="6">
        <v>0.00020443</v>
      </c>
      <c r="T33" s="6">
        <v>169.97573</v>
      </c>
      <c r="U33" s="6">
        <v>0.00017496</v>
      </c>
      <c r="V33" s="6">
        <v>197.11803</v>
      </c>
      <c r="W33" s="6">
        <v>0.00021321</v>
      </c>
      <c r="X33" s="6">
        <v>134.47093</v>
      </c>
      <c r="Y33" s="6">
        <v>0.00019827</v>
      </c>
      <c r="Z33" s="6">
        <v>134.86767</v>
      </c>
      <c r="AA33" s="6">
        <v>0.00017509</v>
      </c>
      <c r="AB33" s="6">
        <v>294.9318</v>
      </c>
      <c r="AC33" s="6">
        <v>0.00015005</v>
      </c>
      <c r="AD33" s="6">
        <v>243.86163</v>
      </c>
      <c r="AE33" s="6">
        <v>0.00021676</v>
      </c>
      <c r="AF33" s="6">
        <v>775</v>
      </c>
      <c r="AG33" s="6">
        <v>-0.00173667</v>
      </c>
      <c r="AH33" s="6">
        <v>-0.00151353</v>
      </c>
      <c r="AI33" s="6">
        <v>-0.00180229</v>
      </c>
      <c r="AJ33" s="6">
        <v>-0.00169045</v>
      </c>
      <c r="AK33" s="6">
        <v>-0.00151459</v>
      </c>
      <c r="AL33" s="6">
        <v>-0.00132111</v>
      </c>
      <c r="AM33" s="6">
        <v>-0.00182876</v>
      </c>
      <c r="AN33" s="6">
        <v>-6.4762184</v>
      </c>
      <c r="AO33" s="6">
        <v>-6.4515561</v>
      </c>
      <c r="AP33" s="6">
        <v>-6.4739881</v>
      </c>
      <c r="AQ33" s="6">
        <v>-6.4253629</v>
      </c>
      <c r="AR33" s="6">
        <v>-6.4020076</v>
      </c>
      <c r="AS33" s="6">
        <v>-6.4618417</v>
      </c>
      <c r="AT33" s="6">
        <v>-6.4506396</v>
      </c>
      <c r="AU33" s="6">
        <v>0.97344833</v>
      </c>
      <c r="AV33" s="6">
        <v>0.96974131</v>
      </c>
      <c r="AW33" s="6">
        <v>0.97311308</v>
      </c>
      <c r="AX33" s="6">
        <v>0.96580418</v>
      </c>
      <c r="AY33" s="6">
        <v>0.96229362</v>
      </c>
      <c r="AZ33" s="6">
        <v>0.97128734</v>
      </c>
      <c r="BA33" s="6">
        <v>0.96960354</v>
      </c>
      <c r="BB33" s="6">
        <v>0.02655167</v>
      </c>
      <c r="BC33" s="6">
        <v>0.03025869</v>
      </c>
      <c r="BD33" s="6">
        <v>0.02688692</v>
      </c>
      <c r="BE33" s="6">
        <v>0.03419582</v>
      </c>
      <c r="BF33" s="6">
        <v>0.03770638</v>
      </c>
      <c r="BG33" s="6">
        <v>0.02871266</v>
      </c>
      <c r="BH33" s="6">
        <v>0.03039646</v>
      </c>
      <c r="BI33" s="6">
        <v>0.21470859</v>
      </c>
      <c r="BJ33" s="6">
        <v>0.12366373</v>
      </c>
      <c r="BK33" s="6">
        <v>0.1409291</v>
      </c>
      <c r="BL33" s="6">
        <v>0.12522516</v>
      </c>
      <c r="BM33" s="6">
        <v>0.1592662</v>
      </c>
      <c r="BN33" s="6">
        <v>0.17561655</v>
      </c>
      <c r="BO33" s="6">
        <v>0.1337285</v>
      </c>
      <c r="BP33" s="6">
        <v>0.14157076</v>
      </c>
      <c r="BQ33" s="6">
        <v>0.00550338</v>
      </c>
      <c r="BR33" s="6">
        <v>0.00419097</v>
      </c>
      <c r="BS33" s="6">
        <v>0.00526281</v>
      </c>
      <c r="BT33" s="6">
        <v>0.00424634</v>
      </c>
      <c r="BU33" s="6">
        <v>0.00414709</v>
      </c>
      <c r="BV33" s="6">
        <v>0.00591802</v>
      </c>
      <c r="BW33" s="6">
        <v>0.00748341</v>
      </c>
      <c r="BX33" s="12">
        <v>6620.57</v>
      </c>
      <c r="BY33" s="13">
        <v>4483</v>
      </c>
      <c r="BZ33" s="12">
        <v>3988.14</v>
      </c>
      <c r="CA33" s="6">
        <f t="shared" si="4"/>
        <v>1.47681686370734</v>
      </c>
      <c r="CB33" s="6">
        <f t="shared" si="5"/>
        <v>1.66006459151384</v>
      </c>
      <c r="CC33" s="7">
        <v>141647714.3</v>
      </c>
      <c r="CD33" s="7">
        <f t="shared" si="0"/>
        <v>3.55172371832483</v>
      </c>
      <c r="CE33" s="8">
        <v>65.8</v>
      </c>
      <c r="CF33" s="8">
        <v>228.1</v>
      </c>
      <c r="CG33" s="8">
        <v>291.2</v>
      </c>
      <c r="CH33" s="8">
        <v>10728</v>
      </c>
      <c r="CI33" s="14">
        <v>0</v>
      </c>
      <c r="CJ33" s="14">
        <v>0</v>
      </c>
      <c r="CK33" s="14">
        <f t="shared" si="1"/>
        <v>0</v>
      </c>
      <c r="CL33">
        <f t="shared" si="2"/>
        <v>3.57740717995078</v>
      </c>
      <c r="CM33">
        <f t="shared" si="3"/>
        <v>0.007179350947214</v>
      </c>
      <c r="CN33" s="15">
        <v>6640.58</v>
      </c>
      <c r="CO33" s="15">
        <v>7482</v>
      </c>
      <c r="CP33" s="15">
        <v>1252.01</v>
      </c>
      <c r="CQ33" s="15">
        <v>0.07</v>
      </c>
      <c r="CR33" s="15">
        <v>128.12</v>
      </c>
      <c r="CS33" s="15">
        <v>35.06</v>
      </c>
      <c r="CT33" s="15">
        <v>331.66</v>
      </c>
      <c r="CU33" s="15">
        <v>4.72</v>
      </c>
      <c r="CV33" s="15">
        <v>5.45</v>
      </c>
      <c r="CW33" s="15">
        <v>645.62</v>
      </c>
    </row>
    <row r="34" spans="1:101">
      <c r="A34" s="6">
        <v>2007</v>
      </c>
      <c r="B34" s="6" t="s">
        <v>101</v>
      </c>
      <c r="C34" s="6">
        <v>0.03435567</v>
      </c>
      <c r="D34" s="6">
        <v>0.012328</v>
      </c>
      <c r="E34" s="6">
        <v>0.003155</v>
      </c>
      <c r="F34" s="6">
        <v>0.005579</v>
      </c>
      <c r="G34" s="6">
        <v>0.00178</v>
      </c>
      <c r="H34" s="6">
        <v>0.001813</v>
      </c>
      <c r="I34" s="6">
        <v>0.012134</v>
      </c>
      <c r="J34" s="6">
        <v>0.005818</v>
      </c>
      <c r="K34" s="6">
        <v>0.04513059</v>
      </c>
      <c r="L34" s="6">
        <v>0.03410397</v>
      </c>
      <c r="M34" s="6">
        <v>0.04283508</v>
      </c>
      <c r="N34" s="6">
        <v>0.02413546</v>
      </c>
      <c r="O34" s="6">
        <v>0.02144027</v>
      </c>
      <c r="P34" s="6">
        <v>0.04536132</v>
      </c>
      <c r="Q34" s="6">
        <v>0.03481683</v>
      </c>
      <c r="R34" s="6">
        <v>217.69486</v>
      </c>
      <c r="S34" s="6">
        <v>0.00020731</v>
      </c>
      <c r="T34" s="6">
        <v>169.97573</v>
      </c>
      <c r="U34" s="6">
        <v>0.00020064</v>
      </c>
      <c r="V34" s="6">
        <v>197.11803</v>
      </c>
      <c r="W34" s="6">
        <v>0.00021731</v>
      </c>
      <c r="X34" s="6">
        <v>134.47093</v>
      </c>
      <c r="Y34" s="6">
        <v>0.00017948</v>
      </c>
      <c r="Z34" s="6">
        <v>134.86767</v>
      </c>
      <c r="AA34" s="6">
        <v>0.00015897</v>
      </c>
      <c r="AB34" s="6">
        <v>294.9318</v>
      </c>
      <c r="AC34" s="6">
        <v>0.0001538</v>
      </c>
      <c r="AD34" s="6">
        <v>243.86163</v>
      </c>
      <c r="AE34" s="6">
        <v>0.00014277</v>
      </c>
      <c r="AF34" s="6">
        <v>775</v>
      </c>
      <c r="AG34" s="6">
        <v>-0.00175827</v>
      </c>
      <c r="AH34" s="6">
        <v>-0.00170825</v>
      </c>
      <c r="AI34" s="6">
        <v>-0.00183281</v>
      </c>
      <c r="AJ34" s="6">
        <v>-0.00154813</v>
      </c>
      <c r="AK34" s="6">
        <v>-0.0013905</v>
      </c>
      <c r="AL34" s="6">
        <v>-0.00135036</v>
      </c>
      <c r="AM34" s="6">
        <v>-0.00126415</v>
      </c>
      <c r="AN34" s="6">
        <v>-6.4762184</v>
      </c>
      <c r="AO34" s="6">
        <v>-6.4515561</v>
      </c>
      <c r="AP34" s="6">
        <v>-6.4739881</v>
      </c>
      <c r="AQ34" s="6">
        <v>-6.4253629</v>
      </c>
      <c r="AR34" s="6">
        <v>-6.4020076</v>
      </c>
      <c r="AS34" s="6">
        <v>-6.4618417</v>
      </c>
      <c r="AT34" s="6">
        <v>-6.4506396</v>
      </c>
      <c r="AU34" s="6">
        <v>0.97344833</v>
      </c>
      <c r="AV34" s="6">
        <v>0.96974131</v>
      </c>
      <c r="AW34" s="6">
        <v>0.97311308</v>
      </c>
      <c r="AX34" s="6">
        <v>0.96580418</v>
      </c>
      <c r="AY34" s="6">
        <v>0.96229362</v>
      </c>
      <c r="AZ34" s="6">
        <v>0.97128734</v>
      </c>
      <c r="BA34" s="6">
        <v>0.96960354</v>
      </c>
      <c r="BB34" s="6">
        <v>0.02655167</v>
      </c>
      <c r="BC34" s="6">
        <v>0.03025869</v>
      </c>
      <c r="BD34" s="6">
        <v>0.02688692</v>
      </c>
      <c r="BE34" s="6">
        <v>0.03419582</v>
      </c>
      <c r="BF34" s="6">
        <v>0.03770638</v>
      </c>
      <c r="BG34" s="6">
        <v>0.02871266</v>
      </c>
      <c r="BH34" s="6">
        <v>0.03039646</v>
      </c>
      <c r="BI34" s="6">
        <v>0.21470859</v>
      </c>
      <c r="BJ34" s="6">
        <v>0.12366373</v>
      </c>
      <c r="BK34" s="6">
        <v>0.1409291</v>
      </c>
      <c r="BL34" s="6">
        <v>0.12522516</v>
      </c>
      <c r="BM34" s="6">
        <v>0.1592662</v>
      </c>
      <c r="BN34" s="6">
        <v>0.17561655</v>
      </c>
      <c r="BO34" s="6">
        <v>0.1337285</v>
      </c>
      <c r="BP34" s="6">
        <v>0.14157076</v>
      </c>
      <c r="BQ34" s="6">
        <v>0.00558102</v>
      </c>
      <c r="BR34" s="6">
        <v>0.00480624</v>
      </c>
      <c r="BS34" s="6">
        <v>0.00536403</v>
      </c>
      <c r="BT34" s="6">
        <v>0.00384396</v>
      </c>
      <c r="BU34" s="6">
        <v>0.00376527</v>
      </c>
      <c r="BV34" s="6">
        <v>0.0060661</v>
      </c>
      <c r="BW34" s="6">
        <v>0.00492905</v>
      </c>
      <c r="BX34" s="12">
        <v>7132.63</v>
      </c>
      <c r="BY34" s="13">
        <v>4514</v>
      </c>
      <c r="BZ34" s="12">
        <v>4772.52</v>
      </c>
      <c r="CA34" s="6">
        <f t="shared" si="4"/>
        <v>1.58011298183429</v>
      </c>
      <c r="CB34" s="6">
        <f t="shared" si="5"/>
        <v>1.49452071442341</v>
      </c>
      <c r="CC34" s="7">
        <v>160580656.8</v>
      </c>
      <c r="CD34" s="7">
        <f t="shared" si="0"/>
        <v>3.36469321867693</v>
      </c>
      <c r="CE34" s="8">
        <v>81.6</v>
      </c>
      <c r="CF34" s="8">
        <v>275.3</v>
      </c>
      <c r="CG34" s="8">
        <v>363.2</v>
      </c>
      <c r="CH34" s="8">
        <v>13100</v>
      </c>
      <c r="CI34" s="14">
        <v>0</v>
      </c>
      <c r="CJ34" s="14">
        <v>0</v>
      </c>
      <c r="CK34" s="14">
        <f t="shared" si="1"/>
        <v>0</v>
      </c>
      <c r="CL34">
        <f t="shared" si="2"/>
        <v>3.23986794305777</v>
      </c>
      <c r="CM34">
        <f t="shared" si="3"/>
        <v>0</v>
      </c>
      <c r="CN34" s="15">
        <v>7173.26</v>
      </c>
      <c r="CO34" s="15">
        <v>7620.45</v>
      </c>
      <c r="CP34" s="15">
        <v>1377.39</v>
      </c>
      <c r="CQ34" s="15">
        <v>0.11</v>
      </c>
      <c r="CR34" s="15">
        <v>158.11</v>
      </c>
      <c r="CS34" s="15">
        <v>36.18</v>
      </c>
      <c r="CT34" s="15">
        <v>382.15</v>
      </c>
      <c r="CU34" s="15">
        <v>5.04</v>
      </c>
      <c r="CV34" s="15">
        <v>5.49</v>
      </c>
      <c r="CW34" s="15">
        <v>745.52</v>
      </c>
    </row>
    <row r="35" spans="1:101">
      <c r="A35" s="6">
        <v>2008</v>
      </c>
      <c r="B35" s="6" t="s">
        <v>101</v>
      </c>
      <c r="C35" s="6">
        <v>0.02901633</v>
      </c>
      <c r="D35" s="6">
        <v>0.010785</v>
      </c>
      <c r="E35" s="6">
        <v>0.0028</v>
      </c>
      <c r="F35" s="6">
        <v>0.00492</v>
      </c>
      <c r="G35" s="6">
        <v>0.001658</v>
      </c>
      <c r="H35" s="6">
        <v>0.001407</v>
      </c>
      <c r="I35" s="6">
        <v>0.012399</v>
      </c>
      <c r="J35" s="6">
        <v>0.006193</v>
      </c>
      <c r="K35" s="6">
        <v>0.03303361</v>
      </c>
      <c r="L35" s="6">
        <v>0.02571362</v>
      </c>
      <c r="M35" s="6">
        <v>0.03270329</v>
      </c>
      <c r="N35" s="6">
        <v>0.02053363</v>
      </c>
      <c r="O35" s="6">
        <v>0.00912925</v>
      </c>
      <c r="P35" s="6">
        <v>0.04831544</v>
      </c>
      <c r="Q35" s="6">
        <v>0.04151623</v>
      </c>
      <c r="R35" s="6">
        <v>217.69486</v>
      </c>
      <c r="S35" s="6">
        <v>0.00015174</v>
      </c>
      <c r="T35" s="6">
        <v>169.97573</v>
      </c>
      <c r="U35" s="6">
        <v>0.00015128</v>
      </c>
      <c r="V35" s="6">
        <v>197.11803</v>
      </c>
      <c r="W35" s="6">
        <v>0.00016591</v>
      </c>
      <c r="X35" s="6">
        <v>134.47093</v>
      </c>
      <c r="Y35" s="6">
        <v>0.0001527</v>
      </c>
      <c r="Z35" s="6">
        <v>134.86767</v>
      </c>
      <c r="AA35" s="6">
        <v>6.769e-5</v>
      </c>
      <c r="AB35" s="6">
        <v>294.9318</v>
      </c>
      <c r="AC35" s="6">
        <v>0.00016382</v>
      </c>
      <c r="AD35" s="6">
        <v>243.86163</v>
      </c>
      <c r="AE35" s="6">
        <v>0.00017025</v>
      </c>
      <c r="AF35" s="6">
        <v>775</v>
      </c>
      <c r="AG35" s="6">
        <v>-0.00133432</v>
      </c>
      <c r="AH35" s="6">
        <v>-0.0013307</v>
      </c>
      <c r="AI35" s="6">
        <v>-0.00144407</v>
      </c>
      <c r="AJ35" s="6">
        <v>-0.00134178</v>
      </c>
      <c r="AK35" s="6">
        <v>-0.00064987</v>
      </c>
      <c r="AL35" s="6">
        <v>-0.00142797</v>
      </c>
      <c r="AM35" s="6">
        <v>-0.00147743</v>
      </c>
      <c r="AN35" s="6">
        <v>-6.4762184</v>
      </c>
      <c r="AO35" s="6">
        <v>-6.4515561</v>
      </c>
      <c r="AP35" s="6">
        <v>-6.4739881</v>
      </c>
      <c r="AQ35" s="6">
        <v>-6.4253629</v>
      </c>
      <c r="AR35" s="6">
        <v>-6.4020076</v>
      </c>
      <c r="AS35" s="6">
        <v>-6.4618417</v>
      </c>
      <c r="AT35" s="6">
        <v>-6.4506396</v>
      </c>
      <c r="AU35" s="6">
        <v>0.97344833</v>
      </c>
      <c r="AV35" s="6">
        <v>0.96974131</v>
      </c>
      <c r="AW35" s="6">
        <v>0.97311308</v>
      </c>
      <c r="AX35" s="6">
        <v>0.96580418</v>
      </c>
      <c r="AY35" s="6">
        <v>0.96229362</v>
      </c>
      <c r="AZ35" s="6">
        <v>0.97128734</v>
      </c>
      <c r="BA35" s="6">
        <v>0.96960354</v>
      </c>
      <c r="BB35" s="6">
        <v>0.02655167</v>
      </c>
      <c r="BC35" s="6">
        <v>0.03025869</v>
      </c>
      <c r="BD35" s="6">
        <v>0.02688692</v>
      </c>
      <c r="BE35" s="6">
        <v>0.03419582</v>
      </c>
      <c r="BF35" s="6">
        <v>0.03770638</v>
      </c>
      <c r="BG35" s="6">
        <v>0.02871266</v>
      </c>
      <c r="BH35" s="6">
        <v>0.03039646</v>
      </c>
      <c r="BI35" s="6">
        <v>0.21470859</v>
      </c>
      <c r="BJ35" s="6">
        <v>0.12366373</v>
      </c>
      <c r="BK35" s="6">
        <v>0.1409291</v>
      </c>
      <c r="BL35" s="6">
        <v>0.12522516</v>
      </c>
      <c r="BM35" s="6">
        <v>0.1592662</v>
      </c>
      <c r="BN35" s="6">
        <v>0.17561655</v>
      </c>
      <c r="BO35" s="6">
        <v>0.1337285</v>
      </c>
      <c r="BP35" s="6">
        <v>0.14157076</v>
      </c>
      <c r="BQ35" s="6">
        <v>0.00408506</v>
      </c>
      <c r="BR35" s="6">
        <v>0.0036238</v>
      </c>
      <c r="BS35" s="6">
        <v>0.00409527</v>
      </c>
      <c r="BT35" s="6">
        <v>0.00327031</v>
      </c>
      <c r="BU35" s="6">
        <v>0.00160325</v>
      </c>
      <c r="BV35" s="6">
        <v>0.00646115</v>
      </c>
      <c r="BW35" s="6">
        <v>0.00587748</v>
      </c>
      <c r="BX35" s="12">
        <v>7510.82</v>
      </c>
      <c r="BY35" s="13">
        <v>4543</v>
      </c>
      <c r="BZ35" s="12">
        <v>5692.12</v>
      </c>
      <c r="CA35" s="6">
        <f t="shared" si="4"/>
        <v>1.65327316751046</v>
      </c>
      <c r="CB35" s="6">
        <f t="shared" si="5"/>
        <v>1.31951188660815</v>
      </c>
      <c r="CC35" s="7">
        <v>164535197.3</v>
      </c>
      <c r="CD35" s="7">
        <f t="shared" si="0"/>
        <v>2.89057850677779</v>
      </c>
      <c r="CE35" s="8">
        <v>103.6</v>
      </c>
      <c r="CF35" s="8">
        <v>350.3</v>
      </c>
      <c r="CG35" s="8">
        <v>443</v>
      </c>
      <c r="CH35" s="8">
        <v>16220</v>
      </c>
      <c r="CI35" s="14">
        <v>0</v>
      </c>
      <c r="CJ35" s="14">
        <v>0</v>
      </c>
      <c r="CK35" s="14">
        <f t="shared" si="1"/>
        <v>0</v>
      </c>
      <c r="CL35">
        <f t="shared" si="2"/>
        <v>2.71728515287532</v>
      </c>
      <c r="CM35">
        <f t="shared" si="3"/>
        <v>0</v>
      </c>
      <c r="CN35" s="15">
        <v>7511</v>
      </c>
      <c r="CO35" s="15">
        <v>7916</v>
      </c>
      <c r="CP35" s="15">
        <v>1331.43</v>
      </c>
      <c r="CQ35" s="15">
        <v>0.06</v>
      </c>
      <c r="CR35" s="15">
        <v>178.86</v>
      </c>
      <c r="CS35" s="15">
        <v>38.19</v>
      </c>
      <c r="CT35" s="15">
        <v>411.95</v>
      </c>
      <c r="CU35" s="15">
        <v>5.2</v>
      </c>
      <c r="CV35" s="15">
        <v>5.28</v>
      </c>
      <c r="CW35" s="15">
        <v>829.44</v>
      </c>
    </row>
    <row r="36" spans="1:101">
      <c r="A36" s="6">
        <v>2009</v>
      </c>
      <c r="B36" s="6" t="s">
        <v>101</v>
      </c>
      <c r="C36" s="6">
        <v>0.02745206</v>
      </c>
      <c r="D36" s="6">
        <v>0.010997</v>
      </c>
      <c r="E36" s="6">
        <v>0.00285</v>
      </c>
      <c r="F36" s="6">
        <v>0.004964</v>
      </c>
      <c r="G36" s="6">
        <v>0.001692</v>
      </c>
      <c r="H36" s="6">
        <v>0.001491</v>
      </c>
      <c r="I36" s="6">
        <v>0.012041</v>
      </c>
      <c r="J36" s="6">
        <v>0.005365</v>
      </c>
      <c r="K36" s="6">
        <v>0.0346911</v>
      </c>
      <c r="L36" s="6">
        <v>0.02689735</v>
      </c>
      <c r="M36" s="6">
        <v>0.03337975</v>
      </c>
      <c r="N36" s="6">
        <v>0.02151548</v>
      </c>
      <c r="O36" s="6">
        <v>0.01167508</v>
      </c>
      <c r="P36" s="6">
        <v>0.04433509</v>
      </c>
      <c r="Q36" s="6">
        <v>0.02673953</v>
      </c>
      <c r="R36" s="6">
        <v>217.69486</v>
      </c>
      <c r="S36" s="6">
        <v>0.00015936</v>
      </c>
      <c r="T36" s="6">
        <v>169.97573</v>
      </c>
      <c r="U36" s="6">
        <v>0.00015824</v>
      </c>
      <c r="V36" s="6">
        <v>197.11803</v>
      </c>
      <c r="W36" s="6">
        <v>0.00016934</v>
      </c>
      <c r="X36" s="6">
        <v>134.47093</v>
      </c>
      <c r="Y36" s="6">
        <v>0.00016</v>
      </c>
      <c r="Z36" s="6">
        <v>134.86767</v>
      </c>
      <c r="AA36" s="6">
        <v>8.657e-5</v>
      </c>
      <c r="AB36" s="6">
        <v>294.9318</v>
      </c>
      <c r="AC36" s="6">
        <v>0.00015032</v>
      </c>
      <c r="AD36" s="6">
        <v>243.86163</v>
      </c>
      <c r="AE36" s="6">
        <v>0.00010965</v>
      </c>
      <c r="AF36" s="6">
        <v>775</v>
      </c>
      <c r="AG36" s="6">
        <v>-0.00139347</v>
      </c>
      <c r="AH36" s="6">
        <v>-0.00138484</v>
      </c>
      <c r="AI36" s="6">
        <v>-0.00147047</v>
      </c>
      <c r="AJ36" s="6">
        <v>-0.00139846</v>
      </c>
      <c r="AK36" s="6">
        <v>-0.0008098</v>
      </c>
      <c r="AL36" s="6">
        <v>-0.00132325</v>
      </c>
      <c r="AM36" s="6">
        <v>-0.00099982</v>
      </c>
      <c r="AN36" s="6">
        <v>-6.4762184</v>
      </c>
      <c r="AO36" s="6">
        <v>-6.4515561</v>
      </c>
      <c r="AP36" s="6">
        <v>-6.4739881</v>
      </c>
      <c r="AQ36" s="6">
        <v>-6.4253629</v>
      </c>
      <c r="AR36" s="6">
        <v>-6.4020076</v>
      </c>
      <c r="AS36" s="6">
        <v>-6.4618417</v>
      </c>
      <c r="AT36" s="6">
        <v>-6.4506396</v>
      </c>
      <c r="AU36" s="6">
        <v>0.97344833</v>
      </c>
      <c r="AV36" s="6">
        <v>0.96974131</v>
      </c>
      <c r="AW36" s="6">
        <v>0.97311308</v>
      </c>
      <c r="AX36" s="6">
        <v>0.96580418</v>
      </c>
      <c r="AY36" s="6">
        <v>0.96229362</v>
      </c>
      <c r="AZ36" s="6">
        <v>0.97128734</v>
      </c>
      <c r="BA36" s="6">
        <v>0.96960354</v>
      </c>
      <c r="BB36" s="6">
        <v>0.02655167</v>
      </c>
      <c r="BC36" s="6">
        <v>0.03025869</v>
      </c>
      <c r="BD36" s="6">
        <v>0.02688692</v>
      </c>
      <c r="BE36" s="6">
        <v>0.03419582</v>
      </c>
      <c r="BF36" s="6">
        <v>0.03770638</v>
      </c>
      <c r="BG36" s="6">
        <v>0.02871266</v>
      </c>
      <c r="BH36" s="6">
        <v>0.03039646</v>
      </c>
      <c r="BI36" s="6">
        <v>0.21470859</v>
      </c>
      <c r="BJ36" s="6">
        <v>0.12366373</v>
      </c>
      <c r="BK36" s="6">
        <v>0.1409291</v>
      </c>
      <c r="BL36" s="6">
        <v>0.12522516</v>
      </c>
      <c r="BM36" s="6">
        <v>0.1592662</v>
      </c>
      <c r="BN36" s="6">
        <v>0.17561655</v>
      </c>
      <c r="BO36" s="6">
        <v>0.1337285</v>
      </c>
      <c r="BP36" s="6">
        <v>0.14157076</v>
      </c>
      <c r="BQ36" s="6">
        <v>0.00429003</v>
      </c>
      <c r="BR36" s="6">
        <v>0.00379062</v>
      </c>
      <c r="BS36" s="6">
        <v>0.00417998</v>
      </c>
      <c r="BT36" s="6">
        <v>0.00342669</v>
      </c>
      <c r="BU36" s="6">
        <v>0.00205034</v>
      </c>
      <c r="BV36" s="6">
        <v>0.00592886</v>
      </c>
      <c r="BW36" s="6">
        <v>0.00378554</v>
      </c>
      <c r="BX36" s="12">
        <v>8032.06</v>
      </c>
      <c r="BY36" s="13">
        <v>4571</v>
      </c>
      <c r="BZ36" s="12">
        <v>6169.75</v>
      </c>
      <c r="CA36" s="6">
        <f t="shared" si="4"/>
        <v>1.75717786042441</v>
      </c>
      <c r="CB36" s="6">
        <f t="shared" si="5"/>
        <v>1.30184529356943</v>
      </c>
      <c r="CC36" s="7">
        <v>169992074.3</v>
      </c>
      <c r="CD36" s="7">
        <f t="shared" si="0"/>
        <v>2.7552506065886</v>
      </c>
      <c r="CE36" s="8">
        <v>105.3</v>
      </c>
      <c r="CF36" s="8">
        <v>365.7</v>
      </c>
      <c r="CG36" s="8">
        <v>468.7</v>
      </c>
      <c r="CH36" s="8">
        <v>16907</v>
      </c>
      <c r="CI36" s="14">
        <v>0</v>
      </c>
      <c r="CJ36" s="14">
        <v>0</v>
      </c>
      <c r="CK36" s="14">
        <f t="shared" si="1"/>
        <v>0</v>
      </c>
      <c r="CL36">
        <f t="shared" si="2"/>
        <v>2.66960201713366</v>
      </c>
      <c r="CM36">
        <f t="shared" si="3"/>
        <v>0</v>
      </c>
      <c r="CN36" s="15">
        <v>8032</v>
      </c>
      <c r="CO36" s="15">
        <v>8886</v>
      </c>
      <c r="CP36" s="15">
        <v>1276.33</v>
      </c>
      <c r="CQ36" s="15">
        <v>0.07</v>
      </c>
      <c r="CR36" s="15">
        <v>193.27</v>
      </c>
      <c r="CS36" s="15">
        <v>37.24</v>
      </c>
      <c r="CT36" s="15">
        <v>437.7</v>
      </c>
      <c r="CU36" s="15">
        <v>5.16</v>
      </c>
      <c r="CV36" s="15">
        <v>4.52</v>
      </c>
      <c r="CW36" s="15">
        <v>891.19</v>
      </c>
    </row>
    <row r="37" spans="1:101">
      <c r="A37" s="6">
        <v>2010</v>
      </c>
      <c r="B37" s="6" t="s">
        <v>101</v>
      </c>
      <c r="C37" s="6">
        <v>0.0394844</v>
      </c>
      <c r="D37" s="6">
        <v>0.013189</v>
      </c>
      <c r="E37" s="6">
        <v>0.003331</v>
      </c>
      <c r="F37" s="6">
        <v>0.005981</v>
      </c>
      <c r="G37" s="6">
        <v>0.002018</v>
      </c>
      <c r="H37" s="6">
        <v>0.00186</v>
      </c>
      <c r="I37" s="6">
        <v>0.012572</v>
      </c>
      <c r="J37" s="6">
        <v>0.00618</v>
      </c>
      <c r="K37" s="6">
        <v>0.05188935</v>
      </c>
      <c r="L37" s="6">
        <v>0.03824705</v>
      </c>
      <c r="M37" s="6">
        <v>0.04901148</v>
      </c>
      <c r="N37" s="6">
        <v>0.03116079</v>
      </c>
      <c r="O37" s="6">
        <v>0.02286086</v>
      </c>
      <c r="P37" s="6">
        <v>0.05024692</v>
      </c>
      <c r="Q37" s="6">
        <v>0.04127214</v>
      </c>
      <c r="R37" s="6">
        <v>217.69486</v>
      </c>
      <c r="S37" s="6">
        <v>0.00023836</v>
      </c>
      <c r="T37" s="6">
        <v>169.97573</v>
      </c>
      <c r="U37" s="6">
        <v>0.00022501</v>
      </c>
      <c r="V37" s="6">
        <v>197.11803</v>
      </c>
      <c r="W37" s="6">
        <v>0.00024864</v>
      </c>
      <c r="X37" s="6">
        <v>134.47093</v>
      </c>
      <c r="Y37" s="6">
        <v>0.00023173</v>
      </c>
      <c r="Z37" s="6">
        <v>134.86767</v>
      </c>
      <c r="AA37" s="6">
        <v>0.00016951</v>
      </c>
      <c r="AB37" s="6">
        <v>294.9318</v>
      </c>
      <c r="AC37" s="6">
        <v>0.00017037</v>
      </c>
      <c r="AD37" s="6">
        <v>243.86163</v>
      </c>
      <c r="AE37" s="6">
        <v>0.00016924</v>
      </c>
      <c r="AF37" s="6">
        <v>775</v>
      </c>
      <c r="AG37" s="6">
        <v>-0.00198832</v>
      </c>
      <c r="AH37" s="6">
        <v>-0.00188998</v>
      </c>
      <c r="AI37" s="6">
        <v>-0.00206359</v>
      </c>
      <c r="AJ37" s="6">
        <v>-0.00193956</v>
      </c>
      <c r="AK37" s="6">
        <v>-0.00147176</v>
      </c>
      <c r="AL37" s="6">
        <v>-0.00147838</v>
      </c>
      <c r="AM37" s="6">
        <v>-0.00146974</v>
      </c>
      <c r="AN37" s="6">
        <v>-6.4762184</v>
      </c>
      <c r="AO37" s="6">
        <v>-6.4515561</v>
      </c>
      <c r="AP37" s="6">
        <v>-6.4739881</v>
      </c>
      <c r="AQ37" s="6">
        <v>-6.4253629</v>
      </c>
      <c r="AR37" s="6">
        <v>-6.4020076</v>
      </c>
      <c r="AS37" s="6">
        <v>-6.4618417</v>
      </c>
      <c r="AT37" s="6">
        <v>-6.4506396</v>
      </c>
      <c r="AU37" s="6">
        <v>0.97344833</v>
      </c>
      <c r="AV37" s="6">
        <v>0.96974131</v>
      </c>
      <c r="AW37" s="6">
        <v>0.97311308</v>
      </c>
      <c r="AX37" s="6">
        <v>0.96580418</v>
      </c>
      <c r="AY37" s="6">
        <v>0.96229362</v>
      </c>
      <c r="AZ37" s="6">
        <v>0.97128734</v>
      </c>
      <c r="BA37" s="6">
        <v>0.96960354</v>
      </c>
      <c r="BB37" s="6">
        <v>0.02655167</v>
      </c>
      <c r="BC37" s="6">
        <v>0.03025869</v>
      </c>
      <c r="BD37" s="6">
        <v>0.02688692</v>
      </c>
      <c r="BE37" s="6">
        <v>0.03419582</v>
      </c>
      <c r="BF37" s="6">
        <v>0.03770638</v>
      </c>
      <c r="BG37" s="6">
        <v>0.02871266</v>
      </c>
      <c r="BH37" s="6">
        <v>0.03039646</v>
      </c>
      <c r="BI37" s="6">
        <v>0.21470859</v>
      </c>
      <c r="BJ37" s="6">
        <v>0.12366373</v>
      </c>
      <c r="BK37" s="6">
        <v>0.1409291</v>
      </c>
      <c r="BL37" s="6">
        <v>0.12522516</v>
      </c>
      <c r="BM37" s="6">
        <v>0.1592662</v>
      </c>
      <c r="BN37" s="6">
        <v>0.17561655</v>
      </c>
      <c r="BO37" s="6">
        <v>0.1337285</v>
      </c>
      <c r="BP37" s="6">
        <v>0.14157076</v>
      </c>
      <c r="BQ37" s="6">
        <v>0.00641683</v>
      </c>
      <c r="BR37" s="6">
        <v>0.00539012</v>
      </c>
      <c r="BS37" s="6">
        <v>0.00613747</v>
      </c>
      <c r="BT37" s="6">
        <v>0.00496286</v>
      </c>
      <c r="BU37" s="6">
        <v>0.00401475</v>
      </c>
      <c r="BV37" s="6">
        <v>0.00671944</v>
      </c>
      <c r="BW37" s="6">
        <v>0.00584293</v>
      </c>
      <c r="BX37" s="12">
        <v>8674.17</v>
      </c>
      <c r="BY37" s="13">
        <v>4601.6</v>
      </c>
      <c r="BZ37" s="12">
        <v>7224.18</v>
      </c>
      <c r="CA37" s="6">
        <f t="shared" si="4"/>
        <v>1.88503346662031</v>
      </c>
      <c r="CB37" s="6">
        <f t="shared" si="5"/>
        <v>1.20071343737282</v>
      </c>
      <c r="CC37" s="7">
        <v>181081817.6</v>
      </c>
      <c r="CD37" s="7">
        <f t="shared" si="0"/>
        <v>2.50660722185771</v>
      </c>
      <c r="CE37" s="8">
        <v>132.6</v>
      </c>
      <c r="CF37" s="8">
        <v>444.2</v>
      </c>
      <c r="CG37" s="8">
        <v>567.4</v>
      </c>
      <c r="CH37" s="8">
        <v>20418</v>
      </c>
      <c r="CI37" s="14">
        <v>0</v>
      </c>
      <c r="CJ37" s="14">
        <v>0</v>
      </c>
      <c r="CK37" s="14">
        <f t="shared" si="1"/>
        <v>0</v>
      </c>
      <c r="CL37">
        <f t="shared" si="2"/>
        <v>2.40850270516871</v>
      </c>
      <c r="CM37">
        <f t="shared" si="3"/>
        <v>0</v>
      </c>
      <c r="CN37" s="15">
        <v>8674.17</v>
      </c>
      <c r="CO37" s="15">
        <v>9349.4</v>
      </c>
      <c r="CP37" s="15">
        <v>1231.21</v>
      </c>
      <c r="CQ37" s="15">
        <v>0.06</v>
      </c>
      <c r="CR37" s="15">
        <v>232.49</v>
      </c>
      <c r="CS37" s="15">
        <v>47.44</v>
      </c>
      <c r="CT37" s="15">
        <v>562.04</v>
      </c>
      <c r="CU37" s="15">
        <v>5.62</v>
      </c>
      <c r="CV37" s="15">
        <v>3.64</v>
      </c>
      <c r="CW37" s="15">
        <v>1004.07</v>
      </c>
    </row>
    <row r="38" spans="1:101">
      <c r="A38" s="6">
        <v>2011</v>
      </c>
      <c r="B38" s="6" t="s">
        <v>101</v>
      </c>
      <c r="C38" s="6">
        <v>0.05270948</v>
      </c>
      <c r="D38" s="6">
        <v>0.015198</v>
      </c>
      <c r="E38" s="6">
        <v>0.003744</v>
      </c>
      <c r="F38" s="6">
        <v>0.006867</v>
      </c>
      <c r="G38" s="6">
        <v>0.00206</v>
      </c>
      <c r="H38" s="6">
        <v>0.002527</v>
      </c>
      <c r="I38" s="6">
        <v>0.014192</v>
      </c>
      <c r="J38" s="6">
        <v>0.006985</v>
      </c>
      <c r="K38" s="6">
        <v>0.0676436</v>
      </c>
      <c r="L38" s="6">
        <v>0.04801873</v>
      </c>
      <c r="M38" s="6">
        <v>0.06262447</v>
      </c>
      <c r="N38" s="6">
        <v>0.03241494</v>
      </c>
      <c r="O38" s="6">
        <v>0.04307371</v>
      </c>
      <c r="P38" s="6">
        <v>0.06828825</v>
      </c>
      <c r="Q38" s="6">
        <v>0.0556321</v>
      </c>
      <c r="R38" s="6">
        <v>217.69486</v>
      </c>
      <c r="S38" s="6">
        <v>0.00031073</v>
      </c>
      <c r="T38" s="6">
        <v>169.97573</v>
      </c>
      <c r="U38" s="6">
        <v>0.0002825</v>
      </c>
      <c r="V38" s="6">
        <v>197.11803</v>
      </c>
      <c r="W38" s="6">
        <v>0.0003177</v>
      </c>
      <c r="X38" s="6">
        <v>134.47093</v>
      </c>
      <c r="Y38" s="6">
        <v>0.00024106</v>
      </c>
      <c r="Z38" s="6">
        <v>134.86767</v>
      </c>
      <c r="AA38" s="6">
        <v>0.00031938</v>
      </c>
      <c r="AB38" s="6">
        <v>294.9318</v>
      </c>
      <c r="AC38" s="6">
        <v>0.00023154</v>
      </c>
      <c r="AD38" s="6">
        <v>243.86163</v>
      </c>
      <c r="AE38" s="6">
        <v>0.00022813</v>
      </c>
      <c r="AF38" s="6">
        <v>775</v>
      </c>
      <c r="AG38" s="6">
        <v>-0.00250961</v>
      </c>
      <c r="AH38" s="6">
        <v>-0.00230857</v>
      </c>
      <c r="AI38" s="6">
        <v>-0.00255889</v>
      </c>
      <c r="AJ38" s="6">
        <v>-0.00200811</v>
      </c>
      <c r="AK38" s="6">
        <v>-0.00257071</v>
      </c>
      <c r="AL38" s="6">
        <v>-0.00193816</v>
      </c>
      <c r="AM38" s="6">
        <v>-0.001913</v>
      </c>
      <c r="AN38" s="6">
        <v>-6.4762184</v>
      </c>
      <c r="AO38" s="6">
        <v>-6.4515561</v>
      </c>
      <c r="AP38" s="6">
        <v>-6.4739881</v>
      </c>
      <c r="AQ38" s="6">
        <v>-6.4253629</v>
      </c>
      <c r="AR38" s="6">
        <v>-6.4020076</v>
      </c>
      <c r="AS38" s="6">
        <v>-6.4618417</v>
      </c>
      <c r="AT38" s="6">
        <v>-6.4506396</v>
      </c>
      <c r="AU38" s="6">
        <v>0.97344833</v>
      </c>
      <c r="AV38" s="6">
        <v>0.96974131</v>
      </c>
      <c r="AW38" s="6">
        <v>0.97311308</v>
      </c>
      <c r="AX38" s="6">
        <v>0.96580418</v>
      </c>
      <c r="AY38" s="6">
        <v>0.96229362</v>
      </c>
      <c r="AZ38" s="6">
        <v>0.97128734</v>
      </c>
      <c r="BA38" s="6">
        <v>0.96960354</v>
      </c>
      <c r="BB38" s="6">
        <v>0.02655167</v>
      </c>
      <c r="BC38" s="6">
        <v>0.03025869</v>
      </c>
      <c r="BD38" s="6">
        <v>0.02688692</v>
      </c>
      <c r="BE38" s="6">
        <v>0.03419582</v>
      </c>
      <c r="BF38" s="6">
        <v>0.03770638</v>
      </c>
      <c r="BG38" s="6">
        <v>0.02871266</v>
      </c>
      <c r="BH38" s="6">
        <v>0.03039646</v>
      </c>
      <c r="BI38" s="6">
        <v>0.21470859</v>
      </c>
      <c r="BJ38" s="6">
        <v>0.12366373</v>
      </c>
      <c r="BK38" s="6">
        <v>0.1409291</v>
      </c>
      <c r="BL38" s="6">
        <v>0.12522516</v>
      </c>
      <c r="BM38" s="6">
        <v>0.1592662</v>
      </c>
      <c r="BN38" s="6">
        <v>0.17561655</v>
      </c>
      <c r="BO38" s="6">
        <v>0.1337285</v>
      </c>
      <c r="BP38" s="6">
        <v>0.14157076</v>
      </c>
      <c r="BQ38" s="6">
        <v>0.00836506</v>
      </c>
      <c r="BR38" s="6">
        <v>0.00676724</v>
      </c>
      <c r="BS38" s="6">
        <v>0.00784216</v>
      </c>
      <c r="BT38" s="6">
        <v>0.0051626</v>
      </c>
      <c r="BU38" s="6">
        <v>0.00756446</v>
      </c>
      <c r="BV38" s="6">
        <v>0.00913208</v>
      </c>
      <c r="BW38" s="6">
        <v>0.00787588</v>
      </c>
      <c r="BX38" s="12">
        <v>9540.28</v>
      </c>
      <c r="BY38" s="13">
        <v>4620</v>
      </c>
      <c r="BZ38" s="12">
        <v>8893.12</v>
      </c>
      <c r="CA38" s="6">
        <f t="shared" si="4"/>
        <v>2.06499567099567</v>
      </c>
      <c r="CB38" s="6">
        <f t="shared" si="5"/>
        <v>1.07277086107013</v>
      </c>
      <c r="CC38" s="7">
        <v>196406396</v>
      </c>
      <c r="CD38" s="7">
        <f t="shared" si="0"/>
        <v>2.20852069914721</v>
      </c>
      <c r="CE38" s="8">
        <v>152.6</v>
      </c>
      <c r="CF38" s="8">
        <v>553.1</v>
      </c>
      <c r="CG38" s="8">
        <v>664.6</v>
      </c>
      <c r="CH38" s="8">
        <v>24233</v>
      </c>
      <c r="CI38" s="14">
        <v>0</v>
      </c>
      <c r="CJ38" s="14">
        <v>0</v>
      </c>
      <c r="CK38" s="14">
        <f t="shared" si="1"/>
        <v>0</v>
      </c>
      <c r="CL38">
        <f t="shared" si="2"/>
        <v>2.18035126729488</v>
      </c>
      <c r="CM38">
        <f t="shared" si="3"/>
        <v>0</v>
      </c>
      <c r="CN38" s="15">
        <v>9540</v>
      </c>
      <c r="CO38" s="15">
        <v>9664</v>
      </c>
      <c r="CP38" s="15">
        <v>1218.44</v>
      </c>
      <c r="CQ38" s="15">
        <v>0.02</v>
      </c>
      <c r="CR38" s="15">
        <v>250.34</v>
      </c>
      <c r="CS38" s="15">
        <v>51.12</v>
      </c>
      <c r="CT38" s="15">
        <v>609.84</v>
      </c>
      <c r="CU38" s="15">
        <v>2.59</v>
      </c>
      <c r="CV38" s="15">
        <v>4.2</v>
      </c>
      <c r="CW38" s="15">
        <v>1204</v>
      </c>
    </row>
    <row r="39" spans="1:101">
      <c r="A39" s="6">
        <v>2012</v>
      </c>
      <c r="B39" s="6" t="s">
        <v>101</v>
      </c>
      <c r="C39" s="6">
        <v>0.05179508</v>
      </c>
      <c r="D39" s="6">
        <v>0.014877</v>
      </c>
      <c r="E39" s="6">
        <v>0.0038</v>
      </c>
      <c r="F39" s="6">
        <v>0.006729</v>
      </c>
      <c r="G39" s="6">
        <v>0.002207</v>
      </c>
      <c r="H39" s="6">
        <v>0.00214</v>
      </c>
      <c r="I39" s="6">
        <v>0.014234</v>
      </c>
      <c r="J39" s="6">
        <v>0.007292</v>
      </c>
      <c r="K39" s="6">
        <v>0.06512798</v>
      </c>
      <c r="L39" s="6">
        <v>0.04935654</v>
      </c>
      <c r="M39" s="6">
        <v>0.06051402</v>
      </c>
      <c r="N39" s="6">
        <v>0.0367533</v>
      </c>
      <c r="O39" s="6">
        <v>0.03135359</v>
      </c>
      <c r="P39" s="6">
        <v>0.06875956</v>
      </c>
      <c r="Q39" s="6">
        <v>0.06111842</v>
      </c>
      <c r="R39" s="6">
        <v>217.69486</v>
      </c>
      <c r="S39" s="6">
        <v>0.00029917</v>
      </c>
      <c r="T39" s="6">
        <v>169.97573</v>
      </c>
      <c r="U39" s="6">
        <v>0.00029037</v>
      </c>
      <c r="V39" s="6">
        <v>197.11803</v>
      </c>
      <c r="W39" s="6">
        <v>0.00030699</v>
      </c>
      <c r="X39" s="6">
        <v>134.47093</v>
      </c>
      <c r="Y39" s="6">
        <v>0.00027332</v>
      </c>
      <c r="Z39" s="6">
        <v>134.86767</v>
      </c>
      <c r="AA39" s="6">
        <v>0.00023248</v>
      </c>
      <c r="AB39" s="6">
        <v>294.9318</v>
      </c>
      <c r="AC39" s="6">
        <v>0.00023314</v>
      </c>
      <c r="AD39" s="6">
        <v>243.86163</v>
      </c>
      <c r="AE39" s="6">
        <v>0.00025063</v>
      </c>
      <c r="AF39" s="6">
        <v>775</v>
      </c>
      <c r="AG39" s="6">
        <v>-0.00242762</v>
      </c>
      <c r="AH39" s="6">
        <v>-0.00236491</v>
      </c>
      <c r="AI39" s="6">
        <v>-0.00248318</v>
      </c>
      <c r="AJ39" s="6">
        <v>-0.00224254</v>
      </c>
      <c r="AK39" s="6">
        <v>-0.00194507</v>
      </c>
      <c r="AL39" s="6">
        <v>-0.00194993</v>
      </c>
      <c r="AM39" s="6">
        <v>-0.00207809</v>
      </c>
      <c r="AN39" s="6">
        <v>-6.4762184</v>
      </c>
      <c r="AO39" s="6">
        <v>-6.4515561</v>
      </c>
      <c r="AP39" s="6">
        <v>-6.4739881</v>
      </c>
      <c r="AQ39" s="6">
        <v>-6.4253629</v>
      </c>
      <c r="AR39" s="6">
        <v>-6.4020076</v>
      </c>
      <c r="AS39" s="6">
        <v>-6.4618417</v>
      </c>
      <c r="AT39" s="6">
        <v>-6.4506396</v>
      </c>
      <c r="AU39" s="6">
        <v>0.97344833</v>
      </c>
      <c r="AV39" s="6">
        <v>0.96974131</v>
      </c>
      <c r="AW39" s="6">
        <v>0.97311308</v>
      </c>
      <c r="AX39" s="6">
        <v>0.96580418</v>
      </c>
      <c r="AY39" s="6">
        <v>0.96229362</v>
      </c>
      <c r="AZ39" s="6">
        <v>0.97128734</v>
      </c>
      <c r="BA39" s="6">
        <v>0.96960354</v>
      </c>
      <c r="BB39" s="6">
        <v>0.02655167</v>
      </c>
      <c r="BC39" s="6">
        <v>0.03025869</v>
      </c>
      <c r="BD39" s="6">
        <v>0.02688692</v>
      </c>
      <c r="BE39" s="6">
        <v>0.03419582</v>
      </c>
      <c r="BF39" s="6">
        <v>0.03770638</v>
      </c>
      <c r="BG39" s="6">
        <v>0.02871266</v>
      </c>
      <c r="BH39" s="6">
        <v>0.03039646</v>
      </c>
      <c r="BI39" s="6">
        <v>0.21470859</v>
      </c>
      <c r="BJ39" s="6">
        <v>0.12366373</v>
      </c>
      <c r="BK39" s="6">
        <v>0.1409291</v>
      </c>
      <c r="BL39" s="6">
        <v>0.12522516</v>
      </c>
      <c r="BM39" s="6">
        <v>0.1592662</v>
      </c>
      <c r="BN39" s="6">
        <v>0.17561655</v>
      </c>
      <c r="BO39" s="6">
        <v>0.1337285</v>
      </c>
      <c r="BP39" s="6">
        <v>0.14157076</v>
      </c>
      <c r="BQ39" s="6">
        <v>0.00805397</v>
      </c>
      <c r="BR39" s="6">
        <v>0.00695577</v>
      </c>
      <c r="BS39" s="6">
        <v>0.00757788</v>
      </c>
      <c r="BT39" s="6">
        <v>0.00585356</v>
      </c>
      <c r="BU39" s="6">
        <v>0.00550621</v>
      </c>
      <c r="BV39" s="6">
        <v>0.00919511</v>
      </c>
      <c r="BW39" s="6">
        <v>0.00865258</v>
      </c>
      <c r="BX39" s="12">
        <v>10433.68</v>
      </c>
      <c r="BY39" s="13">
        <v>4631</v>
      </c>
      <c r="BZ39" s="12">
        <v>10309.47</v>
      </c>
      <c r="CA39" s="6">
        <f t="shared" si="4"/>
        <v>2.25300798963507</v>
      </c>
      <c r="CB39" s="6">
        <f t="shared" si="5"/>
        <v>1.01204814602497</v>
      </c>
      <c r="CC39" s="7">
        <v>212197155.4</v>
      </c>
      <c r="CD39" s="7">
        <f t="shared" si="0"/>
        <v>2.05827414406366</v>
      </c>
      <c r="CE39" s="8">
        <v>174.2</v>
      </c>
      <c r="CF39" s="8">
        <v>620.2</v>
      </c>
      <c r="CG39" s="8">
        <v>734.1</v>
      </c>
      <c r="CH39" s="8">
        <v>26839</v>
      </c>
      <c r="CI39" s="14">
        <v>0</v>
      </c>
      <c r="CJ39" s="14">
        <v>0</v>
      </c>
      <c r="CK39" s="14">
        <f t="shared" si="1"/>
        <v>0</v>
      </c>
      <c r="CL39">
        <f t="shared" si="2"/>
        <v>2.01609935715007</v>
      </c>
      <c r="CM39">
        <f t="shared" si="3"/>
        <v>0</v>
      </c>
      <c r="CN39" s="15">
        <v>10433.68</v>
      </c>
      <c r="CO39" s="15">
        <v>9850</v>
      </c>
      <c r="CP39" s="15">
        <v>1338.87</v>
      </c>
      <c r="CQ39" s="15">
        <v>0.02</v>
      </c>
      <c r="CR39" s="15">
        <v>287.51</v>
      </c>
      <c r="CS39" s="15">
        <v>56.06</v>
      </c>
      <c r="CT39" s="15">
        <v>650.89</v>
      </c>
      <c r="CU39" s="15">
        <v>2.61</v>
      </c>
      <c r="CV39" s="15">
        <v>4.3</v>
      </c>
      <c r="CW39" s="15">
        <v>1313.62</v>
      </c>
    </row>
    <row r="40" spans="1:101">
      <c r="A40" s="6">
        <v>2013</v>
      </c>
      <c r="B40" s="6" t="s">
        <v>101</v>
      </c>
      <c r="C40" s="6">
        <v>0.0517907</v>
      </c>
      <c r="D40" s="6">
        <v>0.01425</v>
      </c>
      <c r="E40" s="6">
        <v>0.003782</v>
      </c>
      <c r="F40" s="6">
        <v>0.006459</v>
      </c>
      <c r="G40" s="6">
        <v>0.002085</v>
      </c>
      <c r="H40" s="6">
        <v>0.001924</v>
      </c>
      <c r="I40" s="6">
        <v>0.015686</v>
      </c>
      <c r="J40" s="6">
        <v>0.007587</v>
      </c>
      <c r="K40" s="6">
        <v>0.06021404</v>
      </c>
      <c r="L40" s="6">
        <v>0.04892629</v>
      </c>
      <c r="M40" s="6">
        <v>0.05636084</v>
      </c>
      <c r="N40" s="6">
        <v>0.03315288</v>
      </c>
      <c r="O40" s="6">
        <v>0.02480072</v>
      </c>
      <c r="P40" s="6">
        <v>0.08493317</v>
      </c>
      <c r="Q40" s="6">
        <v>0.06638336</v>
      </c>
      <c r="R40" s="6">
        <v>217.69486</v>
      </c>
      <c r="S40" s="6">
        <v>0.0002766</v>
      </c>
      <c r="T40" s="6">
        <v>169.97573</v>
      </c>
      <c r="U40" s="6">
        <v>0.00028784</v>
      </c>
      <c r="V40" s="6">
        <v>197.11803</v>
      </c>
      <c r="W40" s="6">
        <v>0.00028592</v>
      </c>
      <c r="X40" s="6">
        <v>134.47093</v>
      </c>
      <c r="Y40" s="6">
        <v>0.00024654</v>
      </c>
      <c r="Z40" s="6">
        <v>134.86767</v>
      </c>
      <c r="AA40" s="6">
        <v>0.00018389</v>
      </c>
      <c r="AB40" s="6">
        <v>294.9318</v>
      </c>
      <c r="AC40" s="6">
        <v>0.00028798</v>
      </c>
      <c r="AD40" s="6">
        <v>243.86163</v>
      </c>
      <c r="AE40" s="6">
        <v>0.00027222</v>
      </c>
      <c r="AF40" s="6">
        <v>775</v>
      </c>
      <c r="AG40" s="6">
        <v>-0.00226615</v>
      </c>
      <c r="AH40" s="6">
        <v>-0.00234681</v>
      </c>
      <c r="AI40" s="6">
        <v>-0.00233308</v>
      </c>
      <c r="AJ40" s="6">
        <v>-0.00204827</v>
      </c>
      <c r="AK40" s="6">
        <v>-0.00158166</v>
      </c>
      <c r="AL40" s="6">
        <v>-0.00234776</v>
      </c>
      <c r="AM40" s="6">
        <v>-0.00223461</v>
      </c>
      <c r="AN40" s="6">
        <v>-6.4762184</v>
      </c>
      <c r="AO40" s="6">
        <v>-6.4515561</v>
      </c>
      <c r="AP40" s="6">
        <v>-6.4739881</v>
      </c>
      <c r="AQ40" s="6">
        <v>-6.4253629</v>
      </c>
      <c r="AR40" s="6">
        <v>-6.4020076</v>
      </c>
      <c r="AS40" s="6">
        <v>-6.4618417</v>
      </c>
      <c r="AT40" s="6">
        <v>-6.4506396</v>
      </c>
      <c r="AU40" s="6">
        <v>0.97344833</v>
      </c>
      <c r="AV40" s="6">
        <v>0.96974131</v>
      </c>
      <c r="AW40" s="6">
        <v>0.97311308</v>
      </c>
      <c r="AX40" s="6">
        <v>0.96580418</v>
      </c>
      <c r="AY40" s="6">
        <v>0.96229362</v>
      </c>
      <c r="AZ40" s="6">
        <v>0.97128734</v>
      </c>
      <c r="BA40" s="6">
        <v>0.96960354</v>
      </c>
      <c r="BB40" s="6">
        <v>0.02655167</v>
      </c>
      <c r="BC40" s="6">
        <v>0.03025869</v>
      </c>
      <c r="BD40" s="6">
        <v>0.02688692</v>
      </c>
      <c r="BE40" s="6">
        <v>0.03419582</v>
      </c>
      <c r="BF40" s="6">
        <v>0.03770638</v>
      </c>
      <c r="BG40" s="6">
        <v>0.02871266</v>
      </c>
      <c r="BH40" s="6">
        <v>0.03039646</v>
      </c>
      <c r="BI40" s="6">
        <v>0.21470859</v>
      </c>
      <c r="BJ40" s="6">
        <v>0.12366373</v>
      </c>
      <c r="BK40" s="6">
        <v>0.1409291</v>
      </c>
      <c r="BL40" s="6">
        <v>0.12522516</v>
      </c>
      <c r="BM40" s="6">
        <v>0.1592662</v>
      </c>
      <c r="BN40" s="6">
        <v>0.17561655</v>
      </c>
      <c r="BO40" s="6">
        <v>0.1337285</v>
      </c>
      <c r="BP40" s="6">
        <v>0.14157076</v>
      </c>
      <c r="BQ40" s="6">
        <v>0.00744629</v>
      </c>
      <c r="BR40" s="6">
        <v>0.00689514</v>
      </c>
      <c r="BS40" s="6">
        <v>0.00705779</v>
      </c>
      <c r="BT40" s="6">
        <v>0.00528013</v>
      </c>
      <c r="BU40" s="6">
        <v>0.00435542</v>
      </c>
      <c r="BV40" s="6">
        <v>0.01135798</v>
      </c>
      <c r="BW40" s="6">
        <v>0.00939794</v>
      </c>
      <c r="BX40" s="12">
        <v>10072.09</v>
      </c>
      <c r="BY40" s="13">
        <v>4641</v>
      </c>
      <c r="BZ40" s="12">
        <v>11832.31</v>
      </c>
      <c r="CA40" s="6">
        <f t="shared" si="4"/>
        <v>2.17024132730015</v>
      </c>
      <c r="CB40" s="6">
        <f t="shared" si="5"/>
        <v>0.851236149154307</v>
      </c>
      <c r="CC40" s="7">
        <v>221424996</v>
      </c>
      <c r="CD40" s="7">
        <f t="shared" si="0"/>
        <v>1.87135898231199</v>
      </c>
      <c r="CE40" s="8">
        <v>204.7</v>
      </c>
      <c r="CF40" s="8">
        <v>681</v>
      </c>
      <c r="CG40" s="8">
        <v>827.6</v>
      </c>
      <c r="CH40" s="8">
        <v>30005</v>
      </c>
      <c r="CI40" s="14">
        <v>0</v>
      </c>
      <c r="CJ40" s="14">
        <v>0</v>
      </c>
      <c r="CK40" s="14">
        <f t="shared" si="1"/>
        <v>0</v>
      </c>
      <c r="CL40">
        <f t="shared" si="2"/>
        <v>1.91398219724656</v>
      </c>
      <c r="CM40">
        <f t="shared" si="3"/>
        <v>0.0222693894414938</v>
      </c>
      <c r="CN40" s="15">
        <v>10072</v>
      </c>
      <c r="CO40" s="15">
        <v>9783.09</v>
      </c>
      <c r="CP40" s="15">
        <v>1347.57</v>
      </c>
      <c r="CQ40" s="15">
        <v>0.03</v>
      </c>
      <c r="CR40" s="15">
        <v>280.01</v>
      </c>
      <c r="CS40" s="15">
        <v>63.73</v>
      </c>
      <c r="CT40" s="15">
        <v>559.81</v>
      </c>
      <c r="CU40" s="15">
        <v>3.24</v>
      </c>
      <c r="CV40" s="15">
        <v>4.27</v>
      </c>
      <c r="CW40" s="15">
        <v>1459.81</v>
      </c>
    </row>
    <row r="41" spans="1:101">
      <c r="A41" s="6">
        <v>2014</v>
      </c>
      <c r="B41" s="6" t="s">
        <v>101</v>
      </c>
      <c r="C41" s="6">
        <v>0.05609532</v>
      </c>
      <c r="D41" s="6">
        <v>0.016055</v>
      </c>
      <c r="E41" s="6">
        <v>0.004144</v>
      </c>
      <c r="F41" s="6">
        <v>0.00728</v>
      </c>
      <c r="G41" s="6">
        <v>0.002164</v>
      </c>
      <c r="H41" s="6">
        <v>0.002468</v>
      </c>
      <c r="I41" s="6">
        <v>0.014743</v>
      </c>
      <c r="J41" s="6">
        <v>0.006759</v>
      </c>
      <c r="K41" s="6">
        <v>0.07437223</v>
      </c>
      <c r="L41" s="6">
        <v>0.05747274</v>
      </c>
      <c r="M41" s="6">
        <v>0.06897111</v>
      </c>
      <c r="N41" s="6">
        <v>0.03547438</v>
      </c>
      <c r="O41" s="6">
        <v>0.04130065</v>
      </c>
      <c r="P41" s="6">
        <v>0.07442084</v>
      </c>
      <c r="Q41" s="6">
        <v>0.05161053</v>
      </c>
      <c r="R41" s="6">
        <v>217.69486</v>
      </c>
      <c r="S41" s="6">
        <v>0.00034164</v>
      </c>
      <c r="T41" s="6">
        <v>169.97573</v>
      </c>
      <c r="U41" s="6">
        <v>0.00033812</v>
      </c>
      <c r="V41" s="6">
        <v>197.11803</v>
      </c>
      <c r="W41" s="6">
        <v>0.0003499</v>
      </c>
      <c r="X41" s="6">
        <v>134.47093</v>
      </c>
      <c r="Y41" s="6">
        <v>0.00026381</v>
      </c>
      <c r="Z41" s="6">
        <v>134.86767</v>
      </c>
      <c r="AA41" s="6">
        <v>0.00030623</v>
      </c>
      <c r="AB41" s="6">
        <v>294.9318</v>
      </c>
      <c r="AC41" s="6">
        <v>0.00025233</v>
      </c>
      <c r="AD41" s="6">
        <v>243.86163</v>
      </c>
      <c r="AE41" s="6">
        <v>0.00021164</v>
      </c>
      <c r="AF41" s="6">
        <v>775</v>
      </c>
      <c r="AG41" s="6">
        <v>-0.00272685</v>
      </c>
      <c r="AH41" s="6">
        <v>-0.00270231</v>
      </c>
      <c r="AI41" s="6">
        <v>-0.00278444</v>
      </c>
      <c r="AJ41" s="6">
        <v>-0.00217385</v>
      </c>
      <c r="AK41" s="6">
        <v>-0.00247777</v>
      </c>
      <c r="AL41" s="6">
        <v>-0.00209051</v>
      </c>
      <c r="AM41" s="6">
        <v>-0.0017906</v>
      </c>
      <c r="AN41" s="6">
        <v>-6.4762184</v>
      </c>
      <c r="AO41" s="6">
        <v>-6.4515561</v>
      </c>
      <c r="AP41" s="6">
        <v>-6.4739881</v>
      </c>
      <c r="AQ41" s="6">
        <v>-6.4253629</v>
      </c>
      <c r="AR41" s="6">
        <v>-6.4020076</v>
      </c>
      <c r="AS41" s="6">
        <v>-6.4618417</v>
      </c>
      <c r="AT41" s="6">
        <v>-6.4506396</v>
      </c>
      <c r="AU41" s="6">
        <v>0.97344833</v>
      </c>
      <c r="AV41" s="6">
        <v>0.96974131</v>
      </c>
      <c r="AW41" s="6">
        <v>0.97311308</v>
      </c>
      <c r="AX41" s="6">
        <v>0.96580418</v>
      </c>
      <c r="AY41" s="6">
        <v>0.96229362</v>
      </c>
      <c r="AZ41" s="6">
        <v>0.97128734</v>
      </c>
      <c r="BA41" s="6">
        <v>0.96960354</v>
      </c>
      <c r="BB41" s="6">
        <v>0.02655167</v>
      </c>
      <c r="BC41" s="6">
        <v>0.03025869</v>
      </c>
      <c r="BD41" s="6">
        <v>0.02688692</v>
      </c>
      <c r="BE41" s="6">
        <v>0.03419582</v>
      </c>
      <c r="BF41" s="6">
        <v>0.03770638</v>
      </c>
      <c r="BG41" s="6">
        <v>0.02871266</v>
      </c>
      <c r="BH41" s="6">
        <v>0.03039646</v>
      </c>
      <c r="BI41" s="6">
        <v>0.21470859</v>
      </c>
      <c r="BJ41" s="6">
        <v>0.12366373</v>
      </c>
      <c r="BK41" s="6">
        <v>0.1409291</v>
      </c>
      <c r="BL41" s="6">
        <v>0.12522516</v>
      </c>
      <c r="BM41" s="6">
        <v>0.1592662</v>
      </c>
      <c r="BN41" s="6">
        <v>0.17561655</v>
      </c>
      <c r="BO41" s="6">
        <v>0.1337285</v>
      </c>
      <c r="BP41" s="6">
        <v>0.14157076</v>
      </c>
      <c r="BQ41" s="6">
        <v>0.00919715</v>
      </c>
      <c r="BR41" s="6">
        <v>0.00809958</v>
      </c>
      <c r="BS41" s="6">
        <v>0.00863692</v>
      </c>
      <c r="BT41" s="6">
        <v>0.00564987</v>
      </c>
      <c r="BU41" s="6">
        <v>0.00725308</v>
      </c>
      <c r="BV41" s="6">
        <v>0.00995219</v>
      </c>
      <c r="BW41" s="6">
        <v>0.00730654</v>
      </c>
      <c r="BX41" s="12">
        <v>10454.83</v>
      </c>
      <c r="BY41" s="13">
        <v>4653</v>
      </c>
      <c r="BZ41" s="12">
        <v>12814.59</v>
      </c>
      <c r="CA41" s="6">
        <f t="shared" si="4"/>
        <v>2.24690092413497</v>
      </c>
      <c r="CB41" s="6">
        <f t="shared" si="5"/>
        <v>0.815853648068335</v>
      </c>
      <c r="CC41" s="7">
        <v>218347353.8</v>
      </c>
      <c r="CD41" s="7">
        <f t="shared" si="0"/>
        <v>1.70389652575697</v>
      </c>
      <c r="CE41" s="8">
        <v>215.9</v>
      </c>
      <c r="CF41" s="8">
        <v>714.8</v>
      </c>
      <c r="CG41" s="8">
        <v>917</v>
      </c>
      <c r="CH41" s="8">
        <v>32218</v>
      </c>
      <c r="CI41" s="14">
        <v>0</v>
      </c>
      <c r="CJ41" s="14">
        <v>0</v>
      </c>
      <c r="CK41" s="14">
        <f t="shared" si="1"/>
        <v>0</v>
      </c>
      <c r="CL41">
        <f t="shared" si="2"/>
        <v>1.79640226266579</v>
      </c>
      <c r="CM41">
        <f t="shared" si="3"/>
        <v>0.051495001332019</v>
      </c>
      <c r="CN41" s="15">
        <v>10454.83</v>
      </c>
      <c r="CO41" s="15">
        <v>8674.67</v>
      </c>
      <c r="CP41" s="15">
        <v>1133.78</v>
      </c>
      <c r="CQ41" s="15">
        <v>0.04</v>
      </c>
      <c r="CR41" s="15">
        <v>297.74</v>
      </c>
      <c r="CS41" s="15">
        <v>77.3</v>
      </c>
      <c r="CT41" s="15">
        <v>569.13</v>
      </c>
      <c r="CU41" s="15">
        <v>3.82</v>
      </c>
      <c r="CV41" s="15">
        <v>4.63</v>
      </c>
      <c r="CW41" s="15">
        <v>1529.38</v>
      </c>
    </row>
    <row r="42" spans="1:101">
      <c r="A42" s="6">
        <v>2015</v>
      </c>
      <c r="B42" s="6" t="s">
        <v>101</v>
      </c>
      <c r="C42" s="6">
        <v>0.04605358</v>
      </c>
      <c r="D42" s="6">
        <v>0.014046</v>
      </c>
      <c r="E42" s="6">
        <v>0.003463</v>
      </c>
      <c r="F42" s="6">
        <v>0.006313</v>
      </c>
      <c r="G42" s="6">
        <v>0.002068</v>
      </c>
      <c r="H42" s="6">
        <v>0.002202</v>
      </c>
      <c r="I42" s="6">
        <v>0.013963</v>
      </c>
      <c r="J42" s="6">
        <v>0.00639</v>
      </c>
      <c r="K42" s="6">
        <v>0.05860806</v>
      </c>
      <c r="L42" s="6">
        <v>0.04138941</v>
      </c>
      <c r="M42" s="6">
        <v>0.05411414</v>
      </c>
      <c r="N42" s="6">
        <v>0.03263096</v>
      </c>
      <c r="O42" s="6">
        <v>0.03322178</v>
      </c>
      <c r="P42" s="6">
        <v>0.06573842</v>
      </c>
      <c r="Q42" s="6">
        <v>0.04502381</v>
      </c>
      <c r="R42" s="6">
        <v>217.69486</v>
      </c>
      <c r="S42" s="6">
        <v>0.00026922</v>
      </c>
      <c r="T42" s="6">
        <v>169.97573</v>
      </c>
      <c r="U42" s="6">
        <v>0.0002435</v>
      </c>
      <c r="V42" s="6">
        <v>197.11803</v>
      </c>
      <c r="W42" s="6">
        <v>0.00027453</v>
      </c>
      <c r="X42" s="6">
        <v>134.47093</v>
      </c>
      <c r="Y42" s="6">
        <v>0.00024266</v>
      </c>
      <c r="Z42" s="6">
        <v>134.86767</v>
      </c>
      <c r="AA42" s="6">
        <v>0.00024633</v>
      </c>
      <c r="AB42" s="6">
        <v>294.9318</v>
      </c>
      <c r="AC42" s="6">
        <v>0.00022289</v>
      </c>
      <c r="AD42" s="6">
        <v>243.86163</v>
      </c>
      <c r="AE42" s="6">
        <v>0.00018463</v>
      </c>
      <c r="AF42" s="6">
        <v>775</v>
      </c>
      <c r="AG42" s="6">
        <v>-0.00221299</v>
      </c>
      <c r="AH42" s="6">
        <v>-0.00202603</v>
      </c>
      <c r="AI42" s="6">
        <v>-0.00225125</v>
      </c>
      <c r="AJ42" s="6">
        <v>-0.00201988</v>
      </c>
      <c r="AK42" s="6">
        <v>-0.00204671</v>
      </c>
      <c r="AL42" s="6">
        <v>-0.00187427</v>
      </c>
      <c r="AM42" s="6">
        <v>-0.00158728</v>
      </c>
      <c r="AN42" s="6">
        <v>-6.4762184</v>
      </c>
      <c r="AO42" s="6">
        <v>-6.4515561</v>
      </c>
      <c r="AP42" s="6">
        <v>-6.4739881</v>
      </c>
      <c r="AQ42" s="6">
        <v>-6.4253629</v>
      </c>
      <c r="AR42" s="6">
        <v>-6.4020076</v>
      </c>
      <c r="AS42" s="6">
        <v>-6.4618417</v>
      </c>
      <c r="AT42" s="6">
        <v>-6.4506396</v>
      </c>
      <c r="AU42" s="6">
        <v>0.97344833</v>
      </c>
      <c r="AV42" s="6">
        <v>0.96974131</v>
      </c>
      <c r="AW42" s="6">
        <v>0.97311308</v>
      </c>
      <c r="AX42" s="6">
        <v>0.96580418</v>
      </c>
      <c r="AY42" s="6">
        <v>0.96229362</v>
      </c>
      <c r="AZ42" s="6">
        <v>0.97128734</v>
      </c>
      <c r="BA42" s="6">
        <v>0.96960354</v>
      </c>
      <c r="BB42" s="6">
        <v>0.02655167</v>
      </c>
      <c r="BC42" s="6">
        <v>0.03025869</v>
      </c>
      <c r="BD42" s="6">
        <v>0.02688692</v>
      </c>
      <c r="BE42" s="6">
        <v>0.03419582</v>
      </c>
      <c r="BF42" s="6">
        <v>0.03770638</v>
      </c>
      <c r="BG42" s="6">
        <v>0.02871266</v>
      </c>
      <c r="BH42" s="6">
        <v>0.03039646</v>
      </c>
      <c r="BI42" s="6">
        <v>0.21470859</v>
      </c>
      <c r="BJ42" s="6">
        <v>0.12366373</v>
      </c>
      <c r="BK42" s="6">
        <v>0.1409291</v>
      </c>
      <c r="BL42" s="6">
        <v>0.12522516</v>
      </c>
      <c r="BM42" s="6">
        <v>0.1592662</v>
      </c>
      <c r="BN42" s="6">
        <v>0.17561655</v>
      </c>
      <c r="BO42" s="6">
        <v>0.1337285</v>
      </c>
      <c r="BP42" s="6">
        <v>0.14157076</v>
      </c>
      <c r="BQ42" s="6">
        <v>0.00724769</v>
      </c>
      <c r="BR42" s="6">
        <v>0.00583297</v>
      </c>
      <c r="BS42" s="6">
        <v>0.00677645</v>
      </c>
      <c r="BT42" s="6">
        <v>0.00519701</v>
      </c>
      <c r="BU42" s="6">
        <v>0.00583429</v>
      </c>
      <c r="BV42" s="6">
        <v>0.0087911</v>
      </c>
      <c r="BW42" s="6">
        <v>0.00637406</v>
      </c>
      <c r="BX42" s="12">
        <v>10424.69</v>
      </c>
      <c r="BY42" s="13">
        <v>4663</v>
      </c>
      <c r="BZ42" s="12">
        <v>13619.17</v>
      </c>
      <c r="CA42" s="6">
        <f t="shared" si="4"/>
        <v>2.23561870040746</v>
      </c>
      <c r="CB42" s="6">
        <f t="shared" si="5"/>
        <v>0.765442387458267</v>
      </c>
      <c r="CC42" s="7">
        <v>214096865.2</v>
      </c>
      <c r="CD42" s="7">
        <f t="shared" si="0"/>
        <v>1.57202579305494</v>
      </c>
      <c r="CE42" s="8">
        <v>208.9</v>
      </c>
      <c r="CF42" s="8">
        <v>761.1</v>
      </c>
      <c r="CG42" s="8">
        <v>1041</v>
      </c>
      <c r="CH42" s="8">
        <v>34883</v>
      </c>
      <c r="CI42" s="14">
        <v>0</v>
      </c>
      <c r="CJ42" s="14">
        <v>0</v>
      </c>
      <c r="CK42" s="14">
        <f t="shared" si="1"/>
        <v>0</v>
      </c>
      <c r="CL42">
        <f t="shared" si="2"/>
        <v>1.71577514742415</v>
      </c>
      <c r="CM42">
        <f t="shared" si="3"/>
        <v>0.0837809981016528</v>
      </c>
      <c r="CN42" s="15">
        <v>10425</v>
      </c>
      <c r="CO42" s="15">
        <v>7756.37</v>
      </c>
      <c r="CP42" s="15">
        <v>874.33</v>
      </c>
      <c r="CQ42" s="15">
        <v>0.03</v>
      </c>
      <c r="CR42" s="15">
        <v>368.35</v>
      </c>
      <c r="CS42" s="15">
        <v>82.39</v>
      </c>
      <c r="CT42" s="15">
        <v>596.17</v>
      </c>
      <c r="CU42" s="15">
        <v>2.51</v>
      </c>
      <c r="CV42" s="15">
        <v>6.34</v>
      </c>
      <c r="CW42" s="15">
        <v>1439</v>
      </c>
    </row>
    <row r="43" spans="1:101">
      <c r="A43" s="6">
        <v>2016</v>
      </c>
      <c r="B43" s="6" t="s">
        <v>101</v>
      </c>
      <c r="C43" s="6">
        <v>0.0807222</v>
      </c>
      <c r="D43" s="6">
        <v>0.01852</v>
      </c>
      <c r="E43" s="6">
        <v>0.004984</v>
      </c>
      <c r="F43" s="6">
        <v>0.008343</v>
      </c>
      <c r="G43" s="6">
        <v>0.002923</v>
      </c>
      <c r="H43" s="6">
        <v>0.002269</v>
      </c>
      <c r="I43" s="6">
        <v>0.019891</v>
      </c>
      <c r="J43" s="6">
        <v>0.009612</v>
      </c>
      <c r="K43" s="6">
        <v>0.09370233</v>
      </c>
      <c r="L43" s="6">
        <v>0.07734108</v>
      </c>
      <c r="M43" s="6">
        <v>0.08532038</v>
      </c>
      <c r="N43" s="6">
        <v>0.05791075</v>
      </c>
      <c r="O43" s="6">
        <v>0.03527519</v>
      </c>
      <c r="P43" s="6">
        <v>0.13175932</v>
      </c>
      <c r="Q43" s="6">
        <v>0.10251161</v>
      </c>
      <c r="R43" s="6">
        <v>217.69486</v>
      </c>
      <c r="S43" s="6">
        <v>0.00043043</v>
      </c>
      <c r="T43" s="6">
        <v>169.97573</v>
      </c>
      <c r="U43" s="6">
        <v>0.00045501</v>
      </c>
      <c r="V43" s="6">
        <v>197.11803</v>
      </c>
      <c r="W43" s="6">
        <v>0.00043284</v>
      </c>
      <c r="X43" s="6">
        <v>134.47093</v>
      </c>
      <c r="Y43" s="6">
        <v>0.00043066</v>
      </c>
      <c r="Z43" s="6">
        <v>134.86767</v>
      </c>
      <c r="AA43" s="6">
        <v>0.00026155</v>
      </c>
      <c r="AB43" s="6">
        <v>294.9318</v>
      </c>
      <c r="AC43" s="6">
        <v>0.00044675</v>
      </c>
      <c r="AD43" s="6">
        <v>243.86163</v>
      </c>
      <c r="AE43" s="6">
        <v>0.00042037</v>
      </c>
      <c r="AF43" s="6">
        <v>775</v>
      </c>
      <c r="AG43" s="6">
        <v>-0.00333614</v>
      </c>
      <c r="AH43" s="6">
        <v>-0.00350141</v>
      </c>
      <c r="AI43" s="6">
        <v>-0.0033524</v>
      </c>
      <c r="AJ43" s="6">
        <v>-0.00333767</v>
      </c>
      <c r="AK43" s="6">
        <v>-0.00215753</v>
      </c>
      <c r="AL43" s="6">
        <v>-0.00344598</v>
      </c>
      <c r="AM43" s="6">
        <v>-0.0032681</v>
      </c>
      <c r="AN43" s="6">
        <v>-6.4762184</v>
      </c>
      <c r="AO43" s="6">
        <v>-6.4515561</v>
      </c>
      <c r="AP43" s="6">
        <v>-6.4739881</v>
      </c>
      <c r="AQ43" s="6">
        <v>-6.4253629</v>
      </c>
      <c r="AR43" s="6">
        <v>-6.4020076</v>
      </c>
      <c r="AS43" s="6">
        <v>-6.4618417</v>
      </c>
      <c r="AT43" s="6">
        <v>-6.4506396</v>
      </c>
      <c r="AU43" s="6">
        <v>0.97344833</v>
      </c>
      <c r="AV43" s="6">
        <v>0.96974131</v>
      </c>
      <c r="AW43" s="6">
        <v>0.97311308</v>
      </c>
      <c r="AX43" s="6">
        <v>0.96580418</v>
      </c>
      <c r="AY43" s="6">
        <v>0.96229362</v>
      </c>
      <c r="AZ43" s="6">
        <v>0.97128734</v>
      </c>
      <c r="BA43" s="6">
        <v>0.96960354</v>
      </c>
      <c r="BB43" s="6">
        <v>0.02655167</v>
      </c>
      <c r="BC43" s="6">
        <v>0.03025869</v>
      </c>
      <c r="BD43" s="6">
        <v>0.02688692</v>
      </c>
      <c r="BE43" s="6">
        <v>0.03419582</v>
      </c>
      <c r="BF43" s="6">
        <v>0.03770638</v>
      </c>
      <c r="BG43" s="6">
        <v>0.02871266</v>
      </c>
      <c r="BH43" s="6">
        <v>0.03039646</v>
      </c>
      <c r="BI43" s="6">
        <v>0.21470859</v>
      </c>
      <c r="BJ43" s="6">
        <v>0.12366373</v>
      </c>
      <c r="BK43" s="6">
        <v>0.1409291</v>
      </c>
      <c r="BL43" s="6">
        <v>0.12522516</v>
      </c>
      <c r="BM43" s="6">
        <v>0.1592662</v>
      </c>
      <c r="BN43" s="6">
        <v>0.17561655</v>
      </c>
      <c r="BO43" s="6">
        <v>0.1337285</v>
      </c>
      <c r="BP43" s="6">
        <v>0.14157076</v>
      </c>
      <c r="BQ43" s="6">
        <v>0.01158758</v>
      </c>
      <c r="BR43" s="6">
        <v>0.01089961</v>
      </c>
      <c r="BS43" s="6">
        <v>0.01068426</v>
      </c>
      <c r="BT43" s="6">
        <v>0.00922323</v>
      </c>
      <c r="BU43" s="6">
        <v>0.00619491</v>
      </c>
      <c r="BV43" s="6">
        <v>0.01761998</v>
      </c>
      <c r="BW43" s="6">
        <v>0.01451265</v>
      </c>
      <c r="BX43" s="12">
        <v>10725.95</v>
      </c>
      <c r="BY43" s="13">
        <v>4677</v>
      </c>
      <c r="BZ43" s="12">
        <v>14788.42</v>
      </c>
      <c r="CA43" s="6">
        <f t="shared" si="4"/>
        <v>2.29333974770152</v>
      </c>
      <c r="CB43" s="6">
        <f t="shared" si="5"/>
        <v>0.72529384477855</v>
      </c>
      <c r="CC43" s="7">
        <v>209680614.5</v>
      </c>
      <c r="CD43" s="7">
        <f t="shared" si="0"/>
        <v>1.41787029648874</v>
      </c>
      <c r="CE43" s="8">
        <v>221.2</v>
      </c>
      <c r="CF43" s="8">
        <v>867.7</v>
      </c>
      <c r="CG43" s="8">
        <v>1169.3</v>
      </c>
      <c r="CH43" s="8">
        <v>38968</v>
      </c>
      <c r="CI43" s="14">
        <v>0</v>
      </c>
      <c r="CJ43" s="14">
        <v>0</v>
      </c>
      <c r="CK43" s="14">
        <f t="shared" si="1"/>
        <v>0</v>
      </c>
      <c r="CL43">
        <f t="shared" si="2"/>
        <v>1.62438398605541</v>
      </c>
      <c r="CM43">
        <f t="shared" si="3"/>
        <v>0.127133541908498</v>
      </c>
      <c r="CN43" s="15">
        <v>10726</v>
      </c>
      <c r="CO43" s="15">
        <v>7481.48</v>
      </c>
      <c r="CP43" s="15">
        <v>907.09</v>
      </c>
      <c r="CQ43" s="15">
        <v>0.04</v>
      </c>
      <c r="CR43" s="15">
        <v>391.03</v>
      </c>
      <c r="CS43" s="15">
        <v>102.96</v>
      </c>
      <c r="CT43" s="15">
        <v>610.5</v>
      </c>
      <c r="CU43" s="15">
        <v>1.11</v>
      </c>
      <c r="CV43" s="15">
        <v>7.71</v>
      </c>
      <c r="CW43" s="15">
        <v>1410.52</v>
      </c>
    </row>
    <row r="44" spans="1:101">
      <c r="A44" s="6">
        <v>2017</v>
      </c>
      <c r="B44" s="6" t="s">
        <v>101</v>
      </c>
      <c r="C44" s="6">
        <v>0.05730318</v>
      </c>
      <c r="D44" s="6">
        <v>0.015424</v>
      </c>
      <c r="E44" s="6">
        <v>0.003845</v>
      </c>
      <c r="F44" s="6">
        <v>0.007003</v>
      </c>
      <c r="G44" s="6">
        <v>0.002267</v>
      </c>
      <c r="H44" s="6">
        <v>0.002309</v>
      </c>
      <c r="I44" s="6">
        <v>0.016051</v>
      </c>
      <c r="J44" s="6">
        <v>0.007456</v>
      </c>
      <c r="K44" s="6">
        <v>0.06942043</v>
      </c>
      <c r="L44" s="6">
        <v>0.05041356</v>
      </c>
      <c r="M44" s="6">
        <v>0.0647197</v>
      </c>
      <c r="N44" s="6">
        <v>0.03851716</v>
      </c>
      <c r="O44" s="6">
        <v>0.03648137</v>
      </c>
      <c r="P44" s="6">
        <v>0.08899013</v>
      </c>
      <c r="Q44" s="6">
        <v>0.06404847</v>
      </c>
      <c r="R44" s="6">
        <v>217.69486</v>
      </c>
      <c r="S44" s="6">
        <v>0.00031889</v>
      </c>
      <c r="T44" s="6">
        <v>169.97573</v>
      </c>
      <c r="U44" s="6">
        <v>0.00029659</v>
      </c>
      <c r="V44" s="6">
        <v>197.11803</v>
      </c>
      <c r="W44" s="6">
        <v>0.00032833</v>
      </c>
      <c r="X44" s="6">
        <v>134.47093</v>
      </c>
      <c r="Y44" s="6">
        <v>0.00028643</v>
      </c>
      <c r="Z44" s="6">
        <v>134.86767</v>
      </c>
      <c r="AA44" s="6">
        <v>0.0002705</v>
      </c>
      <c r="AB44" s="6">
        <v>294.9318</v>
      </c>
      <c r="AC44" s="6">
        <v>0.00030173</v>
      </c>
      <c r="AD44" s="6">
        <v>243.86163</v>
      </c>
      <c r="AE44" s="6">
        <v>0.00026264</v>
      </c>
      <c r="AF44" s="6">
        <v>775</v>
      </c>
      <c r="AG44" s="6">
        <v>-0.00256727</v>
      </c>
      <c r="AH44" s="6">
        <v>-0.00240927</v>
      </c>
      <c r="AI44" s="6">
        <v>-0.00263369</v>
      </c>
      <c r="AJ44" s="6">
        <v>-0.00233674</v>
      </c>
      <c r="AK44" s="6">
        <v>-0.0022222</v>
      </c>
      <c r="AL44" s="6">
        <v>-0.00244583</v>
      </c>
      <c r="AM44" s="6">
        <v>-0.00216541</v>
      </c>
      <c r="AN44" s="6">
        <v>-6.4762184</v>
      </c>
      <c r="AO44" s="6">
        <v>-6.4515561</v>
      </c>
      <c r="AP44" s="6">
        <v>-6.4739881</v>
      </c>
      <c r="AQ44" s="6">
        <v>-6.4253629</v>
      </c>
      <c r="AR44" s="6">
        <v>-6.4020076</v>
      </c>
      <c r="AS44" s="6">
        <v>-6.4618417</v>
      </c>
      <c r="AT44" s="6">
        <v>-6.4506396</v>
      </c>
      <c r="AU44" s="6">
        <v>0.97344833</v>
      </c>
      <c r="AV44" s="6">
        <v>0.96974131</v>
      </c>
      <c r="AW44" s="6">
        <v>0.97311308</v>
      </c>
      <c r="AX44" s="6">
        <v>0.96580418</v>
      </c>
      <c r="AY44" s="6">
        <v>0.96229362</v>
      </c>
      <c r="AZ44" s="6">
        <v>0.97128734</v>
      </c>
      <c r="BA44" s="6">
        <v>0.96960354</v>
      </c>
      <c r="BB44" s="6">
        <v>0.02655167</v>
      </c>
      <c r="BC44" s="6">
        <v>0.03025869</v>
      </c>
      <c r="BD44" s="6">
        <v>0.02688692</v>
      </c>
      <c r="BE44" s="6">
        <v>0.03419582</v>
      </c>
      <c r="BF44" s="6">
        <v>0.03770638</v>
      </c>
      <c r="BG44" s="6">
        <v>0.02871266</v>
      </c>
      <c r="BH44" s="6">
        <v>0.03039646</v>
      </c>
      <c r="BI44" s="6">
        <v>0.21470859</v>
      </c>
      <c r="BJ44" s="6">
        <v>0.12366373</v>
      </c>
      <c r="BK44" s="6">
        <v>0.1409291</v>
      </c>
      <c r="BL44" s="6">
        <v>0.12522516</v>
      </c>
      <c r="BM44" s="6">
        <v>0.1592662</v>
      </c>
      <c r="BN44" s="6">
        <v>0.17561655</v>
      </c>
      <c r="BO44" s="6">
        <v>0.1337285</v>
      </c>
      <c r="BP44" s="6">
        <v>0.14157076</v>
      </c>
      <c r="BQ44" s="6">
        <v>0.00858479</v>
      </c>
      <c r="BR44" s="6">
        <v>0.00710474</v>
      </c>
      <c r="BS44" s="6">
        <v>0.00810453</v>
      </c>
      <c r="BT44" s="6">
        <v>0.00613448</v>
      </c>
      <c r="BU44" s="6">
        <v>0.00640673</v>
      </c>
      <c r="BV44" s="6">
        <v>0.01190052</v>
      </c>
      <c r="BW44" s="6">
        <v>0.00906739</v>
      </c>
      <c r="BX44" s="12">
        <v>11163.57</v>
      </c>
      <c r="BY44" s="13">
        <v>4693</v>
      </c>
      <c r="BZ44" s="12">
        <v>16376.34</v>
      </c>
      <c r="CA44" s="6">
        <f t="shared" si="4"/>
        <v>2.37877050926912</v>
      </c>
      <c r="CB44" s="6">
        <f t="shared" si="5"/>
        <v>0.681688948812738</v>
      </c>
      <c r="CC44" s="7">
        <v>211404764.9</v>
      </c>
      <c r="CD44" s="7">
        <f t="shared" si="0"/>
        <v>1.2909158267354</v>
      </c>
      <c r="CE44" s="8">
        <v>238.4</v>
      </c>
      <c r="CF44" s="8">
        <v>975.7</v>
      </c>
      <c r="CG44" s="8">
        <v>1251</v>
      </c>
      <c r="CH44" s="8">
        <v>42211</v>
      </c>
      <c r="CI44" s="14">
        <v>1</v>
      </c>
      <c r="CJ44" s="14">
        <v>0</v>
      </c>
      <c r="CK44" s="14">
        <f t="shared" si="1"/>
        <v>0</v>
      </c>
      <c r="CL44">
        <f t="shared" si="2"/>
        <v>1.56738551218677</v>
      </c>
      <c r="CM44">
        <f t="shared" si="3"/>
        <v>0.176389078054988</v>
      </c>
      <c r="CN44" s="15">
        <v>11164</v>
      </c>
      <c r="CO44" s="15">
        <v>7396.26</v>
      </c>
      <c r="CP44" s="15">
        <v>952.31</v>
      </c>
      <c r="CQ44" s="15">
        <v>401.96</v>
      </c>
      <c r="CR44" s="15">
        <v>395.84</v>
      </c>
      <c r="CS44" s="15">
        <v>113.82</v>
      </c>
      <c r="CT44" s="15">
        <v>610.83</v>
      </c>
      <c r="CU44" s="15">
        <v>0.57</v>
      </c>
      <c r="CV44" s="15">
        <v>9.69</v>
      </c>
      <c r="CW44" s="15">
        <v>1538.1</v>
      </c>
    </row>
    <row r="45" spans="1:101">
      <c r="A45" s="6">
        <v>2018</v>
      </c>
      <c r="B45" s="6" t="s">
        <v>101</v>
      </c>
      <c r="C45" s="6">
        <v>0.07235633</v>
      </c>
      <c r="D45" s="6">
        <v>0.018514</v>
      </c>
      <c r="E45" s="6">
        <v>0.004846</v>
      </c>
      <c r="F45" s="6">
        <v>0.008266</v>
      </c>
      <c r="G45" s="6">
        <v>0.00259</v>
      </c>
      <c r="H45" s="6">
        <v>0.002813</v>
      </c>
      <c r="I45" s="6">
        <v>0.01714</v>
      </c>
      <c r="J45" s="6">
        <v>0.00764</v>
      </c>
      <c r="K45" s="6">
        <v>0.09366112</v>
      </c>
      <c r="L45" s="6">
        <v>0.07407306</v>
      </c>
      <c r="M45" s="6">
        <v>0.0841241</v>
      </c>
      <c r="N45" s="6">
        <v>0.04808131</v>
      </c>
      <c r="O45" s="6">
        <v>0.0517409</v>
      </c>
      <c r="P45" s="6">
        <v>0.10112649</v>
      </c>
      <c r="Q45" s="6">
        <v>0.06733424</v>
      </c>
      <c r="R45" s="6">
        <v>217.69486</v>
      </c>
      <c r="S45" s="6">
        <v>0.00043024</v>
      </c>
      <c r="T45" s="6">
        <v>169.97573</v>
      </c>
      <c r="U45" s="6">
        <v>0.00043579</v>
      </c>
      <c r="V45" s="6">
        <v>197.11803</v>
      </c>
      <c r="W45" s="6">
        <v>0.00042677</v>
      </c>
      <c r="X45" s="6">
        <v>134.47093</v>
      </c>
      <c r="Y45" s="6">
        <v>0.00035756</v>
      </c>
      <c r="Z45" s="6">
        <v>134.86767</v>
      </c>
      <c r="AA45" s="6">
        <v>0.00038364</v>
      </c>
      <c r="AB45" s="6">
        <v>294.9318</v>
      </c>
      <c r="AC45" s="6">
        <v>0.00034288</v>
      </c>
      <c r="AD45" s="6">
        <v>243.86163</v>
      </c>
      <c r="AE45" s="6">
        <v>0.00027612</v>
      </c>
      <c r="AF45" s="6">
        <v>775</v>
      </c>
      <c r="AG45" s="6">
        <v>-0.00333486</v>
      </c>
      <c r="AH45" s="6">
        <v>-0.00337227</v>
      </c>
      <c r="AI45" s="6">
        <v>-0.00331142</v>
      </c>
      <c r="AJ45" s="6">
        <v>-0.00283766</v>
      </c>
      <c r="AK45" s="6">
        <v>-0.00301765</v>
      </c>
      <c r="AL45" s="6">
        <v>-0.00273555</v>
      </c>
      <c r="AM45" s="6">
        <v>-0.00226269</v>
      </c>
      <c r="AN45" s="6">
        <v>-6.4762184</v>
      </c>
      <c r="AO45" s="6">
        <v>-6.4515561</v>
      </c>
      <c r="AP45" s="6">
        <v>-6.4739881</v>
      </c>
      <c r="AQ45" s="6">
        <v>-6.4253629</v>
      </c>
      <c r="AR45" s="6">
        <v>-6.4020076</v>
      </c>
      <c r="AS45" s="6">
        <v>-6.4618417</v>
      </c>
      <c r="AT45" s="6">
        <v>-6.4506396</v>
      </c>
      <c r="AU45" s="6">
        <v>0.97344833</v>
      </c>
      <c r="AV45" s="6">
        <v>0.96974131</v>
      </c>
      <c r="AW45" s="6">
        <v>0.97311308</v>
      </c>
      <c r="AX45" s="6">
        <v>0.96580418</v>
      </c>
      <c r="AY45" s="6">
        <v>0.96229362</v>
      </c>
      <c r="AZ45" s="6">
        <v>0.97128734</v>
      </c>
      <c r="BA45" s="6">
        <v>0.96960354</v>
      </c>
      <c r="BB45" s="6">
        <v>0.02655167</v>
      </c>
      <c r="BC45" s="6">
        <v>0.03025869</v>
      </c>
      <c r="BD45" s="6">
        <v>0.02688692</v>
      </c>
      <c r="BE45" s="6">
        <v>0.03419582</v>
      </c>
      <c r="BF45" s="6">
        <v>0.03770638</v>
      </c>
      <c r="BG45" s="6">
        <v>0.02871266</v>
      </c>
      <c r="BH45" s="6">
        <v>0.03039646</v>
      </c>
      <c r="BI45" s="6">
        <v>0.21470859</v>
      </c>
      <c r="BJ45" s="6">
        <v>0.12366373</v>
      </c>
      <c r="BK45" s="6">
        <v>0.1409291</v>
      </c>
      <c r="BL45" s="6">
        <v>0.12522516</v>
      </c>
      <c r="BM45" s="6">
        <v>0.1592662</v>
      </c>
      <c r="BN45" s="6">
        <v>0.17561655</v>
      </c>
      <c r="BO45" s="6">
        <v>0.1337285</v>
      </c>
      <c r="BP45" s="6">
        <v>0.14157076</v>
      </c>
      <c r="BQ45" s="6">
        <v>0.01158248</v>
      </c>
      <c r="BR45" s="6">
        <v>0.01043905</v>
      </c>
      <c r="BS45" s="6">
        <v>0.01053445</v>
      </c>
      <c r="BT45" s="6">
        <v>0.00765773</v>
      </c>
      <c r="BU45" s="6">
        <v>0.00908656</v>
      </c>
      <c r="BV45" s="6">
        <v>0.01352349</v>
      </c>
      <c r="BW45" s="6">
        <v>0.00953256</v>
      </c>
      <c r="BX45" s="12">
        <v>11590.02</v>
      </c>
      <c r="BY45" s="13">
        <v>4703</v>
      </c>
      <c r="BZ45" s="12">
        <v>17881.12</v>
      </c>
      <c r="CA45" s="6">
        <f t="shared" si="4"/>
        <v>2.46438868807144</v>
      </c>
      <c r="CB45" s="6">
        <f t="shared" si="5"/>
        <v>0.648170808092558</v>
      </c>
      <c r="CC45" s="7">
        <v>216118097.9</v>
      </c>
      <c r="CD45" s="7">
        <f t="shared" si="0"/>
        <v>1.20863848517319</v>
      </c>
      <c r="CE45" s="8">
        <v>268.1</v>
      </c>
      <c r="CF45" s="8">
        <v>1093.7</v>
      </c>
      <c r="CG45" s="8">
        <v>1386.2</v>
      </c>
      <c r="CH45" s="8">
        <v>46854</v>
      </c>
      <c r="CI45" s="14">
        <v>1</v>
      </c>
      <c r="CJ45" s="14">
        <v>0</v>
      </c>
      <c r="CK45" s="14">
        <f t="shared" si="1"/>
        <v>0</v>
      </c>
      <c r="CL45">
        <f t="shared" si="2"/>
        <v>1.51591455826218</v>
      </c>
      <c r="CM45">
        <f t="shared" si="3"/>
        <v>0.202700126741472</v>
      </c>
      <c r="CN45" s="15">
        <v>11590</v>
      </c>
      <c r="CO45" s="15">
        <v>7402.33</v>
      </c>
      <c r="CP45" s="15">
        <v>1064.75</v>
      </c>
      <c r="CQ45" s="15">
        <v>1010.03</v>
      </c>
      <c r="CR45" s="15">
        <v>426.64</v>
      </c>
      <c r="CS45" s="15">
        <v>122.56</v>
      </c>
      <c r="CT45" s="15">
        <v>628.65</v>
      </c>
      <c r="CU45" s="15">
        <v>1.77</v>
      </c>
      <c r="CV45" s="15">
        <v>13</v>
      </c>
      <c r="CW45" s="15">
        <v>1679.08</v>
      </c>
    </row>
    <row r="46" spans="1:101">
      <c r="A46" s="6">
        <v>2019</v>
      </c>
      <c r="B46" s="6" t="s">
        <v>101</v>
      </c>
      <c r="C46" s="6">
        <v>0.07207046</v>
      </c>
      <c r="D46" s="6">
        <v>0.018757</v>
      </c>
      <c r="E46" s="6">
        <v>0.004861</v>
      </c>
      <c r="F46" s="6">
        <v>0.008826</v>
      </c>
      <c r="G46" s="6">
        <v>0.002778</v>
      </c>
      <c r="H46" s="6">
        <v>0.002292</v>
      </c>
      <c r="I46" s="6">
        <v>0.016755</v>
      </c>
      <c r="J46" s="6">
        <v>0.007961</v>
      </c>
      <c r="K46" s="6">
        <v>0.095565</v>
      </c>
      <c r="L46" s="6">
        <v>0.07442935</v>
      </c>
      <c r="M46" s="6">
        <v>0.0927381</v>
      </c>
      <c r="N46" s="6">
        <v>0.05362657</v>
      </c>
      <c r="O46" s="6">
        <v>0.0359701</v>
      </c>
      <c r="P46" s="6">
        <v>0.09683266</v>
      </c>
      <c r="Q46" s="6">
        <v>0.07305889</v>
      </c>
      <c r="R46" s="6">
        <v>217.69486</v>
      </c>
      <c r="S46" s="6">
        <v>0.00043899</v>
      </c>
      <c r="T46" s="6">
        <v>169.97573</v>
      </c>
      <c r="U46" s="6">
        <v>0.00043788</v>
      </c>
      <c r="V46" s="6">
        <v>197.11803</v>
      </c>
      <c r="W46" s="6">
        <v>0.00047047</v>
      </c>
      <c r="X46" s="6">
        <v>134.47093</v>
      </c>
      <c r="Y46" s="6">
        <v>0.0003988</v>
      </c>
      <c r="Z46" s="6">
        <v>134.86767</v>
      </c>
      <c r="AA46" s="6">
        <v>0.00026671</v>
      </c>
      <c r="AB46" s="6">
        <v>294.9318</v>
      </c>
      <c r="AC46" s="6">
        <v>0.00032832</v>
      </c>
      <c r="AD46" s="6">
        <v>243.86163</v>
      </c>
      <c r="AE46" s="6">
        <v>0.00029959</v>
      </c>
      <c r="AF46" s="6">
        <v>775</v>
      </c>
      <c r="AG46" s="6">
        <v>-0.00339382</v>
      </c>
      <c r="AH46" s="6">
        <v>-0.00338639</v>
      </c>
      <c r="AI46" s="6">
        <v>-0.00360464</v>
      </c>
      <c r="AJ46" s="6">
        <v>-0.00312141</v>
      </c>
      <c r="AK46" s="6">
        <v>-0.00219483</v>
      </c>
      <c r="AL46" s="6">
        <v>-0.00263364</v>
      </c>
      <c r="AM46" s="6">
        <v>-0.00243061</v>
      </c>
      <c r="AN46" s="6">
        <v>-6.4762184</v>
      </c>
      <c r="AO46" s="6">
        <v>-6.4515561</v>
      </c>
      <c r="AP46" s="6">
        <v>-6.4739881</v>
      </c>
      <c r="AQ46" s="6">
        <v>-6.4253629</v>
      </c>
      <c r="AR46" s="6">
        <v>-6.4020076</v>
      </c>
      <c r="AS46" s="6">
        <v>-6.4618417</v>
      </c>
      <c r="AT46" s="6">
        <v>-6.4506396</v>
      </c>
      <c r="AU46" s="6">
        <v>0.97344833</v>
      </c>
      <c r="AV46" s="6">
        <v>0.96974131</v>
      </c>
      <c r="AW46" s="6">
        <v>0.97311308</v>
      </c>
      <c r="AX46" s="6">
        <v>0.96580418</v>
      </c>
      <c r="AY46" s="6">
        <v>0.96229362</v>
      </c>
      <c r="AZ46" s="6">
        <v>0.97128734</v>
      </c>
      <c r="BA46" s="6">
        <v>0.96960354</v>
      </c>
      <c r="BB46" s="6">
        <v>0.02655167</v>
      </c>
      <c r="BC46" s="6">
        <v>0.03025869</v>
      </c>
      <c r="BD46" s="6">
        <v>0.02688692</v>
      </c>
      <c r="BE46" s="6">
        <v>0.03419582</v>
      </c>
      <c r="BF46" s="6">
        <v>0.03770638</v>
      </c>
      <c r="BG46" s="6">
        <v>0.02871266</v>
      </c>
      <c r="BH46" s="6">
        <v>0.03039646</v>
      </c>
      <c r="BI46" s="6">
        <v>0.21470859</v>
      </c>
      <c r="BJ46" s="6">
        <v>0.12366373</v>
      </c>
      <c r="BK46" s="6">
        <v>0.1409291</v>
      </c>
      <c r="BL46" s="6">
        <v>0.12522516</v>
      </c>
      <c r="BM46" s="6">
        <v>0.1592662</v>
      </c>
      <c r="BN46" s="6">
        <v>0.17561655</v>
      </c>
      <c r="BO46" s="6">
        <v>0.1337285</v>
      </c>
      <c r="BP46" s="6">
        <v>0.14157076</v>
      </c>
      <c r="BQ46" s="6">
        <v>0.01181792</v>
      </c>
      <c r="BR46" s="6">
        <v>0.01048926</v>
      </c>
      <c r="BS46" s="6">
        <v>0.01161314</v>
      </c>
      <c r="BT46" s="6">
        <v>0.0085409</v>
      </c>
      <c r="BU46" s="6">
        <v>0.00631695</v>
      </c>
      <c r="BV46" s="6">
        <v>0.01294929</v>
      </c>
      <c r="BW46" s="6">
        <v>0.010343</v>
      </c>
      <c r="BX46" s="12">
        <v>12178.57</v>
      </c>
      <c r="BY46" s="13">
        <v>4714</v>
      </c>
      <c r="BZ46" s="12">
        <v>23223.75</v>
      </c>
      <c r="CA46" s="6">
        <f t="shared" si="4"/>
        <v>2.58348960543063</v>
      </c>
      <c r="CB46" s="6">
        <f t="shared" si="5"/>
        <v>0.524401528607568</v>
      </c>
      <c r="CC46" s="7">
        <v>215608520.9</v>
      </c>
      <c r="CD46" s="7">
        <f t="shared" si="0"/>
        <v>0.928396666774315</v>
      </c>
      <c r="CE46" s="8">
        <v>301.9</v>
      </c>
      <c r="CF46" s="8">
        <v>1153.9</v>
      </c>
      <c r="CG46" s="8">
        <v>1485.3</v>
      </c>
      <c r="CH46" s="8">
        <v>49976</v>
      </c>
      <c r="CI46" s="14">
        <v>1</v>
      </c>
      <c r="CJ46" s="14">
        <v>0</v>
      </c>
      <c r="CK46" s="14">
        <f t="shared" si="1"/>
        <v>0</v>
      </c>
      <c r="CL46">
        <f t="shared" si="2"/>
        <v>1.5000536746505</v>
      </c>
      <c r="CM46">
        <f t="shared" si="3"/>
        <v>0.381091035298704</v>
      </c>
      <c r="CN46" s="15">
        <v>12158</v>
      </c>
      <c r="CO46" s="15">
        <v>7532.73</v>
      </c>
      <c r="CP46" s="15">
        <v>1120.29</v>
      </c>
      <c r="CQ46" s="15">
        <v>1086.58</v>
      </c>
      <c r="CR46" s="15">
        <v>467.34</v>
      </c>
      <c r="CS46" s="15">
        <v>127.65</v>
      </c>
      <c r="CT46" s="15">
        <v>673.37</v>
      </c>
      <c r="CU46" s="15">
        <v>0.23</v>
      </c>
      <c r="CV46" s="15">
        <v>16.47</v>
      </c>
      <c r="CW46" s="15">
        <v>1812.26</v>
      </c>
    </row>
    <row r="47" spans="1:101">
      <c r="A47" s="6">
        <v>2020</v>
      </c>
      <c r="B47" s="6" t="s">
        <v>101</v>
      </c>
      <c r="C47" s="6">
        <v>0.07458692</v>
      </c>
      <c r="D47" s="6">
        <v>0.018291</v>
      </c>
      <c r="E47" s="6">
        <v>0.004565</v>
      </c>
      <c r="F47" s="6">
        <v>0.008119</v>
      </c>
      <c r="G47" s="6">
        <v>0.002909</v>
      </c>
      <c r="H47" s="6">
        <v>0.002699</v>
      </c>
      <c r="I47" s="6">
        <v>0.017239</v>
      </c>
      <c r="J47" s="6">
        <v>0.008681</v>
      </c>
      <c r="K47" s="6">
        <v>0.09190801</v>
      </c>
      <c r="L47" s="6">
        <v>0.06742568</v>
      </c>
      <c r="M47" s="6">
        <v>0.08186713</v>
      </c>
      <c r="N47" s="6">
        <v>0.0574973</v>
      </c>
      <c r="O47" s="6">
        <v>0.04828518</v>
      </c>
      <c r="P47" s="6">
        <v>0.10222407</v>
      </c>
      <c r="Q47" s="6">
        <v>0.08589234</v>
      </c>
      <c r="R47" s="6">
        <v>217.69486</v>
      </c>
      <c r="S47" s="6">
        <v>0.00042219</v>
      </c>
      <c r="T47" s="6">
        <v>169.97573</v>
      </c>
      <c r="U47" s="6">
        <v>0.00039668</v>
      </c>
      <c r="V47" s="6">
        <v>197.11803</v>
      </c>
      <c r="W47" s="6">
        <v>0.00041532</v>
      </c>
      <c r="X47" s="6">
        <v>134.47093</v>
      </c>
      <c r="Y47" s="6">
        <v>0.00042758</v>
      </c>
      <c r="Z47" s="6">
        <v>134.86767</v>
      </c>
      <c r="AA47" s="6">
        <v>0.00035802</v>
      </c>
      <c r="AB47" s="6">
        <v>294.9318</v>
      </c>
      <c r="AC47" s="6">
        <v>0.0003466</v>
      </c>
      <c r="AD47" s="6">
        <v>243.86163</v>
      </c>
      <c r="AE47" s="6">
        <v>0.00035222</v>
      </c>
      <c r="AF47" s="6">
        <v>775</v>
      </c>
      <c r="AG47" s="6">
        <v>-0.00328042</v>
      </c>
      <c r="AH47" s="6">
        <v>-0.00310694</v>
      </c>
      <c r="AI47" s="6">
        <v>-0.00323388</v>
      </c>
      <c r="AJ47" s="6">
        <v>-0.00331691</v>
      </c>
      <c r="AK47" s="6">
        <v>-0.00284085</v>
      </c>
      <c r="AL47" s="6">
        <v>-0.0027615</v>
      </c>
      <c r="AM47" s="6">
        <v>-0.00280057</v>
      </c>
      <c r="AN47" s="6">
        <v>-6.4762184</v>
      </c>
      <c r="AO47" s="6">
        <v>-6.4515561</v>
      </c>
      <c r="AP47" s="6">
        <v>-6.4739881</v>
      </c>
      <c r="AQ47" s="6">
        <v>-6.4253629</v>
      </c>
      <c r="AR47" s="6">
        <v>-6.4020076</v>
      </c>
      <c r="AS47" s="6">
        <v>-6.4618417</v>
      </c>
      <c r="AT47" s="6">
        <v>-6.4506396</v>
      </c>
      <c r="AU47" s="6">
        <v>0.97344833</v>
      </c>
      <c r="AV47" s="6">
        <v>0.96974131</v>
      </c>
      <c r="AW47" s="6">
        <v>0.97311308</v>
      </c>
      <c r="AX47" s="6">
        <v>0.96580418</v>
      </c>
      <c r="AY47" s="6">
        <v>0.96229362</v>
      </c>
      <c r="AZ47" s="6">
        <v>0.97128734</v>
      </c>
      <c r="BA47" s="6">
        <v>0.96960354</v>
      </c>
      <c r="BB47" s="6">
        <v>0.02655167</v>
      </c>
      <c r="BC47" s="6">
        <v>0.03025869</v>
      </c>
      <c r="BD47" s="6">
        <v>0.02688692</v>
      </c>
      <c r="BE47" s="6">
        <v>0.03419582</v>
      </c>
      <c r="BF47" s="6">
        <v>0.03770638</v>
      </c>
      <c r="BG47" s="6">
        <v>0.02871266</v>
      </c>
      <c r="BH47" s="6">
        <v>0.03039646</v>
      </c>
      <c r="BI47" s="6">
        <v>0.21470859</v>
      </c>
      <c r="BJ47" s="6">
        <v>0.12366373</v>
      </c>
      <c r="BK47" s="6">
        <v>0.1409291</v>
      </c>
      <c r="BL47" s="6">
        <v>0.12522516</v>
      </c>
      <c r="BM47" s="6">
        <v>0.1592662</v>
      </c>
      <c r="BN47" s="6">
        <v>0.17561655</v>
      </c>
      <c r="BO47" s="6">
        <v>0.1337285</v>
      </c>
      <c r="BP47" s="6">
        <v>0.14157076</v>
      </c>
      <c r="BQ47" s="6">
        <v>0.01136569</v>
      </c>
      <c r="BR47" s="6">
        <v>0.00950224</v>
      </c>
      <c r="BS47" s="6">
        <v>0.01025182</v>
      </c>
      <c r="BT47" s="6">
        <v>0.00915738</v>
      </c>
      <c r="BU47" s="6">
        <v>0.00847968</v>
      </c>
      <c r="BV47" s="6">
        <v>0.01367027</v>
      </c>
      <c r="BW47" s="6">
        <v>0.01215984</v>
      </c>
      <c r="BX47" s="12">
        <v>13006.71</v>
      </c>
      <c r="BY47" s="13">
        <v>4722.22</v>
      </c>
      <c r="BZ47" s="12">
        <v>24521.9</v>
      </c>
      <c r="CA47" s="6">
        <f t="shared" si="4"/>
        <v>2.75436341381808</v>
      </c>
      <c r="CB47" s="6">
        <f t="shared" si="5"/>
        <v>0.530411999070219</v>
      </c>
      <c r="CC47" s="7">
        <v>214011019</v>
      </c>
      <c r="CD47" s="7">
        <f t="shared" si="0"/>
        <v>0.872734245715055</v>
      </c>
      <c r="CE47" s="8">
        <v>338</v>
      </c>
      <c r="CF47" s="8">
        <v>1143.2</v>
      </c>
      <c r="CG47" s="8">
        <v>1528.6</v>
      </c>
      <c r="CH47" s="8">
        <v>50845</v>
      </c>
      <c r="CI47" s="14">
        <v>1</v>
      </c>
      <c r="CJ47" s="14">
        <v>0</v>
      </c>
      <c r="CK47" s="14">
        <f t="shared" si="1"/>
        <v>0</v>
      </c>
      <c r="CL47">
        <f t="shared" si="2"/>
        <v>1.47141701078949</v>
      </c>
      <c r="CM47">
        <f t="shared" si="3"/>
        <v>0.40687497880238</v>
      </c>
      <c r="CN47" s="15">
        <v>12981.94</v>
      </c>
      <c r="CO47" s="15">
        <v>8201.22</v>
      </c>
      <c r="CP47" s="15">
        <v>1216.96</v>
      </c>
      <c r="CQ47" s="15">
        <v>1027.62</v>
      </c>
      <c r="CR47" s="15">
        <v>467.21</v>
      </c>
      <c r="CS47" s="15">
        <v>94.56</v>
      </c>
      <c r="CT47" s="15">
        <v>672.61</v>
      </c>
      <c r="CU47" s="15">
        <v>0.01</v>
      </c>
      <c r="CV47" s="15">
        <v>18.7</v>
      </c>
      <c r="CW47" s="15">
        <v>2025</v>
      </c>
    </row>
    <row r="48" spans="1:101">
      <c r="A48" s="6">
        <v>2021</v>
      </c>
      <c r="B48" s="6" t="s">
        <v>101</v>
      </c>
      <c r="C48" s="6">
        <v>0.08498067</v>
      </c>
      <c r="D48" s="6">
        <v>0.019299</v>
      </c>
      <c r="E48" s="6">
        <v>0.004874</v>
      </c>
      <c r="F48" s="6">
        <v>0.00863</v>
      </c>
      <c r="G48" s="6">
        <v>0.002733</v>
      </c>
      <c r="H48" s="6">
        <v>0.003061</v>
      </c>
      <c r="I48" s="6">
        <v>0.019337</v>
      </c>
      <c r="J48" s="6">
        <v>0.009937</v>
      </c>
      <c r="K48" s="6">
        <v>0.09981265</v>
      </c>
      <c r="L48" s="6">
        <v>0.07474356</v>
      </c>
      <c r="M48" s="6">
        <v>0.08972771</v>
      </c>
      <c r="N48" s="6">
        <v>0.05230308</v>
      </c>
      <c r="O48" s="6">
        <v>0.0592702</v>
      </c>
      <c r="P48" s="6">
        <v>0.12559191</v>
      </c>
      <c r="Q48" s="6">
        <v>0.10831047</v>
      </c>
      <c r="R48" s="6">
        <v>217.69486</v>
      </c>
      <c r="S48" s="6">
        <v>0.0004585</v>
      </c>
      <c r="T48" s="6">
        <v>169.97573</v>
      </c>
      <c r="U48" s="6">
        <v>0.00043973</v>
      </c>
      <c r="V48" s="6">
        <v>197.11803</v>
      </c>
      <c r="W48" s="6">
        <v>0.0004552</v>
      </c>
      <c r="X48" s="6">
        <v>134.47093</v>
      </c>
      <c r="Y48" s="6">
        <v>0.00038895</v>
      </c>
      <c r="Z48" s="6">
        <v>134.86767</v>
      </c>
      <c r="AA48" s="6">
        <v>0.00043947</v>
      </c>
      <c r="AB48" s="6">
        <v>294.9318</v>
      </c>
      <c r="AC48" s="6">
        <v>0.00042583</v>
      </c>
      <c r="AD48" s="6">
        <v>243.86163</v>
      </c>
      <c r="AE48" s="6">
        <v>0.00044415</v>
      </c>
      <c r="AF48" s="6">
        <v>775</v>
      </c>
      <c r="AG48" s="6">
        <v>-0.00352473</v>
      </c>
      <c r="AH48" s="6">
        <v>-0.00339883</v>
      </c>
      <c r="AI48" s="6">
        <v>-0.00350265</v>
      </c>
      <c r="AJ48" s="6">
        <v>-0.00305409</v>
      </c>
      <c r="AK48" s="6">
        <v>-0.00339707</v>
      </c>
      <c r="AL48" s="6">
        <v>-0.00330509</v>
      </c>
      <c r="AM48" s="6">
        <v>-0.00342853</v>
      </c>
      <c r="AN48" s="6">
        <v>-6.4762184</v>
      </c>
      <c r="AO48" s="6">
        <v>-6.4515561</v>
      </c>
      <c r="AP48" s="6">
        <v>-6.4739881</v>
      </c>
      <c r="AQ48" s="6">
        <v>-6.4253629</v>
      </c>
      <c r="AR48" s="6">
        <v>-6.4020076</v>
      </c>
      <c r="AS48" s="6">
        <v>-6.4618417</v>
      </c>
      <c r="AT48" s="6">
        <v>-6.4506396</v>
      </c>
      <c r="AU48" s="6">
        <v>0.97344833</v>
      </c>
      <c r="AV48" s="6">
        <v>0.96974131</v>
      </c>
      <c r="AW48" s="6">
        <v>0.97311308</v>
      </c>
      <c r="AX48" s="6">
        <v>0.96580418</v>
      </c>
      <c r="AY48" s="6">
        <v>0.96229362</v>
      </c>
      <c r="AZ48" s="6">
        <v>0.97128734</v>
      </c>
      <c r="BA48" s="6">
        <v>0.96960354</v>
      </c>
      <c r="BB48" s="6">
        <v>0.02655167</v>
      </c>
      <c r="BC48" s="6">
        <v>0.03025869</v>
      </c>
      <c r="BD48" s="6">
        <v>0.02688692</v>
      </c>
      <c r="BE48" s="6">
        <v>0.03419582</v>
      </c>
      <c r="BF48" s="6">
        <v>0.03770638</v>
      </c>
      <c r="BG48" s="6">
        <v>0.02871266</v>
      </c>
      <c r="BH48" s="6">
        <v>0.03039646</v>
      </c>
      <c r="BI48" s="6">
        <v>0.21470859</v>
      </c>
      <c r="BJ48" s="6">
        <v>0.12366373</v>
      </c>
      <c r="BK48" s="6">
        <v>0.1409291</v>
      </c>
      <c r="BL48" s="6">
        <v>0.12522516</v>
      </c>
      <c r="BM48" s="6">
        <v>0.1592662</v>
      </c>
      <c r="BN48" s="6">
        <v>0.17561655</v>
      </c>
      <c r="BO48" s="6">
        <v>0.1337285</v>
      </c>
      <c r="BP48" s="6">
        <v>0.14157076</v>
      </c>
      <c r="BQ48" s="6">
        <v>0.0123432</v>
      </c>
      <c r="BR48" s="6">
        <v>0.01053354</v>
      </c>
      <c r="BS48" s="6">
        <v>0.01123617</v>
      </c>
      <c r="BT48" s="6">
        <v>0.00833011</v>
      </c>
      <c r="BU48" s="6">
        <v>0.01040883</v>
      </c>
      <c r="BV48" s="6">
        <v>0.01679522</v>
      </c>
      <c r="BW48" s="6">
        <v>0.0153336</v>
      </c>
      <c r="BX48" s="12">
        <v>13448.94</v>
      </c>
      <c r="BY48" s="13">
        <v>4690</v>
      </c>
      <c r="BZ48" s="12">
        <v>27146.8</v>
      </c>
      <c r="CA48" s="6">
        <f t="shared" si="4"/>
        <v>2.86757782515991</v>
      </c>
      <c r="CB48" s="6">
        <f t="shared" si="5"/>
        <v>0.495415297567301</v>
      </c>
      <c r="CC48" s="7">
        <v>217178002.5</v>
      </c>
      <c r="CD48" s="7">
        <f t="shared" si="0"/>
        <v>0.800013270440715</v>
      </c>
      <c r="CE48" s="8">
        <v>353.6</v>
      </c>
      <c r="CF48" s="8">
        <v>1364.7</v>
      </c>
      <c r="CG48" s="8">
        <v>1666.7</v>
      </c>
      <c r="CH48" s="8">
        <v>57036</v>
      </c>
      <c r="CI48" s="14">
        <v>1</v>
      </c>
      <c r="CJ48" s="14">
        <v>0</v>
      </c>
      <c r="CK48" s="14">
        <f t="shared" si="1"/>
        <v>0</v>
      </c>
      <c r="CL48">
        <f t="shared" si="2"/>
        <v>1.36781889095748</v>
      </c>
      <c r="CM48">
        <f t="shared" si="3"/>
        <v>0.415117545363989</v>
      </c>
      <c r="CN48" s="15">
        <v>13426.35</v>
      </c>
      <c r="CO48" s="15">
        <v>7926.43</v>
      </c>
      <c r="CP48" s="15">
        <v>1180.27</v>
      </c>
      <c r="CQ48" s="15">
        <v>976.39</v>
      </c>
      <c r="CR48" s="15">
        <v>520.09</v>
      </c>
      <c r="CS48" s="15">
        <v>92.76</v>
      </c>
      <c r="CT48" s="15">
        <v>669.95</v>
      </c>
      <c r="CU48" s="15">
        <v>0.04</v>
      </c>
      <c r="CV48" s="15">
        <v>21.14</v>
      </c>
      <c r="CW48" s="15">
        <v>2139</v>
      </c>
    </row>
    <row r="49" spans="1:101">
      <c r="A49" s="6">
        <v>2022</v>
      </c>
      <c r="B49" s="6" t="s">
        <v>101</v>
      </c>
      <c r="C49" s="6">
        <v>0.07969991</v>
      </c>
      <c r="D49" s="6">
        <v>0.01915</v>
      </c>
      <c r="E49" s="6">
        <v>0.004619</v>
      </c>
      <c r="F49" s="6">
        <v>0.008701</v>
      </c>
      <c r="G49" s="6">
        <v>0.00293</v>
      </c>
      <c r="H49" s="6">
        <v>0.002899</v>
      </c>
      <c r="I49" s="6">
        <v>0.01869</v>
      </c>
      <c r="J49" s="6">
        <v>0.008541</v>
      </c>
      <c r="K49" s="6">
        <v>0.09864505</v>
      </c>
      <c r="L49" s="6">
        <v>0.06870586</v>
      </c>
      <c r="M49" s="6">
        <v>0.09081746</v>
      </c>
      <c r="N49" s="6">
        <v>0.05813771</v>
      </c>
      <c r="O49" s="6">
        <v>0.05436789</v>
      </c>
      <c r="P49" s="6">
        <v>0.11839303</v>
      </c>
      <c r="Q49" s="6">
        <v>0.08339308</v>
      </c>
      <c r="R49" s="6">
        <v>217.69486</v>
      </c>
      <c r="S49" s="6">
        <v>0.00045313</v>
      </c>
      <c r="T49" s="6">
        <v>169.97573</v>
      </c>
      <c r="U49" s="6">
        <v>0.00040421</v>
      </c>
      <c r="V49" s="6">
        <v>197.11803</v>
      </c>
      <c r="W49" s="6">
        <v>0.00046073</v>
      </c>
      <c r="X49" s="6">
        <v>134.47093</v>
      </c>
      <c r="Y49" s="6">
        <v>0.00043234</v>
      </c>
      <c r="Z49" s="6">
        <v>134.86767</v>
      </c>
      <c r="AA49" s="6">
        <v>0.00040312</v>
      </c>
      <c r="AB49" s="6">
        <v>294.9318</v>
      </c>
      <c r="AC49" s="6">
        <v>0.00040143</v>
      </c>
      <c r="AD49" s="6">
        <v>243.86163</v>
      </c>
      <c r="AE49" s="6">
        <v>0.00034197</v>
      </c>
      <c r="AF49" s="6">
        <v>775</v>
      </c>
      <c r="AG49" s="6">
        <v>-0.00348883</v>
      </c>
      <c r="AH49" s="6">
        <v>-0.00315832</v>
      </c>
      <c r="AI49" s="6">
        <v>-0.00353962</v>
      </c>
      <c r="AJ49" s="6">
        <v>-0.00334906</v>
      </c>
      <c r="AK49" s="6">
        <v>-0.0031509</v>
      </c>
      <c r="AL49" s="6">
        <v>-0.00313934</v>
      </c>
      <c r="AM49" s="6">
        <v>-0.00272918</v>
      </c>
      <c r="AN49" s="6">
        <v>-6.4762184</v>
      </c>
      <c r="AO49" s="6">
        <v>-6.4515561</v>
      </c>
      <c r="AP49" s="6">
        <v>-6.4739881</v>
      </c>
      <c r="AQ49" s="6">
        <v>-6.4253629</v>
      </c>
      <c r="AR49" s="6">
        <v>-6.4020076</v>
      </c>
      <c r="AS49" s="6">
        <v>-6.4618417</v>
      </c>
      <c r="AT49" s="6">
        <v>-6.4506396</v>
      </c>
      <c r="AU49" s="6">
        <v>0.97344833</v>
      </c>
      <c r="AV49" s="6">
        <v>0.96974131</v>
      </c>
      <c r="AW49" s="6">
        <v>0.97311308</v>
      </c>
      <c r="AX49" s="6">
        <v>0.96580418</v>
      </c>
      <c r="AY49" s="6">
        <v>0.96229362</v>
      </c>
      <c r="AZ49" s="6">
        <v>0.97128734</v>
      </c>
      <c r="BA49" s="6">
        <v>0.96960354</v>
      </c>
      <c r="BB49" s="6">
        <v>0.02655167</v>
      </c>
      <c r="BC49" s="6">
        <v>0.03025869</v>
      </c>
      <c r="BD49" s="6">
        <v>0.02688692</v>
      </c>
      <c r="BE49" s="6">
        <v>0.03419582</v>
      </c>
      <c r="BF49" s="6">
        <v>0.03770638</v>
      </c>
      <c r="BG49" s="6">
        <v>0.02871266</v>
      </c>
      <c r="BH49" s="6">
        <v>0.03039646</v>
      </c>
      <c r="BI49" s="6">
        <v>0.21470859</v>
      </c>
      <c r="BJ49" s="6">
        <v>0.12366373</v>
      </c>
      <c r="BK49" s="6">
        <v>0.1409291</v>
      </c>
      <c r="BL49" s="6">
        <v>0.12522516</v>
      </c>
      <c r="BM49" s="6">
        <v>0.1592662</v>
      </c>
      <c r="BN49" s="6">
        <v>0.17561655</v>
      </c>
      <c r="BO49" s="6">
        <v>0.1337285</v>
      </c>
      <c r="BP49" s="6">
        <v>0.14157076</v>
      </c>
      <c r="BQ49" s="6">
        <v>0.01219881</v>
      </c>
      <c r="BR49" s="6">
        <v>0.00968265</v>
      </c>
      <c r="BS49" s="6">
        <v>0.01137263</v>
      </c>
      <c r="BT49" s="6">
        <v>0.00925937</v>
      </c>
      <c r="BU49" s="6">
        <v>0.0095479</v>
      </c>
      <c r="BV49" s="6">
        <v>0.01583252</v>
      </c>
      <c r="BW49" s="6">
        <v>0.01180602</v>
      </c>
      <c r="BX49" s="12">
        <v>14188.64</v>
      </c>
      <c r="BY49" s="13">
        <v>4693</v>
      </c>
      <c r="BZ49" s="12">
        <v>28954.2</v>
      </c>
      <c r="CA49" s="6">
        <f t="shared" si="4"/>
        <v>3.0233624547198</v>
      </c>
      <c r="CB49" s="6">
        <f t="shared" si="5"/>
        <v>0.490037369362649</v>
      </c>
      <c r="CC49" s="7">
        <v>209498947.3</v>
      </c>
      <c r="CD49" s="7">
        <f t="shared" si="0"/>
        <v>0.723552877648148</v>
      </c>
      <c r="CE49" s="8">
        <v>379.2</v>
      </c>
      <c r="CF49" s="8">
        <v>1591</v>
      </c>
      <c r="CG49" s="8">
        <v>1653</v>
      </c>
      <c r="CH49" s="8">
        <v>60946</v>
      </c>
      <c r="CI49" s="14">
        <v>1</v>
      </c>
      <c r="CJ49" s="14">
        <v>0</v>
      </c>
      <c r="CK49" s="14">
        <f t="shared" si="1"/>
        <v>0</v>
      </c>
      <c r="CL49">
        <f t="shared" si="2"/>
        <v>1.27047633725244</v>
      </c>
      <c r="CM49">
        <f t="shared" si="3"/>
        <v>0.430486931214381</v>
      </c>
      <c r="CN49" s="15">
        <v>14158.5344493282</v>
      </c>
      <c r="CO49" s="15">
        <v>7860.79</v>
      </c>
      <c r="CP49" s="15">
        <v>1121.45</v>
      </c>
      <c r="CQ49" s="15">
        <v>1003.31</v>
      </c>
      <c r="CR49" s="15">
        <v>499.8</v>
      </c>
      <c r="CS49" s="15">
        <v>63.81</v>
      </c>
      <c r="CT49" s="15">
        <v>644.95</v>
      </c>
      <c r="CU49" s="15">
        <v>0.11</v>
      </c>
      <c r="CV49" s="15">
        <v>23.93</v>
      </c>
      <c r="CW49" s="15">
        <v>2389.52</v>
      </c>
    </row>
    <row r="50" spans="1:101">
      <c r="A50" s="6">
        <v>2023</v>
      </c>
      <c r="B50" s="6" t="s">
        <v>101</v>
      </c>
      <c r="C50" s="6">
        <v>0.09789399</v>
      </c>
      <c r="D50" s="6">
        <v>0.020159</v>
      </c>
      <c r="E50" s="6">
        <v>0.005521</v>
      </c>
      <c r="F50" s="6">
        <v>0.00993</v>
      </c>
      <c r="G50" s="6">
        <v>0.004286</v>
      </c>
      <c r="H50" s="6">
        <v>0.003896</v>
      </c>
      <c r="I50" s="6">
        <v>0.019202</v>
      </c>
      <c r="J50" s="6">
        <v>0.008302</v>
      </c>
      <c r="K50" s="6">
        <v>0.10656084</v>
      </c>
      <c r="L50" s="6">
        <v>0.09004628</v>
      </c>
      <c r="M50" s="6">
        <v>0.10970516</v>
      </c>
      <c r="N50" s="6">
        <v>0.098202</v>
      </c>
      <c r="O50" s="6">
        <v>0.08455827</v>
      </c>
      <c r="P50" s="6">
        <v>0.12409224</v>
      </c>
      <c r="Q50" s="6">
        <v>0.07913736</v>
      </c>
      <c r="R50" s="6">
        <v>217.69486</v>
      </c>
      <c r="S50" s="6">
        <v>0.0004895</v>
      </c>
      <c r="T50" s="6">
        <v>169.97573</v>
      </c>
      <c r="U50" s="6">
        <v>0.00052976</v>
      </c>
      <c r="V50" s="6">
        <v>197.11803</v>
      </c>
      <c r="W50" s="6">
        <v>0.00055655</v>
      </c>
      <c r="X50" s="6">
        <v>134.47093</v>
      </c>
      <c r="Y50" s="6">
        <v>0.00073028</v>
      </c>
      <c r="Z50" s="6">
        <v>134.86767</v>
      </c>
      <c r="AA50" s="6">
        <v>0.00062697</v>
      </c>
      <c r="AB50" s="6">
        <v>294.9318</v>
      </c>
      <c r="AC50" s="6">
        <v>0.00042075</v>
      </c>
      <c r="AD50" s="6">
        <v>243.86163</v>
      </c>
      <c r="AE50" s="6">
        <v>0.00032452</v>
      </c>
      <c r="AF50" s="6">
        <v>775</v>
      </c>
      <c r="AG50" s="6">
        <v>-0.00373101</v>
      </c>
      <c r="AH50" s="6">
        <v>-0.00399602</v>
      </c>
      <c r="AI50" s="6">
        <v>-0.00417062</v>
      </c>
      <c r="AJ50" s="6">
        <v>-0.00527417</v>
      </c>
      <c r="AK50" s="6">
        <v>-0.00462367</v>
      </c>
      <c r="AL50" s="6">
        <v>-0.00327068</v>
      </c>
      <c r="AM50" s="6">
        <v>-0.0026069</v>
      </c>
      <c r="AN50" s="6">
        <v>-6.4762184</v>
      </c>
      <c r="AO50" s="6">
        <v>-6.4515561</v>
      </c>
      <c r="AP50" s="6">
        <v>-6.4739881</v>
      </c>
      <c r="AQ50" s="6">
        <v>-6.4253629</v>
      </c>
      <c r="AR50" s="6">
        <v>-6.4020076</v>
      </c>
      <c r="AS50" s="6">
        <v>-6.4618417</v>
      </c>
      <c r="AT50" s="6">
        <v>-6.4506396</v>
      </c>
      <c r="AU50" s="6">
        <v>0.97344833</v>
      </c>
      <c r="AV50" s="6">
        <v>0.96974131</v>
      </c>
      <c r="AW50" s="6">
        <v>0.97311308</v>
      </c>
      <c r="AX50" s="6">
        <v>0.96580418</v>
      </c>
      <c r="AY50" s="6">
        <v>0.96229362</v>
      </c>
      <c r="AZ50" s="6">
        <v>0.97128734</v>
      </c>
      <c r="BA50" s="6">
        <v>0.96960354</v>
      </c>
      <c r="BB50" s="6">
        <v>0.02655167</v>
      </c>
      <c r="BC50" s="6">
        <v>0.03025869</v>
      </c>
      <c r="BD50" s="6">
        <v>0.02688692</v>
      </c>
      <c r="BE50" s="6">
        <v>0.03419582</v>
      </c>
      <c r="BF50" s="6">
        <v>0.03770638</v>
      </c>
      <c r="BG50" s="6">
        <v>0.02871266</v>
      </c>
      <c r="BH50" s="6">
        <v>0.03039646</v>
      </c>
      <c r="BI50" s="6">
        <v>0.21470859</v>
      </c>
      <c r="BJ50" s="6">
        <v>0.12366373</v>
      </c>
      <c r="BK50" s="6">
        <v>0.1409291</v>
      </c>
      <c r="BL50" s="6">
        <v>0.12522516</v>
      </c>
      <c r="BM50" s="6">
        <v>0.1592662</v>
      </c>
      <c r="BN50" s="6">
        <v>0.17561655</v>
      </c>
      <c r="BO50" s="6">
        <v>0.1337285</v>
      </c>
      <c r="BP50" s="6">
        <v>0.14157076</v>
      </c>
      <c r="BQ50" s="6">
        <v>0.01317771</v>
      </c>
      <c r="BR50" s="6">
        <v>0.01269014</v>
      </c>
      <c r="BS50" s="6">
        <v>0.01373785</v>
      </c>
      <c r="BT50" s="6">
        <v>0.01564026</v>
      </c>
      <c r="BU50" s="6">
        <v>0.01484983</v>
      </c>
      <c r="BV50" s="6">
        <v>0.01659467</v>
      </c>
      <c r="BW50" s="6">
        <v>0.01120354</v>
      </c>
      <c r="BX50" s="12">
        <v>14500.78</v>
      </c>
      <c r="BY50" s="13">
        <v>4673</v>
      </c>
      <c r="BZ50" s="12">
        <v>30021.1</v>
      </c>
      <c r="CA50" s="6">
        <f t="shared" si="4"/>
        <v>3.10309865182966</v>
      </c>
      <c r="CB50" s="6">
        <f t="shared" si="5"/>
        <v>0.483019609541289</v>
      </c>
      <c r="CC50" s="7">
        <v>213411116.2</v>
      </c>
      <c r="CD50" s="7">
        <f t="shared" si="0"/>
        <v>0.71087040847937</v>
      </c>
      <c r="CE50" s="8">
        <v>387</v>
      </c>
      <c r="CF50" s="8">
        <v>1612.8</v>
      </c>
      <c r="CG50" s="8">
        <v>1799.2</v>
      </c>
      <c r="CH50" s="8">
        <v>63903</v>
      </c>
      <c r="CI50" s="14">
        <v>1</v>
      </c>
      <c r="CJ50" s="14">
        <v>0</v>
      </c>
      <c r="CK50" s="14">
        <f t="shared" si="1"/>
        <v>0</v>
      </c>
      <c r="CL50">
        <f t="shared" si="2"/>
        <v>1.2756783895882</v>
      </c>
      <c r="CM50">
        <f t="shared" si="3"/>
        <v>0.442751077166991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</row>
    <row r="51" spans="1:101">
      <c r="A51" s="6">
        <v>2024</v>
      </c>
      <c r="B51" s="6" t="s">
        <v>101</v>
      </c>
      <c r="C51" s="6">
        <v>0.1048481</v>
      </c>
      <c r="D51" s="6">
        <v>0.020515</v>
      </c>
      <c r="E51" s="6">
        <v>0.00569</v>
      </c>
      <c r="F51" s="6">
        <v>0.010327</v>
      </c>
      <c r="G51" s="6">
        <v>0.004795</v>
      </c>
      <c r="H51" s="6">
        <v>0.004221</v>
      </c>
      <c r="I51" s="6">
        <v>0.019671</v>
      </c>
      <c r="J51" s="6">
        <v>0.008482</v>
      </c>
      <c r="K51" s="6">
        <v>0.10935442</v>
      </c>
      <c r="L51" s="6">
        <v>0.09404101</v>
      </c>
      <c r="M51" s="6">
        <v>0.11581342</v>
      </c>
      <c r="N51" s="6">
        <v>0.11324959</v>
      </c>
      <c r="O51" s="6">
        <v>0.09441194</v>
      </c>
      <c r="P51" s="6">
        <v>0.12931309</v>
      </c>
      <c r="Q51" s="6">
        <v>0.08235515</v>
      </c>
      <c r="R51" s="6">
        <v>217.69486</v>
      </c>
      <c r="S51" s="6">
        <v>0.00050233</v>
      </c>
      <c r="T51" s="6">
        <v>169.97573</v>
      </c>
      <c r="U51" s="6">
        <v>0.00055326</v>
      </c>
      <c r="V51" s="6">
        <v>197.11803</v>
      </c>
      <c r="W51" s="6">
        <v>0.00058753</v>
      </c>
      <c r="X51" s="6">
        <v>134.47093</v>
      </c>
      <c r="Y51" s="6">
        <v>0.00084219</v>
      </c>
      <c r="Z51" s="6">
        <v>134.86767</v>
      </c>
      <c r="AA51" s="6">
        <v>0.00070003</v>
      </c>
      <c r="AB51" s="6">
        <v>294.9318</v>
      </c>
      <c r="AC51" s="6">
        <v>0.00043845</v>
      </c>
      <c r="AD51" s="6">
        <v>243.86163</v>
      </c>
      <c r="AE51" s="6">
        <v>0.00033771</v>
      </c>
      <c r="AF51" s="6">
        <v>775</v>
      </c>
      <c r="AG51" s="6">
        <v>-0.00381582</v>
      </c>
      <c r="AH51" s="6">
        <v>-0.00414928</v>
      </c>
      <c r="AI51" s="6">
        <v>-0.004371</v>
      </c>
      <c r="AJ51" s="6">
        <v>-0.00596227</v>
      </c>
      <c r="AK51" s="6">
        <v>-0.00508531</v>
      </c>
      <c r="AL51" s="6">
        <v>-0.00339022</v>
      </c>
      <c r="AM51" s="6">
        <v>-0.00269944</v>
      </c>
      <c r="AN51" s="6">
        <v>-6.4762184</v>
      </c>
      <c r="AO51" s="6">
        <v>-6.4515561</v>
      </c>
      <c r="AP51" s="6">
        <v>-6.4739881</v>
      </c>
      <c r="AQ51" s="6">
        <v>-6.4253629</v>
      </c>
      <c r="AR51" s="6">
        <v>-6.4020076</v>
      </c>
      <c r="AS51" s="6">
        <v>-6.4618417</v>
      </c>
      <c r="AT51" s="6">
        <v>-6.4506396</v>
      </c>
      <c r="AU51" s="6">
        <v>0.97344833</v>
      </c>
      <c r="AV51" s="6">
        <v>0.96974131</v>
      </c>
      <c r="AW51" s="6">
        <v>0.97311308</v>
      </c>
      <c r="AX51" s="6">
        <v>0.96580418</v>
      </c>
      <c r="AY51" s="6">
        <v>0.96229362</v>
      </c>
      <c r="AZ51" s="6">
        <v>0.97128734</v>
      </c>
      <c r="BA51" s="6">
        <v>0.96960354</v>
      </c>
      <c r="BB51" s="6">
        <v>0.02655167</v>
      </c>
      <c r="BC51" s="6">
        <v>0.03025869</v>
      </c>
      <c r="BD51" s="6">
        <v>0.02688692</v>
      </c>
      <c r="BE51" s="6">
        <v>0.03419582</v>
      </c>
      <c r="BF51" s="6">
        <v>0.03770638</v>
      </c>
      <c r="BG51" s="6">
        <v>0.02871266</v>
      </c>
      <c r="BH51" s="6">
        <v>0.03039646</v>
      </c>
      <c r="BI51" s="6">
        <v>0.21470859</v>
      </c>
      <c r="BJ51" s="6">
        <v>0.12366373</v>
      </c>
      <c r="BK51" s="6">
        <v>0.1409291</v>
      </c>
      <c r="BL51" s="6">
        <v>0.12522516</v>
      </c>
      <c r="BM51" s="6">
        <v>0.1592662</v>
      </c>
      <c r="BN51" s="6">
        <v>0.17561655</v>
      </c>
      <c r="BO51" s="6">
        <v>0.1337285</v>
      </c>
      <c r="BP51" s="6">
        <v>0.14157076</v>
      </c>
      <c r="BQ51" s="6">
        <v>0.01352318</v>
      </c>
      <c r="BR51" s="6">
        <v>0.01325312</v>
      </c>
      <c r="BS51" s="6">
        <v>0.01450275</v>
      </c>
      <c r="BT51" s="6">
        <v>0.01803683</v>
      </c>
      <c r="BU51" s="6">
        <v>0.0165803</v>
      </c>
      <c r="BV51" s="6">
        <v>0.01729285</v>
      </c>
      <c r="BW51" s="6">
        <v>0.01165908</v>
      </c>
      <c r="BX51" s="12">
        <v>14812.92</v>
      </c>
      <c r="BY51" s="13">
        <v>4655</v>
      </c>
      <c r="BZ51" s="12">
        <v>31534.1</v>
      </c>
      <c r="CA51" s="6">
        <f t="shared" si="4"/>
        <v>3.18215252416756</v>
      </c>
      <c r="CB51" s="6">
        <f t="shared" si="5"/>
        <v>0.469742913227268</v>
      </c>
      <c r="CC51" s="7">
        <v>214667509.2</v>
      </c>
      <c r="CD51" s="7">
        <f t="shared" si="0"/>
        <v>0.680747220310711</v>
      </c>
      <c r="CE51" s="8">
        <v>359.1</v>
      </c>
      <c r="CF51" s="8">
        <v>1662.4</v>
      </c>
      <c r="CG51" s="8">
        <v>1929.3</v>
      </c>
      <c r="CH51" s="8">
        <v>66568</v>
      </c>
      <c r="CI51" s="14">
        <v>1</v>
      </c>
      <c r="CJ51" s="14">
        <v>0</v>
      </c>
      <c r="CK51" s="14">
        <f t="shared" si="1"/>
        <v>0</v>
      </c>
      <c r="CL51">
        <f t="shared" si="2"/>
        <v>1.21200651315194</v>
      </c>
      <c r="CM51">
        <f t="shared" si="3"/>
        <v>0.438330394330669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</row>
    <row r="52" spans="1:101">
      <c r="A52" s="6">
        <v>2000</v>
      </c>
      <c r="B52" s="6" t="s">
        <v>102</v>
      </c>
      <c r="C52" s="6">
        <v>0.01621905</v>
      </c>
      <c r="D52" s="6">
        <v>0.009834</v>
      </c>
      <c r="E52" s="6">
        <v>0.002489</v>
      </c>
      <c r="F52" s="6">
        <v>0.004446</v>
      </c>
      <c r="G52" s="6">
        <v>0.001373</v>
      </c>
      <c r="H52" s="6">
        <v>0.001526</v>
      </c>
      <c r="I52" s="6">
        <v>0.008958</v>
      </c>
      <c r="J52" s="6">
        <v>0.004574</v>
      </c>
      <c r="K52" s="6">
        <v>0.0255673</v>
      </c>
      <c r="L52" s="6">
        <v>0.01834829</v>
      </c>
      <c r="M52" s="6">
        <v>0.02541401</v>
      </c>
      <c r="N52" s="6">
        <v>0.01210081</v>
      </c>
      <c r="O52" s="6">
        <v>0.01274265</v>
      </c>
      <c r="P52" s="6">
        <v>0.00999101</v>
      </c>
      <c r="Q52" s="6">
        <v>0.01262882</v>
      </c>
      <c r="R52" s="6">
        <v>217.69486</v>
      </c>
      <c r="S52" s="6">
        <v>0.00011745</v>
      </c>
      <c r="T52" s="6">
        <v>169.97573</v>
      </c>
      <c r="U52" s="6">
        <v>0.00010795</v>
      </c>
      <c r="V52" s="6">
        <v>197.11803</v>
      </c>
      <c r="W52" s="6">
        <v>0.00012893</v>
      </c>
      <c r="X52" s="6">
        <v>134.47093</v>
      </c>
      <c r="Y52" s="6">
        <v>8.999e-5</v>
      </c>
      <c r="Z52" s="6">
        <v>134.86767</v>
      </c>
      <c r="AA52" s="6">
        <v>9.448e-5</v>
      </c>
      <c r="AB52" s="6">
        <v>294.9318</v>
      </c>
      <c r="AC52" s="6">
        <v>3.388e-5</v>
      </c>
      <c r="AD52" s="6">
        <v>243.86163</v>
      </c>
      <c r="AE52" s="6">
        <v>5.179e-5</v>
      </c>
      <c r="AF52" s="6">
        <v>775</v>
      </c>
      <c r="AG52" s="6">
        <v>-0.00106283</v>
      </c>
      <c r="AH52" s="6">
        <v>-0.00098597</v>
      </c>
      <c r="AI52" s="6">
        <v>-0.00115471</v>
      </c>
      <c r="AJ52" s="6">
        <v>-0.00083832</v>
      </c>
      <c r="AK52" s="6">
        <v>-0.00087558</v>
      </c>
      <c r="AL52" s="6">
        <v>-0.00034868</v>
      </c>
      <c r="AM52" s="6">
        <v>-0.00051105</v>
      </c>
      <c r="AN52" s="6">
        <v>-6.4762184</v>
      </c>
      <c r="AO52" s="6">
        <v>-6.4515561</v>
      </c>
      <c r="AP52" s="6">
        <v>-6.4739881</v>
      </c>
      <c r="AQ52" s="6">
        <v>-6.4253629</v>
      </c>
      <c r="AR52" s="6">
        <v>-6.4020076</v>
      </c>
      <c r="AS52" s="6">
        <v>-6.4618417</v>
      </c>
      <c r="AT52" s="6">
        <v>-6.4506396</v>
      </c>
      <c r="AU52" s="6">
        <v>0.97344833</v>
      </c>
      <c r="AV52" s="6">
        <v>0.96974131</v>
      </c>
      <c r="AW52" s="6">
        <v>0.97311308</v>
      </c>
      <c r="AX52" s="6">
        <v>0.96580418</v>
      </c>
      <c r="AY52" s="6">
        <v>0.96229362</v>
      </c>
      <c r="AZ52" s="6">
        <v>0.97128734</v>
      </c>
      <c r="BA52" s="6">
        <v>0.96960354</v>
      </c>
      <c r="BB52" s="6">
        <v>0.02655167</v>
      </c>
      <c r="BC52" s="6">
        <v>0.03025869</v>
      </c>
      <c r="BD52" s="6">
        <v>0.02688692</v>
      </c>
      <c r="BE52" s="6">
        <v>0.03419582</v>
      </c>
      <c r="BF52" s="6">
        <v>0.03770638</v>
      </c>
      <c r="BG52" s="6">
        <v>0.02871266</v>
      </c>
      <c r="BH52" s="6">
        <v>0.03039646</v>
      </c>
      <c r="BI52" s="6">
        <v>0.21470859</v>
      </c>
      <c r="BJ52" s="6">
        <v>0.12366373</v>
      </c>
      <c r="BK52" s="6">
        <v>0.1409291</v>
      </c>
      <c r="BL52" s="6">
        <v>0.12522516</v>
      </c>
      <c r="BM52" s="6">
        <v>0.1592662</v>
      </c>
      <c r="BN52" s="6">
        <v>0.17561655</v>
      </c>
      <c r="BO52" s="6">
        <v>0.1337285</v>
      </c>
      <c r="BP52" s="6">
        <v>0.14157076</v>
      </c>
      <c r="BQ52" s="6">
        <v>0.00316175</v>
      </c>
      <c r="BR52" s="6">
        <v>0.00258581</v>
      </c>
      <c r="BS52" s="6">
        <v>0.00318247</v>
      </c>
      <c r="BT52" s="6">
        <v>0.00192725</v>
      </c>
      <c r="BU52" s="6">
        <v>0.00223782</v>
      </c>
      <c r="BV52" s="6">
        <v>0.00133608</v>
      </c>
      <c r="BW52" s="6">
        <v>0.00178787</v>
      </c>
      <c r="BX52" s="12">
        <v>3549</v>
      </c>
      <c r="BY52" s="13">
        <v>2372</v>
      </c>
      <c r="BZ52" s="12">
        <v>1401.01</v>
      </c>
      <c r="CA52" s="6">
        <f t="shared" si="4"/>
        <v>1.49620573355818</v>
      </c>
      <c r="CB52" s="6">
        <f t="shared" si="5"/>
        <v>2.53317249698432</v>
      </c>
      <c r="CC52" s="7">
        <v>139033346.4</v>
      </c>
      <c r="CD52" s="7">
        <f t="shared" si="0"/>
        <v>9.92379400575299</v>
      </c>
      <c r="CE52" s="8">
        <v>784.9</v>
      </c>
      <c r="CF52" s="8">
        <v>1293.2</v>
      </c>
      <c r="CG52" s="8">
        <v>1473.4</v>
      </c>
      <c r="CH52" s="8">
        <v>5590</v>
      </c>
      <c r="CI52" s="14">
        <v>0</v>
      </c>
      <c r="CJ52" s="14">
        <v>0</v>
      </c>
      <c r="CK52" s="14">
        <f t="shared" si="1"/>
        <v>0</v>
      </c>
      <c r="CL52">
        <f t="shared" si="2"/>
        <v>4.53658228674969</v>
      </c>
      <c r="CM52">
        <f t="shared" si="3"/>
        <v>0</v>
      </c>
      <c r="CN52" s="15">
        <v>3549.33</v>
      </c>
      <c r="CO52" s="15">
        <v>5907.99</v>
      </c>
      <c r="CP52" s="15">
        <v>286.47</v>
      </c>
      <c r="CQ52" s="15">
        <v>126.26</v>
      </c>
      <c r="CR52" s="15">
        <v>64.81</v>
      </c>
      <c r="CS52" s="15">
        <v>1.55</v>
      </c>
      <c r="CT52" s="15">
        <v>68.73</v>
      </c>
      <c r="CU52" s="15">
        <v>30.99</v>
      </c>
      <c r="CV52" s="15">
        <v>0.01</v>
      </c>
      <c r="CW52" s="15">
        <v>254.21</v>
      </c>
    </row>
    <row r="53" spans="1:101">
      <c r="A53" s="6">
        <v>2001</v>
      </c>
      <c r="B53" s="6" t="s">
        <v>102</v>
      </c>
      <c r="C53" s="6">
        <v>0.01336531</v>
      </c>
      <c r="D53" s="6">
        <v>0.008707</v>
      </c>
      <c r="E53" s="6">
        <v>0.002232</v>
      </c>
      <c r="F53" s="6">
        <v>0.003889</v>
      </c>
      <c r="G53" s="6">
        <v>0.001288</v>
      </c>
      <c r="H53" s="6">
        <v>0.001298</v>
      </c>
      <c r="I53" s="6">
        <v>0.00975</v>
      </c>
      <c r="J53" s="6">
        <v>0.004812</v>
      </c>
      <c r="K53" s="6">
        <v>0.01672986</v>
      </c>
      <c r="L53" s="6">
        <v>0.01228436</v>
      </c>
      <c r="M53" s="6">
        <v>0.01685525</v>
      </c>
      <c r="N53" s="6">
        <v>0.00957242</v>
      </c>
      <c r="O53" s="6">
        <v>0.00584042</v>
      </c>
      <c r="P53" s="6">
        <v>0.01881033</v>
      </c>
      <c r="Q53" s="6">
        <v>0.01687351</v>
      </c>
      <c r="R53" s="6">
        <v>217.69486</v>
      </c>
      <c r="S53" s="6">
        <v>7.685e-5</v>
      </c>
      <c r="T53" s="6">
        <v>169.97573</v>
      </c>
      <c r="U53" s="6">
        <v>7.227e-5</v>
      </c>
      <c r="V53" s="6">
        <v>197.11803</v>
      </c>
      <c r="W53" s="6">
        <v>8.551e-5</v>
      </c>
      <c r="X53" s="6">
        <v>134.47093</v>
      </c>
      <c r="Y53" s="6">
        <v>7.119e-5</v>
      </c>
      <c r="Z53" s="6">
        <v>134.86767</v>
      </c>
      <c r="AA53" s="6">
        <v>4.33e-5</v>
      </c>
      <c r="AB53" s="6">
        <v>294.9318</v>
      </c>
      <c r="AC53" s="6">
        <v>6.378e-5</v>
      </c>
      <c r="AD53" s="6">
        <v>243.86163</v>
      </c>
      <c r="AE53" s="6">
        <v>6.919e-5</v>
      </c>
      <c r="AF53" s="6">
        <v>775</v>
      </c>
      <c r="AG53" s="6">
        <v>-0.00072805</v>
      </c>
      <c r="AH53" s="6">
        <v>-0.00068911</v>
      </c>
      <c r="AI53" s="6">
        <v>-0.00080095</v>
      </c>
      <c r="AJ53" s="6">
        <v>-0.00067984</v>
      </c>
      <c r="AK53" s="6">
        <v>-0.00043509</v>
      </c>
      <c r="AL53" s="6">
        <v>-0.00061611</v>
      </c>
      <c r="AM53" s="6">
        <v>-0.00066277</v>
      </c>
      <c r="AN53" s="6">
        <v>-6.4762184</v>
      </c>
      <c r="AO53" s="6">
        <v>-6.4515561</v>
      </c>
      <c r="AP53" s="6">
        <v>-6.4739881</v>
      </c>
      <c r="AQ53" s="6">
        <v>-6.4253629</v>
      </c>
      <c r="AR53" s="6">
        <v>-6.4020076</v>
      </c>
      <c r="AS53" s="6">
        <v>-6.4618417</v>
      </c>
      <c r="AT53" s="6">
        <v>-6.4506396</v>
      </c>
      <c r="AU53" s="6">
        <v>0.97344833</v>
      </c>
      <c r="AV53" s="6">
        <v>0.96974131</v>
      </c>
      <c r="AW53" s="6">
        <v>0.97311308</v>
      </c>
      <c r="AX53" s="6">
        <v>0.96580418</v>
      </c>
      <c r="AY53" s="6">
        <v>0.96229362</v>
      </c>
      <c r="AZ53" s="6">
        <v>0.97128734</v>
      </c>
      <c r="BA53" s="6">
        <v>0.96960354</v>
      </c>
      <c r="BB53" s="6">
        <v>0.02655167</v>
      </c>
      <c r="BC53" s="6">
        <v>0.03025869</v>
      </c>
      <c r="BD53" s="6">
        <v>0.02688692</v>
      </c>
      <c r="BE53" s="6">
        <v>0.03419582</v>
      </c>
      <c r="BF53" s="6">
        <v>0.03770638</v>
      </c>
      <c r="BG53" s="6">
        <v>0.02871266</v>
      </c>
      <c r="BH53" s="6">
        <v>0.03039646</v>
      </c>
      <c r="BI53" s="6">
        <v>0.21470859</v>
      </c>
      <c r="BJ53" s="6">
        <v>0.12366373</v>
      </c>
      <c r="BK53" s="6">
        <v>0.1409291</v>
      </c>
      <c r="BL53" s="6">
        <v>0.12522516</v>
      </c>
      <c r="BM53" s="6">
        <v>0.1592662</v>
      </c>
      <c r="BN53" s="6">
        <v>0.17561655</v>
      </c>
      <c r="BO53" s="6">
        <v>0.1337285</v>
      </c>
      <c r="BP53" s="6">
        <v>0.14157076</v>
      </c>
      <c r="BQ53" s="6">
        <v>0.00206888</v>
      </c>
      <c r="BR53" s="6">
        <v>0.00173122</v>
      </c>
      <c r="BS53" s="6">
        <v>0.0021107</v>
      </c>
      <c r="BT53" s="6">
        <v>0.00152456</v>
      </c>
      <c r="BU53" s="6">
        <v>0.00102567</v>
      </c>
      <c r="BV53" s="6">
        <v>0.00251548</v>
      </c>
      <c r="BW53" s="6">
        <v>0.0023888</v>
      </c>
      <c r="BX53" s="12">
        <v>4073</v>
      </c>
      <c r="BY53" s="13">
        <v>2381.45</v>
      </c>
      <c r="BZ53" s="12">
        <v>1713.81</v>
      </c>
      <c r="CA53" s="6">
        <f t="shared" si="4"/>
        <v>1.71030254676773</v>
      </c>
      <c r="CB53" s="6">
        <f t="shared" si="5"/>
        <v>2.37657616655289</v>
      </c>
      <c r="CC53" s="7">
        <v>141565510.7</v>
      </c>
      <c r="CD53" s="7">
        <f t="shared" si="0"/>
        <v>8.26028035196434</v>
      </c>
      <c r="CE53" s="8">
        <v>825.7</v>
      </c>
      <c r="CF53" s="8">
        <v>1412.8</v>
      </c>
      <c r="CG53" s="8">
        <v>1593.4</v>
      </c>
      <c r="CH53" s="8">
        <v>6120</v>
      </c>
      <c r="CI53" s="14">
        <v>0</v>
      </c>
      <c r="CJ53" s="14">
        <v>0</v>
      </c>
      <c r="CK53" s="14">
        <f t="shared" si="1"/>
        <v>0</v>
      </c>
      <c r="CL53">
        <f t="shared" si="2"/>
        <v>4.16809156222866</v>
      </c>
      <c r="CM53">
        <f t="shared" si="3"/>
        <v>0</v>
      </c>
      <c r="CN53" s="15">
        <v>4073</v>
      </c>
      <c r="CO53" s="15">
        <v>6265</v>
      </c>
      <c r="CP53" s="15">
        <v>312.81</v>
      </c>
      <c r="CQ53" s="15">
        <v>133.07</v>
      </c>
      <c r="CR53" s="15">
        <v>72.1</v>
      </c>
      <c r="CS53" s="15">
        <v>1.56</v>
      </c>
      <c r="CT53" s="15">
        <v>87.77</v>
      </c>
      <c r="CU53" s="15">
        <v>33.48</v>
      </c>
      <c r="CV53" s="15">
        <v>0.14</v>
      </c>
      <c r="CW53" s="15">
        <v>279.68</v>
      </c>
    </row>
    <row r="54" spans="1:101">
      <c r="A54" s="6">
        <v>2002</v>
      </c>
      <c r="B54" s="6" t="s">
        <v>102</v>
      </c>
      <c r="C54" s="6">
        <v>0.0172606</v>
      </c>
      <c r="D54" s="6">
        <v>0.009743</v>
      </c>
      <c r="E54" s="6">
        <v>0.002412</v>
      </c>
      <c r="F54" s="6">
        <v>0.004393</v>
      </c>
      <c r="G54" s="6">
        <v>0.00148</v>
      </c>
      <c r="H54" s="6">
        <v>0.001457</v>
      </c>
      <c r="I54" s="6">
        <v>0.009999</v>
      </c>
      <c r="J54" s="6">
        <v>0.004493</v>
      </c>
      <c r="K54" s="6">
        <v>0.02485897</v>
      </c>
      <c r="L54" s="6">
        <v>0.01653249</v>
      </c>
      <c r="M54" s="6">
        <v>0.0246111</v>
      </c>
      <c r="N54" s="6">
        <v>0.01527471</v>
      </c>
      <c r="O54" s="6">
        <v>0.01066269</v>
      </c>
      <c r="P54" s="6">
        <v>0.02158172</v>
      </c>
      <c r="Q54" s="6">
        <v>0.01118327</v>
      </c>
      <c r="R54" s="6">
        <v>217.69486</v>
      </c>
      <c r="S54" s="6">
        <v>0.00011419</v>
      </c>
      <c r="T54" s="6">
        <v>169.97573</v>
      </c>
      <c r="U54" s="6">
        <v>9.726e-5</v>
      </c>
      <c r="V54" s="6">
        <v>197.11803</v>
      </c>
      <c r="W54" s="6">
        <v>0.00012485</v>
      </c>
      <c r="X54" s="6">
        <v>134.47093</v>
      </c>
      <c r="Y54" s="6">
        <v>0.00011359</v>
      </c>
      <c r="Z54" s="6">
        <v>134.86767</v>
      </c>
      <c r="AA54" s="6">
        <v>7.906e-5</v>
      </c>
      <c r="AB54" s="6">
        <v>294.9318</v>
      </c>
      <c r="AC54" s="6">
        <v>7.318e-5</v>
      </c>
      <c r="AD54" s="6">
        <v>243.86163</v>
      </c>
      <c r="AE54" s="6">
        <v>4.586e-5</v>
      </c>
      <c r="AF54" s="6">
        <v>775</v>
      </c>
      <c r="AG54" s="6">
        <v>-0.00103659</v>
      </c>
      <c r="AH54" s="6">
        <v>-0.00089853</v>
      </c>
      <c r="AI54" s="6">
        <v>-0.00112224</v>
      </c>
      <c r="AJ54" s="6">
        <v>-0.00103174</v>
      </c>
      <c r="AK54" s="6">
        <v>-0.00074675</v>
      </c>
      <c r="AL54" s="6">
        <v>-0.00069682</v>
      </c>
      <c r="AM54" s="6">
        <v>-0.00045813</v>
      </c>
      <c r="AN54" s="6">
        <v>-6.4762184</v>
      </c>
      <c r="AO54" s="6">
        <v>-6.4515561</v>
      </c>
      <c r="AP54" s="6">
        <v>-6.4739881</v>
      </c>
      <c r="AQ54" s="6">
        <v>-6.4253629</v>
      </c>
      <c r="AR54" s="6">
        <v>-6.4020076</v>
      </c>
      <c r="AS54" s="6">
        <v>-6.4618417</v>
      </c>
      <c r="AT54" s="6">
        <v>-6.4506396</v>
      </c>
      <c r="AU54" s="6">
        <v>0.97344833</v>
      </c>
      <c r="AV54" s="6">
        <v>0.96974131</v>
      </c>
      <c r="AW54" s="6">
        <v>0.97311308</v>
      </c>
      <c r="AX54" s="6">
        <v>0.96580418</v>
      </c>
      <c r="AY54" s="6">
        <v>0.96229362</v>
      </c>
      <c r="AZ54" s="6">
        <v>0.97128734</v>
      </c>
      <c r="BA54" s="6">
        <v>0.96960354</v>
      </c>
      <c r="BB54" s="6">
        <v>0.02655167</v>
      </c>
      <c r="BC54" s="6">
        <v>0.03025869</v>
      </c>
      <c r="BD54" s="6">
        <v>0.02688692</v>
      </c>
      <c r="BE54" s="6">
        <v>0.03419582</v>
      </c>
      <c r="BF54" s="6">
        <v>0.03770638</v>
      </c>
      <c r="BG54" s="6">
        <v>0.02871266</v>
      </c>
      <c r="BH54" s="6">
        <v>0.03039646</v>
      </c>
      <c r="BI54" s="6">
        <v>0.21470859</v>
      </c>
      <c r="BJ54" s="6">
        <v>0.12366373</v>
      </c>
      <c r="BK54" s="6">
        <v>0.1409291</v>
      </c>
      <c r="BL54" s="6">
        <v>0.12522516</v>
      </c>
      <c r="BM54" s="6">
        <v>0.1592662</v>
      </c>
      <c r="BN54" s="6">
        <v>0.17561655</v>
      </c>
      <c r="BO54" s="6">
        <v>0.1337285</v>
      </c>
      <c r="BP54" s="6">
        <v>0.14157076</v>
      </c>
      <c r="BQ54" s="6">
        <v>0.00307415</v>
      </c>
      <c r="BR54" s="6">
        <v>0.00232991</v>
      </c>
      <c r="BS54" s="6">
        <v>0.00308193</v>
      </c>
      <c r="BT54" s="6">
        <v>0.00243275</v>
      </c>
      <c r="BU54" s="6">
        <v>0.00187255</v>
      </c>
      <c r="BV54" s="6">
        <v>0.00288609</v>
      </c>
      <c r="BW54" s="6">
        <v>0.00158322</v>
      </c>
      <c r="BX54" s="12">
        <v>4560</v>
      </c>
      <c r="BY54" s="13">
        <v>2384.05</v>
      </c>
      <c r="BZ54" s="12">
        <v>1940.94</v>
      </c>
      <c r="CA54" s="6">
        <f t="shared" si="4"/>
        <v>1.9127115622575</v>
      </c>
      <c r="CB54" s="6">
        <f t="shared" si="5"/>
        <v>2.34937710593836</v>
      </c>
      <c r="CC54" s="7">
        <v>155354833.8</v>
      </c>
      <c r="CD54" s="7">
        <f t="shared" si="0"/>
        <v>8.0041028470741</v>
      </c>
      <c r="CE54" s="8">
        <v>847.3</v>
      </c>
      <c r="CF54" s="8">
        <v>1523.5</v>
      </c>
      <c r="CG54" s="8">
        <v>1780.8</v>
      </c>
      <c r="CH54" s="8">
        <v>6734</v>
      </c>
      <c r="CI54" s="14">
        <v>0</v>
      </c>
      <c r="CJ54" s="14">
        <v>0</v>
      </c>
      <c r="CK54" s="14">
        <f t="shared" si="1"/>
        <v>0</v>
      </c>
      <c r="CL54">
        <f t="shared" si="2"/>
        <v>4.06804884448575</v>
      </c>
      <c r="CM54">
        <f t="shared" si="3"/>
        <v>0</v>
      </c>
      <c r="CN54" s="15">
        <v>4560</v>
      </c>
      <c r="CO54" s="15">
        <v>6864</v>
      </c>
      <c r="CP54" s="15">
        <v>393.58</v>
      </c>
      <c r="CQ54" s="15">
        <v>126.05</v>
      </c>
      <c r="CR54" s="15">
        <v>79.35</v>
      </c>
      <c r="CS54" s="15">
        <v>1.58</v>
      </c>
      <c r="CT54" s="15">
        <v>96.87</v>
      </c>
      <c r="CU54" s="15">
        <v>39.06</v>
      </c>
      <c r="CV54" s="15">
        <v>0.22</v>
      </c>
      <c r="CW54" s="15">
        <v>320.44</v>
      </c>
    </row>
    <row r="55" spans="1:101">
      <c r="A55" s="6">
        <v>2003</v>
      </c>
      <c r="B55" s="6" t="s">
        <v>102</v>
      </c>
      <c r="C55" s="6">
        <v>0.02900731</v>
      </c>
      <c r="D55" s="6">
        <v>0.011289</v>
      </c>
      <c r="E55" s="6">
        <v>0.002894</v>
      </c>
      <c r="F55" s="6">
        <v>0.004958</v>
      </c>
      <c r="G55" s="6">
        <v>0.001791</v>
      </c>
      <c r="H55" s="6">
        <v>0.001648</v>
      </c>
      <c r="I55" s="6">
        <v>0.011314</v>
      </c>
      <c r="J55" s="6">
        <v>0.00573</v>
      </c>
      <c r="K55" s="6">
        <v>0.03698779</v>
      </c>
      <c r="L55" s="6">
        <v>0.02791912</v>
      </c>
      <c r="M55" s="6">
        <v>0.03328082</v>
      </c>
      <c r="N55" s="6">
        <v>0.02444498</v>
      </c>
      <c r="O55" s="6">
        <v>0.01643017</v>
      </c>
      <c r="P55" s="6">
        <v>0.03623494</v>
      </c>
      <c r="Q55" s="6">
        <v>0.03324651</v>
      </c>
      <c r="R55" s="6">
        <v>217.69486</v>
      </c>
      <c r="S55" s="6">
        <v>0.00016991</v>
      </c>
      <c r="T55" s="6">
        <v>169.97573</v>
      </c>
      <c r="U55" s="6">
        <v>0.00016425</v>
      </c>
      <c r="V55" s="6">
        <v>197.11803</v>
      </c>
      <c r="W55" s="6">
        <v>0.00016884</v>
      </c>
      <c r="X55" s="6">
        <v>134.47093</v>
      </c>
      <c r="Y55" s="6">
        <v>0.00018179</v>
      </c>
      <c r="Z55" s="6">
        <v>134.86767</v>
      </c>
      <c r="AA55" s="6">
        <v>0.00012182</v>
      </c>
      <c r="AB55" s="6">
        <v>294.9318</v>
      </c>
      <c r="AC55" s="6">
        <v>0.00012286</v>
      </c>
      <c r="AD55" s="6">
        <v>243.86163</v>
      </c>
      <c r="AE55" s="6">
        <v>0.00013633</v>
      </c>
      <c r="AF55" s="6">
        <v>775</v>
      </c>
      <c r="AG55" s="6">
        <v>-0.00147483</v>
      </c>
      <c r="AH55" s="6">
        <v>-0.00143132</v>
      </c>
      <c r="AI55" s="6">
        <v>-0.00146662</v>
      </c>
      <c r="AJ55" s="6">
        <v>-0.00156567</v>
      </c>
      <c r="AK55" s="6">
        <v>-0.00109799</v>
      </c>
      <c r="AL55" s="6">
        <v>-0.00110628</v>
      </c>
      <c r="AM55" s="6">
        <v>-0.00121342</v>
      </c>
      <c r="AN55" s="6">
        <v>-6.4762184</v>
      </c>
      <c r="AO55" s="6">
        <v>-6.4515561</v>
      </c>
      <c r="AP55" s="6">
        <v>-6.4739881</v>
      </c>
      <c r="AQ55" s="6">
        <v>-6.4253629</v>
      </c>
      <c r="AR55" s="6">
        <v>-6.4020076</v>
      </c>
      <c r="AS55" s="6">
        <v>-6.4618417</v>
      </c>
      <c r="AT55" s="6">
        <v>-6.4506396</v>
      </c>
      <c r="AU55" s="6">
        <v>0.97344833</v>
      </c>
      <c r="AV55" s="6">
        <v>0.96974131</v>
      </c>
      <c r="AW55" s="6">
        <v>0.97311308</v>
      </c>
      <c r="AX55" s="6">
        <v>0.96580418</v>
      </c>
      <c r="AY55" s="6">
        <v>0.96229362</v>
      </c>
      <c r="AZ55" s="6">
        <v>0.97128734</v>
      </c>
      <c r="BA55" s="6">
        <v>0.96960354</v>
      </c>
      <c r="BB55" s="6">
        <v>0.02655167</v>
      </c>
      <c r="BC55" s="6">
        <v>0.03025869</v>
      </c>
      <c r="BD55" s="6">
        <v>0.02688692</v>
      </c>
      <c r="BE55" s="6">
        <v>0.03419582</v>
      </c>
      <c r="BF55" s="6">
        <v>0.03770638</v>
      </c>
      <c r="BG55" s="6">
        <v>0.02871266</v>
      </c>
      <c r="BH55" s="6">
        <v>0.03039646</v>
      </c>
      <c r="BI55" s="6">
        <v>0.21470859</v>
      </c>
      <c r="BJ55" s="6">
        <v>0.12366373</v>
      </c>
      <c r="BK55" s="6">
        <v>0.1409291</v>
      </c>
      <c r="BL55" s="6">
        <v>0.12522516</v>
      </c>
      <c r="BM55" s="6">
        <v>0.1592662</v>
      </c>
      <c r="BN55" s="6">
        <v>0.17561655</v>
      </c>
      <c r="BO55" s="6">
        <v>0.1337285</v>
      </c>
      <c r="BP55" s="6">
        <v>0.14157076</v>
      </c>
      <c r="BQ55" s="6">
        <v>0.00457405</v>
      </c>
      <c r="BR55" s="6">
        <v>0.00393462</v>
      </c>
      <c r="BS55" s="6">
        <v>0.0041676</v>
      </c>
      <c r="BT55" s="6">
        <v>0.00389326</v>
      </c>
      <c r="BU55" s="6">
        <v>0.00288541</v>
      </c>
      <c r="BV55" s="6">
        <v>0.00484564</v>
      </c>
      <c r="BW55" s="6">
        <v>0.00470673</v>
      </c>
      <c r="BX55" s="12">
        <v>5778</v>
      </c>
      <c r="BY55" s="13">
        <v>2385.78</v>
      </c>
      <c r="BZ55" s="12">
        <v>2388.38</v>
      </c>
      <c r="CA55" s="6">
        <f t="shared" si="4"/>
        <v>2.42184945803888</v>
      </c>
      <c r="CB55" s="6">
        <f t="shared" si="5"/>
        <v>2.41921302305328</v>
      </c>
      <c r="CC55" s="7">
        <v>192671541.1</v>
      </c>
      <c r="CD55" s="7">
        <f t="shared" si="0"/>
        <v>8.06703879198452</v>
      </c>
      <c r="CE55" s="8">
        <v>869.7</v>
      </c>
      <c r="CF55" s="8">
        <v>1772.3</v>
      </c>
      <c r="CG55" s="8">
        <v>2018</v>
      </c>
      <c r="CH55" s="8">
        <v>7589</v>
      </c>
      <c r="CI55" s="14">
        <v>0</v>
      </c>
      <c r="CJ55" s="14">
        <v>0</v>
      </c>
      <c r="CK55" s="14">
        <f t="shared" si="1"/>
        <v>0</v>
      </c>
      <c r="CL55">
        <f t="shared" si="2"/>
        <v>4.08414499624993</v>
      </c>
      <c r="CM55">
        <f t="shared" si="3"/>
        <v>0</v>
      </c>
      <c r="CN55" s="15">
        <v>5777.85</v>
      </c>
      <c r="CO55" s="15">
        <v>9024.63</v>
      </c>
      <c r="CP55" s="15">
        <v>477.34</v>
      </c>
      <c r="CQ55" s="15">
        <v>128.83</v>
      </c>
      <c r="CR55" s="15">
        <v>96.63</v>
      </c>
      <c r="CS55" s="15">
        <v>1.76</v>
      </c>
      <c r="CT55" s="15">
        <v>152.6</v>
      </c>
      <c r="CU55" s="15">
        <v>39.37</v>
      </c>
      <c r="CV55" s="15">
        <v>2.04</v>
      </c>
      <c r="CW55" s="15">
        <v>406.62</v>
      </c>
    </row>
    <row r="56" spans="1:101">
      <c r="A56" s="6">
        <v>2004</v>
      </c>
      <c r="B56" s="6" t="s">
        <v>102</v>
      </c>
      <c r="C56" s="6">
        <v>0.0220823</v>
      </c>
      <c r="D56" s="6">
        <v>0.011032</v>
      </c>
      <c r="E56" s="6">
        <v>0.002808</v>
      </c>
      <c r="F56" s="6">
        <v>0.005078</v>
      </c>
      <c r="G56" s="6">
        <v>0.001489</v>
      </c>
      <c r="H56" s="6">
        <v>0.001656</v>
      </c>
      <c r="I56" s="6">
        <v>0.0094</v>
      </c>
      <c r="J56" s="6">
        <v>0.00478</v>
      </c>
      <c r="K56" s="6">
        <v>0.03496638</v>
      </c>
      <c r="L56" s="6">
        <v>0.0258986</v>
      </c>
      <c r="M56" s="6">
        <v>0.03513027</v>
      </c>
      <c r="N56" s="6">
        <v>0.01553856</v>
      </c>
      <c r="O56" s="6">
        <v>0.01669488</v>
      </c>
      <c r="P56" s="6">
        <v>0.01491404</v>
      </c>
      <c r="Q56" s="6">
        <v>0.01630333</v>
      </c>
      <c r="R56" s="6">
        <v>217.69486</v>
      </c>
      <c r="S56" s="6">
        <v>0.00016062</v>
      </c>
      <c r="T56" s="6">
        <v>169.97573</v>
      </c>
      <c r="U56" s="6">
        <v>0.00015237</v>
      </c>
      <c r="V56" s="6">
        <v>197.11803</v>
      </c>
      <c r="W56" s="6">
        <v>0.00017822</v>
      </c>
      <c r="X56" s="6">
        <v>134.47093</v>
      </c>
      <c r="Y56" s="6">
        <v>0.00011555</v>
      </c>
      <c r="Z56" s="6">
        <v>134.86767</v>
      </c>
      <c r="AA56" s="6">
        <v>0.00012379</v>
      </c>
      <c r="AB56" s="6">
        <v>294.9318</v>
      </c>
      <c r="AC56" s="6">
        <v>5.057e-5</v>
      </c>
      <c r="AD56" s="6">
        <v>243.86163</v>
      </c>
      <c r="AE56" s="6">
        <v>6.685e-5</v>
      </c>
      <c r="AF56" s="6">
        <v>775</v>
      </c>
      <c r="AG56" s="6">
        <v>-0.00140326</v>
      </c>
      <c r="AH56" s="6">
        <v>-0.00133918</v>
      </c>
      <c r="AI56" s="6">
        <v>-0.00153848</v>
      </c>
      <c r="AJ56" s="6">
        <v>-0.00104758</v>
      </c>
      <c r="AK56" s="6">
        <v>-0.00111371</v>
      </c>
      <c r="AL56" s="6">
        <v>-0.00050023</v>
      </c>
      <c r="AM56" s="6">
        <v>-0.00064267</v>
      </c>
      <c r="AN56" s="6">
        <v>-6.4762184</v>
      </c>
      <c r="AO56" s="6">
        <v>-6.4515561</v>
      </c>
      <c r="AP56" s="6">
        <v>-6.4739881</v>
      </c>
      <c r="AQ56" s="6">
        <v>-6.4253629</v>
      </c>
      <c r="AR56" s="6">
        <v>-6.4020076</v>
      </c>
      <c r="AS56" s="6">
        <v>-6.4618417</v>
      </c>
      <c r="AT56" s="6">
        <v>-6.4506396</v>
      </c>
      <c r="AU56" s="6">
        <v>0.97344833</v>
      </c>
      <c r="AV56" s="6">
        <v>0.96974131</v>
      </c>
      <c r="AW56" s="6">
        <v>0.97311308</v>
      </c>
      <c r="AX56" s="6">
        <v>0.96580418</v>
      </c>
      <c r="AY56" s="6">
        <v>0.96229362</v>
      </c>
      <c r="AZ56" s="6">
        <v>0.97128734</v>
      </c>
      <c r="BA56" s="6">
        <v>0.96960354</v>
      </c>
      <c r="BB56" s="6">
        <v>0.02655167</v>
      </c>
      <c r="BC56" s="6">
        <v>0.03025869</v>
      </c>
      <c r="BD56" s="6">
        <v>0.02688692</v>
      </c>
      <c r="BE56" s="6">
        <v>0.03419582</v>
      </c>
      <c r="BF56" s="6">
        <v>0.03770638</v>
      </c>
      <c r="BG56" s="6">
        <v>0.02871266</v>
      </c>
      <c r="BH56" s="6">
        <v>0.03039646</v>
      </c>
      <c r="BI56" s="6">
        <v>0.21470859</v>
      </c>
      <c r="BJ56" s="6">
        <v>0.12366373</v>
      </c>
      <c r="BK56" s="6">
        <v>0.1409291</v>
      </c>
      <c r="BL56" s="6">
        <v>0.12522516</v>
      </c>
      <c r="BM56" s="6">
        <v>0.1592662</v>
      </c>
      <c r="BN56" s="6">
        <v>0.17561655</v>
      </c>
      <c r="BO56" s="6">
        <v>0.1337285</v>
      </c>
      <c r="BP56" s="6">
        <v>0.14157076</v>
      </c>
      <c r="BQ56" s="6">
        <v>0.00432407</v>
      </c>
      <c r="BR56" s="6">
        <v>0.00364987</v>
      </c>
      <c r="BS56" s="6">
        <v>0.00439919</v>
      </c>
      <c r="BT56" s="6">
        <v>0.00247477</v>
      </c>
      <c r="BU56" s="6">
        <v>0.0029319</v>
      </c>
      <c r="BV56" s="6">
        <v>0.00199443</v>
      </c>
      <c r="BW56" s="6">
        <v>0.00230807</v>
      </c>
      <c r="BX56" s="12">
        <v>7623</v>
      </c>
      <c r="BY56" s="13">
        <v>2392.66</v>
      </c>
      <c r="BZ56" s="12">
        <v>3041.07</v>
      </c>
      <c r="CA56" s="6">
        <f t="shared" si="4"/>
        <v>3.18599383113355</v>
      </c>
      <c r="CB56" s="6">
        <f t="shared" si="5"/>
        <v>2.50668350284604</v>
      </c>
      <c r="CC56" s="7">
        <v>227520871.6</v>
      </c>
      <c r="CD56" s="7">
        <f t="shared" si="0"/>
        <v>7.4816058689869</v>
      </c>
      <c r="CE56" s="8">
        <v>1022.5</v>
      </c>
      <c r="CF56" s="8">
        <v>2135.6</v>
      </c>
      <c r="CG56" s="8">
        <v>2384.6</v>
      </c>
      <c r="CH56" s="8">
        <v>9004</v>
      </c>
      <c r="CI56" s="14">
        <v>0</v>
      </c>
      <c r="CJ56" s="14">
        <v>0</v>
      </c>
      <c r="CK56" s="14">
        <f t="shared" si="1"/>
        <v>0</v>
      </c>
      <c r="CL56">
        <f t="shared" si="2"/>
        <v>3.89549779892895</v>
      </c>
      <c r="CM56">
        <f t="shared" si="3"/>
        <v>0</v>
      </c>
      <c r="CN56" s="15">
        <v>7622.54</v>
      </c>
      <c r="CO56" s="15">
        <v>11391.44</v>
      </c>
      <c r="CP56" s="15">
        <v>577.98</v>
      </c>
      <c r="CQ56" s="15">
        <v>132.19</v>
      </c>
      <c r="CR56" s="15">
        <v>151.3</v>
      </c>
      <c r="CS56" s="15">
        <v>1.94</v>
      </c>
      <c r="CT56" s="15">
        <v>252.21</v>
      </c>
      <c r="CU56" s="15">
        <v>47.97</v>
      </c>
      <c r="CV56" s="15">
        <v>4.42</v>
      </c>
      <c r="CW56" s="15">
        <v>535.58</v>
      </c>
    </row>
    <row r="57" spans="1:101">
      <c r="A57" s="6">
        <v>2005</v>
      </c>
      <c r="B57" s="6" t="s">
        <v>102</v>
      </c>
      <c r="C57" s="6">
        <v>0.02460366</v>
      </c>
      <c r="D57" s="6">
        <v>0.010544</v>
      </c>
      <c r="E57" s="6">
        <v>0.002637</v>
      </c>
      <c r="F57" s="6">
        <v>0.004703</v>
      </c>
      <c r="G57" s="6">
        <v>0.001657</v>
      </c>
      <c r="H57" s="6">
        <v>0.001547</v>
      </c>
      <c r="I57" s="6">
        <v>0.010853</v>
      </c>
      <c r="J57" s="6">
        <v>0.005538</v>
      </c>
      <c r="K57" s="6">
        <v>0.03113848</v>
      </c>
      <c r="L57" s="6">
        <v>0.02185266</v>
      </c>
      <c r="M57" s="6">
        <v>0.0293648</v>
      </c>
      <c r="N57" s="6">
        <v>0.02047954</v>
      </c>
      <c r="O57" s="6">
        <v>0.01339459</v>
      </c>
      <c r="P57" s="6">
        <v>0.03110091</v>
      </c>
      <c r="Q57" s="6">
        <v>0.02982945</v>
      </c>
      <c r="R57" s="6">
        <v>217.69486</v>
      </c>
      <c r="S57" s="6">
        <v>0.00014304</v>
      </c>
      <c r="T57" s="6">
        <v>169.97573</v>
      </c>
      <c r="U57" s="6">
        <v>0.00012856</v>
      </c>
      <c r="V57" s="6">
        <v>197.11803</v>
      </c>
      <c r="W57" s="6">
        <v>0.00014897</v>
      </c>
      <c r="X57" s="6">
        <v>134.47093</v>
      </c>
      <c r="Y57" s="6">
        <v>0.0001523</v>
      </c>
      <c r="Z57" s="6">
        <v>134.86767</v>
      </c>
      <c r="AA57" s="6">
        <v>9.932e-5</v>
      </c>
      <c r="AB57" s="6">
        <v>294.9318</v>
      </c>
      <c r="AC57" s="6">
        <v>0.00010545</v>
      </c>
      <c r="AD57" s="6">
        <v>243.86163</v>
      </c>
      <c r="AE57" s="6">
        <v>0.00012232</v>
      </c>
      <c r="AF57" s="6">
        <v>775</v>
      </c>
      <c r="AG57" s="6">
        <v>-0.00126622</v>
      </c>
      <c r="AH57" s="6">
        <v>-0.00115181</v>
      </c>
      <c r="AI57" s="6">
        <v>-0.00131269</v>
      </c>
      <c r="AJ57" s="6">
        <v>-0.00133864</v>
      </c>
      <c r="AK57" s="6">
        <v>-0.00091542</v>
      </c>
      <c r="AL57" s="6">
        <v>-0.00096564</v>
      </c>
      <c r="AM57" s="6">
        <v>-0.00110197</v>
      </c>
      <c r="AN57" s="6">
        <v>-6.4762184</v>
      </c>
      <c r="AO57" s="6">
        <v>-6.4515561</v>
      </c>
      <c r="AP57" s="6">
        <v>-6.4739881</v>
      </c>
      <c r="AQ57" s="6">
        <v>-6.4253629</v>
      </c>
      <c r="AR57" s="6">
        <v>-6.4020076</v>
      </c>
      <c r="AS57" s="6">
        <v>-6.4618417</v>
      </c>
      <c r="AT57" s="6">
        <v>-6.4506396</v>
      </c>
      <c r="AU57" s="6">
        <v>0.97344833</v>
      </c>
      <c r="AV57" s="6">
        <v>0.96974131</v>
      </c>
      <c r="AW57" s="6">
        <v>0.97311308</v>
      </c>
      <c r="AX57" s="6">
        <v>0.96580418</v>
      </c>
      <c r="AY57" s="6">
        <v>0.96229362</v>
      </c>
      <c r="AZ57" s="6">
        <v>0.97128734</v>
      </c>
      <c r="BA57" s="6">
        <v>0.96960354</v>
      </c>
      <c r="BB57" s="6">
        <v>0.02655167</v>
      </c>
      <c r="BC57" s="6">
        <v>0.03025869</v>
      </c>
      <c r="BD57" s="6">
        <v>0.02688692</v>
      </c>
      <c r="BE57" s="6">
        <v>0.03419582</v>
      </c>
      <c r="BF57" s="6">
        <v>0.03770638</v>
      </c>
      <c r="BG57" s="6">
        <v>0.02871266</v>
      </c>
      <c r="BH57" s="6">
        <v>0.03039646</v>
      </c>
      <c r="BI57" s="6">
        <v>0.21470859</v>
      </c>
      <c r="BJ57" s="6">
        <v>0.12366373</v>
      </c>
      <c r="BK57" s="6">
        <v>0.1409291</v>
      </c>
      <c r="BL57" s="6">
        <v>0.12522516</v>
      </c>
      <c r="BM57" s="6">
        <v>0.1592662</v>
      </c>
      <c r="BN57" s="6">
        <v>0.17561655</v>
      </c>
      <c r="BO57" s="6">
        <v>0.1337285</v>
      </c>
      <c r="BP57" s="6">
        <v>0.14157076</v>
      </c>
      <c r="BQ57" s="6">
        <v>0.0038507</v>
      </c>
      <c r="BR57" s="6">
        <v>0.00307968</v>
      </c>
      <c r="BS57" s="6">
        <v>0.00367721</v>
      </c>
      <c r="BT57" s="6">
        <v>0.0032617</v>
      </c>
      <c r="BU57" s="6">
        <v>0.00235231</v>
      </c>
      <c r="BV57" s="6">
        <v>0.00415908</v>
      </c>
      <c r="BW57" s="6">
        <v>0.00422298</v>
      </c>
      <c r="BX57" s="12">
        <v>9666</v>
      </c>
      <c r="BY57" s="13">
        <v>2403.11</v>
      </c>
      <c r="BZ57" s="12">
        <v>3905.03</v>
      </c>
      <c r="CA57" s="6">
        <f t="shared" si="4"/>
        <v>4.0222877854114</v>
      </c>
      <c r="CB57" s="6">
        <f t="shared" si="5"/>
        <v>2.47526907603783</v>
      </c>
      <c r="CC57" s="7">
        <v>274325478</v>
      </c>
      <c r="CD57" s="7">
        <f t="shared" si="0"/>
        <v>7.02492626177008</v>
      </c>
      <c r="CE57" s="8">
        <v>1078.3</v>
      </c>
      <c r="CF57" s="8">
        <v>2490.2</v>
      </c>
      <c r="CG57" s="8">
        <v>2801.4</v>
      </c>
      <c r="CH57" s="8">
        <v>10200</v>
      </c>
      <c r="CI57" s="14">
        <v>0</v>
      </c>
      <c r="CJ57" s="14">
        <v>0</v>
      </c>
      <c r="CK57" s="14">
        <f t="shared" si="1"/>
        <v>0</v>
      </c>
      <c r="CL57">
        <f t="shared" si="2"/>
        <v>3.71995059106252</v>
      </c>
      <c r="CM57">
        <f t="shared" si="3"/>
        <v>0</v>
      </c>
      <c r="CN57" s="15">
        <v>9642.6</v>
      </c>
      <c r="CO57" s="15">
        <v>13921.81</v>
      </c>
      <c r="CP57" s="15">
        <v>814.03</v>
      </c>
      <c r="CQ57" s="15">
        <v>131.83</v>
      </c>
      <c r="CR57" s="15">
        <v>192.41</v>
      </c>
      <c r="CS57" s="15">
        <v>0.4</v>
      </c>
      <c r="CT57" s="15">
        <v>379.96</v>
      </c>
      <c r="CU57" s="15">
        <v>25.34</v>
      </c>
      <c r="CV57" s="15">
        <v>6.35</v>
      </c>
      <c r="CW57" s="15">
        <v>667.72</v>
      </c>
    </row>
    <row r="58" spans="1:101">
      <c r="A58" s="6">
        <v>2006</v>
      </c>
      <c r="B58" s="6" t="s">
        <v>102</v>
      </c>
      <c r="C58" s="6">
        <v>0.03388995</v>
      </c>
      <c r="D58" s="6">
        <v>0.012562</v>
      </c>
      <c r="E58" s="6">
        <v>0.003073</v>
      </c>
      <c r="F58" s="6">
        <v>0.005531</v>
      </c>
      <c r="G58" s="6">
        <v>0.001619</v>
      </c>
      <c r="H58" s="6">
        <v>0.002339</v>
      </c>
      <c r="I58" s="6">
        <v>0.010769</v>
      </c>
      <c r="J58" s="6">
        <v>0.005686</v>
      </c>
      <c r="K58" s="6">
        <v>0.04696779</v>
      </c>
      <c r="L58" s="6">
        <v>0.03216483</v>
      </c>
      <c r="M58" s="6">
        <v>0.04209118</v>
      </c>
      <c r="N58" s="6">
        <v>0.01936303</v>
      </c>
      <c r="O58" s="6">
        <v>0.03738317</v>
      </c>
      <c r="P58" s="6">
        <v>0.03016219</v>
      </c>
      <c r="Q58" s="6">
        <v>0.03245998</v>
      </c>
      <c r="R58" s="6">
        <v>217.69486</v>
      </c>
      <c r="S58" s="6">
        <v>0.00021575</v>
      </c>
      <c r="T58" s="6">
        <v>169.97573</v>
      </c>
      <c r="U58" s="6">
        <v>0.00018923</v>
      </c>
      <c r="V58" s="6">
        <v>197.11803</v>
      </c>
      <c r="W58" s="6">
        <v>0.00021353</v>
      </c>
      <c r="X58" s="6">
        <v>134.47093</v>
      </c>
      <c r="Y58" s="6">
        <v>0.00014399</v>
      </c>
      <c r="Z58" s="6">
        <v>134.86767</v>
      </c>
      <c r="AA58" s="6">
        <v>0.00027718</v>
      </c>
      <c r="AB58" s="6">
        <v>294.9318</v>
      </c>
      <c r="AC58" s="6">
        <v>0.00010227</v>
      </c>
      <c r="AD58" s="6">
        <v>243.86163</v>
      </c>
      <c r="AE58" s="6">
        <v>0.00013311</v>
      </c>
      <c r="AF58" s="6">
        <v>775</v>
      </c>
      <c r="AG58" s="6">
        <v>-0.00182123</v>
      </c>
      <c r="AH58" s="6">
        <v>-0.0016222</v>
      </c>
      <c r="AI58" s="6">
        <v>-0.00180472</v>
      </c>
      <c r="AJ58" s="6">
        <v>-0.00127373</v>
      </c>
      <c r="AK58" s="6">
        <v>-0.00227037</v>
      </c>
      <c r="AL58" s="6">
        <v>-0.00093963</v>
      </c>
      <c r="AM58" s="6">
        <v>-0.0011879</v>
      </c>
      <c r="AN58" s="6">
        <v>-6.4762184</v>
      </c>
      <c r="AO58" s="6">
        <v>-6.4515561</v>
      </c>
      <c r="AP58" s="6">
        <v>-6.4739881</v>
      </c>
      <c r="AQ58" s="6">
        <v>-6.4253629</v>
      </c>
      <c r="AR58" s="6">
        <v>-6.4020076</v>
      </c>
      <c r="AS58" s="6">
        <v>-6.4618417</v>
      </c>
      <c r="AT58" s="6">
        <v>-6.4506396</v>
      </c>
      <c r="AU58" s="6">
        <v>0.97344833</v>
      </c>
      <c r="AV58" s="6">
        <v>0.96974131</v>
      </c>
      <c r="AW58" s="6">
        <v>0.97311308</v>
      </c>
      <c r="AX58" s="6">
        <v>0.96580418</v>
      </c>
      <c r="AY58" s="6">
        <v>0.96229362</v>
      </c>
      <c r="AZ58" s="6">
        <v>0.97128734</v>
      </c>
      <c r="BA58" s="6">
        <v>0.96960354</v>
      </c>
      <c r="BB58" s="6">
        <v>0.02655167</v>
      </c>
      <c r="BC58" s="6">
        <v>0.03025869</v>
      </c>
      <c r="BD58" s="6">
        <v>0.02688692</v>
      </c>
      <c r="BE58" s="6">
        <v>0.03419582</v>
      </c>
      <c r="BF58" s="6">
        <v>0.03770638</v>
      </c>
      <c r="BG58" s="6">
        <v>0.02871266</v>
      </c>
      <c r="BH58" s="6">
        <v>0.03039646</v>
      </c>
      <c r="BI58" s="6">
        <v>0.21470859</v>
      </c>
      <c r="BJ58" s="6">
        <v>0.12366373</v>
      </c>
      <c r="BK58" s="6">
        <v>0.1409291</v>
      </c>
      <c r="BL58" s="6">
        <v>0.12522516</v>
      </c>
      <c r="BM58" s="6">
        <v>0.1592662</v>
      </c>
      <c r="BN58" s="6">
        <v>0.17561655</v>
      </c>
      <c r="BO58" s="6">
        <v>0.1337285</v>
      </c>
      <c r="BP58" s="6">
        <v>0.14157076</v>
      </c>
      <c r="BQ58" s="6">
        <v>0.00580821</v>
      </c>
      <c r="BR58" s="6">
        <v>0.00453296</v>
      </c>
      <c r="BS58" s="6">
        <v>0.00527087</v>
      </c>
      <c r="BT58" s="6">
        <v>0.00308388</v>
      </c>
      <c r="BU58" s="6">
        <v>0.0065651</v>
      </c>
      <c r="BV58" s="6">
        <v>0.00403354</v>
      </c>
      <c r="BW58" s="6">
        <v>0.00459538</v>
      </c>
      <c r="BX58" s="12">
        <v>11221</v>
      </c>
      <c r="BY58" s="13">
        <v>2415.05</v>
      </c>
      <c r="BZ58" s="12">
        <v>4944.25</v>
      </c>
      <c r="CA58" s="6">
        <f t="shared" si="4"/>
        <v>4.64628061530817</v>
      </c>
      <c r="CB58" s="6">
        <f t="shared" si="5"/>
        <v>2.26950498053294</v>
      </c>
      <c r="CC58" s="7">
        <v>326803500.3</v>
      </c>
      <c r="CD58" s="7">
        <f t="shared" si="0"/>
        <v>6.60976892956465</v>
      </c>
      <c r="CE58" s="8">
        <v>1244.6</v>
      </c>
      <c r="CF58" s="8">
        <v>3030.7</v>
      </c>
      <c r="CG58" s="8">
        <v>3156.2</v>
      </c>
      <c r="CH58" s="8">
        <v>11733</v>
      </c>
      <c r="CI58" s="14">
        <v>0</v>
      </c>
      <c r="CJ58" s="14">
        <v>0</v>
      </c>
      <c r="CK58" s="14">
        <f t="shared" si="1"/>
        <v>0</v>
      </c>
      <c r="CL58">
        <f t="shared" si="2"/>
        <v>3.57740717995078</v>
      </c>
      <c r="CM58">
        <f t="shared" si="3"/>
        <v>0</v>
      </c>
      <c r="CN58" s="15">
        <v>11163.11</v>
      </c>
      <c r="CO58" s="15">
        <v>16188.88</v>
      </c>
      <c r="CP58" s="15">
        <v>1008.33</v>
      </c>
      <c r="CQ58" s="15">
        <v>139.2</v>
      </c>
      <c r="CR58" s="15">
        <v>211.75</v>
      </c>
      <c r="CS58" s="15">
        <v>5.52</v>
      </c>
      <c r="CT58" s="15">
        <v>492.66</v>
      </c>
      <c r="CU58" s="15">
        <v>9.97</v>
      </c>
      <c r="CV58" s="15">
        <v>14.38</v>
      </c>
      <c r="CW58" s="15">
        <v>884.91</v>
      </c>
    </row>
    <row r="59" spans="1:101">
      <c r="A59" s="6">
        <v>2007</v>
      </c>
      <c r="B59" s="6" t="s">
        <v>102</v>
      </c>
      <c r="C59" s="6">
        <v>0.0300818</v>
      </c>
      <c r="D59" s="6">
        <v>0.01149</v>
      </c>
      <c r="E59" s="6">
        <v>0.002861</v>
      </c>
      <c r="F59" s="6">
        <v>0.005106</v>
      </c>
      <c r="G59" s="6">
        <v>0.001558</v>
      </c>
      <c r="H59" s="6">
        <v>0.001964</v>
      </c>
      <c r="I59" s="6">
        <v>0.011664</v>
      </c>
      <c r="J59" s="6">
        <v>0.005568</v>
      </c>
      <c r="K59" s="6">
        <v>0.03855997</v>
      </c>
      <c r="L59" s="6">
        <v>0.02714924</v>
      </c>
      <c r="M59" s="6">
        <v>0.03556882</v>
      </c>
      <c r="N59" s="6">
        <v>0.01757569</v>
      </c>
      <c r="O59" s="6">
        <v>0.02602211</v>
      </c>
      <c r="P59" s="6">
        <v>0.04012935</v>
      </c>
      <c r="Q59" s="6">
        <v>0.03035612</v>
      </c>
      <c r="R59" s="6">
        <v>217.69486</v>
      </c>
      <c r="S59" s="6">
        <v>0.00017713</v>
      </c>
      <c r="T59" s="6">
        <v>169.97573</v>
      </c>
      <c r="U59" s="6">
        <v>0.00015972</v>
      </c>
      <c r="V59" s="6">
        <v>197.11803</v>
      </c>
      <c r="W59" s="6">
        <v>0.00018044</v>
      </c>
      <c r="X59" s="6">
        <v>134.47093</v>
      </c>
      <c r="Y59" s="6">
        <v>0.0001307</v>
      </c>
      <c r="Z59" s="6">
        <v>134.86767</v>
      </c>
      <c r="AA59" s="6">
        <v>0.00019295</v>
      </c>
      <c r="AB59" s="6">
        <v>294.9318</v>
      </c>
      <c r="AC59" s="6">
        <v>0.00013606</v>
      </c>
      <c r="AD59" s="6">
        <v>243.86163</v>
      </c>
      <c r="AE59" s="6">
        <v>0.00012448</v>
      </c>
      <c r="AF59" s="6">
        <v>775</v>
      </c>
      <c r="AG59" s="6">
        <v>-0.00153015</v>
      </c>
      <c r="AH59" s="6">
        <v>-0.00139632</v>
      </c>
      <c r="AI59" s="6">
        <v>-0.00155545</v>
      </c>
      <c r="AJ59" s="6">
        <v>-0.00116882</v>
      </c>
      <c r="AK59" s="6">
        <v>-0.00165028</v>
      </c>
      <c r="AL59" s="6">
        <v>-0.00121129</v>
      </c>
      <c r="AM59" s="6">
        <v>-0.00111925</v>
      </c>
      <c r="AN59" s="6">
        <v>-6.4762184</v>
      </c>
      <c r="AO59" s="6">
        <v>-6.4515561</v>
      </c>
      <c r="AP59" s="6">
        <v>-6.4739881</v>
      </c>
      <c r="AQ59" s="6">
        <v>-6.4253629</v>
      </c>
      <c r="AR59" s="6">
        <v>-6.4020076</v>
      </c>
      <c r="AS59" s="6">
        <v>-6.4618417</v>
      </c>
      <c r="AT59" s="6">
        <v>-6.4506396</v>
      </c>
      <c r="AU59" s="6">
        <v>0.97344833</v>
      </c>
      <c r="AV59" s="6">
        <v>0.96974131</v>
      </c>
      <c r="AW59" s="6">
        <v>0.97311308</v>
      </c>
      <c r="AX59" s="6">
        <v>0.96580418</v>
      </c>
      <c r="AY59" s="6">
        <v>0.96229362</v>
      </c>
      <c r="AZ59" s="6">
        <v>0.97128734</v>
      </c>
      <c r="BA59" s="6">
        <v>0.96960354</v>
      </c>
      <c r="BB59" s="6">
        <v>0.02655167</v>
      </c>
      <c r="BC59" s="6">
        <v>0.03025869</v>
      </c>
      <c r="BD59" s="6">
        <v>0.02688692</v>
      </c>
      <c r="BE59" s="6">
        <v>0.03419582</v>
      </c>
      <c r="BF59" s="6">
        <v>0.03770638</v>
      </c>
      <c r="BG59" s="6">
        <v>0.02871266</v>
      </c>
      <c r="BH59" s="6">
        <v>0.03039646</v>
      </c>
      <c r="BI59" s="6">
        <v>0.21470859</v>
      </c>
      <c r="BJ59" s="6">
        <v>0.12366373</v>
      </c>
      <c r="BK59" s="6">
        <v>0.1409291</v>
      </c>
      <c r="BL59" s="6">
        <v>0.12522516</v>
      </c>
      <c r="BM59" s="6">
        <v>0.1592662</v>
      </c>
      <c r="BN59" s="6">
        <v>0.17561655</v>
      </c>
      <c r="BO59" s="6">
        <v>0.1337285</v>
      </c>
      <c r="BP59" s="6">
        <v>0.14157076</v>
      </c>
      <c r="BQ59" s="6">
        <v>0.00476847</v>
      </c>
      <c r="BR59" s="6">
        <v>0.00382612</v>
      </c>
      <c r="BS59" s="6">
        <v>0.00445411</v>
      </c>
      <c r="BT59" s="6">
        <v>0.00279921</v>
      </c>
      <c r="BU59" s="6">
        <v>0.00456991</v>
      </c>
      <c r="BV59" s="6">
        <v>0.00536644</v>
      </c>
      <c r="BW59" s="6">
        <v>0.00429754</v>
      </c>
      <c r="BX59" s="12">
        <v>12777</v>
      </c>
      <c r="BY59" s="13">
        <v>2428.83</v>
      </c>
      <c r="BZ59" s="12">
        <v>6423.18</v>
      </c>
      <c r="CA59" s="6">
        <f t="shared" si="4"/>
        <v>5.26055755240177</v>
      </c>
      <c r="CB59" s="6">
        <f t="shared" si="5"/>
        <v>1.98920161041727</v>
      </c>
      <c r="CC59" s="7">
        <v>384815642.8</v>
      </c>
      <c r="CD59" s="7">
        <f t="shared" si="0"/>
        <v>5.99104560046581</v>
      </c>
      <c r="CE59" s="8">
        <v>1563.8</v>
      </c>
      <c r="CF59" s="8">
        <v>3867.4</v>
      </c>
      <c r="CG59" s="8">
        <v>3854.2</v>
      </c>
      <c r="CH59" s="8">
        <v>14626</v>
      </c>
      <c r="CI59" s="14">
        <v>0</v>
      </c>
      <c r="CJ59" s="14">
        <v>0</v>
      </c>
      <c r="CK59" s="14">
        <f t="shared" si="1"/>
        <v>0</v>
      </c>
      <c r="CL59">
        <f t="shared" si="2"/>
        <v>3.23986794305777</v>
      </c>
      <c r="CM59">
        <f t="shared" si="3"/>
        <v>0</v>
      </c>
      <c r="CN59" s="15">
        <v>12723.24</v>
      </c>
      <c r="CO59" s="15">
        <v>18531.51</v>
      </c>
      <c r="CP59" s="15">
        <v>1213.12</v>
      </c>
      <c r="CQ59" s="15">
        <v>142.82</v>
      </c>
      <c r="CR59" s="15">
        <v>236.12</v>
      </c>
      <c r="CS59" s="15">
        <v>6.44</v>
      </c>
      <c r="CT59" s="15">
        <v>579.46</v>
      </c>
      <c r="CU59" s="15">
        <v>7.2</v>
      </c>
      <c r="CV59" s="15">
        <v>26.51</v>
      </c>
      <c r="CW59" s="15">
        <v>1160.21</v>
      </c>
    </row>
    <row r="60" spans="1:101">
      <c r="A60" s="6">
        <v>2008</v>
      </c>
      <c r="B60" s="6" t="s">
        <v>102</v>
      </c>
      <c r="C60" s="6">
        <v>0.03281616</v>
      </c>
      <c r="D60" s="6">
        <v>0.011617</v>
      </c>
      <c r="E60" s="6">
        <v>0.00299</v>
      </c>
      <c r="F60" s="6">
        <v>0.005311</v>
      </c>
      <c r="G60" s="6">
        <v>0.001648</v>
      </c>
      <c r="H60" s="6">
        <v>0.001668</v>
      </c>
      <c r="I60" s="6">
        <v>0.012553</v>
      </c>
      <c r="J60" s="6">
        <v>0.006207</v>
      </c>
      <c r="K60" s="6">
        <v>0.03955945</v>
      </c>
      <c r="L60" s="6">
        <v>0.03020744</v>
      </c>
      <c r="M60" s="6">
        <v>0.0387101</v>
      </c>
      <c r="N60" s="6">
        <v>0.02021466</v>
      </c>
      <c r="O60" s="6">
        <v>0.01706429</v>
      </c>
      <c r="P60" s="6">
        <v>0.05003665</v>
      </c>
      <c r="Q60" s="6">
        <v>0.04175932</v>
      </c>
      <c r="R60" s="6">
        <v>217.69486</v>
      </c>
      <c r="S60" s="6">
        <v>0.00018172</v>
      </c>
      <c r="T60" s="6">
        <v>169.97573</v>
      </c>
      <c r="U60" s="6">
        <v>0.00017772</v>
      </c>
      <c r="V60" s="6">
        <v>197.11803</v>
      </c>
      <c r="W60" s="6">
        <v>0.00019638</v>
      </c>
      <c r="X60" s="6">
        <v>134.47093</v>
      </c>
      <c r="Y60" s="6">
        <v>0.00015033</v>
      </c>
      <c r="Z60" s="6">
        <v>134.86767</v>
      </c>
      <c r="AA60" s="6">
        <v>0.00012653</v>
      </c>
      <c r="AB60" s="6">
        <v>294.9318</v>
      </c>
      <c r="AC60" s="6">
        <v>0.00016965</v>
      </c>
      <c r="AD60" s="6">
        <v>243.86163</v>
      </c>
      <c r="AE60" s="6">
        <v>0.00017124</v>
      </c>
      <c r="AF60" s="6">
        <v>775</v>
      </c>
      <c r="AG60" s="6">
        <v>-0.00156516</v>
      </c>
      <c r="AH60" s="6">
        <v>-0.00153464</v>
      </c>
      <c r="AI60" s="6">
        <v>-0.0016762</v>
      </c>
      <c r="AJ60" s="6">
        <v>-0.00132329</v>
      </c>
      <c r="AK60" s="6">
        <v>-0.00113558</v>
      </c>
      <c r="AL60" s="6">
        <v>-0.0014729</v>
      </c>
      <c r="AM60" s="6">
        <v>-0.00148508</v>
      </c>
      <c r="AN60" s="6">
        <v>-6.4762184</v>
      </c>
      <c r="AO60" s="6">
        <v>-6.4515561</v>
      </c>
      <c r="AP60" s="6">
        <v>-6.4739881</v>
      </c>
      <c r="AQ60" s="6">
        <v>-6.4253629</v>
      </c>
      <c r="AR60" s="6">
        <v>-6.4020076</v>
      </c>
      <c r="AS60" s="6">
        <v>-6.4618417</v>
      </c>
      <c r="AT60" s="6">
        <v>-6.4506396</v>
      </c>
      <c r="AU60" s="6">
        <v>0.97344833</v>
      </c>
      <c r="AV60" s="6">
        <v>0.96974131</v>
      </c>
      <c r="AW60" s="6">
        <v>0.97311308</v>
      </c>
      <c r="AX60" s="6">
        <v>0.96580418</v>
      </c>
      <c r="AY60" s="6">
        <v>0.96229362</v>
      </c>
      <c r="AZ60" s="6">
        <v>0.97128734</v>
      </c>
      <c r="BA60" s="6">
        <v>0.96960354</v>
      </c>
      <c r="BB60" s="6">
        <v>0.02655167</v>
      </c>
      <c r="BC60" s="6">
        <v>0.03025869</v>
      </c>
      <c r="BD60" s="6">
        <v>0.02688692</v>
      </c>
      <c r="BE60" s="6">
        <v>0.03419582</v>
      </c>
      <c r="BF60" s="6">
        <v>0.03770638</v>
      </c>
      <c r="BG60" s="6">
        <v>0.02871266</v>
      </c>
      <c r="BH60" s="6">
        <v>0.03039646</v>
      </c>
      <c r="BI60" s="6">
        <v>0.21470859</v>
      </c>
      <c r="BJ60" s="6">
        <v>0.12366373</v>
      </c>
      <c r="BK60" s="6">
        <v>0.1409291</v>
      </c>
      <c r="BL60" s="6">
        <v>0.12522516</v>
      </c>
      <c r="BM60" s="6">
        <v>0.1592662</v>
      </c>
      <c r="BN60" s="6">
        <v>0.17561655</v>
      </c>
      <c r="BO60" s="6">
        <v>0.1337285</v>
      </c>
      <c r="BP60" s="6">
        <v>0.14157076</v>
      </c>
      <c r="BQ60" s="6">
        <v>0.00489207</v>
      </c>
      <c r="BR60" s="6">
        <v>0.00425711</v>
      </c>
      <c r="BS60" s="6">
        <v>0.00484748</v>
      </c>
      <c r="BT60" s="6">
        <v>0.00321951</v>
      </c>
      <c r="BU60" s="6">
        <v>0.00299677</v>
      </c>
      <c r="BV60" s="6">
        <v>0.00669133</v>
      </c>
      <c r="BW60" s="6">
        <v>0.0059119</v>
      </c>
      <c r="BX60" s="12">
        <v>14100</v>
      </c>
      <c r="BY60" s="13">
        <v>2444.33</v>
      </c>
      <c r="BZ60" s="12">
        <v>8496.2</v>
      </c>
      <c r="CA60" s="6">
        <f t="shared" si="4"/>
        <v>5.76845188661106</v>
      </c>
      <c r="CB60" s="6">
        <f t="shared" si="5"/>
        <v>1.65956545279066</v>
      </c>
      <c r="CC60" s="7">
        <v>395443791</v>
      </c>
      <c r="CD60" s="7">
        <f t="shared" si="0"/>
        <v>4.65436066712177</v>
      </c>
      <c r="CE60" s="8">
        <v>1761.8</v>
      </c>
      <c r="CF60" s="8">
        <v>4870</v>
      </c>
      <c r="CG60" s="8">
        <v>4675.6</v>
      </c>
      <c r="CH60" s="8">
        <v>17758</v>
      </c>
      <c r="CI60" s="14">
        <v>0</v>
      </c>
      <c r="CJ60" s="14">
        <v>0</v>
      </c>
      <c r="CK60" s="14">
        <f t="shared" si="1"/>
        <v>0</v>
      </c>
      <c r="CL60">
        <f t="shared" si="2"/>
        <v>2.71728515287532</v>
      </c>
      <c r="CM60">
        <f t="shared" si="3"/>
        <v>0</v>
      </c>
      <c r="CN60" s="15">
        <v>14100</v>
      </c>
      <c r="CO60" s="15">
        <v>22242</v>
      </c>
      <c r="CP60" s="15">
        <v>1380.64</v>
      </c>
      <c r="CQ60" s="15">
        <v>189.25</v>
      </c>
      <c r="CR60" s="15">
        <v>260.88</v>
      </c>
      <c r="CS60" s="15">
        <v>7.24</v>
      </c>
      <c r="CT60" s="15">
        <v>686.16</v>
      </c>
      <c r="CU60" s="15">
        <v>13.75</v>
      </c>
      <c r="CV60" s="15">
        <v>30.53</v>
      </c>
      <c r="CW60" s="15">
        <v>1220.57</v>
      </c>
    </row>
    <row r="61" spans="1:101">
      <c r="A61" s="6">
        <v>2009</v>
      </c>
      <c r="B61" s="6" t="s">
        <v>102</v>
      </c>
      <c r="C61" s="6">
        <v>0.04566396</v>
      </c>
      <c r="D61" s="6">
        <v>0.013816</v>
      </c>
      <c r="E61" s="6">
        <v>0.00338</v>
      </c>
      <c r="F61" s="6">
        <v>0.006274</v>
      </c>
      <c r="G61" s="6">
        <v>0.002055</v>
      </c>
      <c r="H61" s="6">
        <v>0.002107</v>
      </c>
      <c r="I61" s="6">
        <v>0.013854</v>
      </c>
      <c r="J61" s="6">
        <v>0.006751</v>
      </c>
      <c r="K61" s="6">
        <v>0.0568087</v>
      </c>
      <c r="L61" s="6">
        <v>0.03942594</v>
      </c>
      <c r="M61" s="6">
        <v>0.05351753</v>
      </c>
      <c r="N61" s="6">
        <v>0.03224595</v>
      </c>
      <c r="O61" s="6">
        <v>0.03035797</v>
      </c>
      <c r="P61" s="6">
        <v>0.06452465</v>
      </c>
      <c r="Q61" s="6">
        <v>0.05145796</v>
      </c>
      <c r="R61" s="6">
        <v>217.69486</v>
      </c>
      <c r="S61" s="6">
        <v>0.00026096</v>
      </c>
      <c r="T61" s="6">
        <v>169.97573</v>
      </c>
      <c r="U61" s="6">
        <v>0.00023195</v>
      </c>
      <c r="V61" s="6">
        <v>197.11803</v>
      </c>
      <c r="W61" s="6">
        <v>0.0002715</v>
      </c>
      <c r="X61" s="6">
        <v>134.47093</v>
      </c>
      <c r="Y61" s="6">
        <v>0.0002398</v>
      </c>
      <c r="Z61" s="6">
        <v>134.86767</v>
      </c>
      <c r="AA61" s="6">
        <v>0.00022509</v>
      </c>
      <c r="AB61" s="6">
        <v>294.9318</v>
      </c>
      <c r="AC61" s="6">
        <v>0.00021878</v>
      </c>
      <c r="AD61" s="6">
        <v>243.86163</v>
      </c>
      <c r="AE61" s="6">
        <v>0.00021101</v>
      </c>
      <c r="AF61" s="6">
        <v>775</v>
      </c>
      <c r="AG61" s="6">
        <v>-0.00215319</v>
      </c>
      <c r="AH61" s="6">
        <v>-0.00194119</v>
      </c>
      <c r="AI61" s="6">
        <v>-0.00222943</v>
      </c>
      <c r="AJ61" s="6">
        <v>-0.00199889</v>
      </c>
      <c r="AK61" s="6">
        <v>-0.00189057</v>
      </c>
      <c r="AL61" s="6">
        <v>-0.00184374</v>
      </c>
      <c r="AM61" s="6">
        <v>-0.00178593</v>
      </c>
      <c r="AN61" s="6">
        <v>-6.4762184</v>
      </c>
      <c r="AO61" s="6">
        <v>-6.4515561</v>
      </c>
      <c r="AP61" s="6">
        <v>-6.4739881</v>
      </c>
      <c r="AQ61" s="6">
        <v>-6.4253629</v>
      </c>
      <c r="AR61" s="6">
        <v>-6.4020076</v>
      </c>
      <c r="AS61" s="6">
        <v>-6.4618417</v>
      </c>
      <c r="AT61" s="6">
        <v>-6.4506396</v>
      </c>
      <c r="AU61" s="6">
        <v>0.97344833</v>
      </c>
      <c r="AV61" s="6">
        <v>0.96974131</v>
      </c>
      <c r="AW61" s="6">
        <v>0.97311308</v>
      </c>
      <c r="AX61" s="6">
        <v>0.96580418</v>
      </c>
      <c r="AY61" s="6">
        <v>0.96229362</v>
      </c>
      <c r="AZ61" s="6">
        <v>0.97128734</v>
      </c>
      <c r="BA61" s="6">
        <v>0.96960354</v>
      </c>
      <c r="BB61" s="6">
        <v>0.02655167</v>
      </c>
      <c r="BC61" s="6">
        <v>0.03025869</v>
      </c>
      <c r="BD61" s="6">
        <v>0.02688692</v>
      </c>
      <c r="BE61" s="6">
        <v>0.03419582</v>
      </c>
      <c r="BF61" s="6">
        <v>0.03770638</v>
      </c>
      <c r="BG61" s="6">
        <v>0.02871266</v>
      </c>
      <c r="BH61" s="6">
        <v>0.03039646</v>
      </c>
      <c r="BI61" s="6">
        <v>0.21470859</v>
      </c>
      <c r="BJ61" s="6">
        <v>0.12366373</v>
      </c>
      <c r="BK61" s="6">
        <v>0.1409291</v>
      </c>
      <c r="BL61" s="6">
        <v>0.12522516</v>
      </c>
      <c r="BM61" s="6">
        <v>0.1592662</v>
      </c>
      <c r="BN61" s="6">
        <v>0.17561655</v>
      </c>
      <c r="BO61" s="6">
        <v>0.1337285</v>
      </c>
      <c r="BP61" s="6">
        <v>0.14157076</v>
      </c>
      <c r="BQ61" s="6">
        <v>0.00702518</v>
      </c>
      <c r="BR61" s="6">
        <v>0.00555626</v>
      </c>
      <c r="BS61" s="6">
        <v>0.00670174</v>
      </c>
      <c r="BT61" s="6">
        <v>0.00513569</v>
      </c>
      <c r="BU61" s="6">
        <v>0.00533136</v>
      </c>
      <c r="BV61" s="6">
        <v>0.00862878</v>
      </c>
      <c r="BW61" s="6">
        <v>0.00728494</v>
      </c>
      <c r="BX61" s="12">
        <v>15344</v>
      </c>
      <c r="BY61" s="13">
        <v>2458.22</v>
      </c>
      <c r="BZ61" s="12">
        <v>9740.25</v>
      </c>
      <c r="CA61" s="6">
        <f t="shared" si="4"/>
        <v>6.24191488149962</v>
      </c>
      <c r="CB61" s="6">
        <f t="shared" si="5"/>
        <v>1.57531890865224</v>
      </c>
      <c r="CC61" s="7">
        <v>407150932.8</v>
      </c>
      <c r="CD61" s="7">
        <f t="shared" si="0"/>
        <v>4.18008709016709</v>
      </c>
      <c r="CE61" s="8">
        <v>1795.8</v>
      </c>
      <c r="CF61" s="8">
        <v>5494.7</v>
      </c>
      <c r="CG61" s="8">
        <v>5482.3</v>
      </c>
      <c r="CH61" s="8">
        <v>19979</v>
      </c>
      <c r="CI61" s="14">
        <v>0</v>
      </c>
      <c r="CJ61" s="14">
        <v>0</v>
      </c>
      <c r="CK61" s="14">
        <f t="shared" si="1"/>
        <v>0</v>
      </c>
      <c r="CL61">
        <f t="shared" si="2"/>
        <v>2.66960201713366</v>
      </c>
      <c r="CM61">
        <f t="shared" si="3"/>
        <v>0</v>
      </c>
      <c r="CN61" s="15">
        <v>15344</v>
      </c>
      <c r="CO61" s="15">
        <v>24047</v>
      </c>
      <c r="CP61" s="15">
        <v>1554.12</v>
      </c>
      <c r="CQ61" s="15">
        <v>191.76</v>
      </c>
      <c r="CR61" s="15">
        <v>279.51</v>
      </c>
      <c r="CS61" s="15">
        <v>8.28</v>
      </c>
      <c r="CT61" s="15">
        <v>738.95</v>
      </c>
      <c r="CU61" s="15">
        <v>19.66</v>
      </c>
      <c r="CV61" s="15">
        <v>44.29</v>
      </c>
      <c r="CW61" s="15">
        <v>1287.93</v>
      </c>
    </row>
    <row r="62" spans="1:101">
      <c r="A62" s="6">
        <v>2010</v>
      </c>
      <c r="B62" s="6" t="s">
        <v>102</v>
      </c>
      <c r="C62" s="6">
        <v>0.0441595</v>
      </c>
      <c r="D62" s="6">
        <v>0.013764</v>
      </c>
      <c r="E62" s="6">
        <v>0.003321</v>
      </c>
      <c r="F62" s="6">
        <v>0.006115</v>
      </c>
      <c r="G62" s="6">
        <v>0.002218</v>
      </c>
      <c r="H62" s="6">
        <v>0.00211</v>
      </c>
      <c r="I62" s="6">
        <v>0.012516</v>
      </c>
      <c r="J62" s="6">
        <v>0.006854</v>
      </c>
      <c r="K62" s="6">
        <v>0.05639654</v>
      </c>
      <c r="L62" s="6">
        <v>0.03801195</v>
      </c>
      <c r="M62" s="6">
        <v>0.05107184</v>
      </c>
      <c r="N62" s="6">
        <v>0.03708049</v>
      </c>
      <c r="O62" s="6">
        <v>0.03044382</v>
      </c>
      <c r="P62" s="6">
        <v>0.04962161</v>
      </c>
      <c r="Q62" s="6">
        <v>0.05329412</v>
      </c>
      <c r="R62" s="6">
        <v>217.69486</v>
      </c>
      <c r="S62" s="6">
        <v>0.00025906</v>
      </c>
      <c r="T62" s="6">
        <v>169.97573</v>
      </c>
      <c r="U62" s="6">
        <v>0.00022363</v>
      </c>
      <c r="V62" s="6">
        <v>197.11803</v>
      </c>
      <c r="W62" s="6">
        <v>0.00025909</v>
      </c>
      <c r="X62" s="6">
        <v>134.47093</v>
      </c>
      <c r="Y62" s="6">
        <v>0.00027575</v>
      </c>
      <c r="Z62" s="6">
        <v>134.86767</v>
      </c>
      <c r="AA62" s="6">
        <v>0.00022573</v>
      </c>
      <c r="AB62" s="6">
        <v>294.9318</v>
      </c>
      <c r="AC62" s="6">
        <v>0.00016825</v>
      </c>
      <c r="AD62" s="6">
        <v>243.86163</v>
      </c>
      <c r="AE62" s="6">
        <v>0.00021854</v>
      </c>
      <c r="AF62" s="6">
        <v>775</v>
      </c>
      <c r="AG62" s="6">
        <v>-0.00213945</v>
      </c>
      <c r="AH62" s="6">
        <v>-0.00187974</v>
      </c>
      <c r="AI62" s="6">
        <v>-0.00213967</v>
      </c>
      <c r="AJ62" s="6">
        <v>-0.00226006</v>
      </c>
      <c r="AK62" s="6">
        <v>-0.00189528</v>
      </c>
      <c r="AL62" s="6">
        <v>-0.00146209</v>
      </c>
      <c r="AM62" s="6">
        <v>-0.00184199</v>
      </c>
      <c r="AN62" s="6">
        <v>-6.4762184</v>
      </c>
      <c r="AO62" s="6">
        <v>-6.4515561</v>
      </c>
      <c r="AP62" s="6">
        <v>-6.4739881</v>
      </c>
      <c r="AQ62" s="6">
        <v>-6.4253629</v>
      </c>
      <c r="AR62" s="6">
        <v>-6.4020076</v>
      </c>
      <c r="AS62" s="6">
        <v>-6.4618417</v>
      </c>
      <c r="AT62" s="6">
        <v>-6.4506396</v>
      </c>
      <c r="AU62" s="6">
        <v>0.97344833</v>
      </c>
      <c r="AV62" s="6">
        <v>0.96974131</v>
      </c>
      <c r="AW62" s="6">
        <v>0.97311308</v>
      </c>
      <c r="AX62" s="6">
        <v>0.96580418</v>
      </c>
      <c r="AY62" s="6">
        <v>0.96229362</v>
      </c>
      <c r="AZ62" s="6">
        <v>0.97128734</v>
      </c>
      <c r="BA62" s="6">
        <v>0.96960354</v>
      </c>
      <c r="BB62" s="6">
        <v>0.02655167</v>
      </c>
      <c r="BC62" s="6">
        <v>0.03025869</v>
      </c>
      <c r="BD62" s="6">
        <v>0.02688692</v>
      </c>
      <c r="BE62" s="6">
        <v>0.03419582</v>
      </c>
      <c r="BF62" s="6">
        <v>0.03770638</v>
      </c>
      <c r="BG62" s="6">
        <v>0.02871266</v>
      </c>
      <c r="BH62" s="6">
        <v>0.03039646</v>
      </c>
      <c r="BI62" s="6">
        <v>0.21470859</v>
      </c>
      <c r="BJ62" s="6">
        <v>0.12366373</v>
      </c>
      <c r="BK62" s="6">
        <v>0.1409291</v>
      </c>
      <c r="BL62" s="6">
        <v>0.12522516</v>
      </c>
      <c r="BM62" s="6">
        <v>0.1592662</v>
      </c>
      <c r="BN62" s="6">
        <v>0.17561655</v>
      </c>
      <c r="BO62" s="6">
        <v>0.1337285</v>
      </c>
      <c r="BP62" s="6">
        <v>0.14157076</v>
      </c>
      <c r="BQ62" s="6">
        <v>0.00697421</v>
      </c>
      <c r="BR62" s="6">
        <v>0.00535699</v>
      </c>
      <c r="BS62" s="6">
        <v>0.00639548</v>
      </c>
      <c r="BT62" s="6">
        <v>0.00590567</v>
      </c>
      <c r="BU62" s="6">
        <v>0.00534644</v>
      </c>
      <c r="BV62" s="6">
        <v>0.00663582</v>
      </c>
      <c r="BW62" s="6">
        <v>0.00754489</v>
      </c>
      <c r="BX62" s="12">
        <v>16820</v>
      </c>
      <c r="BY62" s="13">
        <v>2472.18</v>
      </c>
      <c r="BZ62" s="12">
        <v>11672</v>
      </c>
      <c r="CA62" s="6">
        <f t="shared" si="4"/>
        <v>6.80371170384034</v>
      </c>
      <c r="CB62" s="6">
        <f t="shared" si="5"/>
        <v>1.44105551747772</v>
      </c>
      <c r="CC62" s="7">
        <v>463259810.9</v>
      </c>
      <c r="CD62" s="7">
        <f t="shared" si="0"/>
        <v>3.96898398646333</v>
      </c>
      <c r="CE62" s="8">
        <v>2073.2</v>
      </c>
      <c r="CF62" s="8">
        <v>7034.7</v>
      </c>
      <c r="CG62" s="8">
        <v>6466.4</v>
      </c>
      <c r="CH62" s="8">
        <v>24005</v>
      </c>
      <c r="CI62" s="14">
        <v>0</v>
      </c>
      <c r="CJ62" s="14">
        <v>0</v>
      </c>
      <c r="CK62" s="14">
        <f t="shared" si="1"/>
        <v>0</v>
      </c>
      <c r="CL62">
        <f t="shared" si="2"/>
        <v>2.40850270516871</v>
      </c>
      <c r="CM62">
        <f t="shared" si="3"/>
        <v>0</v>
      </c>
      <c r="CN62" s="15">
        <v>16820.3</v>
      </c>
      <c r="CO62" s="15">
        <v>27004.04</v>
      </c>
      <c r="CP62" s="15">
        <v>1416.87</v>
      </c>
      <c r="CQ62" s="15">
        <v>140.74</v>
      </c>
      <c r="CR62" s="15">
        <v>325.68</v>
      </c>
      <c r="CS62" s="15">
        <v>9.35</v>
      </c>
      <c r="CT62" s="15">
        <v>863.56</v>
      </c>
      <c r="CU62" s="15">
        <v>15.15</v>
      </c>
      <c r="CV62" s="15">
        <v>45.3</v>
      </c>
      <c r="CW62" s="15">
        <v>1536.83</v>
      </c>
    </row>
    <row r="63" spans="1:101">
      <c r="A63" s="6">
        <v>2011</v>
      </c>
      <c r="B63" s="6" t="s">
        <v>102</v>
      </c>
      <c r="C63" s="6">
        <v>0.04264237</v>
      </c>
      <c r="D63" s="6">
        <v>0.01277</v>
      </c>
      <c r="E63" s="6">
        <v>0.003162</v>
      </c>
      <c r="F63" s="6">
        <v>0.005734</v>
      </c>
      <c r="G63" s="6">
        <v>0.001754</v>
      </c>
      <c r="H63" s="6">
        <v>0.002121</v>
      </c>
      <c r="I63" s="6">
        <v>0.013721</v>
      </c>
      <c r="J63" s="6">
        <v>0.007267</v>
      </c>
      <c r="K63" s="6">
        <v>0.04859928</v>
      </c>
      <c r="L63" s="6">
        <v>0.03425765</v>
      </c>
      <c r="M63" s="6">
        <v>0.04521129</v>
      </c>
      <c r="N63" s="6">
        <v>0.02334895</v>
      </c>
      <c r="O63" s="6">
        <v>0.03076529</v>
      </c>
      <c r="P63" s="6">
        <v>0.06304605</v>
      </c>
      <c r="Q63" s="6">
        <v>0.06067828</v>
      </c>
      <c r="R63" s="6">
        <v>217.69486</v>
      </c>
      <c r="S63" s="6">
        <v>0.00022324</v>
      </c>
      <c r="T63" s="6">
        <v>169.97573</v>
      </c>
      <c r="U63" s="6">
        <v>0.00020154</v>
      </c>
      <c r="V63" s="6">
        <v>197.11803</v>
      </c>
      <c r="W63" s="6">
        <v>0.00022936</v>
      </c>
      <c r="X63" s="6">
        <v>134.47093</v>
      </c>
      <c r="Y63" s="6">
        <v>0.00017364</v>
      </c>
      <c r="Z63" s="6">
        <v>134.86767</v>
      </c>
      <c r="AA63" s="6">
        <v>0.00022811</v>
      </c>
      <c r="AB63" s="6">
        <v>294.9318</v>
      </c>
      <c r="AC63" s="6">
        <v>0.00021376</v>
      </c>
      <c r="AD63" s="6">
        <v>243.86163</v>
      </c>
      <c r="AE63" s="6">
        <v>0.00024882</v>
      </c>
      <c r="AF63" s="6">
        <v>775</v>
      </c>
      <c r="AG63" s="6">
        <v>-0.00187687</v>
      </c>
      <c r="AH63" s="6">
        <v>-0.00171504</v>
      </c>
      <c r="AI63" s="6">
        <v>-0.0019221</v>
      </c>
      <c r="AJ63" s="6">
        <v>-0.00150343</v>
      </c>
      <c r="AK63" s="6">
        <v>-0.00191289</v>
      </c>
      <c r="AL63" s="6">
        <v>-0.00180645</v>
      </c>
      <c r="AM63" s="6">
        <v>-0.00206492</v>
      </c>
      <c r="AN63" s="6">
        <v>-6.4762184</v>
      </c>
      <c r="AO63" s="6">
        <v>-6.4515561</v>
      </c>
      <c r="AP63" s="6">
        <v>-6.4739881</v>
      </c>
      <c r="AQ63" s="6">
        <v>-6.4253629</v>
      </c>
      <c r="AR63" s="6">
        <v>-6.4020076</v>
      </c>
      <c r="AS63" s="6">
        <v>-6.4618417</v>
      </c>
      <c r="AT63" s="6">
        <v>-6.4506396</v>
      </c>
      <c r="AU63" s="6">
        <v>0.97344833</v>
      </c>
      <c r="AV63" s="6">
        <v>0.96974131</v>
      </c>
      <c r="AW63" s="6">
        <v>0.97311308</v>
      </c>
      <c r="AX63" s="6">
        <v>0.96580418</v>
      </c>
      <c r="AY63" s="6">
        <v>0.96229362</v>
      </c>
      <c r="AZ63" s="6">
        <v>0.97128734</v>
      </c>
      <c r="BA63" s="6">
        <v>0.96960354</v>
      </c>
      <c r="BB63" s="6">
        <v>0.02655167</v>
      </c>
      <c r="BC63" s="6">
        <v>0.03025869</v>
      </c>
      <c r="BD63" s="6">
        <v>0.02688692</v>
      </c>
      <c r="BE63" s="6">
        <v>0.03419582</v>
      </c>
      <c r="BF63" s="6">
        <v>0.03770638</v>
      </c>
      <c r="BG63" s="6">
        <v>0.02871266</v>
      </c>
      <c r="BH63" s="6">
        <v>0.03039646</v>
      </c>
      <c r="BI63" s="6">
        <v>0.21470859</v>
      </c>
      <c r="BJ63" s="6">
        <v>0.12366373</v>
      </c>
      <c r="BK63" s="6">
        <v>0.1409291</v>
      </c>
      <c r="BL63" s="6">
        <v>0.12522516</v>
      </c>
      <c r="BM63" s="6">
        <v>0.1592662</v>
      </c>
      <c r="BN63" s="6">
        <v>0.17561655</v>
      </c>
      <c r="BO63" s="6">
        <v>0.1337285</v>
      </c>
      <c r="BP63" s="6">
        <v>0.14157076</v>
      </c>
      <c r="BQ63" s="6">
        <v>0.00600997</v>
      </c>
      <c r="BR63" s="6">
        <v>0.0048279</v>
      </c>
      <c r="BS63" s="6">
        <v>0.00566159</v>
      </c>
      <c r="BT63" s="6">
        <v>0.0037187</v>
      </c>
      <c r="BU63" s="6">
        <v>0.00540289</v>
      </c>
      <c r="BV63" s="6">
        <v>0.00843105</v>
      </c>
      <c r="BW63" s="6">
        <v>0.00859027</v>
      </c>
      <c r="BX63" s="12">
        <v>18737</v>
      </c>
      <c r="BY63" s="13">
        <v>2470</v>
      </c>
      <c r="BZ63" s="12">
        <v>14359.88</v>
      </c>
      <c r="CA63" s="6">
        <f t="shared" si="4"/>
        <v>7.58582995951417</v>
      </c>
      <c r="CB63" s="6">
        <f t="shared" si="5"/>
        <v>1.30481591768176</v>
      </c>
      <c r="CC63" s="7">
        <v>512245577.9</v>
      </c>
      <c r="CD63" s="7">
        <f t="shared" si="0"/>
        <v>3.56719957200199</v>
      </c>
      <c r="CE63" s="8">
        <v>2420</v>
      </c>
      <c r="CF63" s="8">
        <v>8883.6</v>
      </c>
      <c r="CG63" s="8">
        <v>7611.4</v>
      </c>
      <c r="CH63" s="8">
        <v>28766</v>
      </c>
      <c r="CI63" s="14">
        <v>0</v>
      </c>
      <c r="CJ63" s="14">
        <v>0</v>
      </c>
      <c r="CK63" s="14">
        <f t="shared" si="1"/>
        <v>0</v>
      </c>
      <c r="CL63">
        <f t="shared" si="2"/>
        <v>2.18035126729488</v>
      </c>
      <c r="CM63">
        <f t="shared" si="3"/>
        <v>0</v>
      </c>
      <c r="CN63" s="15">
        <v>18737</v>
      </c>
      <c r="CO63" s="15">
        <v>34684</v>
      </c>
      <c r="CP63" s="15">
        <v>1559.21</v>
      </c>
      <c r="CQ63" s="15">
        <v>118.66</v>
      </c>
      <c r="CR63" s="15">
        <v>310.24</v>
      </c>
      <c r="CS63" s="15">
        <v>10.1</v>
      </c>
      <c r="CT63" s="15">
        <v>922.86</v>
      </c>
      <c r="CU63" s="15">
        <v>24.61</v>
      </c>
      <c r="CV63" s="15">
        <v>40.84</v>
      </c>
      <c r="CW63" s="15">
        <v>1834</v>
      </c>
    </row>
    <row r="64" spans="1:101">
      <c r="A64" s="6">
        <v>2012</v>
      </c>
      <c r="B64" s="6" t="s">
        <v>102</v>
      </c>
      <c r="C64" s="6">
        <v>0.05787758</v>
      </c>
      <c r="D64" s="6">
        <v>0.015191</v>
      </c>
      <c r="E64" s="6">
        <v>0.003907</v>
      </c>
      <c r="F64" s="6">
        <v>0.006831</v>
      </c>
      <c r="G64" s="6">
        <v>0.002076</v>
      </c>
      <c r="H64" s="6">
        <v>0.002377</v>
      </c>
      <c r="I64" s="6">
        <v>0.015935</v>
      </c>
      <c r="J64" s="6">
        <v>0.008103</v>
      </c>
      <c r="K64" s="6">
        <v>0.06759416</v>
      </c>
      <c r="L64" s="6">
        <v>0.05187048</v>
      </c>
      <c r="M64" s="6">
        <v>0.06207884</v>
      </c>
      <c r="N64" s="6">
        <v>0.03288759</v>
      </c>
      <c r="O64" s="6">
        <v>0.03853687</v>
      </c>
      <c r="P64" s="6">
        <v>0.08769648</v>
      </c>
      <c r="Q64" s="6">
        <v>0.0755921</v>
      </c>
      <c r="R64" s="6">
        <v>217.69486</v>
      </c>
      <c r="S64" s="6">
        <v>0.0003105</v>
      </c>
      <c r="T64" s="6">
        <v>169.97573</v>
      </c>
      <c r="U64" s="6">
        <v>0.00030516</v>
      </c>
      <c r="V64" s="6">
        <v>197.11803</v>
      </c>
      <c r="W64" s="6">
        <v>0.00031493</v>
      </c>
      <c r="X64" s="6">
        <v>134.47093</v>
      </c>
      <c r="Y64" s="6">
        <v>0.00024457</v>
      </c>
      <c r="Z64" s="6">
        <v>134.86767</v>
      </c>
      <c r="AA64" s="6">
        <v>0.00028574</v>
      </c>
      <c r="AB64" s="6">
        <v>294.9318</v>
      </c>
      <c r="AC64" s="6">
        <v>0.00029734</v>
      </c>
      <c r="AD64" s="6">
        <v>243.86163</v>
      </c>
      <c r="AE64" s="6">
        <v>0.00030998</v>
      </c>
      <c r="AF64" s="6">
        <v>775</v>
      </c>
      <c r="AG64" s="6">
        <v>-0.00250801</v>
      </c>
      <c r="AH64" s="6">
        <v>-0.0024702</v>
      </c>
      <c r="AI64" s="6">
        <v>-0.00253935</v>
      </c>
      <c r="AJ64" s="6">
        <v>-0.00203385</v>
      </c>
      <c r="AK64" s="6">
        <v>-0.00233175</v>
      </c>
      <c r="AL64" s="6">
        <v>-0.00241462</v>
      </c>
      <c r="AM64" s="6">
        <v>-0.00250433</v>
      </c>
      <c r="AN64" s="6">
        <v>-6.4762184</v>
      </c>
      <c r="AO64" s="6">
        <v>-6.4515561</v>
      </c>
      <c r="AP64" s="6">
        <v>-6.4739881</v>
      </c>
      <c r="AQ64" s="6">
        <v>-6.4253629</v>
      </c>
      <c r="AR64" s="6">
        <v>-6.4020076</v>
      </c>
      <c r="AS64" s="6">
        <v>-6.4618417</v>
      </c>
      <c r="AT64" s="6">
        <v>-6.4506396</v>
      </c>
      <c r="AU64" s="6">
        <v>0.97344833</v>
      </c>
      <c r="AV64" s="6">
        <v>0.96974131</v>
      </c>
      <c r="AW64" s="6">
        <v>0.97311308</v>
      </c>
      <c r="AX64" s="6">
        <v>0.96580418</v>
      </c>
      <c r="AY64" s="6">
        <v>0.96229362</v>
      </c>
      <c r="AZ64" s="6">
        <v>0.97128734</v>
      </c>
      <c r="BA64" s="6">
        <v>0.96960354</v>
      </c>
      <c r="BB64" s="6">
        <v>0.02655167</v>
      </c>
      <c r="BC64" s="6">
        <v>0.03025869</v>
      </c>
      <c r="BD64" s="6">
        <v>0.02688692</v>
      </c>
      <c r="BE64" s="6">
        <v>0.03419582</v>
      </c>
      <c r="BF64" s="6">
        <v>0.03770638</v>
      </c>
      <c r="BG64" s="6">
        <v>0.02871266</v>
      </c>
      <c r="BH64" s="6">
        <v>0.03039646</v>
      </c>
      <c r="BI64" s="6">
        <v>0.21470859</v>
      </c>
      <c r="BJ64" s="6">
        <v>0.12366373</v>
      </c>
      <c r="BK64" s="6">
        <v>0.1409291</v>
      </c>
      <c r="BL64" s="6">
        <v>0.12522516</v>
      </c>
      <c r="BM64" s="6">
        <v>0.1592662</v>
      </c>
      <c r="BN64" s="6">
        <v>0.17561655</v>
      </c>
      <c r="BO64" s="6">
        <v>0.1337285</v>
      </c>
      <c r="BP64" s="6">
        <v>0.14157076</v>
      </c>
      <c r="BQ64" s="6">
        <v>0.00835895</v>
      </c>
      <c r="BR64" s="6">
        <v>0.00731006</v>
      </c>
      <c r="BS64" s="6">
        <v>0.00777383</v>
      </c>
      <c r="BT64" s="6">
        <v>0.00523788</v>
      </c>
      <c r="BU64" s="6">
        <v>0.00676771</v>
      </c>
      <c r="BV64" s="6">
        <v>0.01172752</v>
      </c>
      <c r="BW64" s="6">
        <v>0.01070163</v>
      </c>
      <c r="BX64" s="12">
        <v>19786</v>
      </c>
      <c r="BY64" s="13">
        <v>2464</v>
      </c>
      <c r="BZ64" s="12">
        <v>15880.58</v>
      </c>
      <c r="CA64" s="6">
        <f t="shared" si="4"/>
        <v>8.03003246753247</v>
      </c>
      <c r="CB64" s="6">
        <f t="shared" si="5"/>
        <v>1.24592426724968</v>
      </c>
      <c r="CC64" s="7">
        <v>521494128.9</v>
      </c>
      <c r="CD64" s="7">
        <f t="shared" si="0"/>
        <v>3.28384812708352</v>
      </c>
      <c r="CE64" s="8">
        <v>2567.9</v>
      </c>
      <c r="CF64" s="8">
        <v>9926.7</v>
      </c>
      <c r="CG64" s="8">
        <v>8712.7</v>
      </c>
      <c r="CH64" s="8">
        <v>32203</v>
      </c>
      <c r="CI64" s="14">
        <v>0</v>
      </c>
      <c r="CJ64" s="14">
        <v>0</v>
      </c>
      <c r="CK64" s="14">
        <f t="shared" si="1"/>
        <v>0</v>
      </c>
      <c r="CL64">
        <f t="shared" si="2"/>
        <v>2.01609935715007</v>
      </c>
      <c r="CM64">
        <f t="shared" si="3"/>
        <v>0</v>
      </c>
      <c r="CN64" s="15">
        <v>19785.71</v>
      </c>
      <c r="CO64" s="15">
        <v>36620</v>
      </c>
      <c r="CP64" s="15">
        <v>1411.86</v>
      </c>
      <c r="CQ64" s="15">
        <v>87.02</v>
      </c>
      <c r="CR64" s="15">
        <v>302.53</v>
      </c>
      <c r="CS64" s="15">
        <v>23.19</v>
      </c>
      <c r="CT64" s="15">
        <v>877.1</v>
      </c>
      <c r="CU64" s="15">
        <v>16.91</v>
      </c>
      <c r="CV64" s="15">
        <v>37.84</v>
      </c>
      <c r="CW64" s="15">
        <v>2016.78</v>
      </c>
    </row>
    <row r="65" spans="1:101">
      <c r="A65" s="6">
        <v>2013</v>
      </c>
      <c r="B65" s="6" t="s">
        <v>102</v>
      </c>
      <c r="C65" s="6">
        <v>0.04825436</v>
      </c>
      <c r="D65" s="6">
        <v>0.014539</v>
      </c>
      <c r="E65" s="6">
        <v>0.003621</v>
      </c>
      <c r="F65" s="6">
        <v>0.006481</v>
      </c>
      <c r="G65" s="6">
        <v>0.002122</v>
      </c>
      <c r="H65" s="6">
        <v>0.002315</v>
      </c>
      <c r="I65" s="6">
        <v>0.014628</v>
      </c>
      <c r="J65" s="6">
        <v>0.006004</v>
      </c>
      <c r="K65" s="6">
        <v>0.06247543</v>
      </c>
      <c r="L65" s="6">
        <v>0.04511934</v>
      </c>
      <c r="M65" s="6">
        <v>0.05668815</v>
      </c>
      <c r="N65" s="6">
        <v>0.03423011</v>
      </c>
      <c r="O65" s="6">
        <v>0.03666726</v>
      </c>
      <c r="P65" s="6">
        <v>0.07314759</v>
      </c>
      <c r="Q65" s="6">
        <v>0.03812939</v>
      </c>
      <c r="R65" s="6">
        <v>217.69486</v>
      </c>
      <c r="S65" s="6">
        <v>0.00028699</v>
      </c>
      <c r="T65" s="6">
        <v>169.97573</v>
      </c>
      <c r="U65" s="6">
        <v>0.00026545</v>
      </c>
      <c r="V65" s="6">
        <v>197.11803</v>
      </c>
      <c r="W65" s="6">
        <v>0.00028758</v>
      </c>
      <c r="X65" s="6">
        <v>134.47093</v>
      </c>
      <c r="Y65" s="6">
        <v>0.00025455</v>
      </c>
      <c r="Z65" s="6">
        <v>134.86767</v>
      </c>
      <c r="AA65" s="6">
        <v>0.00027188</v>
      </c>
      <c r="AB65" s="6">
        <v>294.9318</v>
      </c>
      <c r="AC65" s="6">
        <v>0.00024802</v>
      </c>
      <c r="AD65" s="6">
        <v>243.86163</v>
      </c>
      <c r="AE65" s="6">
        <v>0.00015636</v>
      </c>
      <c r="AF65" s="6">
        <v>775</v>
      </c>
      <c r="AG65" s="6">
        <v>-0.00234068</v>
      </c>
      <c r="AH65" s="6">
        <v>-0.00218571</v>
      </c>
      <c r="AI65" s="6">
        <v>-0.00234496</v>
      </c>
      <c r="AJ65" s="6">
        <v>-0.00210669</v>
      </c>
      <c r="AK65" s="6">
        <v>-0.00223215</v>
      </c>
      <c r="AL65" s="6">
        <v>-0.00205903</v>
      </c>
      <c r="AM65" s="6">
        <v>-0.00137021</v>
      </c>
      <c r="AN65" s="6">
        <v>-6.4762184</v>
      </c>
      <c r="AO65" s="6">
        <v>-6.4515561</v>
      </c>
      <c r="AP65" s="6">
        <v>-6.4739881</v>
      </c>
      <c r="AQ65" s="6">
        <v>-6.4253629</v>
      </c>
      <c r="AR65" s="6">
        <v>-6.4020076</v>
      </c>
      <c r="AS65" s="6">
        <v>-6.4618417</v>
      </c>
      <c r="AT65" s="6">
        <v>-6.4506396</v>
      </c>
      <c r="AU65" s="6">
        <v>0.97344833</v>
      </c>
      <c r="AV65" s="6">
        <v>0.96974131</v>
      </c>
      <c r="AW65" s="6">
        <v>0.97311308</v>
      </c>
      <c r="AX65" s="6">
        <v>0.96580418</v>
      </c>
      <c r="AY65" s="6">
        <v>0.96229362</v>
      </c>
      <c r="AZ65" s="6">
        <v>0.97128734</v>
      </c>
      <c r="BA65" s="6">
        <v>0.96960354</v>
      </c>
      <c r="BB65" s="6">
        <v>0.02655167</v>
      </c>
      <c r="BC65" s="6">
        <v>0.03025869</v>
      </c>
      <c r="BD65" s="6">
        <v>0.02688692</v>
      </c>
      <c r="BE65" s="6">
        <v>0.03419582</v>
      </c>
      <c r="BF65" s="6">
        <v>0.03770638</v>
      </c>
      <c r="BG65" s="6">
        <v>0.02871266</v>
      </c>
      <c r="BH65" s="6">
        <v>0.03039646</v>
      </c>
      <c r="BI65" s="6">
        <v>0.21470859</v>
      </c>
      <c r="BJ65" s="6">
        <v>0.12366373</v>
      </c>
      <c r="BK65" s="6">
        <v>0.1409291</v>
      </c>
      <c r="BL65" s="6">
        <v>0.12522516</v>
      </c>
      <c r="BM65" s="6">
        <v>0.1592662</v>
      </c>
      <c r="BN65" s="6">
        <v>0.17561655</v>
      </c>
      <c r="BO65" s="6">
        <v>0.1337285</v>
      </c>
      <c r="BP65" s="6">
        <v>0.14157076</v>
      </c>
      <c r="BQ65" s="6">
        <v>0.00772595</v>
      </c>
      <c r="BR65" s="6">
        <v>0.00635863</v>
      </c>
      <c r="BS65" s="6">
        <v>0.00709878</v>
      </c>
      <c r="BT65" s="6">
        <v>0.0054517</v>
      </c>
      <c r="BU65" s="6">
        <v>0.00643938</v>
      </c>
      <c r="BV65" s="6">
        <v>0.00978192</v>
      </c>
      <c r="BW65" s="6">
        <v>0.00539801</v>
      </c>
      <c r="BX65" s="12">
        <v>17681</v>
      </c>
      <c r="BY65" s="13">
        <v>2455</v>
      </c>
      <c r="BZ65" s="12">
        <v>16916.5</v>
      </c>
      <c r="CA65" s="6">
        <f t="shared" si="4"/>
        <v>7.2020366598778</v>
      </c>
      <c r="CB65" s="6">
        <f t="shared" si="5"/>
        <v>1.04519256347353</v>
      </c>
      <c r="CC65" s="7">
        <v>549728223</v>
      </c>
      <c r="CD65" s="7">
        <f t="shared" si="0"/>
        <v>3.24965697987172</v>
      </c>
      <c r="CE65" s="8">
        <v>2589.2</v>
      </c>
      <c r="CF65" s="8">
        <v>10913.8</v>
      </c>
      <c r="CG65" s="8">
        <v>10042.3</v>
      </c>
      <c r="CH65" s="8">
        <v>35702</v>
      </c>
      <c r="CI65" s="14">
        <v>0</v>
      </c>
      <c r="CJ65" s="14">
        <v>0</v>
      </c>
      <c r="CK65" s="14">
        <f t="shared" si="1"/>
        <v>0</v>
      </c>
      <c r="CL65">
        <f t="shared" si="2"/>
        <v>1.91398219724656</v>
      </c>
      <c r="CM65">
        <f t="shared" si="3"/>
        <v>0</v>
      </c>
      <c r="CN65" s="15">
        <v>17681</v>
      </c>
      <c r="CO65" s="15">
        <v>34915.72</v>
      </c>
      <c r="CP65" s="15">
        <v>1800.65</v>
      </c>
      <c r="CQ65" s="15">
        <v>411.07</v>
      </c>
      <c r="CR65" s="15">
        <v>255.23</v>
      </c>
      <c r="CS65" s="15">
        <v>26.89</v>
      </c>
      <c r="CT65" s="15">
        <v>658.93</v>
      </c>
      <c r="CU65" s="15">
        <v>4.76</v>
      </c>
      <c r="CV65" s="15">
        <v>43.51</v>
      </c>
      <c r="CW65" s="15">
        <v>2181.9</v>
      </c>
    </row>
    <row r="66" spans="1:101">
      <c r="A66" s="6">
        <v>2014</v>
      </c>
      <c r="B66" s="6" t="s">
        <v>102</v>
      </c>
      <c r="C66" s="6">
        <v>0.0399726</v>
      </c>
      <c r="D66" s="6">
        <v>0.012383</v>
      </c>
      <c r="E66" s="6">
        <v>0.003211</v>
      </c>
      <c r="F66" s="6">
        <v>0.00557</v>
      </c>
      <c r="G66" s="6">
        <v>0.001668</v>
      </c>
      <c r="H66" s="6">
        <v>0.001934</v>
      </c>
      <c r="I66" s="6">
        <v>0.013763</v>
      </c>
      <c r="J66" s="6">
        <v>0.006947</v>
      </c>
      <c r="K66" s="6">
        <v>0.04556293</v>
      </c>
      <c r="L66" s="6">
        <v>0.03541221</v>
      </c>
      <c r="M66" s="6">
        <v>0.04268667</v>
      </c>
      <c r="N66" s="6">
        <v>0.02082701</v>
      </c>
      <c r="O66" s="6">
        <v>0.02511822</v>
      </c>
      <c r="P66" s="6">
        <v>0.06350834</v>
      </c>
      <c r="Q66" s="6">
        <v>0.05496175</v>
      </c>
      <c r="R66" s="6">
        <v>217.69486</v>
      </c>
      <c r="S66" s="6">
        <v>0.0002093</v>
      </c>
      <c r="T66" s="6">
        <v>169.97573</v>
      </c>
      <c r="U66" s="6">
        <v>0.00020834</v>
      </c>
      <c r="V66" s="6">
        <v>197.11803</v>
      </c>
      <c r="W66" s="6">
        <v>0.00021655</v>
      </c>
      <c r="X66" s="6">
        <v>134.47093</v>
      </c>
      <c r="Y66" s="6">
        <v>0.00015488</v>
      </c>
      <c r="Z66" s="6">
        <v>134.86767</v>
      </c>
      <c r="AA66" s="6">
        <v>0.00018624</v>
      </c>
      <c r="AB66" s="6">
        <v>294.9318</v>
      </c>
      <c r="AC66" s="6">
        <v>0.00021533</v>
      </c>
      <c r="AD66" s="6">
        <v>243.86163</v>
      </c>
      <c r="AE66" s="6">
        <v>0.00022538</v>
      </c>
      <c r="AF66" s="6">
        <v>775</v>
      </c>
      <c r="AG66" s="6">
        <v>-0.00177312</v>
      </c>
      <c r="AH66" s="6">
        <v>-0.00176594</v>
      </c>
      <c r="AI66" s="6">
        <v>-0.00182721</v>
      </c>
      <c r="AJ66" s="6">
        <v>-0.00135875</v>
      </c>
      <c r="AK66" s="6">
        <v>-0.00159954</v>
      </c>
      <c r="AL66" s="6">
        <v>-0.00181812</v>
      </c>
      <c r="AM66" s="6">
        <v>-0.00189269</v>
      </c>
      <c r="AN66" s="6">
        <v>-6.4762184</v>
      </c>
      <c r="AO66" s="6">
        <v>-6.4515561</v>
      </c>
      <c r="AP66" s="6">
        <v>-6.4739881</v>
      </c>
      <c r="AQ66" s="6">
        <v>-6.4253629</v>
      </c>
      <c r="AR66" s="6">
        <v>-6.4020076</v>
      </c>
      <c r="AS66" s="6">
        <v>-6.4618417</v>
      </c>
      <c r="AT66" s="6">
        <v>-6.4506396</v>
      </c>
      <c r="AU66" s="6">
        <v>0.97344833</v>
      </c>
      <c r="AV66" s="6">
        <v>0.96974131</v>
      </c>
      <c r="AW66" s="6">
        <v>0.97311308</v>
      </c>
      <c r="AX66" s="6">
        <v>0.96580418</v>
      </c>
      <c r="AY66" s="6">
        <v>0.96229362</v>
      </c>
      <c r="AZ66" s="6">
        <v>0.97128734</v>
      </c>
      <c r="BA66" s="6">
        <v>0.96960354</v>
      </c>
      <c r="BB66" s="6">
        <v>0.02655167</v>
      </c>
      <c r="BC66" s="6">
        <v>0.03025869</v>
      </c>
      <c r="BD66" s="6">
        <v>0.02688692</v>
      </c>
      <c r="BE66" s="6">
        <v>0.03419582</v>
      </c>
      <c r="BF66" s="6">
        <v>0.03770638</v>
      </c>
      <c r="BG66" s="6">
        <v>0.02871266</v>
      </c>
      <c r="BH66" s="6">
        <v>0.03039646</v>
      </c>
      <c r="BI66" s="6">
        <v>0.21470859</v>
      </c>
      <c r="BJ66" s="6">
        <v>0.12366373</v>
      </c>
      <c r="BK66" s="6">
        <v>0.1409291</v>
      </c>
      <c r="BL66" s="6">
        <v>0.12522516</v>
      </c>
      <c r="BM66" s="6">
        <v>0.1592662</v>
      </c>
      <c r="BN66" s="6">
        <v>0.17561655</v>
      </c>
      <c r="BO66" s="6">
        <v>0.1337285</v>
      </c>
      <c r="BP66" s="6">
        <v>0.14157076</v>
      </c>
      <c r="BQ66" s="6">
        <v>0.00563448</v>
      </c>
      <c r="BR66" s="6">
        <v>0.00499061</v>
      </c>
      <c r="BS66" s="6">
        <v>0.00534544</v>
      </c>
      <c r="BT66" s="6">
        <v>0.00331704</v>
      </c>
      <c r="BU66" s="6">
        <v>0.00441117</v>
      </c>
      <c r="BV66" s="6">
        <v>0.00849288</v>
      </c>
      <c r="BW66" s="6">
        <v>0.00778098</v>
      </c>
      <c r="BX66" s="12">
        <v>18309</v>
      </c>
      <c r="BY66" s="13">
        <v>2449</v>
      </c>
      <c r="BZ66" s="12">
        <v>17770.19</v>
      </c>
      <c r="CA66" s="6">
        <f t="shared" si="4"/>
        <v>7.47611269906084</v>
      </c>
      <c r="CB66" s="6">
        <f t="shared" si="5"/>
        <v>1.03032100388347</v>
      </c>
      <c r="CC66" s="7">
        <v>540970363.3</v>
      </c>
      <c r="CD66" s="7">
        <f t="shared" si="0"/>
        <v>3.04425762076826</v>
      </c>
      <c r="CE66" s="8">
        <v>2671</v>
      </c>
      <c r="CF66" s="8">
        <v>11825.1</v>
      </c>
      <c r="CG66" s="8">
        <v>11385.2</v>
      </c>
      <c r="CH66" s="8">
        <v>39181</v>
      </c>
      <c r="CI66" s="14">
        <v>0</v>
      </c>
      <c r="CJ66" s="14">
        <v>0</v>
      </c>
      <c r="CK66" s="14">
        <f t="shared" si="1"/>
        <v>0</v>
      </c>
      <c r="CL66">
        <f t="shared" si="2"/>
        <v>1.79640226266579</v>
      </c>
      <c r="CM66">
        <f t="shared" si="3"/>
        <v>0</v>
      </c>
      <c r="CN66" s="15">
        <v>18309.06</v>
      </c>
      <c r="CO66" s="15">
        <v>36465.97</v>
      </c>
      <c r="CP66" s="15">
        <v>1493.66</v>
      </c>
      <c r="CQ66" s="15">
        <v>411.36</v>
      </c>
      <c r="CR66" s="15">
        <v>271.66</v>
      </c>
      <c r="CS66" s="15">
        <v>28.36</v>
      </c>
      <c r="CT66" s="15">
        <v>577.25</v>
      </c>
      <c r="CU66" s="15">
        <v>4.92</v>
      </c>
      <c r="CV66" s="15">
        <v>44.53</v>
      </c>
      <c r="CW66" s="15">
        <v>2416.74</v>
      </c>
    </row>
    <row r="67" spans="1:101">
      <c r="A67" s="6">
        <v>2015</v>
      </c>
      <c r="B67" s="6" t="s">
        <v>102</v>
      </c>
      <c r="C67" s="6">
        <v>0.05372512</v>
      </c>
      <c r="D67" s="6">
        <v>0.014821</v>
      </c>
      <c r="E67" s="6">
        <v>0.003713</v>
      </c>
      <c r="F67" s="6">
        <v>0.006562</v>
      </c>
      <c r="G67" s="6">
        <v>0.002203</v>
      </c>
      <c r="H67" s="6">
        <v>0.002343</v>
      </c>
      <c r="I67" s="6">
        <v>0.015224</v>
      </c>
      <c r="J67" s="6">
        <v>0.007318</v>
      </c>
      <c r="K67" s="6">
        <v>0.06468557</v>
      </c>
      <c r="L67" s="6">
        <v>0.04728306</v>
      </c>
      <c r="M67" s="6">
        <v>0.05793915</v>
      </c>
      <c r="N67" s="6">
        <v>0.03663535</v>
      </c>
      <c r="O67" s="6">
        <v>0.03749997</v>
      </c>
      <c r="P67" s="6">
        <v>0.07977747</v>
      </c>
      <c r="Q67" s="6">
        <v>0.0615802</v>
      </c>
      <c r="R67" s="6">
        <v>217.69486</v>
      </c>
      <c r="S67" s="6">
        <v>0.00029714</v>
      </c>
      <c r="T67" s="6">
        <v>169.97573</v>
      </c>
      <c r="U67" s="6">
        <v>0.00027818</v>
      </c>
      <c r="V67" s="6">
        <v>197.11803</v>
      </c>
      <c r="W67" s="6">
        <v>0.00029393</v>
      </c>
      <c r="X67" s="6">
        <v>134.47093</v>
      </c>
      <c r="Y67" s="6">
        <v>0.00027244</v>
      </c>
      <c r="Z67" s="6">
        <v>134.86767</v>
      </c>
      <c r="AA67" s="6">
        <v>0.00027805</v>
      </c>
      <c r="AB67" s="6">
        <v>294.9318</v>
      </c>
      <c r="AC67" s="6">
        <v>0.00027049</v>
      </c>
      <c r="AD67" s="6">
        <v>243.86163</v>
      </c>
      <c r="AE67" s="6">
        <v>0.00025252</v>
      </c>
      <c r="AF67" s="6">
        <v>775</v>
      </c>
      <c r="AG67" s="6">
        <v>-0.00241316</v>
      </c>
      <c r="AH67" s="6">
        <v>-0.00227749</v>
      </c>
      <c r="AI67" s="6">
        <v>-0.0023903</v>
      </c>
      <c r="AJ67" s="6">
        <v>-0.00223622</v>
      </c>
      <c r="AK67" s="6">
        <v>-0.00227659</v>
      </c>
      <c r="AL67" s="6">
        <v>-0.00222218</v>
      </c>
      <c r="AM67" s="6">
        <v>-0.00209189</v>
      </c>
      <c r="AN67" s="6">
        <v>-6.4762184</v>
      </c>
      <c r="AO67" s="6">
        <v>-6.4515561</v>
      </c>
      <c r="AP67" s="6">
        <v>-6.4739881</v>
      </c>
      <c r="AQ67" s="6">
        <v>-6.4253629</v>
      </c>
      <c r="AR67" s="6">
        <v>-6.4020076</v>
      </c>
      <c r="AS67" s="6">
        <v>-6.4618417</v>
      </c>
      <c r="AT67" s="6">
        <v>-6.4506396</v>
      </c>
      <c r="AU67" s="6">
        <v>0.97344833</v>
      </c>
      <c r="AV67" s="6">
        <v>0.96974131</v>
      </c>
      <c r="AW67" s="6">
        <v>0.97311308</v>
      </c>
      <c r="AX67" s="6">
        <v>0.96580418</v>
      </c>
      <c r="AY67" s="6">
        <v>0.96229362</v>
      </c>
      <c r="AZ67" s="6">
        <v>0.97128734</v>
      </c>
      <c r="BA67" s="6">
        <v>0.96960354</v>
      </c>
      <c r="BB67" s="6">
        <v>0.02655167</v>
      </c>
      <c r="BC67" s="6">
        <v>0.03025869</v>
      </c>
      <c r="BD67" s="6">
        <v>0.02688692</v>
      </c>
      <c r="BE67" s="6">
        <v>0.03419582</v>
      </c>
      <c r="BF67" s="6">
        <v>0.03770638</v>
      </c>
      <c r="BG67" s="6">
        <v>0.02871266</v>
      </c>
      <c r="BH67" s="6">
        <v>0.03039646</v>
      </c>
      <c r="BI67" s="6">
        <v>0.21470859</v>
      </c>
      <c r="BJ67" s="6">
        <v>0.12366373</v>
      </c>
      <c r="BK67" s="6">
        <v>0.1409291</v>
      </c>
      <c r="BL67" s="6">
        <v>0.12522516</v>
      </c>
      <c r="BM67" s="6">
        <v>0.1592662</v>
      </c>
      <c r="BN67" s="6">
        <v>0.17561655</v>
      </c>
      <c r="BO67" s="6">
        <v>0.1337285</v>
      </c>
      <c r="BP67" s="6">
        <v>0.14157076</v>
      </c>
      <c r="BQ67" s="6">
        <v>0.00799926</v>
      </c>
      <c r="BR67" s="6">
        <v>0.00666356</v>
      </c>
      <c r="BS67" s="6">
        <v>0.00725544</v>
      </c>
      <c r="BT67" s="6">
        <v>0.00583477</v>
      </c>
      <c r="BU67" s="6">
        <v>0.00658561</v>
      </c>
      <c r="BV67" s="6">
        <v>0.01066852</v>
      </c>
      <c r="BW67" s="6">
        <v>0.00871796</v>
      </c>
      <c r="BX67" s="12">
        <v>18784</v>
      </c>
      <c r="BY67" s="13">
        <v>2440</v>
      </c>
      <c r="BZ67" s="12">
        <v>17831.50878</v>
      </c>
      <c r="CA67" s="6">
        <f t="shared" si="4"/>
        <v>7.69836065573771</v>
      </c>
      <c r="CB67" s="6">
        <f t="shared" si="5"/>
        <v>1.05341618770187</v>
      </c>
      <c r="CC67" s="7">
        <v>534434928.2</v>
      </c>
      <c r="CD67" s="7">
        <f t="shared" ref="CD67:CD130" si="6">CC67/10000/BZ67</f>
        <v>2.99713801447597</v>
      </c>
      <c r="CE67" s="8">
        <v>2747.9</v>
      </c>
      <c r="CF67" s="8">
        <v>12665.7</v>
      </c>
      <c r="CG67" s="8">
        <v>13125</v>
      </c>
      <c r="CH67" s="8">
        <v>43155</v>
      </c>
      <c r="CI67" s="14">
        <v>0</v>
      </c>
      <c r="CJ67" s="14">
        <v>0</v>
      </c>
      <c r="CK67" s="14">
        <f t="shared" ref="CK67:CK130" si="7">CI67*CJ67</f>
        <v>0</v>
      </c>
      <c r="CL67">
        <f t="shared" ref="CL67:CL130" si="8">AVERAGEIF($A:$A,$A67,$CD:$CD)</f>
        <v>1.71577514742415</v>
      </c>
      <c r="CM67">
        <f t="shared" ref="CM67:CM130" si="9">MAX(0,1-CD67/CL67)</f>
        <v>0</v>
      </c>
      <c r="CN67" s="15">
        <v>18784</v>
      </c>
      <c r="CO67" s="15">
        <v>36283.33</v>
      </c>
      <c r="CP67" s="15">
        <v>1532.74</v>
      </c>
      <c r="CQ67" s="15">
        <v>383.67</v>
      </c>
      <c r="CR67" s="15">
        <v>305.76</v>
      </c>
      <c r="CS67" s="15">
        <v>32.6</v>
      </c>
      <c r="CT67" s="15">
        <v>475.13</v>
      </c>
      <c r="CU67" s="15">
        <v>10.6</v>
      </c>
      <c r="CV67" s="15">
        <v>39.15</v>
      </c>
      <c r="CW67" s="15">
        <v>2543</v>
      </c>
    </row>
    <row r="68" spans="1:101">
      <c r="A68" s="6">
        <v>2016</v>
      </c>
      <c r="B68" s="6" t="s">
        <v>102</v>
      </c>
      <c r="C68" s="6">
        <v>0.06287479</v>
      </c>
      <c r="D68" s="6">
        <v>0.01671</v>
      </c>
      <c r="E68" s="6">
        <v>0.004092</v>
      </c>
      <c r="F68" s="6">
        <v>0.007301</v>
      </c>
      <c r="G68" s="6">
        <v>0.002647</v>
      </c>
      <c r="H68" s="6">
        <v>0.00267</v>
      </c>
      <c r="I68" s="6">
        <v>0.015724</v>
      </c>
      <c r="J68" s="6">
        <v>0.007339</v>
      </c>
      <c r="K68" s="6">
        <v>0.07950643</v>
      </c>
      <c r="L68" s="6">
        <v>0.05624257</v>
      </c>
      <c r="M68" s="6">
        <v>0.06929514</v>
      </c>
      <c r="N68" s="6">
        <v>0.04976347</v>
      </c>
      <c r="O68" s="6">
        <v>0.04742459</v>
      </c>
      <c r="P68" s="6">
        <v>0.08535032</v>
      </c>
      <c r="Q68" s="6">
        <v>0.06195532</v>
      </c>
      <c r="R68" s="6">
        <v>217.69486</v>
      </c>
      <c r="S68" s="6">
        <v>0.00036522</v>
      </c>
      <c r="T68" s="6">
        <v>169.97573</v>
      </c>
      <c r="U68" s="6">
        <v>0.00033089</v>
      </c>
      <c r="V68" s="6">
        <v>197.11803</v>
      </c>
      <c r="W68" s="6">
        <v>0.00035154</v>
      </c>
      <c r="X68" s="6">
        <v>134.47093</v>
      </c>
      <c r="Y68" s="6">
        <v>0.00037007</v>
      </c>
      <c r="Z68" s="6">
        <v>134.86767</v>
      </c>
      <c r="AA68" s="6">
        <v>0.00035164</v>
      </c>
      <c r="AB68" s="6">
        <v>294.9318</v>
      </c>
      <c r="AC68" s="6">
        <v>0.00028939</v>
      </c>
      <c r="AD68" s="6">
        <v>243.86163</v>
      </c>
      <c r="AE68" s="6">
        <v>0.00025406</v>
      </c>
      <c r="AF68" s="6">
        <v>775</v>
      </c>
      <c r="AG68" s="6">
        <v>-0.00289072</v>
      </c>
      <c r="AH68" s="6">
        <v>-0.00265163</v>
      </c>
      <c r="AI68" s="6">
        <v>-0.00279587</v>
      </c>
      <c r="AJ68" s="6">
        <v>-0.00292422</v>
      </c>
      <c r="AK68" s="6">
        <v>-0.00279654</v>
      </c>
      <c r="AL68" s="6">
        <v>-0.00235787</v>
      </c>
      <c r="AM68" s="6">
        <v>-0.00210309</v>
      </c>
      <c r="AN68" s="6">
        <v>-6.4762184</v>
      </c>
      <c r="AO68" s="6">
        <v>-6.4515561</v>
      </c>
      <c r="AP68" s="6">
        <v>-6.4739881</v>
      </c>
      <c r="AQ68" s="6">
        <v>-6.4253629</v>
      </c>
      <c r="AR68" s="6">
        <v>-6.4020076</v>
      </c>
      <c r="AS68" s="6">
        <v>-6.4618417</v>
      </c>
      <c r="AT68" s="6">
        <v>-6.4506396</v>
      </c>
      <c r="AU68" s="6">
        <v>0.97344833</v>
      </c>
      <c r="AV68" s="6">
        <v>0.96974131</v>
      </c>
      <c r="AW68" s="6">
        <v>0.97311308</v>
      </c>
      <c r="AX68" s="6">
        <v>0.96580418</v>
      </c>
      <c r="AY68" s="6">
        <v>0.96229362</v>
      </c>
      <c r="AZ68" s="6">
        <v>0.97128734</v>
      </c>
      <c r="BA68" s="6">
        <v>0.96960354</v>
      </c>
      <c r="BB68" s="6">
        <v>0.02655167</v>
      </c>
      <c r="BC68" s="6">
        <v>0.03025869</v>
      </c>
      <c r="BD68" s="6">
        <v>0.02688692</v>
      </c>
      <c r="BE68" s="6">
        <v>0.03419582</v>
      </c>
      <c r="BF68" s="6">
        <v>0.03770638</v>
      </c>
      <c r="BG68" s="6">
        <v>0.02871266</v>
      </c>
      <c r="BH68" s="6">
        <v>0.03039646</v>
      </c>
      <c r="BI68" s="6">
        <v>0.21470859</v>
      </c>
      <c r="BJ68" s="6">
        <v>0.12366373</v>
      </c>
      <c r="BK68" s="6">
        <v>0.1409291</v>
      </c>
      <c r="BL68" s="6">
        <v>0.12522516</v>
      </c>
      <c r="BM68" s="6">
        <v>0.1592662</v>
      </c>
      <c r="BN68" s="6">
        <v>0.17561655</v>
      </c>
      <c r="BO68" s="6">
        <v>0.1337285</v>
      </c>
      <c r="BP68" s="6">
        <v>0.14157076</v>
      </c>
      <c r="BQ68" s="6">
        <v>0.00983206</v>
      </c>
      <c r="BR68" s="6">
        <v>0.00792621</v>
      </c>
      <c r="BS68" s="6">
        <v>0.0086775</v>
      </c>
      <c r="BT68" s="6">
        <v>0.00792564</v>
      </c>
      <c r="BU68" s="6">
        <v>0.00832854</v>
      </c>
      <c r="BV68" s="6">
        <v>0.01141377</v>
      </c>
      <c r="BW68" s="6">
        <v>0.00877106</v>
      </c>
      <c r="BX68" s="12">
        <v>19310</v>
      </c>
      <c r="BY68" s="13">
        <v>2436</v>
      </c>
      <c r="BZ68" s="12">
        <v>18128.1</v>
      </c>
      <c r="CA68" s="6">
        <f t="shared" si="4"/>
        <v>7.92692939244663</v>
      </c>
      <c r="CB68" s="6">
        <f t="shared" si="5"/>
        <v>1.06519712490553</v>
      </c>
      <c r="CC68" s="7">
        <v>543917871.3</v>
      </c>
      <c r="CD68" s="7">
        <f t="shared" si="6"/>
        <v>3.00041301239512</v>
      </c>
      <c r="CE68" s="8">
        <v>2915.6</v>
      </c>
      <c r="CF68" s="8">
        <v>12942</v>
      </c>
      <c r="CG68" s="8">
        <v>14995.9</v>
      </c>
      <c r="CH68" s="8">
        <v>46606</v>
      </c>
      <c r="CI68" s="14">
        <v>0</v>
      </c>
      <c r="CJ68" s="14">
        <v>0</v>
      </c>
      <c r="CK68" s="14">
        <f t="shared" si="7"/>
        <v>0</v>
      </c>
      <c r="CL68">
        <f t="shared" si="8"/>
        <v>1.62438398605541</v>
      </c>
      <c r="CM68">
        <f t="shared" si="9"/>
        <v>0</v>
      </c>
      <c r="CN68" s="15">
        <v>19310</v>
      </c>
      <c r="CO68" s="15">
        <v>36460.55</v>
      </c>
      <c r="CP68" s="15">
        <v>1635.4</v>
      </c>
      <c r="CQ68" s="15">
        <v>419.55</v>
      </c>
      <c r="CR68" s="15">
        <v>353.24</v>
      </c>
      <c r="CS68" s="15">
        <v>34.96</v>
      </c>
      <c r="CT68" s="15">
        <v>426.62</v>
      </c>
      <c r="CU68" s="15">
        <v>3.27</v>
      </c>
      <c r="CV68" s="15">
        <v>45.06</v>
      </c>
      <c r="CW68" s="15">
        <v>2605.03</v>
      </c>
    </row>
    <row r="69" spans="1:101">
      <c r="A69" s="6">
        <v>2017</v>
      </c>
      <c r="B69" s="6" t="s">
        <v>102</v>
      </c>
      <c r="C69" s="6">
        <v>0.06803286</v>
      </c>
      <c r="D69" s="6">
        <v>0.016882</v>
      </c>
      <c r="E69" s="6">
        <v>0.004262</v>
      </c>
      <c r="F69" s="6">
        <v>0.007693</v>
      </c>
      <c r="G69" s="6">
        <v>0.002486</v>
      </c>
      <c r="H69" s="6">
        <v>0.002441</v>
      </c>
      <c r="I69" s="6">
        <v>0.01864</v>
      </c>
      <c r="J69" s="6">
        <v>0.007855</v>
      </c>
      <c r="K69" s="6">
        <v>0.08085712</v>
      </c>
      <c r="L69" s="6">
        <v>0.06027767</v>
      </c>
      <c r="M69" s="6">
        <v>0.07531586</v>
      </c>
      <c r="N69" s="6">
        <v>0.04499848</v>
      </c>
      <c r="O69" s="6">
        <v>0.04048466</v>
      </c>
      <c r="P69" s="6">
        <v>0.11782884</v>
      </c>
      <c r="Q69" s="6">
        <v>0.07115774</v>
      </c>
      <c r="R69" s="6">
        <v>217.69486</v>
      </c>
      <c r="S69" s="6">
        <v>0.00037142</v>
      </c>
      <c r="T69" s="6">
        <v>169.97573</v>
      </c>
      <c r="U69" s="6">
        <v>0.00035463</v>
      </c>
      <c r="V69" s="6">
        <v>197.11803</v>
      </c>
      <c r="W69" s="6">
        <v>0.00038209</v>
      </c>
      <c r="X69" s="6">
        <v>134.47093</v>
      </c>
      <c r="Y69" s="6">
        <v>0.00033463</v>
      </c>
      <c r="Z69" s="6">
        <v>134.86767</v>
      </c>
      <c r="AA69" s="6">
        <v>0.00030018</v>
      </c>
      <c r="AB69" s="6">
        <v>294.9318</v>
      </c>
      <c r="AC69" s="6">
        <v>0.00039951</v>
      </c>
      <c r="AD69" s="6">
        <v>243.86163</v>
      </c>
      <c r="AE69" s="6">
        <v>0.0002918</v>
      </c>
      <c r="AF69" s="6">
        <v>775</v>
      </c>
      <c r="AG69" s="6">
        <v>-0.00293357</v>
      </c>
      <c r="AH69" s="6">
        <v>-0.0028173</v>
      </c>
      <c r="AI69" s="6">
        <v>-0.00300696</v>
      </c>
      <c r="AJ69" s="6">
        <v>-0.0026779</v>
      </c>
      <c r="AK69" s="6">
        <v>-0.0024348</v>
      </c>
      <c r="AL69" s="6">
        <v>-0.00312629</v>
      </c>
      <c r="AM69" s="6">
        <v>-0.00237506</v>
      </c>
      <c r="AN69" s="6">
        <v>-6.4762184</v>
      </c>
      <c r="AO69" s="6">
        <v>-6.4515561</v>
      </c>
      <c r="AP69" s="6">
        <v>-6.4739881</v>
      </c>
      <c r="AQ69" s="6">
        <v>-6.4253629</v>
      </c>
      <c r="AR69" s="6">
        <v>-6.4020076</v>
      </c>
      <c r="AS69" s="6">
        <v>-6.4618417</v>
      </c>
      <c r="AT69" s="6">
        <v>-6.4506396</v>
      </c>
      <c r="AU69" s="6">
        <v>0.97344833</v>
      </c>
      <c r="AV69" s="6">
        <v>0.96974131</v>
      </c>
      <c r="AW69" s="6">
        <v>0.97311308</v>
      </c>
      <c r="AX69" s="6">
        <v>0.96580418</v>
      </c>
      <c r="AY69" s="6">
        <v>0.96229362</v>
      </c>
      <c r="AZ69" s="6">
        <v>0.97128734</v>
      </c>
      <c r="BA69" s="6">
        <v>0.96960354</v>
      </c>
      <c r="BB69" s="6">
        <v>0.02655167</v>
      </c>
      <c r="BC69" s="6">
        <v>0.03025869</v>
      </c>
      <c r="BD69" s="6">
        <v>0.02688692</v>
      </c>
      <c r="BE69" s="6">
        <v>0.03419582</v>
      </c>
      <c r="BF69" s="6">
        <v>0.03770638</v>
      </c>
      <c r="BG69" s="6">
        <v>0.02871266</v>
      </c>
      <c r="BH69" s="6">
        <v>0.03039646</v>
      </c>
      <c r="BI69" s="6">
        <v>0.21470859</v>
      </c>
      <c r="BJ69" s="6">
        <v>0.12366373</v>
      </c>
      <c r="BK69" s="6">
        <v>0.1409291</v>
      </c>
      <c r="BL69" s="6">
        <v>0.12522516</v>
      </c>
      <c r="BM69" s="6">
        <v>0.1592662</v>
      </c>
      <c r="BN69" s="6">
        <v>0.17561655</v>
      </c>
      <c r="BO69" s="6">
        <v>0.1337285</v>
      </c>
      <c r="BP69" s="6">
        <v>0.14157076</v>
      </c>
      <c r="BQ69" s="6">
        <v>0.00999909</v>
      </c>
      <c r="BR69" s="6">
        <v>0.00849488</v>
      </c>
      <c r="BS69" s="6">
        <v>0.00943144</v>
      </c>
      <c r="BT69" s="6">
        <v>0.00716674</v>
      </c>
      <c r="BU69" s="6">
        <v>0.00710978</v>
      </c>
      <c r="BV69" s="6">
        <v>0.01575707</v>
      </c>
      <c r="BW69" s="6">
        <v>0.01007386</v>
      </c>
      <c r="BX69" s="12">
        <v>19763</v>
      </c>
      <c r="BY69" s="13">
        <v>2433</v>
      </c>
      <c r="BZ69" s="12">
        <v>16096.21</v>
      </c>
      <c r="CA69" s="6">
        <f t="shared" si="4"/>
        <v>8.12289354706124</v>
      </c>
      <c r="CB69" s="6">
        <f t="shared" si="5"/>
        <v>1.22780455771887</v>
      </c>
      <c r="CC69" s="7">
        <v>575252587.3</v>
      </c>
      <c r="CD69" s="7">
        <f t="shared" si="6"/>
        <v>3.57383873160204</v>
      </c>
      <c r="CE69" s="8">
        <v>2998.4</v>
      </c>
      <c r="CF69" s="8">
        <v>13459.8</v>
      </c>
      <c r="CG69" s="8">
        <v>17369.9</v>
      </c>
      <c r="CH69" s="8">
        <v>51030</v>
      </c>
      <c r="CI69" s="14">
        <v>1</v>
      </c>
      <c r="CJ69" s="14">
        <v>0</v>
      </c>
      <c r="CK69" s="14">
        <f t="shared" si="7"/>
        <v>0</v>
      </c>
      <c r="CL69">
        <f t="shared" si="8"/>
        <v>1.56738551218677</v>
      </c>
      <c r="CM69">
        <f t="shared" si="9"/>
        <v>0</v>
      </c>
      <c r="CN69" s="15">
        <v>19763</v>
      </c>
      <c r="CO69" s="15">
        <v>38372.19</v>
      </c>
      <c r="CP69" s="15">
        <v>1669.24</v>
      </c>
      <c r="CQ69" s="15">
        <v>452.25</v>
      </c>
      <c r="CR69" s="15">
        <v>357.05</v>
      </c>
      <c r="CS69" s="15">
        <v>42.87</v>
      </c>
      <c r="CT69" s="15">
        <v>439.2</v>
      </c>
      <c r="CU69" s="15">
        <v>3.74</v>
      </c>
      <c r="CV69" s="15">
        <v>52.04</v>
      </c>
      <c r="CW69" s="15">
        <v>2891.87</v>
      </c>
    </row>
    <row r="70" spans="1:101">
      <c r="A70" s="6">
        <v>2018</v>
      </c>
      <c r="B70" s="6" t="s">
        <v>102</v>
      </c>
      <c r="C70" s="6">
        <v>0.06801843</v>
      </c>
      <c r="D70" s="6">
        <v>0.016885</v>
      </c>
      <c r="E70" s="6">
        <v>0.004332</v>
      </c>
      <c r="F70" s="6">
        <v>0.007646</v>
      </c>
      <c r="G70" s="6">
        <v>0.002463</v>
      </c>
      <c r="H70" s="6">
        <v>0.002444</v>
      </c>
      <c r="I70" s="6">
        <v>0.016823</v>
      </c>
      <c r="J70" s="6">
        <v>0.008899</v>
      </c>
      <c r="K70" s="6">
        <v>0.08088153</v>
      </c>
      <c r="L70" s="6">
        <v>0.06193008</v>
      </c>
      <c r="M70" s="6">
        <v>0.07459509</v>
      </c>
      <c r="N70" s="6">
        <v>0.0443211</v>
      </c>
      <c r="O70" s="6">
        <v>0.04057658</v>
      </c>
      <c r="P70" s="6">
        <v>0.09759619</v>
      </c>
      <c r="Q70" s="6">
        <v>0.08978706</v>
      </c>
      <c r="R70" s="6">
        <v>217.69486</v>
      </c>
      <c r="S70" s="6">
        <v>0.00037154</v>
      </c>
      <c r="T70" s="6">
        <v>169.97573</v>
      </c>
      <c r="U70" s="6">
        <v>0.00036435</v>
      </c>
      <c r="V70" s="6">
        <v>197.11803</v>
      </c>
      <c r="W70" s="6">
        <v>0.00037843</v>
      </c>
      <c r="X70" s="6">
        <v>134.47093</v>
      </c>
      <c r="Y70" s="6">
        <v>0.0003296</v>
      </c>
      <c r="Z70" s="6">
        <v>134.86767</v>
      </c>
      <c r="AA70" s="6">
        <v>0.00030086</v>
      </c>
      <c r="AB70" s="6">
        <v>294.9318</v>
      </c>
      <c r="AC70" s="6">
        <v>0.00033091</v>
      </c>
      <c r="AD70" s="6">
        <v>243.86163</v>
      </c>
      <c r="AE70" s="6">
        <v>0.00036819</v>
      </c>
      <c r="AF70" s="6">
        <v>775</v>
      </c>
      <c r="AG70" s="6">
        <v>-0.00293434</v>
      </c>
      <c r="AH70" s="6">
        <v>-0.00288468</v>
      </c>
      <c r="AI70" s="6">
        <v>-0.00298182</v>
      </c>
      <c r="AJ70" s="6">
        <v>-0.00264258</v>
      </c>
      <c r="AK70" s="6">
        <v>-0.00243965</v>
      </c>
      <c r="AL70" s="6">
        <v>-0.00265181</v>
      </c>
      <c r="AM70" s="6">
        <v>-0.00291124</v>
      </c>
      <c r="AN70" s="6">
        <v>-6.4762184</v>
      </c>
      <c r="AO70" s="6">
        <v>-6.4515561</v>
      </c>
      <c r="AP70" s="6">
        <v>-6.4739881</v>
      </c>
      <c r="AQ70" s="6">
        <v>-6.4253629</v>
      </c>
      <c r="AR70" s="6">
        <v>-6.4020076</v>
      </c>
      <c r="AS70" s="6">
        <v>-6.4618417</v>
      </c>
      <c r="AT70" s="6">
        <v>-6.4506396</v>
      </c>
      <c r="AU70" s="6">
        <v>0.97344833</v>
      </c>
      <c r="AV70" s="6">
        <v>0.96974131</v>
      </c>
      <c r="AW70" s="6">
        <v>0.97311308</v>
      </c>
      <c r="AX70" s="6">
        <v>0.96580418</v>
      </c>
      <c r="AY70" s="6">
        <v>0.96229362</v>
      </c>
      <c r="AZ70" s="6">
        <v>0.97128734</v>
      </c>
      <c r="BA70" s="6">
        <v>0.96960354</v>
      </c>
      <c r="BB70" s="6">
        <v>0.02655167</v>
      </c>
      <c r="BC70" s="6">
        <v>0.03025869</v>
      </c>
      <c r="BD70" s="6">
        <v>0.02688692</v>
      </c>
      <c r="BE70" s="6">
        <v>0.03419582</v>
      </c>
      <c r="BF70" s="6">
        <v>0.03770638</v>
      </c>
      <c r="BG70" s="6">
        <v>0.02871266</v>
      </c>
      <c r="BH70" s="6">
        <v>0.03039646</v>
      </c>
      <c r="BI70" s="6">
        <v>0.21470859</v>
      </c>
      <c r="BJ70" s="6">
        <v>0.12366373</v>
      </c>
      <c r="BK70" s="6">
        <v>0.1409291</v>
      </c>
      <c r="BL70" s="6">
        <v>0.12522516</v>
      </c>
      <c r="BM70" s="6">
        <v>0.1592662</v>
      </c>
      <c r="BN70" s="6">
        <v>0.17561655</v>
      </c>
      <c r="BO70" s="6">
        <v>0.1337285</v>
      </c>
      <c r="BP70" s="6">
        <v>0.14157076</v>
      </c>
      <c r="BQ70" s="6">
        <v>0.01000211</v>
      </c>
      <c r="BR70" s="6">
        <v>0.00872775</v>
      </c>
      <c r="BS70" s="6">
        <v>0.00934118</v>
      </c>
      <c r="BT70" s="6">
        <v>0.00705885</v>
      </c>
      <c r="BU70" s="6">
        <v>0.00712592</v>
      </c>
      <c r="BV70" s="6">
        <v>0.01305139</v>
      </c>
      <c r="BW70" s="6">
        <v>0.01271122</v>
      </c>
      <c r="BX70" s="12">
        <v>23068</v>
      </c>
      <c r="BY70" s="13">
        <v>2422</v>
      </c>
      <c r="BZ70" s="12">
        <v>17289.22</v>
      </c>
      <c r="CA70" s="6">
        <f t="shared" si="4"/>
        <v>9.52436003303055</v>
      </c>
      <c r="CB70" s="6">
        <f t="shared" si="5"/>
        <v>1.33424179922518</v>
      </c>
      <c r="CC70" s="7">
        <v>602380180.8</v>
      </c>
      <c r="CD70" s="7">
        <f t="shared" si="6"/>
        <v>3.48413740353816</v>
      </c>
      <c r="CE70" s="8">
        <v>3084.2</v>
      </c>
      <c r="CF70" s="8">
        <v>13904.1</v>
      </c>
      <c r="CG70" s="8">
        <v>19341.4</v>
      </c>
      <c r="CH70" s="8">
        <v>54763</v>
      </c>
      <c r="CI70" s="14">
        <v>1</v>
      </c>
      <c r="CJ70" s="14">
        <v>0</v>
      </c>
      <c r="CK70" s="14">
        <f t="shared" si="7"/>
        <v>0</v>
      </c>
      <c r="CL70">
        <f t="shared" si="8"/>
        <v>1.51591455826218</v>
      </c>
      <c r="CM70">
        <f t="shared" si="9"/>
        <v>0</v>
      </c>
      <c r="CN70" s="15">
        <v>23068</v>
      </c>
      <c r="CO70" s="15">
        <v>44138.47</v>
      </c>
      <c r="CP70" s="15">
        <v>2125.06</v>
      </c>
      <c r="CQ70" s="15">
        <v>362.35</v>
      </c>
      <c r="CR70" s="15">
        <v>352.99</v>
      </c>
      <c r="CS70" s="15">
        <v>46.85</v>
      </c>
      <c r="CT70" s="15">
        <v>430.53</v>
      </c>
      <c r="CU70" s="15">
        <v>2.54</v>
      </c>
      <c r="CV70" s="15">
        <v>61.97</v>
      </c>
      <c r="CW70" s="15">
        <v>3353.44</v>
      </c>
    </row>
    <row r="71" spans="1:101">
      <c r="A71" s="6">
        <v>2019</v>
      </c>
      <c r="B71" s="6" t="s">
        <v>102</v>
      </c>
      <c r="C71" s="6">
        <v>0.07298959</v>
      </c>
      <c r="D71" s="6">
        <v>0.018708</v>
      </c>
      <c r="E71" s="6">
        <v>0.004683</v>
      </c>
      <c r="F71" s="6">
        <v>0.008404</v>
      </c>
      <c r="G71" s="6">
        <v>0.002845</v>
      </c>
      <c r="H71" s="6">
        <v>0.002776</v>
      </c>
      <c r="I71" s="6">
        <v>0.016104</v>
      </c>
      <c r="J71" s="6">
        <v>0.00814</v>
      </c>
      <c r="K71" s="6">
        <v>0.0951812</v>
      </c>
      <c r="L71" s="6">
        <v>0.07022026</v>
      </c>
      <c r="M71" s="6">
        <v>0.08625807</v>
      </c>
      <c r="N71" s="6">
        <v>0.05560743</v>
      </c>
      <c r="O71" s="6">
        <v>0.05062851</v>
      </c>
      <c r="P71" s="6">
        <v>0.08958803</v>
      </c>
      <c r="Q71" s="6">
        <v>0.07623968</v>
      </c>
      <c r="R71" s="6">
        <v>217.69486</v>
      </c>
      <c r="S71" s="6">
        <v>0.00043722</v>
      </c>
      <c r="T71" s="6">
        <v>169.97573</v>
      </c>
      <c r="U71" s="6">
        <v>0.00041312</v>
      </c>
      <c r="V71" s="6">
        <v>197.11803</v>
      </c>
      <c r="W71" s="6">
        <v>0.0004376</v>
      </c>
      <c r="X71" s="6">
        <v>134.47093</v>
      </c>
      <c r="Y71" s="6">
        <v>0.00041353</v>
      </c>
      <c r="Z71" s="6">
        <v>134.86767</v>
      </c>
      <c r="AA71" s="6">
        <v>0.00037539</v>
      </c>
      <c r="AB71" s="6">
        <v>294.9318</v>
      </c>
      <c r="AC71" s="6">
        <v>0.00030376</v>
      </c>
      <c r="AD71" s="6">
        <v>243.86163</v>
      </c>
      <c r="AE71" s="6">
        <v>0.00031263</v>
      </c>
      <c r="AF71" s="6">
        <v>775</v>
      </c>
      <c r="AG71" s="6">
        <v>-0.00338195</v>
      </c>
      <c r="AH71" s="6">
        <v>-0.00321893</v>
      </c>
      <c r="AI71" s="6">
        <v>-0.00338446</v>
      </c>
      <c r="AJ71" s="6">
        <v>-0.0032217</v>
      </c>
      <c r="AK71" s="6">
        <v>-0.00296093</v>
      </c>
      <c r="AL71" s="6">
        <v>-0.00246022</v>
      </c>
      <c r="AM71" s="6">
        <v>-0.00252311</v>
      </c>
      <c r="AN71" s="6">
        <v>-6.4762184</v>
      </c>
      <c r="AO71" s="6">
        <v>-6.4515561</v>
      </c>
      <c r="AP71" s="6">
        <v>-6.4739881</v>
      </c>
      <c r="AQ71" s="6">
        <v>-6.4253629</v>
      </c>
      <c r="AR71" s="6">
        <v>-6.4020076</v>
      </c>
      <c r="AS71" s="6">
        <v>-6.4618417</v>
      </c>
      <c r="AT71" s="6">
        <v>-6.4506396</v>
      </c>
      <c r="AU71" s="6">
        <v>0.97344833</v>
      </c>
      <c r="AV71" s="6">
        <v>0.96974131</v>
      </c>
      <c r="AW71" s="6">
        <v>0.97311308</v>
      </c>
      <c r="AX71" s="6">
        <v>0.96580418</v>
      </c>
      <c r="AY71" s="6">
        <v>0.96229362</v>
      </c>
      <c r="AZ71" s="6">
        <v>0.97128734</v>
      </c>
      <c r="BA71" s="6">
        <v>0.96960354</v>
      </c>
      <c r="BB71" s="6">
        <v>0.02655167</v>
      </c>
      <c r="BC71" s="6">
        <v>0.03025869</v>
      </c>
      <c r="BD71" s="6">
        <v>0.02688692</v>
      </c>
      <c r="BE71" s="6">
        <v>0.03419582</v>
      </c>
      <c r="BF71" s="6">
        <v>0.03770638</v>
      </c>
      <c r="BG71" s="6">
        <v>0.02871266</v>
      </c>
      <c r="BH71" s="6">
        <v>0.03039646</v>
      </c>
      <c r="BI71" s="6">
        <v>0.21470859</v>
      </c>
      <c r="BJ71" s="6">
        <v>0.12366373</v>
      </c>
      <c r="BK71" s="6">
        <v>0.1409291</v>
      </c>
      <c r="BL71" s="6">
        <v>0.12522516</v>
      </c>
      <c r="BM71" s="6">
        <v>0.1592662</v>
      </c>
      <c r="BN71" s="6">
        <v>0.17561655</v>
      </c>
      <c r="BO71" s="6">
        <v>0.1337285</v>
      </c>
      <c r="BP71" s="6">
        <v>0.14157076</v>
      </c>
      <c r="BQ71" s="6">
        <v>0.01177046</v>
      </c>
      <c r="BR71" s="6">
        <v>0.00989608</v>
      </c>
      <c r="BS71" s="6">
        <v>0.01080168</v>
      </c>
      <c r="BT71" s="6">
        <v>0.00885638</v>
      </c>
      <c r="BU71" s="6">
        <v>0.0088912</v>
      </c>
      <c r="BV71" s="6">
        <v>0.01198047</v>
      </c>
      <c r="BW71" s="6">
        <v>0.01079331</v>
      </c>
      <c r="BX71" s="12">
        <v>25346</v>
      </c>
      <c r="BY71" s="13">
        <v>2415</v>
      </c>
      <c r="BZ71" s="12">
        <v>17212.53</v>
      </c>
      <c r="CA71" s="6">
        <f t="shared" si="4"/>
        <v>10.4952380952381</v>
      </c>
      <c r="CB71" s="6">
        <f t="shared" si="5"/>
        <v>1.47253192877514</v>
      </c>
      <c r="CC71" s="7">
        <v>633092623.7</v>
      </c>
      <c r="CD71" s="7">
        <f t="shared" si="6"/>
        <v>3.67809162104583</v>
      </c>
      <c r="CE71" s="8">
        <v>3647.2</v>
      </c>
      <c r="CF71" s="8">
        <v>15401.7</v>
      </c>
      <c r="CG71" s="8">
        <v>20845.2</v>
      </c>
      <c r="CH71" s="8">
        <v>60104</v>
      </c>
      <c r="CI71" s="14">
        <v>1</v>
      </c>
      <c r="CJ71" s="14">
        <v>0</v>
      </c>
      <c r="CK71" s="14">
        <f t="shared" si="7"/>
        <v>0</v>
      </c>
      <c r="CL71">
        <f t="shared" si="8"/>
        <v>1.5000536746505</v>
      </c>
      <c r="CM71">
        <f t="shared" si="9"/>
        <v>0</v>
      </c>
      <c r="CN71" s="15">
        <v>25346</v>
      </c>
      <c r="CO71" s="15">
        <v>49035.95</v>
      </c>
      <c r="CP71" s="15">
        <v>2378.28</v>
      </c>
      <c r="CQ71" s="15">
        <v>428.71</v>
      </c>
      <c r="CR71" s="15">
        <v>367.7</v>
      </c>
      <c r="CS71" s="15">
        <v>50.03</v>
      </c>
      <c r="CT71" s="15">
        <v>451.65</v>
      </c>
      <c r="CU71" s="15">
        <v>1.25</v>
      </c>
      <c r="CV71" s="15">
        <v>64.18</v>
      </c>
      <c r="CW71" s="15">
        <v>3653.02</v>
      </c>
    </row>
    <row r="72" spans="1:101">
      <c r="A72" s="6">
        <v>2020</v>
      </c>
      <c r="B72" s="6" t="s">
        <v>102</v>
      </c>
      <c r="C72" s="6">
        <v>0.06846233</v>
      </c>
      <c r="D72" s="6">
        <v>0.017223</v>
      </c>
      <c r="E72" s="6">
        <v>0.00439</v>
      </c>
      <c r="F72" s="6">
        <v>0.007732</v>
      </c>
      <c r="G72" s="6">
        <v>0.002441</v>
      </c>
      <c r="H72" s="6">
        <v>0.002661</v>
      </c>
      <c r="I72" s="6">
        <v>0.015922</v>
      </c>
      <c r="J72" s="6">
        <v>0.008921</v>
      </c>
      <c r="K72" s="6">
        <v>0.08352912</v>
      </c>
      <c r="L72" s="6">
        <v>0.06329156</v>
      </c>
      <c r="M72" s="6">
        <v>0.07591772</v>
      </c>
      <c r="N72" s="6">
        <v>0.04365468</v>
      </c>
      <c r="O72" s="6">
        <v>0.04713549</v>
      </c>
      <c r="P72" s="6">
        <v>0.087552</v>
      </c>
      <c r="Q72" s="6">
        <v>0.09018595</v>
      </c>
      <c r="R72" s="6">
        <v>217.69486</v>
      </c>
      <c r="S72" s="6">
        <v>0.0003837</v>
      </c>
      <c r="T72" s="6">
        <v>169.97573</v>
      </c>
      <c r="U72" s="6">
        <v>0.00037236</v>
      </c>
      <c r="V72" s="6">
        <v>197.11803</v>
      </c>
      <c r="W72" s="6">
        <v>0.00038514</v>
      </c>
      <c r="X72" s="6">
        <v>134.47093</v>
      </c>
      <c r="Y72" s="6">
        <v>0.00032464</v>
      </c>
      <c r="Z72" s="6">
        <v>134.86767</v>
      </c>
      <c r="AA72" s="6">
        <v>0.00034949</v>
      </c>
      <c r="AB72" s="6">
        <v>294.9318</v>
      </c>
      <c r="AC72" s="6">
        <v>0.00029686</v>
      </c>
      <c r="AD72" s="6">
        <v>243.86163</v>
      </c>
      <c r="AE72" s="6">
        <v>0.00036982</v>
      </c>
      <c r="AF72" s="6">
        <v>775</v>
      </c>
      <c r="AG72" s="6">
        <v>-0.00301804</v>
      </c>
      <c r="AH72" s="6">
        <v>-0.00294</v>
      </c>
      <c r="AI72" s="6">
        <v>-0.00302792</v>
      </c>
      <c r="AJ72" s="6">
        <v>-0.00260777</v>
      </c>
      <c r="AK72" s="6">
        <v>-0.00278163</v>
      </c>
      <c r="AL72" s="6">
        <v>-0.00241114</v>
      </c>
      <c r="AM72" s="6">
        <v>-0.00292253</v>
      </c>
      <c r="AN72" s="6">
        <v>-6.4762184</v>
      </c>
      <c r="AO72" s="6">
        <v>-6.4515561</v>
      </c>
      <c r="AP72" s="6">
        <v>-6.4739881</v>
      </c>
      <c r="AQ72" s="6">
        <v>-6.4253629</v>
      </c>
      <c r="AR72" s="6">
        <v>-6.4020076</v>
      </c>
      <c r="AS72" s="6">
        <v>-6.4618417</v>
      </c>
      <c r="AT72" s="6">
        <v>-6.4506396</v>
      </c>
      <c r="AU72" s="6">
        <v>0.97344833</v>
      </c>
      <c r="AV72" s="6">
        <v>0.96974131</v>
      </c>
      <c r="AW72" s="6">
        <v>0.97311308</v>
      </c>
      <c r="AX72" s="6">
        <v>0.96580418</v>
      </c>
      <c r="AY72" s="6">
        <v>0.96229362</v>
      </c>
      <c r="AZ72" s="6">
        <v>0.97128734</v>
      </c>
      <c r="BA72" s="6">
        <v>0.96960354</v>
      </c>
      <c r="BB72" s="6">
        <v>0.02655167</v>
      </c>
      <c r="BC72" s="6">
        <v>0.03025869</v>
      </c>
      <c r="BD72" s="6">
        <v>0.02688692</v>
      </c>
      <c r="BE72" s="6">
        <v>0.03419582</v>
      </c>
      <c r="BF72" s="6">
        <v>0.03770638</v>
      </c>
      <c r="BG72" s="6">
        <v>0.02871266</v>
      </c>
      <c r="BH72" s="6">
        <v>0.03039646</v>
      </c>
      <c r="BI72" s="6">
        <v>0.21470859</v>
      </c>
      <c r="BJ72" s="6">
        <v>0.12366373</v>
      </c>
      <c r="BK72" s="6">
        <v>0.1409291</v>
      </c>
      <c r="BL72" s="6">
        <v>0.12522516</v>
      </c>
      <c r="BM72" s="6">
        <v>0.1592662</v>
      </c>
      <c r="BN72" s="6">
        <v>0.17561655</v>
      </c>
      <c r="BO72" s="6">
        <v>0.1337285</v>
      </c>
      <c r="BP72" s="6">
        <v>0.14157076</v>
      </c>
      <c r="BQ72" s="6">
        <v>0.01032952</v>
      </c>
      <c r="BR72" s="6">
        <v>0.00891962</v>
      </c>
      <c r="BS72" s="6">
        <v>0.00950681</v>
      </c>
      <c r="BT72" s="6">
        <v>0.00695272</v>
      </c>
      <c r="BU72" s="6">
        <v>0.00827777</v>
      </c>
      <c r="BV72" s="6">
        <v>0.0117082</v>
      </c>
      <c r="BW72" s="6">
        <v>0.01276769</v>
      </c>
      <c r="BX72" s="12">
        <v>27133.65</v>
      </c>
      <c r="BY72" s="13">
        <v>2402.8</v>
      </c>
      <c r="BZ72" s="12">
        <v>17359.82</v>
      </c>
      <c r="CA72" s="6">
        <f t="shared" si="4"/>
        <v>11.2925129016148</v>
      </c>
      <c r="CB72" s="6">
        <f t="shared" si="5"/>
        <v>1.56301447826072</v>
      </c>
      <c r="CC72" s="7">
        <v>648820703</v>
      </c>
      <c r="CD72" s="7">
        <f t="shared" si="6"/>
        <v>3.73748519857925</v>
      </c>
      <c r="CE72" s="8">
        <v>4240.7</v>
      </c>
      <c r="CF72" s="8">
        <v>15949.2</v>
      </c>
      <c r="CG72" s="8">
        <v>21352.7</v>
      </c>
      <c r="CH72" s="8">
        <v>62537</v>
      </c>
      <c r="CI72" s="14">
        <v>1</v>
      </c>
      <c r="CJ72" s="14">
        <v>0</v>
      </c>
      <c r="CK72" s="14">
        <f t="shared" si="7"/>
        <v>0</v>
      </c>
      <c r="CL72">
        <f t="shared" si="8"/>
        <v>1.47141701078949</v>
      </c>
      <c r="CM72">
        <f t="shared" si="9"/>
        <v>0</v>
      </c>
      <c r="CN72" s="15">
        <v>27133.65</v>
      </c>
      <c r="CO72" s="15">
        <v>51818.89</v>
      </c>
      <c r="CP72" s="15">
        <v>2617.17</v>
      </c>
      <c r="CQ72" s="15">
        <v>414.72</v>
      </c>
      <c r="CR72" s="15">
        <v>364.96</v>
      </c>
      <c r="CS72" s="15">
        <v>34.37</v>
      </c>
      <c r="CT72" s="15">
        <v>444.25</v>
      </c>
      <c r="CU72" s="15">
        <v>1.54</v>
      </c>
      <c r="CV72" s="15">
        <v>69.9</v>
      </c>
      <c r="CW72" s="15">
        <v>3900</v>
      </c>
    </row>
    <row r="73" spans="1:101">
      <c r="A73" s="6">
        <v>2021</v>
      </c>
      <c r="B73" s="6" t="s">
        <v>102</v>
      </c>
      <c r="C73" s="6">
        <v>0.07649329</v>
      </c>
      <c r="D73" s="6">
        <v>0.018373</v>
      </c>
      <c r="E73" s="6">
        <v>0.004485</v>
      </c>
      <c r="F73" s="6">
        <v>0.008532</v>
      </c>
      <c r="G73" s="6">
        <v>0.002921</v>
      </c>
      <c r="H73" s="6">
        <v>0.002435</v>
      </c>
      <c r="I73" s="6">
        <v>0.017837</v>
      </c>
      <c r="J73" s="6">
        <v>0.009374</v>
      </c>
      <c r="K73" s="6">
        <v>0.09255219</v>
      </c>
      <c r="L73" s="6">
        <v>0.065549</v>
      </c>
      <c r="M73" s="6">
        <v>0.08821546</v>
      </c>
      <c r="N73" s="6">
        <v>0.05786907</v>
      </c>
      <c r="O73" s="6">
        <v>0.04028102</v>
      </c>
      <c r="P73" s="6">
        <v>0.10888939</v>
      </c>
      <c r="Q73" s="6">
        <v>0.09826301</v>
      </c>
      <c r="R73" s="6">
        <v>217.69486</v>
      </c>
      <c r="S73" s="6">
        <v>0.00042515</v>
      </c>
      <c r="T73" s="6">
        <v>169.97573</v>
      </c>
      <c r="U73" s="6">
        <v>0.00038564</v>
      </c>
      <c r="V73" s="6">
        <v>197.11803</v>
      </c>
      <c r="W73" s="6">
        <v>0.00044753</v>
      </c>
      <c r="X73" s="6">
        <v>134.47093</v>
      </c>
      <c r="Y73" s="6">
        <v>0.00043035</v>
      </c>
      <c r="Z73" s="6">
        <v>134.86767</v>
      </c>
      <c r="AA73" s="6">
        <v>0.00029867</v>
      </c>
      <c r="AB73" s="6">
        <v>294.9318</v>
      </c>
      <c r="AC73" s="6">
        <v>0.0003692</v>
      </c>
      <c r="AD73" s="6">
        <v>243.86163</v>
      </c>
      <c r="AE73" s="6">
        <v>0.00040295</v>
      </c>
      <c r="AF73" s="6">
        <v>775</v>
      </c>
      <c r="AG73" s="6">
        <v>-0.00330044</v>
      </c>
      <c r="AH73" s="6">
        <v>-0.00303135</v>
      </c>
      <c r="AI73" s="6">
        <v>-0.00345122</v>
      </c>
      <c r="AJ73" s="6">
        <v>-0.00333558</v>
      </c>
      <c r="AK73" s="6">
        <v>-0.00242406</v>
      </c>
      <c r="AL73" s="6">
        <v>-0.00291823</v>
      </c>
      <c r="AM73" s="6">
        <v>-0.00314971</v>
      </c>
      <c r="AN73" s="6">
        <v>-6.4762184</v>
      </c>
      <c r="AO73" s="6">
        <v>-6.4515561</v>
      </c>
      <c r="AP73" s="6">
        <v>-6.4739881</v>
      </c>
      <c r="AQ73" s="6">
        <v>-6.4253629</v>
      </c>
      <c r="AR73" s="6">
        <v>-6.4020076</v>
      </c>
      <c r="AS73" s="6">
        <v>-6.4618417</v>
      </c>
      <c r="AT73" s="6">
        <v>-6.4506396</v>
      </c>
      <c r="AU73" s="6">
        <v>0.97344833</v>
      </c>
      <c r="AV73" s="6">
        <v>0.96974131</v>
      </c>
      <c r="AW73" s="6">
        <v>0.97311308</v>
      </c>
      <c r="AX73" s="6">
        <v>0.96580418</v>
      </c>
      <c r="AY73" s="6">
        <v>0.96229362</v>
      </c>
      <c r="AZ73" s="6">
        <v>0.97128734</v>
      </c>
      <c r="BA73" s="6">
        <v>0.96960354</v>
      </c>
      <c r="BB73" s="6">
        <v>0.02655167</v>
      </c>
      <c r="BC73" s="6">
        <v>0.03025869</v>
      </c>
      <c r="BD73" s="6">
        <v>0.02688692</v>
      </c>
      <c r="BE73" s="6">
        <v>0.03419582</v>
      </c>
      <c r="BF73" s="6">
        <v>0.03770638</v>
      </c>
      <c r="BG73" s="6">
        <v>0.02871266</v>
      </c>
      <c r="BH73" s="6">
        <v>0.03039646</v>
      </c>
      <c r="BI73" s="6">
        <v>0.21470859</v>
      </c>
      <c r="BJ73" s="6">
        <v>0.12366373</v>
      </c>
      <c r="BK73" s="6">
        <v>0.1409291</v>
      </c>
      <c r="BL73" s="6">
        <v>0.12522516</v>
      </c>
      <c r="BM73" s="6">
        <v>0.1592662</v>
      </c>
      <c r="BN73" s="6">
        <v>0.17561655</v>
      </c>
      <c r="BO73" s="6">
        <v>0.1337285</v>
      </c>
      <c r="BP73" s="6">
        <v>0.14157076</v>
      </c>
      <c r="BQ73" s="6">
        <v>0.01144535</v>
      </c>
      <c r="BR73" s="6">
        <v>0.00923776</v>
      </c>
      <c r="BS73" s="6">
        <v>0.0110468</v>
      </c>
      <c r="BT73" s="6">
        <v>0.00921659</v>
      </c>
      <c r="BU73" s="6">
        <v>0.00707401</v>
      </c>
      <c r="BV73" s="6">
        <v>0.01456161</v>
      </c>
      <c r="BW73" s="6">
        <v>0.01391117</v>
      </c>
      <c r="BX73" s="12">
        <v>26900.46</v>
      </c>
      <c r="BY73" s="13">
        <v>2400</v>
      </c>
      <c r="BZ73" s="12">
        <v>20514.2</v>
      </c>
      <c r="CA73" s="6">
        <f t="shared" si="4"/>
        <v>11.208525</v>
      </c>
      <c r="CB73" s="6">
        <f t="shared" si="5"/>
        <v>1.31130923945365</v>
      </c>
      <c r="CC73" s="7">
        <v>724230244.1</v>
      </c>
      <c r="CD73" s="7">
        <f t="shared" si="6"/>
        <v>3.5303850215948</v>
      </c>
      <c r="CE73" s="8">
        <v>4323</v>
      </c>
      <c r="CF73" s="8">
        <v>17852.5</v>
      </c>
      <c r="CG73" s="8">
        <v>23537.9</v>
      </c>
      <c r="CH73" s="8">
        <v>68913</v>
      </c>
      <c r="CI73" s="14">
        <v>1</v>
      </c>
      <c r="CJ73" s="14">
        <v>0</v>
      </c>
      <c r="CK73" s="14">
        <f t="shared" si="7"/>
        <v>0</v>
      </c>
      <c r="CL73">
        <f t="shared" si="8"/>
        <v>1.36781889095748</v>
      </c>
      <c r="CM73">
        <f t="shared" si="9"/>
        <v>0</v>
      </c>
      <c r="CN73" s="15">
        <v>26900.46</v>
      </c>
      <c r="CO73" s="15">
        <v>57480.44</v>
      </c>
      <c r="CP73" s="15">
        <v>2454.94</v>
      </c>
      <c r="CQ73" s="15">
        <v>402.03</v>
      </c>
      <c r="CR73" s="15">
        <v>406.45</v>
      </c>
      <c r="CS73" s="15">
        <v>38.76</v>
      </c>
      <c r="CT73" s="15">
        <v>483.41</v>
      </c>
      <c r="CU73" s="15">
        <v>2.04</v>
      </c>
      <c r="CV73" s="15">
        <v>77.96</v>
      </c>
      <c r="CW73" s="15">
        <v>3957</v>
      </c>
    </row>
    <row r="74" spans="1:101">
      <c r="A74" s="6">
        <v>2022</v>
      </c>
      <c r="B74" s="6" t="s">
        <v>102</v>
      </c>
      <c r="C74" s="6">
        <v>0.05972982</v>
      </c>
      <c r="D74" s="6">
        <v>0.016686</v>
      </c>
      <c r="E74" s="6">
        <v>0.004449</v>
      </c>
      <c r="F74" s="6">
        <v>0.007583</v>
      </c>
      <c r="G74" s="6">
        <v>0.002446</v>
      </c>
      <c r="H74" s="6">
        <v>0.002208</v>
      </c>
      <c r="I74" s="6">
        <v>0.015849</v>
      </c>
      <c r="J74" s="6">
        <v>0.006691</v>
      </c>
      <c r="K74" s="6">
        <v>0.07932236</v>
      </c>
      <c r="L74" s="6">
        <v>0.06469444</v>
      </c>
      <c r="M74" s="6">
        <v>0.07363761</v>
      </c>
      <c r="N74" s="6">
        <v>0.04381253</v>
      </c>
      <c r="O74" s="6">
        <v>0.03341885</v>
      </c>
      <c r="P74" s="6">
        <v>0.0867429</v>
      </c>
      <c r="Q74" s="6">
        <v>0.0503999</v>
      </c>
      <c r="R74" s="6">
        <v>217.69486</v>
      </c>
      <c r="S74" s="6">
        <v>0.00036437</v>
      </c>
      <c r="T74" s="6">
        <v>169.97573</v>
      </c>
      <c r="U74" s="6">
        <v>0.00038061</v>
      </c>
      <c r="V74" s="6">
        <v>197.11803</v>
      </c>
      <c r="W74" s="6">
        <v>0.00037357</v>
      </c>
      <c r="X74" s="6">
        <v>134.47093</v>
      </c>
      <c r="Y74" s="6">
        <v>0.00032581</v>
      </c>
      <c r="Z74" s="6">
        <v>134.86767</v>
      </c>
      <c r="AA74" s="6">
        <v>0.00024779</v>
      </c>
      <c r="AB74" s="6">
        <v>294.9318</v>
      </c>
      <c r="AC74" s="6">
        <v>0.00029411</v>
      </c>
      <c r="AD74" s="6">
        <v>243.86163</v>
      </c>
      <c r="AE74" s="6">
        <v>0.00020667</v>
      </c>
      <c r="AF74" s="6">
        <v>775</v>
      </c>
      <c r="AG74" s="6">
        <v>-0.00288487</v>
      </c>
      <c r="AH74" s="6">
        <v>-0.00299682</v>
      </c>
      <c r="AI74" s="6">
        <v>-0.00294837</v>
      </c>
      <c r="AJ74" s="6">
        <v>-0.00261602</v>
      </c>
      <c r="AK74" s="6">
        <v>-0.00205738</v>
      </c>
      <c r="AL74" s="6">
        <v>-0.00239158</v>
      </c>
      <c r="AM74" s="6">
        <v>-0.0017535</v>
      </c>
      <c r="AN74" s="6">
        <v>-6.4762184</v>
      </c>
      <c r="AO74" s="6">
        <v>-6.4515561</v>
      </c>
      <c r="AP74" s="6">
        <v>-6.4739881</v>
      </c>
      <c r="AQ74" s="6">
        <v>-6.4253629</v>
      </c>
      <c r="AR74" s="6">
        <v>-6.4020076</v>
      </c>
      <c r="AS74" s="6">
        <v>-6.4618417</v>
      </c>
      <c r="AT74" s="6">
        <v>-6.4506396</v>
      </c>
      <c r="AU74" s="6">
        <v>0.97344833</v>
      </c>
      <c r="AV74" s="6">
        <v>0.96974131</v>
      </c>
      <c r="AW74" s="6">
        <v>0.97311308</v>
      </c>
      <c r="AX74" s="6">
        <v>0.96580418</v>
      </c>
      <c r="AY74" s="6">
        <v>0.96229362</v>
      </c>
      <c r="AZ74" s="6">
        <v>0.97128734</v>
      </c>
      <c r="BA74" s="6">
        <v>0.96960354</v>
      </c>
      <c r="BB74" s="6">
        <v>0.02655167</v>
      </c>
      <c r="BC74" s="6">
        <v>0.03025869</v>
      </c>
      <c r="BD74" s="6">
        <v>0.02688692</v>
      </c>
      <c r="BE74" s="6">
        <v>0.03419582</v>
      </c>
      <c r="BF74" s="6">
        <v>0.03770638</v>
      </c>
      <c r="BG74" s="6">
        <v>0.02871266</v>
      </c>
      <c r="BH74" s="6">
        <v>0.03039646</v>
      </c>
      <c r="BI74" s="6">
        <v>0.21470859</v>
      </c>
      <c r="BJ74" s="6">
        <v>0.12366373</v>
      </c>
      <c r="BK74" s="6">
        <v>0.1409291</v>
      </c>
      <c r="BL74" s="6">
        <v>0.12522516</v>
      </c>
      <c r="BM74" s="6">
        <v>0.1592662</v>
      </c>
      <c r="BN74" s="6">
        <v>0.17561655</v>
      </c>
      <c r="BO74" s="6">
        <v>0.1337285</v>
      </c>
      <c r="BP74" s="6">
        <v>0.14157076</v>
      </c>
      <c r="BQ74" s="6">
        <v>0.0098093</v>
      </c>
      <c r="BR74" s="6">
        <v>0.00911733</v>
      </c>
      <c r="BS74" s="6">
        <v>0.00922128</v>
      </c>
      <c r="BT74" s="6">
        <v>0.00697786</v>
      </c>
      <c r="BU74" s="6">
        <v>0.0058689</v>
      </c>
      <c r="BV74" s="6">
        <v>0.0116</v>
      </c>
      <c r="BW74" s="6">
        <v>0.00713515</v>
      </c>
      <c r="BX74" s="12">
        <v>27980.98</v>
      </c>
      <c r="BY74" s="13">
        <v>2401</v>
      </c>
      <c r="BZ74" s="12">
        <v>23158.6</v>
      </c>
      <c r="CA74" s="6">
        <f t="shared" si="4"/>
        <v>11.653885880883</v>
      </c>
      <c r="CB74" s="6">
        <f t="shared" si="5"/>
        <v>1.20823279472852</v>
      </c>
      <c r="CC74" s="7">
        <v>752075807.9</v>
      </c>
      <c r="CD74" s="7">
        <f t="shared" si="6"/>
        <v>3.24750117839593</v>
      </c>
      <c r="CE74" s="8">
        <v>4601.4</v>
      </c>
      <c r="CF74" s="8">
        <v>17899.8</v>
      </c>
      <c r="CG74" s="8">
        <v>25057.4</v>
      </c>
      <c r="CH74" s="8">
        <v>71917</v>
      </c>
      <c r="CI74" s="14">
        <v>1</v>
      </c>
      <c r="CJ74" s="14">
        <v>0</v>
      </c>
      <c r="CK74" s="14">
        <f t="shared" si="7"/>
        <v>0</v>
      </c>
      <c r="CL74">
        <f t="shared" si="8"/>
        <v>1.27047633725244</v>
      </c>
      <c r="CM74">
        <f t="shared" si="9"/>
        <v>0</v>
      </c>
      <c r="CN74" s="15">
        <v>27680.57334</v>
      </c>
      <c r="CO74" s="15">
        <v>58792.04</v>
      </c>
      <c r="CP74" s="15">
        <v>2625.18</v>
      </c>
      <c r="CQ74" s="15">
        <v>344.84</v>
      </c>
      <c r="CR74" s="15">
        <v>351.62</v>
      </c>
      <c r="CS74" s="15">
        <v>24.83</v>
      </c>
      <c r="CT74" s="15">
        <v>617.5</v>
      </c>
      <c r="CU74" s="15">
        <v>0.72</v>
      </c>
      <c r="CV74" s="15">
        <v>90.56</v>
      </c>
      <c r="CW74" s="15">
        <v>4291.16</v>
      </c>
    </row>
    <row r="75" spans="1:101">
      <c r="A75" s="6">
        <v>2023</v>
      </c>
      <c r="B75" s="6" t="s">
        <v>102</v>
      </c>
      <c r="C75" s="6">
        <v>0.07757044</v>
      </c>
      <c r="D75" s="6">
        <v>0.016707</v>
      </c>
      <c r="E75" s="6">
        <v>0.00612</v>
      </c>
      <c r="F75" s="6">
        <v>0.008342</v>
      </c>
      <c r="G75" s="6">
        <v>0.003677</v>
      </c>
      <c r="H75" s="6">
        <v>0.003689</v>
      </c>
      <c r="I75" s="6">
        <v>0.015568</v>
      </c>
      <c r="J75" s="6">
        <v>0.005716</v>
      </c>
      <c r="K75" s="6">
        <v>0.07948231</v>
      </c>
      <c r="L75" s="6">
        <v>0.10419779</v>
      </c>
      <c r="M75" s="6">
        <v>0.08529562</v>
      </c>
      <c r="N75" s="6">
        <v>0.08021372</v>
      </c>
      <c r="O75" s="6">
        <v>0.07828659</v>
      </c>
      <c r="P75" s="6">
        <v>0.08360941</v>
      </c>
      <c r="Q75" s="6">
        <v>0.03299402</v>
      </c>
      <c r="R75" s="6">
        <v>217.69486</v>
      </c>
      <c r="S75" s="6">
        <v>0.00036511</v>
      </c>
      <c r="T75" s="6">
        <v>169.97573</v>
      </c>
      <c r="U75" s="6">
        <v>0.00061302</v>
      </c>
      <c r="V75" s="6">
        <v>197.11803</v>
      </c>
      <c r="W75" s="6">
        <v>0.00043271</v>
      </c>
      <c r="X75" s="6">
        <v>134.47093</v>
      </c>
      <c r="Y75" s="6">
        <v>0.00059651</v>
      </c>
      <c r="Z75" s="6">
        <v>134.86767</v>
      </c>
      <c r="AA75" s="6">
        <v>0.00058047</v>
      </c>
      <c r="AB75" s="6">
        <v>294.9318</v>
      </c>
      <c r="AC75" s="6">
        <v>0.00028349</v>
      </c>
      <c r="AD75" s="6">
        <v>243.86163</v>
      </c>
      <c r="AE75" s="6">
        <v>0.0001353</v>
      </c>
      <c r="AF75" s="6">
        <v>775</v>
      </c>
      <c r="AG75" s="6">
        <v>-0.00288995</v>
      </c>
      <c r="AH75" s="6">
        <v>-0.00453455</v>
      </c>
      <c r="AI75" s="6">
        <v>-0.00335155</v>
      </c>
      <c r="AJ75" s="6">
        <v>-0.00442876</v>
      </c>
      <c r="AK75" s="6">
        <v>-0.00432547</v>
      </c>
      <c r="AL75" s="6">
        <v>-0.00231562</v>
      </c>
      <c r="AM75" s="6">
        <v>-0.00120524</v>
      </c>
      <c r="AN75" s="6">
        <v>-6.4762184</v>
      </c>
      <c r="AO75" s="6">
        <v>-6.4515561</v>
      </c>
      <c r="AP75" s="6">
        <v>-6.4739881</v>
      </c>
      <c r="AQ75" s="6">
        <v>-6.4253629</v>
      </c>
      <c r="AR75" s="6">
        <v>-6.4020076</v>
      </c>
      <c r="AS75" s="6">
        <v>-6.4618417</v>
      </c>
      <c r="AT75" s="6">
        <v>-6.4506396</v>
      </c>
      <c r="AU75" s="6">
        <v>0.97344833</v>
      </c>
      <c r="AV75" s="6">
        <v>0.96974131</v>
      </c>
      <c r="AW75" s="6">
        <v>0.97311308</v>
      </c>
      <c r="AX75" s="6">
        <v>0.96580418</v>
      </c>
      <c r="AY75" s="6">
        <v>0.96229362</v>
      </c>
      <c r="AZ75" s="6">
        <v>0.97128734</v>
      </c>
      <c r="BA75" s="6">
        <v>0.96960354</v>
      </c>
      <c r="BB75" s="6">
        <v>0.02655167</v>
      </c>
      <c r="BC75" s="6">
        <v>0.03025869</v>
      </c>
      <c r="BD75" s="6">
        <v>0.02688692</v>
      </c>
      <c r="BE75" s="6">
        <v>0.03419582</v>
      </c>
      <c r="BF75" s="6">
        <v>0.03770638</v>
      </c>
      <c r="BG75" s="6">
        <v>0.02871266</v>
      </c>
      <c r="BH75" s="6">
        <v>0.03039646</v>
      </c>
      <c r="BI75" s="6">
        <v>0.21470859</v>
      </c>
      <c r="BJ75" s="6">
        <v>0.12366373</v>
      </c>
      <c r="BK75" s="6">
        <v>0.1409291</v>
      </c>
      <c r="BL75" s="6">
        <v>0.12522516</v>
      </c>
      <c r="BM75" s="6">
        <v>0.1592662</v>
      </c>
      <c r="BN75" s="6">
        <v>0.17561655</v>
      </c>
      <c r="BO75" s="6">
        <v>0.1337285</v>
      </c>
      <c r="BP75" s="6">
        <v>0.14157076</v>
      </c>
      <c r="BQ75" s="6">
        <v>0.00982908</v>
      </c>
      <c r="BR75" s="6">
        <v>0.0146845</v>
      </c>
      <c r="BS75" s="6">
        <v>0.01068116</v>
      </c>
      <c r="BT75" s="6">
        <v>0.01277533</v>
      </c>
      <c r="BU75" s="6">
        <v>0.01374842</v>
      </c>
      <c r="BV75" s="6">
        <v>0.01118096</v>
      </c>
      <c r="BW75" s="6">
        <v>0.00467099</v>
      </c>
      <c r="BX75" s="12">
        <v>29061.5</v>
      </c>
      <c r="BY75" s="13">
        <v>2396</v>
      </c>
      <c r="BZ75" s="12">
        <v>24627</v>
      </c>
      <c r="CA75" s="6">
        <f t="shared" si="4"/>
        <v>12.1291736227045</v>
      </c>
      <c r="CB75" s="6">
        <f t="shared" si="5"/>
        <v>1.18006659357616</v>
      </c>
      <c r="CC75" s="7">
        <v>826922305.7</v>
      </c>
      <c r="CD75" s="7">
        <f t="shared" si="6"/>
        <v>3.3577874109717</v>
      </c>
      <c r="CE75" s="8">
        <v>4621.3</v>
      </c>
      <c r="CF75" s="8">
        <v>18822.8</v>
      </c>
      <c r="CG75" s="8">
        <v>26568.8</v>
      </c>
      <c r="CH75" s="8">
        <v>75938</v>
      </c>
      <c r="CI75" s="14">
        <v>1</v>
      </c>
      <c r="CJ75" s="14">
        <v>0</v>
      </c>
      <c r="CK75" s="14">
        <f t="shared" si="7"/>
        <v>0</v>
      </c>
      <c r="CL75">
        <f t="shared" si="8"/>
        <v>1.2756783895882</v>
      </c>
      <c r="CM75">
        <f t="shared" si="9"/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</row>
    <row r="76" spans="1:101">
      <c r="A76" s="6">
        <v>2024</v>
      </c>
      <c r="B76" s="6" t="s">
        <v>102</v>
      </c>
      <c r="C76" s="6">
        <v>0.08245426</v>
      </c>
      <c r="D76" s="6">
        <v>0.016723</v>
      </c>
      <c r="E76" s="6">
        <v>0.006619</v>
      </c>
      <c r="F76" s="6">
        <v>0.008528</v>
      </c>
      <c r="G76" s="6">
        <v>0.004082</v>
      </c>
      <c r="H76" s="6">
        <v>0.004121</v>
      </c>
      <c r="I76" s="6">
        <v>0.015371</v>
      </c>
      <c r="J76" s="6">
        <v>0.005292</v>
      </c>
      <c r="K76" s="6">
        <v>0.0796075</v>
      </c>
      <c r="L76" s="6">
        <v>0.11599298</v>
      </c>
      <c r="M76" s="6">
        <v>0.08815577</v>
      </c>
      <c r="N76" s="6">
        <v>0.09218431</v>
      </c>
      <c r="O76" s="6">
        <v>0.0914026</v>
      </c>
      <c r="P76" s="6">
        <v>0.08142502</v>
      </c>
      <c r="Q76" s="6">
        <v>0.0254367</v>
      </c>
      <c r="R76" s="6">
        <v>217.69486</v>
      </c>
      <c r="S76" s="6">
        <v>0.00036568</v>
      </c>
      <c r="T76" s="6">
        <v>169.97573</v>
      </c>
      <c r="U76" s="6">
        <v>0.00068241</v>
      </c>
      <c r="V76" s="6">
        <v>197.11803</v>
      </c>
      <c r="W76" s="6">
        <v>0.00044722</v>
      </c>
      <c r="X76" s="6">
        <v>134.47093</v>
      </c>
      <c r="Y76" s="6">
        <v>0.00068553</v>
      </c>
      <c r="Z76" s="6">
        <v>134.86767</v>
      </c>
      <c r="AA76" s="6">
        <v>0.00067772</v>
      </c>
      <c r="AB76" s="6">
        <v>294.9318</v>
      </c>
      <c r="AC76" s="6">
        <v>0.00027608</v>
      </c>
      <c r="AD76" s="6">
        <v>243.86163</v>
      </c>
      <c r="AE76" s="6">
        <v>0.00010431</v>
      </c>
      <c r="AF76" s="6">
        <v>775</v>
      </c>
      <c r="AG76" s="6">
        <v>-0.00289393</v>
      </c>
      <c r="AH76" s="6">
        <v>-0.00497468</v>
      </c>
      <c r="AI76" s="6">
        <v>-0.00344919</v>
      </c>
      <c r="AJ76" s="6">
        <v>-0.00499433</v>
      </c>
      <c r="AK76" s="6">
        <v>-0.00494517</v>
      </c>
      <c r="AL76" s="6">
        <v>-0.00226243</v>
      </c>
      <c r="AM76" s="6">
        <v>-0.00095631</v>
      </c>
      <c r="AN76" s="6">
        <v>-6.4762184</v>
      </c>
      <c r="AO76" s="6">
        <v>-6.4515561</v>
      </c>
      <c r="AP76" s="6">
        <v>-6.4739881</v>
      </c>
      <c r="AQ76" s="6">
        <v>-6.4253629</v>
      </c>
      <c r="AR76" s="6">
        <v>-6.4020076</v>
      </c>
      <c r="AS76" s="6">
        <v>-6.4618417</v>
      </c>
      <c r="AT76" s="6">
        <v>-6.4506396</v>
      </c>
      <c r="AU76" s="6">
        <v>0.97344833</v>
      </c>
      <c r="AV76" s="6">
        <v>0.96974131</v>
      </c>
      <c r="AW76" s="6">
        <v>0.97311308</v>
      </c>
      <c r="AX76" s="6">
        <v>0.96580418</v>
      </c>
      <c r="AY76" s="6">
        <v>0.96229362</v>
      </c>
      <c r="AZ76" s="6">
        <v>0.97128734</v>
      </c>
      <c r="BA76" s="6">
        <v>0.96960354</v>
      </c>
      <c r="BB76" s="6">
        <v>0.02655167</v>
      </c>
      <c r="BC76" s="6">
        <v>0.03025869</v>
      </c>
      <c r="BD76" s="6">
        <v>0.02688692</v>
      </c>
      <c r="BE76" s="6">
        <v>0.03419582</v>
      </c>
      <c r="BF76" s="6">
        <v>0.03770638</v>
      </c>
      <c r="BG76" s="6">
        <v>0.02871266</v>
      </c>
      <c r="BH76" s="6">
        <v>0.03039646</v>
      </c>
      <c r="BI76" s="6">
        <v>0.21470859</v>
      </c>
      <c r="BJ76" s="6">
        <v>0.12366373</v>
      </c>
      <c r="BK76" s="6">
        <v>0.1409291</v>
      </c>
      <c r="BL76" s="6">
        <v>0.12522516</v>
      </c>
      <c r="BM76" s="6">
        <v>0.1592662</v>
      </c>
      <c r="BN76" s="6">
        <v>0.17561655</v>
      </c>
      <c r="BO76" s="6">
        <v>0.1337285</v>
      </c>
      <c r="BP76" s="6">
        <v>0.14157076</v>
      </c>
      <c r="BQ76" s="6">
        <v>0.00984456</v>
      </c>
      <c r="BR76" s="6">
        <v>0.01634679</v>
      </c>
      <c r="BS76" s="6">
        <v>0.01103932</v>
      </c>
      <c r="BT76" s="6">
        <v>0.01468184</v>
      </c>
      <c r="BU76" s="6">
        <v>0.01605181</v>
      </c>
      <c r="BV76" s="6">
        <v>0.01088885</v>
      </c>
      <c r="BW76" s="6">
        <v>0.00360109</v>
      </c>
      <c r="BX76" s="12">
        <v>30142.02</v>
      </c>
      <c r="BY76" s="13">
        <v>2388</v>
      </c>
      <c r="BZ76" s="12">
        <v>26314.6</v>
      </c>
      <c r="CA76" s="6">
        <f t="shared" si="4"/>
        <v>12.6222864321608</v>
      </c>
      <c r="CB76" s="6">
        <f t="shared" si="5"/>
        <v>1.14544853427375</v>
      </c>
      <c r="CC76" s="7">
        <v>828694740.9</v>
      </c>
      <c r="CD76" s="7">
        <f t="shared" si="6"/>
        <v>3.1491823584626</v>
      </c>
      <c r="CE76" s="8">
        <v>4899.7</v>
      </c>
      <c r="CF76" s="8">
        <v>19534.6</v>
      </c>
      <c r="CG76" s="8">
        <v>28796.7</v>
      </c>
      <c r="CH76" s="8">
        <v>81225</v>
      </c>
      <c r="CI76" s="14">
        <v>1</v>
      </c>
      <c r="CJ76" s="14">
        <v>0</v>
      </c>
      <c r="CK76" s="14">
        <f t="shared" si="7"/>
        <v>0</v>
      </c>
      <c r="CL76">
        <f t="shared" si="8"/>
        <v>1.21200651315194</v>
      </c>
      <c r="CM76">
        <f t="shared" si="9"/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</row>
    <row r="77" spans="1:101">
      <c r="A77" s="6">
        <v>2000</v>
      </c>
      <c r="B77" s="6" t="s">
        <v>103</v>
      </c>
      <c r="C77" s="6">
        <v>0.16269861</v>
      </c>
      <c r="D77" s="6">
        <v>0.032594</v>
      </c>
      <c r="E77" s="6">
        <v>0.008291</v>
      </c>
      <c r="F77" s="6">
        <v>0.014864</v>
      </c>
      <c r="G77" s="6">
        <v>0.005042</v>
      </c>
      <c r="H77" s="6">
        <v>0.004398</v>
      </c>
      <c r="I77" s="6">
        <v>0.030336</v>
      </c>
      <c r="J77" s="6">
        <v>0.012737</v>
      </c>
      <c r="K77" s="6">
        <v>0.2041041</v>
      </c>
      <c r="L77" s="6">
        <v>0.15552047</v>
      </c>
      <c r="M77" s="6">
        <v>0.18554055</v>
      </c>
      <c r="N77" s="6">
        <v>0.1205436</v>
      </c>
      <c r="O77" s="6">
        <v>0.09977286</v>
      </c>
      <c r="P77" s="6">
        <v>0.24810886</v>
      </c>
      <c r="Q77" s="6">
        <v>0.15827504</v>
      </c>
      <c r="R77" s="6">
        <v>217.69486</v>
      </c>
      <c r="S77" s="6">
        <v>0.00093757</v>
      </c>
      <c r="T77" s="6">
        <v>169.97573</v>
      </c>
      <c r="U77" s="6">
        <v>0.00091496</v>
      </c>
      <c r="V77" s="6">
        <v>197.11803</v>
      </c>
      <c r="W77" s="6">
        <v>0.00094127</v>
      </c>
      <c r="X77" s="6">
        <v>134.47093</v>
      </c>
      <c r="Y77" s="6">
        <v>0.00089643</v>
      </c>
      <c r="Z77" s="6">
        <v>134.86767</v>
      </c>
      <c r="AA77" s="6">
        <v>0.00073978</v>
      </c>
      <c r="AB77" s="6">
        <v>294.9318</v>
      </c>
      <c r="AC77" s="6">
        <v>0.00084124</v>
      </c>
      <c r="AD77" s="6">
        <v>243.86163</v>
      </c>
      <c r="AE77" s="6">
        <v>0.00064904</v>
      </c>
      <c r="AF77" s="6">
        <v>775</v>
      </c>
      <c r="AG77" s="6">
        <v>-0.00653694</v>
      </c>
      <c r="AH77" s="6">
        <v>-0.00640162</v>
      </c>
      <c r="AI77" s="6">
        <v>-0.00655901</v>
      </c>
      <c r="AJ77" s="6">
        <v>-0.00629032</v>
      </c>
      <c r="AK77" s="6">
        <v>-0.00533321</v>
      </c>
      <c r="AL77" s="6">
        <v>-0.00595652</v>
      </c>
      <c r="AM77" s="6">
        <v>-0.00476394</v>
      </c>
      <c r="AN77" s="6">
        <v>-6.4762184</v>
      </c>
      <c r="AO77" s="6">
        <v>-6.4515561</v>
      </c>
      <c r="AP77" s="6">
        <v>-6.4739881</v>
      </c>
      <c r="AQ77" s="6">
        <v>-6.4253629</v>
      </c>
      <c r="AR77" s="6">
        <v>-6.4020076</v>
      </c>
      <c r="AS77" s="6">
        <v>-6.4618417</v>
      </c>
      <c r="AT77" s="6">
        <v>-6.4506396</v>
      </c>
      <c r="AU77" s="6">
        <v>0.97344833</v>
      </c>
      <c r="AV77" s="6">
        <v>0.96974131</v>
      </c>
      <c r="AW77" s="6">
        <v>0.97311308</v>
      </c>
      <c r="AX77" s="6">
        <v>0.96580418</v>
      </c>
      <c r="AY77" s="6">
        <v>0.96229362</v>
      </c>
      <c r="AZ77" s="6">
        <v>0.97128734</v>
      </c>
      <c r="BA77" s="6">
        <v>0.96960354</v>
      </c>
      <c r="BB77" s="6">
        <v>0.02655167</v>
      </c>
      <c r="BC77" s="6">
        <v>0.03025869</v>
      </c>
      <c r="BD77" s="6">
        <v>0.02688692</v>
      </c>
      <c r="BE77" s="6">
        <v>0.03419582</v>
      </c>
      <c r="BF77" s="6">
        <v>0.03770638</v>
      </c>
      <c r="BG77" s="6">
        <v>0.02871266</v>
      </c>
      <c r="BH77" s="6">
        <v>0.03039646</v>
      </c>
      <c r="BI77" s="6">
        <v>0.21470859</v>
      </c>
      <c r="BJ77" s="6">
        <v>0.12366373</v>
      </c>
      <c r="BK77" s="6">
        <v>0.1409291</v>
      </c>
      <c r="BL77" s="6">
        <v>0.12522516</v>
      </c>
      <c r="BM77" s="6">
        <v>0.1592662</v>
      </c>
      <c r="BN77" s="6">
        <v>0.17561655</v>
      </c>
      <c r="BO77" s="6">
        <v>0.1337285</v>
      </c>
      <c r="BP77" s="6">
        <v>0.14157076</v>
      </c>
      <c r="BQ77" s="6">
        <v>0.02524027</v>
      </c>
      <c r="BR77" s="6">
        <v>0.02191736</v>
      </c>
      <c r="BS77" s="6">
        <v>0.02323434</v>
      </c>
      <c r="BT77" s="6">
        <v>0.01919852</v>
      </c>
      <c r="BU77" s="6">
        <v>0.01752177</v>
      </c>
      <c r="BV77" s="6">
        <v>0.03317922</v>
      </c>
      <c r="BW77" s="6">
        <v>0.02240712</v>
      </c>
      <c r="BX77" s="12">
        <v>4144</v>
      </c>
      <c r="BY77" s="13">
        <v>1363.6</v>
      </c>
      <c r="BZ77" s="12">
        <v>2478.76</v>
      </c>
      <c r="CA77" s="6">
        <f t="shared" si="4"/>
        <v>3.03901437371663</v>
      </c>
      <c r="CB77" s="6">
        <f t="shared" si="5"/>
        <v>1.67180364375736</v>
      </c>
      <c r="CC77" s="7">
        <v>43071085.8</v>
      </c>
      <c r="CD77" s="7">
        <f t="shared" si="6"/>
        <v>1.73760613371202</v>
      </c>
      <c r="CE77" s="8">
        <v>73.7</v>
      </c>
      <c r="CF77" s="8">
        <v>794.8</v>
      </c>
      <c r="CG77" s="8">
        <v>723.2</v>
      </c>
      <c r="CH77" s="8">
        <v>16236</v>
      </c>
      <c r="CI77" s="14">
        <v>0</v>
      </c>
      <c r="CJ77" s="14">
        <v>0</v>
      </c>
      <c r="CK77" s="14">
        <f t="shared" si="7"/>
        <v>0</v>
      </c>
      <c r="CL77">
        <f t="shared" si="8"/>
        <v>4.53658228674969</v>
      </c>
      <c r="CM77">
        <f t="shared" si="9"/>
        <v>0.616979033139735</v>
      </c>
      <c r="CN77" s="15">
        <v>4144</v>
      </c>
      <c r="CO77" s="15">
        <v>2719.78</v>
      </c>
      <c r="CP77" s="15">
        <v>449.08</v>
      </c>
      <c r="CQ77" s="15">
        <v>754.71</v>
      </c>
      <c r="CR77" s="15">
        <v>106.6</v>
      </c>
      <c r="CS77" s="15">
        <v>117.6</v>
      </c>
      <c r="CT77" s="15">
        <v>81.17</v>
      </c>
      <c r="CU77" s="15">
        <v>89.62</v>
      </c>
      <c r="CV77" s="15">
        <v>10.9</v>
      </c>
      <c r="CW77" s="15">
        <v>384.43</v>
      </c>
    </row>
    <row r="78" spans="1:101">
      <c r="A78" s="6">
        <v>2001</v>
      </c>
      <c r="B78" s="6" t="s">
        <v>103</v>
      </c>
      <c r="C78" s="6">
        <v>0.20524373</v>
      </c>
      <c r="D78" s="6">
        <v>0.036299</v>
      </c>
      <c r="E78" s="6">
        <v>0.009255</v>
      </c>
      <c r="F78" s="6">
        <v>0.015643</v>
      </c>
      <c r="G78" s="6">
        <v>0.005301</v>
      </c>
      <c r="H78" s="6">
        <v>0.006101</v>
      </c>
      <c r="I78" s="6">
        <v>0.036093</v>
      </c>
      <c r="J78" s="6">
        <v>0.018827</v>
      </c>
      <c r="K78" s="6">
        <v>0.23316721</v>
      </c>
      <c r="L78" s="6">
        <v>0.1783073</v>
      </c>
      <c r="M78" s="6">
        <v>0.19751137</v>
      </c>
      <c r="N78" s="6">
        <v>0.12821424</v>
      </c>
      <c r="O78" s="6">
        <v>0.15138006</v>
      </c>
      <c r="P78" s="6">
        <v>0.31222741</v>
      </c>
      <c r="Q78" s="6">
        <v>0.26692361</v>
      </c>
      <c r="R78" s="6">
        <v>217.69486</v>
      </c>
      <c r="S78" s="6">
        <v>0.00107107</v>
      </c>
      <c r="T78" s="6">
        <v>169.97573</v>
      </c>
      <c r="U78" s="6">
        <v>0.00104902</v>
      </c>
      <c r="V78" s="6">
        <v>197.11803</v>
      </c>
      <c r="W78" s="6">
        <v>0.001002</v>
      </c>
      <c r="X78" s="6">
        <v>134.47093</v>
      </c>
      <c r="Y78" s="6">
        <v>0.00095347</v>
      </c>
      <c r="Z78" s="6">
        <v>134.86767</v>
      </c>
      <c r="AA78" s="6">
        <v>0.00112243</v>
      </c>
      <c r="AB78" s="6">
        <v>294.9318</v>
      </c>
      <c r="AC78" s="6">
        <v>0.00105864</v>
      </c>
      <c r="AD78" s="6">
        <v>243.86163</v>
      </c>
      <c r="AE78" s="6">
        <v>0.00109457</v>
      </c>
      <c r="AF78" s="6">
        <v>775</v>
      </c>
      <c r="AG78" s="6">
        <v>-0.00732517</v>
      </c>
      <c r="AH78" s="6">
        <v>-0.00719615</v>
      </c>
      <c r="AI78" s="6">
        <v>-0.00691954</v>
      </c>
      <c r="AJ78" s="6">
        <v>-0.00663178</v>
      </c>
      <c r="AK78" s="6">
        <v>-0.00762386</v>
      </c>
      <c r="AL78" s="6">
        <v>-0.00725252</v>
      </c>
      <c r="AM78" s="6">
        <v>-0.00746211</v>
      </c>
      <c r="AN78" s="6">
        <v>-6.4762184</v>
      </c>
      <c r="AO78" s="6">
        <v>-6.4515561</v>
      </c>
      <c r="AP78" s="6">
        <v>-6.4739881</v>
      </c>
      <c r="AQ78" s="6">
        <v>-6.4253629</v>
      </c>
      <c r="AR78" s="6">
        <v>-6.4020076</v>
      </c>
      <c r="AS78" s="6">
        <v>-6.4618417</v>
      </c>
      <c r="AT78" s="6">
        <v>-6.4506396</v>
      </c>
      <c r="AU78" s="6">
        <v>0.97344833</v>
      </c>
      <c r="AV78" s="6">
        <v>0.96974131</v>
      </c>
      <c r="AW78" s="6">
        <v>0.97311308</v>
      </c>
      <c r="AX78" s="6">
        <v>0.96580418</v>
      </c>
      <c r="AY78" s="6">
        <v>0.96229362</v>
      </c>
      <c r="AZ78" s="6">
        <v>0.97128734</v>
      </c>
      <c r="BA78" s="6">
        <v>0.96960354</v>
      </c>
      <c r="BB78" s="6">
        <v>0.02655167</v>
      </c>
      <c r="BC78" s="6">
        <v>0.03025869</v>
      </c>
      <c r="BD78" s="6">
        <v>0.02688692</v>
      </c>
      <c r="BE78" s="6">
        <v>0.03419582</v>
      </c>
      <c r="BF78" s="6">
        <v>0.03770638</v>
      </c>
      <c r="BG78" s="6">
        <v>0.02871266</v>
      </c>
      <c r="BH78" s="6">
        <v>0.03039646</v>
      </c>
      <c r="BI78" s="6">
        <v>0.21470859</v>
      </c>
      <c r="BJ78" s="6">
        <v>0.12366373</v>
      </c>
      <c r="BK78" s="6">
        <v>0.1409291</v>
      </c>
      <c r="BL78" s="6">
        <v>0.12522516</v>
      </c>
      <c r="BM78" s="6">
        <v>0.1592662</v>
      </c>
      <c r="BN78" s="6">
        <v>0.17561655</v>
      </c>
      <c r="BO78" s="6">
        <v>0.1337285</v>
      </c>
      <c r="BP78" s="6">
        <v>0.14157076</v>
      </c>
      <c r="BQ78" s="6">
        <v>0.02883433</v>
      </c>
      <c r="BR78" s="6">
        <v>0.02512869</v>
      </c>
      <c r="BS78" s="6">
        <v>0.02473339</v>
      </c>
      <c r="BT78" s="6">
        <v>0.02042019</v>
      </c>
      <c r="BU78" s="6">
        <v>0.02658484</v>
      </c>
      <c r="BV78" s="6">
        <v>0.0417537</v>
      </c>
      <c r="BW78" s="6">
        <v>0.03778858</v>
      </c>
      <c r="BX78" s="12">
        <v>4313</v>
      </c>
      <c r="BY78" s="13">
        <v>1385.1</v>
      </c>
      <c r="BZ78" s="12">
        <v>3710.52</v>
      </c>
      <c r="CA78" s="6">
        <f t="shared" si="4"/>
        <v>3.11385459533608</v>
      </c>
      <c r="CB78" s="6">
        <f t="shared" si="5"/>
        <v>1.16237077282968</v>
      </c>
      <c r="CC78" s="7">
        <v>43247158.22</v>
      </c>
      <c r="CD78" s="7">
        <f t="shared" si="6"/>
        <v>1.16552823377855</v>
      </c>
      <c r="CE78" s="8">
        <v>78.7</v>
      </c>
      <c r="CF78" s="8">
        <v>858.8</v>
      </c>
      <c r="CG78" s="8">
        <v>819.4</v>
      </c>
      <c r="CH78" s="8">
        <v>17523</v>
      </c>
      <c r="CI78" s="14">
        <v>0</v>
      </c>
      <c r="CJ78" s="14">
        <v>0</v>
      </c>
      <c r="CK78" s="14">
        <f t="shared" si="7"/>
        <v>0</v>
      </c>
      <c r="CL78">
        <f t="shared" si="8"/>
        <v>4.16809156222866</v>
      </c>
      <c r="CM78">
        <f t="shared" si="9"/>
        <v>0.720368850737207</v>
      </c>
      <c r="CN78" s="15">
        <v>4313</v>
      </c>
      <c r="CO78" s="15">
        <v>2675</v>
      </c>
      <c r="CP78" s="15">
        <v>429.62</v>
      </c>
      <c r="CQ78" s="15">
        <v>700.5</v>
      </c>
      <c r="CR78" s="15">
        <v>138.69</v>
      </c>
      <c r="CS78" s="15">
        <v>129.25</v>
      </c>
      <c r="CT78" s="15">
        <v>103.52</v>
      </c>
      <c r="CU78" s="15">
        <v>78.39</v>
      </c>
      <c r="CV78" s="15">
        <v>16.74</v>
      </c>
      <c r="CW78" s="15">
        <v>398.3</v>
      </c>
    </row>
    <row r="79" spans="1:101">
      <c r="A79" s="6">
        <v>2002</v>
      </c>
      <c r="B79" s="6" t="s">
        <v>103</v>
      </c>
      <c r="C79" s="6">
        <v>0.19522239</v>
      </c>
      <c r="D79" s="6">
        <v>0.035172</v>
      </c>
      <c r="E79" s="6">
        <v>0.008771</v>
      </c>
      <c r="F79" s="6">
        <v>0.015614</v>
      </c>
      <c r="G79" s="6">
        <v>0.005305</v>
      </c>
      <c r="H79" s="6">
        <v>0.005482</v>
      </c>
      <c r="I79" s="6">
        <v>0.035418</v>
      </c>
      <c r="J79" s="6">
        <v>0.017648</v>
      </c>
      <c r="K79" s="6">
        <v>0.22431972</v>
      </c>
      <c r="L79" s="6">
        <v>0.16686968</v>
      </c>
      <c r="M79" s="6">
        <v>0.19707138</v>
      </c>
      <c r="N79" s="6">
        <v>0.12831273</v>
      </c>
      <c r="O79" s="6">
        <v>0.13262587</v>
      </c>
      <c r="P79" s="6">
        <v>0.30470477</v>
      </c>
      <c r="Q79" s="6">
        <v>0.24589963</v>
      </c>
      <c r="R79" s="6">
        <v>217.69486</v>
      </c>
      <c r="S79" s="6">
        <v>0.00103043</v>
      </c>
      <c r="T79" s="6">
        <v>169.97573</v>
      </c>
      <c r="U79" s="6">
        <v>0.00098173</v>
      </c>
      <c r="V79" s="6">
        <v>197.11803</v>
      </c>
      <c r="W79" s="6">
        <v>0.00099976</v>
      </c>
      <c r="X79" s="6">
        <v>134.47093</v>
      </c>
      <c r="Y79" s="6">
        <v>0.0009542</v>
      </c>
      <c r="Z79" s="6">
        <v>134.86767</v>
      </c>
      <c r="AA79" s="6">
        <v>0.00098338</v>
      </c>
      <c r="AB79" s="6">
        <v>294.9318</v>
      </c>
      <c r="AC79" s="6">
        <v>0.00103314</v>
      </c>
      <c r="AD79" s="6">
        <v>243.86163</v>
      </c>
      <c r="AE79" s="6">
        <v>0.00100836</v>
      </c>
      <c r="AF79" s="6">
        <v>775</v>
      </c>
      <c r="AG79" s="6">
        <v>-0.00708708</v>
      </c>
      <c r="AH79" s="6">
        <v>-0.00679963</v>
      </c>
      <c r="AI79" s="6">
        <v>-0.00690636</v>
      </c>
      <c r="AJ79" s="6">
        <v>-0.00663614</v>
      </c>
      <c r="AK79" s="6">
        <v>-0.00680942</v>
      </c>
      <c r="AL79" s="6">
        <v>-0.00710297</v>
      </c>
      <c r="AM79" s="6">
        <v>-0.00695709</v>
      </c>
      <c r="AN79" s="6">
        <v>-6.4762184</v>
      </c>
      <c r="AO79" s="6">
        <v>-6.4515561</v>
      </c>
      <c r="AP79" s="6">
        <v>-6.4739881</v>
      </c>
      <c r="AQ79" s="6">
        <v>-6.4253629</v>
      </c>
      <c r="AR79" s="6">
        <v>-6.4020076</v>
      </c>
      <c r="AS79" s="6">
        <v>-6.4618417</v>
      </c>
      <c r="AT79" s="6">
        <v>-6.4506396</v>
      </c>
      <c r="AU79" s="6">
        <v>0.97344833</v>
      </c>
      <c r="AV79" s="6">
        <v>0.96974131</v>
      </c>
      <c r="AW79" s="6">
        <v>0.97311308</v>
      </c>
      <c r="AX79" s="6">
        <v>0.96580418</v>
      </c>
      <c r="AY79" s="6">
        <v>0.96229362</v>
      </c>
      <c r="AZ79" s="6">
        <v>0.97128734</v>
      </c>
      <c r="BA79" s="6">
        <v>0.96960354</v>
      </c>
      <c r="BB79" s="6">
        <v>0.02655167</v>
      </c>
      <c r="BC79" s="6">
        <v>0.03025869</v>
      </c>
      <c r="BD79" s="6">
        <v>0.02688692</v>
      </c>
      <c r="BE79" s="6">
        <v>0.03419582</v>
      </c>
      <c r="BF79" s="6">
        <v>0.03770638</v>
      </c>
      <c r="BG79" s="6">
        <v>0.02871266</v>
      </c>
      <c r="BH79" s="6">
        <v>0.03039646</v>
      </c>
      <c r="BI79" s="6">
        <v>0.21470859</v>
      </c>
      <c r="BJ79" s="6">
        <v>0.12366373</v>
      </c>
      <c r="BK79" s="6">
        <v>0.1409291</v>
      </c>
      <c r="BL79" s="6">
        <v>0.12522516</v>
      </c>
      <c r="BM79" s="6">
        <v>0.1592662</v>
      </c>
      <c r="BN79" s="6">
        <v>0.17561655</v>
      </c>
      <c r="BO79" s="6">
        <v>0.1337285</v>
      </c>
      <c r="BP79" s="6">
        <v>0.14157076</v>
      </c>
      <c r="BQ79" s="6">
        <v>0.02774021</v>
      </c>
      <c r="BR79" s="6">
        <v>0.02351679</v>
      </c>
      <c r="BS79" s="6">
        <v>0.0246783</v>
      </c>
      <c r="BT79" s="6">
        <v>0.02043588</v>
      </c>
      <c r="BU79" s="6">
        <v>0.0232913</v>
      </c>
      <c r="BV79" s="6">
        <v>0.04074771</v>
      </c>
      <c r="BW79" s="6">
        <v>0.0348122</v>
      </c>
      <c r="BX79" s="12">
        <v>4436</v>
      </c>
      <c r="BY79" s="13">
        <v>1423.2</v>
      </c>
      <c r="BZ79" s="12">
        <v>4330.4</v>
      </c>
      <c r="CA79" s="6">
        <f t="shared" si="4"/>
        <v>3.11691961776279</v>
      </c>
      <c r="CB79" s="6">
        <f t="shared" si="5"/>
        <v>1.02438573803806</v>
      </c>
      <c r="CC79" s="7">
        <v>45658759.49</v>
      </c>
      <c r="CD79" s="7">
        <f t="shared" si="6"/>
        <v>1.05437741294107</v>
      </c>
      <c r="CE79" s="8">
        <v>84.2</v>
      </c>
      <c r="CF79" s="8">
        <v>931.5</v>
      </c>
      <c r="CG79" s="8">
        <v>911.2</v>
      </c>
      <c r="CH79" s="8">
        <v>19161</v>
      </c>
      <c r="CI79" s="14">
        <v>0</v>
      </c>
      <c r="CJ79" s="14">
        <v>0</v>
      </c>
      <c r="CK79" s="14">
        <f t="shared" si="7"/>
        <v>0</v>
      </c>
      <c r="CL79">
        <f t="shared" si="8"/>
        <v>4.06804884448575</v>
      </c>
      <c r="CM79">
        <f t="shared" si="9"/>
        <v>0.740814957428478</v>
      </c>
      <c r="CN79" s="15">
        <v>4436</v>
      </c>
      <c r="CO79" s="15">
        <v>2531</v>
      </c>
      <c r="CP79" s="15">
        <v>378</v>
      </c>
      <c r="CQ79" s="15">
        <v>748</v>
      </c>
      <c r="CR79" s="15">
        <v>152</v>
      </c>
      <c r="CS79" s="15">
        <v>145</v>
      </c>
      <c r="CT79" s="15">
        <v>109</v>
      </c>
      <c r="CU79" s="15">
        <v>71</v>
      </c>
      <c r="CV79" s="15">
        <v>21</v>
      </c>
      <c r="CW79" s="15">
        <v>436</v>
      </c>
    </row>
    <row r="80" spans="1:101">
      <c r="A80" s="6">
        <v>2003</v>
      </c>
      <c r="B80" s="6" t="s">
        <v>103</v>
      </c>
      <c r="C80" s="6">
        <v>0.22581083</v>
      </c>
      <c r="D80" s="6">
        <v>0.038508</v>
      </c>
      <c r="E80" s="6">
        <v>0.009405</v>
      </c>
      <c r="F80" s="6">
        <v>0.016885</v>
      </c>
      <c r="G80" s="6">
        <v>0.005751</v>
      </c>
      <c r="H80" s="6">
        <v>0.006466</v>
      </c>
      <c r="I80" s="6">
        <v>0.041263</v>
      </c>
      <c r="J80" s="6">
        <v>0.020318</v>
      </c>
      <c r="K80" s="6">
        <v>0.25048872</v>
      </c>
      <c r="L80" s="6">
        <v>0.18186982</v>
      </c>
      <c r="M80" s="6">
        <v>0.21659418</v>
      </c>
      <c r="N80" s="6">
        <v>0.14152423</v>
      </c>
      <c r="O80" s="6">
        <v>0.16246187</v>
      </c>
      <c r="P80" s="6">
        <v>0.36980681</v>
      </c>
      <c r="Q80" s="6">
        <v>0.29353476</v>
      </c>
      <c r="R80" s="6">
        <v>217.69486</v>
      </c>
      <c r="S80" s="6">
        <v>0.00115064</v>
      </c>
      <c r="T80" s="6">
        <v>169.97573</v>
      </c>
      <c r="U80" s="6">
        <v>0.00106998</v>
      </c>
      <c r="V80" s="6">
        <v>197.11803</v>
      </c>
      <c r="W80" s="6">
        <v>0.0010988</v>
      </c>
      <c r="X80" s="6">
        <v>134.47093</v>
      </c>
      <c r="Y80" s="6">
        <v>0.00105245</v>
      </c>
      <c r="Z80" s="6">
        <v>134.86767</v>
      </c>
      <c r="AA80" s="6">
        <v>0.0012046</v>
      </c>
      <c r="AB80" s="6">
        <v>294.9318</v>
      </c>
      <c r="AC80" s="6">
        <v>0.00125387</v>
      </c>
      <c r="AD80" s="6">
        <v>243.86163</v>
      </c>
      <c r="AE80" s="6">
        <v>0.00120369</v>
      </c>
      <c r="AF80" s="6">
        <v>775</v>
      </c>
      <c r="AG80" s="6">
        <v>-0.00778689</v>
      </c>
      <c r="AH80" s="6">
        <v>-0.00731876</v>
      </c>
      <c r="AI80" s="6">
        <v>-0.00748674</v>
      </c>
      <c r="AJ80" s="6">
        <v>-0.00721628</v>
      </c>
      <c r="AK80" s="6">
        <v>-0.00809686</v>
      </c>
      <c r="AL80" s="6">
        <v>-0.00837777</v>
      </c>
      <c r="AM80" s="6">
        <v>-0.00809166</v>
      </c>
      <c r="AN80" s="6">
        <v>-6.4762184</v>
      </c>
      <c r="AO80" s="6">
        <v>-6.4515561</v>
      </c>
      <c r="AP80" s="6">
        <v>-6.4739881</v>
      </c>
      <c r="AQ80" s="6">
        <v>-6.4253629</v>
      </c>
      <c r="AR80" s="6">
        <v>-6.4020076</v>
      </c>
      <c r="AS80" s="6">
        <v>-6.4618417</v>
      </c>
      <c r="AT80" s="6">
        <v>-6.4506396</v>
      </c>
      <c r="AU80" s="6">
        <v>0.97344833</v>
      </c>
      <c r="AV80" s="6">
        <v>0.96974131</v>
      </c>
      <c r="AW80" s="6">
        <v>0.97311308</v>
      </c>
      <c r="AX80" s="6">
        <v>0.96580418</v>
      </c>
      <c r="AY80" s="6">
        <v>0.96229362</v>
      </c>
      <c r="AZ80" s="6">
        <v>0.97128734</v>
      </c>
      <c r="BA80" s="6">
        <v>0.96960354</v>
      </c>
      <c r="BB80" s="6">
        <v>0.02655167</v>
      </c>
      <c r="BC80" s="6">
        <v>0.03025869</v>
      </c>
      <c r="BD80" s="6">
        <v>0.02688692</v>
      </c>
      <c r="BE80" s="6">
        <v>0.03419582</v>
      </c>
      <c r="BF80" s="6">
        <v>0.03770638</v>
      </c>
      <c r="BG80" s="6">
        <v>0.02871266</v>
      </c>
      <c r="BH80" s="6">
        <v>0.03039646</v>
      </c>
      <c r="BI80" s="6">
        <v>0.21470859</v>
      </c>
      <c r="BJ80" s="6">
        <v>0.12366373</v>
      </c>
      <c r="BK80" s="6">
        <v>0.1409291</v>
      </c>
      <c r="BL80" s="6">
        <v>0.12522516</v>
      </c>
      <c r="BM80" s="6">
        <v>0.1592662</v>
      </c>
      <c r="BN80" s="6">
        <v>0.17561655</v>
      </c>
      <c r="BO80" s="6">
        <v>0.1337285</v>
      </c>
      <c r="BP80" s="6">
        <v>0.14157076</v>
      </c>
      <c r="BQ80" s="6">
        <v>0.03097637</v>
      </c>
      <c r="BR80" s="6">
        <v>0.02563075</v>
      </c>
      <c r="BS80" s="6">
        <v>0.02712304</v>
      </c>
      <c r="BT80" s="6">
        <v>0.02254003</v>
      </c>
      <c r="BU80" s="6">
        <v>0.02853099</v>
      </c>
      <c r="BV80" s="6">
        <v>0.04945371</v>
      </c>
      <c r="BW80" s="6">
        <v>0.04155594</v>
      </c>
      <c r="BX80" s="12">
        <v>4648</v>
      </c>
      <c r="BY80" s="13">
        <v>1456.4</v>
      </c>
      <c r="BZ80" s="12">
        <v>5023.77</v>
      </c>
      <c r="CA80" s="6">
        <f t="shared" si="4"/>
        <v>3.1914309255699</v>
      </c>
      <c r="CB80" s="6">
        <f t="shared" si="5"/>
        <v>0.925201591633375</v>
      </c>
      <c r="CC80" s="7">
        <v>49467253.69</v>
      </c>
      <c r="CD80" s="7">
        <f t="shared" si="6"/>
        <v>0.984663981233217</v>
      </c>
      <c r="CE80" s="8">
        <v>89.9</v>
      </c>
      <c r="CF80" s="8">
        <v>1137.6</v>
      </c>
      <c r="CG80" s="8">
        <v>1030.3</v>
      </c>
      <c r="CH80" s="8">
        <v>22371</v>
      </c>
      <c r="CI80" s="14">
        <v>0</v>
      </c>
      <c r="CJ80" s="14">
        <v>0</v>
      </c>
      <c r="CK80" s="14">
        <f t="shared" si="7"/>
        <v>0</v>
      </c>
      <c r="CL80">
        <f t="shared" si="8"/>
        <v>4.08414499624993</v>
      </c>
      <c r="CM80">
        <f t="shared" si="9"/>
        <v>0.75890572393063</v>
      </c>
      <c r="CN80" s="15">
        <v>4648.2</v>
      </c>
      <c r="CO80" s="15">
        <v>2674.02</v>
      </c>
      <c r="CP80" s="15">
        <v>438.25</v>
      </c>
      <c r="CQ80" s="15">
        <v>726.68</v>
      </c>
      <c r="CR80" s="15">
        <v>165.22</v>
      </c>
      <c r="CS80" s="15">
        <v>137.94</v>
      </c>
      <c r="CT80" s="15">
        <v>110.41</v>
      </c>
      <c r="CU80" s="15">
        <v>66.1</v>
      </c>
      <c r="CV80" s="15">
        <v>21.19</v>
      </c>
      <c r="CW80" s="15">
        <v>461.24</v>
      </c>
    </row>
    <row r="81" spans="1:101">
      <c r="A81" s="6">
        <v>2004</v>
      </c>
      <c r="B81" s="6" t="s">
        <v>103</v>
      </c>
      <c r="C81" s="6">
        <v>0.21809021</v>
      </c>
      <c r="D81" s="6">
        <v>0.039796</v>
      </c>
      <c r="E81" s="6">
        <v>0.010065</v>
      </c>
      <c r="F81" s="6">
        <v>0.018267</v>
      </c>
      <c r="G81" s="6">
        <v>0.005836</v>
      </c>
      <c r="H81" s="6">
        <v>0.005628</v>
      </c>
      <c r="I81" s="6">
        <v>0.036552</v>
      </c>
      <c r="J81" s="6">
        <v>0.019229</v>
      </c>
      <c r="K81" s="6">
        <v>0.26059432</v>
      </c>
      <c r="L81" s="6">
        <v>0.19746031</v>
      </c>
      <c r="M81" s="6">
        <v>0.23784199</v>
      </c>
      <c r="N81" s="6">
        <v>0.14401528</v>
      </c>
      <c r="O81" s="6">
        <v>0.13707143</v>
      </c>
      <c r="P81" s="6">
        <v>0.31734328</v>
      </c>
      <c r="Q81" s="6">
        <v>0.27410899</v>
      </c>
      <c r="R81" s="6">
        <v>217.69486</v>
      </c>
      <c r="S81" s="6">
        <v>0.00119706</v>
      </c>
      <c r="T81" s="6">
        <v>169.97573</v>
      </c>
      <c r="U81" s="6">
        <v>0.0011617</v>
      </c>
      <c r="V81" s="6">
        <v>197.11803</v>
      </c>
      <c r="W81" s="6">
        <v>0.0012066</v>
      </c>
      <c r="X81" s="6">
        <v>134.47093</v>
      </c>
      <c r="Y81" s="6">
        <v>0.00107098</v>
      </c>
      <c r="Z81" s="6">
        <v>134.86767</v>
      </c>
      <c r="AA81" s="6">
        <v>0.00101634</v>
      </c>
      <c r="AB81" s="6">
        <v>294.9318</v>
      </c>
      <c r="AC81" s="6">
        <v>0.00107599</v>
      </c>
      <c r="AD81" s="6">
        <v>243.86163</v>
      </c>
      <c r="AE81" s="6">
        <v>0.00112403</v>
      </c>
      <c r="AF81" s="6">
        <v>775</v>
      </c>
      <c r="AG81" s="6">
        <v>-0.0080537</v>
      </c>
      <c r="AH81" s="6">
        <v>-0.0078506</v>
      </c>
      <c r="AI81" s="6">
        <v>-0.00810827</v>
      </c>
      <c r="AJ81" s="6">
        <v>-0.00732461</v>
      </c>
      <c r="AK81" s="6">
        <v>-0.00700416</v>
      </c>
      <c r="AL81" s="6">
        <v>-0.00735386</v>
      </c>
      <c r="AM81" s="6">
        <v>-0.00763313</v>
      </c>
      <c r="AN81" s="6">
        <v>-6.4762184</v>
      </c>
      <c r="AO81" s="6">
        <v>-6.4515561</v>
      </c>
      <c r="AP81" s="6">
        <v>-6.4739881</v>
      </c>
      <c r="AQ81" s="6">
        <v>-6.4253629</v>
      </c>
      <c r="AR81" s="6">
        <v>-6.4020076</v>
      </c>
      <c r="AS81" s="6">
        <v>-6.4618417</v>
      </c>
      <c r="AT81" s="6">
        <v>-6.4506396</v>
      </c>
      <c r="AU81" s="6">
        <v>0.97344833</v>
      </c>
      <c r="AV81" s="6">
        <v>0.96974131</v>
      </c>
      <c r="AW81" s="6">
        <v>0.97311308</v>
      </c>
      <c r="AX81" s="6">
        <v>0.96580418</v>
      </c>
      <c r="AY81" s="6">
        <v>0.96229362</v>
      </c>
      <c r="AZ81" s="6">
        <v>0.97128734</v>
      </c>
      <c r="BA81" s="6">
        <v>0.96960354</v>
      </c>
      <c r="BB81" s="6">
        <v>0.02655167</v>
      </c>
      <c r="BC81" s="6">
        <v>0.03025869</v>
      </c>
      <c r="BD81" s="6">
        <v>0.02688692</v>
      </c>
      <c r="BE81" s="6">
        <v>0.03419582</v>
      </c>
      <c r="BF81" s="6">
        <v>0.03770638</v>
      </c>
      <c r="BG81" s="6">
        <v>0.02871266</v>
      </c>
      <c r="BH81" s="6">
        <v>0.03039646</v>
      </c>
      <c r="BI81" s="6">
        <v>0.21470859</v>
      </c>
      <c r="BJ81" s="6">
        <v>0.12366373</v>
      </c>
      <c r="BK81" s="6">
        <v>0.1409291</v>
      </c>
      <c r="BL81" s="6">
        <v>0.12522516</v>
      </c>
      <c r="BM81" s="6">
        <v>0.1592662</v>
      </c>
      <c r="BN81" s="6">
        <v>0.17561655</v>
      </c>
      <c r="BO81" s="6">
        <v>0.1337285</v>
      </c>
      <c r="BP81" s="6">
        <v>0.14157076</v>
      </c>
      <c r="BQ81" s="6">
        <v>0.03222607</v>
      </c>
      <c r="BR81" s="6">
        <v>0.0278279</v>
      </c>
      <c r="BS81" s="6">
        <v>0.0297838</v>
      </c>
      <c r="BT81" s="6">
        <v>0.02293677</v>
      </c>
      <c r="BU81" s="6">
        <v>0.02407201</v>
      </c>
      <c r="BV81" s="6">
        <v>0.04243784</v>
      </c>
      <c r="BW81" s="6">
        <v>0.03880582</v>
      </c>
      <c r="BX81" s="12">
        <v>5140</v>
      </c>
      <c r="BY81" s="13">
        <v>1492.7</v>
      </c>
      <c r="BZ81" s="12">
        <v>6060.28</v>
      </c>
      <c r="CA81" s="6">
        <f t="shared" si="4"/>
        <v>3.44342466671133</v>
      </c>
      <c r="CB81" s="6">
        <f t="shared" si="5"/>
        <v>0.848145630234907</v>
      </c>
      <c r="CC81" s="7">
        <v>54496232.84</v>
      </c>
      <c r="CD81" s="7">
        <f t="shared" si="6"/>
        <v>0.899236220768677</v>
      </c>
      <c r="CE81" s="8">
        <v>105.3</v>
      </c>
      <c r="CF81" s="8">
        <v>1348.3</v>
      </c>
      <c r="CG81" s="8">
        <v>1167.5</v>
      </c>
      <c r="CH81" s="8">
        <v>25761</v>
      </c>
      <c r="CI81" s="14">
        <v>0</v>
      </c>
      <c r="CJ81" s="14">
        <v>0</v>
      </c>
      <c r="CK81" s="14">
        <f t="shared" si="7"/>
        <v>0</v>
      </c>
      <c r="CL81">
        <f t="shared" si="8"/>
        <v>3.89549779892895</v>
      </c>
      <c r="CM81">
        <f t="shared" si="9"/>
        <v>0.769160126077874</v>
      </c>
      <c r="CN81" s="15">
        <v>5139.6</v>
      </c>
      <c r="CO81" s="15">
        <v>2939.41</v>
      </c>
      <c r="CP81" s="15">
        <v>455.73</v>
      </c>
      <c r="CQ81" s="15">
        <v>809.35</v>
      </c>
      <c r="CR81" s="15">
        <v>198.39</v>
      </c>
      <c r="CS81" s="15">
        <v>182.82</v>
      </c>
      <c r="CT81" s="15">
        <v>131.93</v>
      </c>
      <c r="CU81" s="15">
        <v>66.96</v>
      </c>
      <c r="CV81" s="15">
        <v>27.02</v>
      </c>
      <c r="CW81" s="15">
        <v>510.11</v>
      </c>
    </row>
    <row r="82" spans="1:101">
      <c r="A82" s="6">
        <v>2005</v>
      </c>
      <c r="B82" s="6" t="s">
        <v>103</v>
      </c>
      <c r="C82" s="6">
        <v>0.22842478</v>
      </c>
      <c r="D82" s="6">
        <v>0.042288</v>
      </c>
      <c r="E82" s="6">
        <v>0.010966</v>
      </c>
      <c r="F82" s="6">
        <v>0.019001</v>
      </c>
      <c r="G82" s="6">
        <v>0.006971</v>
      </c>
      <c r="H82" s="6">
        <v>0.005351</v>
      </c>
      <c r="I82" s="6">
        <v>0.037427</v>
      </c>
      <c r="J82" s="6">
        <v>0.01857</v>
      </c>
      <c r="K82" s="6">
        <v>0.28014343</v>
      </c>
      <c r="L82" s="6">
        <v>0.21876276</v>
      </c>
      <c r="M82" s="6">
        <v>0.2491237</v>
      </c>
      <c r="N82" s="6">
        <v>0.17756195</v>
      </c>
      <c r="O82" s="6">
        <v>0.1286553</v>
      </c>
      <c r="P82" s="6">
        <v>0.32708557</v>
      </c>
      <c r="Q82" s="6">
        <v>0.26234457</v>
      </c>
      <c r="R82" s="6">
        <v>217.69486</v>
      </c>
      <c r="S82" s="6">
        <v>0.00128686</v>
      </c>
      <c r="T82" s="6">
        <v>169.97573</v>
      </c>
      <c r="U82" s="6">
        <v>0.00128702</v>
      </c>
      <c r="V82" s="6">
        <v>197.11803</v>
      </c>
      <c r="W82" s="6">
        <v>0.00126383</v>
      </c>
      <c r="X82" s="6">
        <v>134.47093</v>
      </c>
      <c r="Y82" s="6">
        <v>0.00132045</v>
      </c>
      <c r="Z82" s="6">
        <v>134.86767</v>
      </c>
      <c r="AA82" s="6">
        <v>0.00095394</v>
      </c>
      <c r="AB82" s="6">
        <v>294.9318</v>
      </c>
      <c r="AC82" s="6">
        <v>0.00110902</v>
      </c>
      <c r="AD82" s="6">
        <v>243.86163</v>
      </c>
      <c r="AE82" s="6">
        <v>0.00107579</v>
      </c>
      <c r="AF82" s="6">
        <v>775</v>
      </c>
      <c r="AG82" s="6">
        <v>-0.00856478</v>
      </c>
      <c r="AH82" s="6">
        <v>-0.00856569</v>
      </c>
      <c r="AI82" s="6">
        <v>-0.00843431</v>
      </c>
      <c r="AJ82" s="6">
        <v>-0.00875429</v>
      </c>
      <c r="AK82" s="6">
        <v>-0.00663455</v>
      </c>
      <c r="AL82" s="6">
        <v>-0.00754609</v>
      </c>
      <c r="AM82" s="6">
        <v>-0.00735272</v>
      </c>
      <c r="AN82" s="6">
        <v>-6.4762184</v>
      </c>
      <c r="AO82" s="6">
        <v>-6.4515561</v>
      </c>
      <c r="AP82" s="6">
        <v>-6.4739881</v>
      </c>
      <c r="AQ82" s="6">
        <v>-6.4253629</v>
      </c>
      <c r="AR82" s="6">
        <v>-6.4020076</v>
      </c>
      <c r="AS82" s="6">
        <v>-6.4618417</v>
      </c>
      <c r="AT82" s="6">
        <v>-6.4506396</v>
      </c>
      <c r="AU82" s="6">
        <v>0.97344833</v>
      </c>
      <c r="AV82" s="6">
        <v>0.96974131</v>
      </c>
      <c r="AW82" s="6">
        <v>0.97311308</v>
      </c>
      <c r="AX82" s="6">
        <v>0.96580418</v>
      </c>
      <c r="AY82" s="6">
        <v>0.96229362</v>
      </c>
      <c r="AZ82" s="6">
        <v>0.97128734</v>
      </c>
      <c r="BA82" s="6">
        <v>0.96960354</v>
      </c>
      <c r="BB82" s="6">
        <v>0.02655167</v>
      </c>
      <c r="BC82" s="6">
        <v>0.03025869</v>
      </c>
      <c r="BD82" s="6">
        <v>0.02688692</v>
      </c>
      <c r="BE82" s="6">
        <v>0.03419582</v>
      </c>
      <c r="BF82" s="6">
        <v>0.03770638</v>
      </c>
      <c r="BG82" s="6">
        <v>0.02871266</v>
      </c>
      <c r="BH82" s="6">
        <v>0.03039646</v>
      </c>
      <c r="BI82" s="6">
        <v>0.21470859</v>
      </c>
      <c r="BJ82" s="6">
        <v>0.12366373</v>
      </c>
      <c r="BK82" s="6">
        <v>0.1409291</v>
      </c>
      <c r="BL82" s="6">
        <v>0.12522516</v>
      </c>
      <c r="BM82" s="6">
        <v>0.1592662</v>
      </c>
      <c r="BN82" s="6">
        <v>0.17561655</v>
      </c>
      <c r="BO82" s="6">
        <v>0.1337285</v>
      </c>
      <c r="BP82" s="6">
        <v>0.14157076</v>
      </c>
      <c r="BQ82" s="6">
        <v>0.03464358</v>
      </c>
      <c r="BR82" s="6">
        <v>0.03083004</v>
      </c>
      <c r="BS82" s="6">
        <v>0.03119655</v>
      </c>
      <c r="BT82" s="6">
        <v>0.02827962</v>
      </c>
      <c r="BU82" s="6">
        <v>0.022594</v>
      </c>
      <c r="BV82" s="6">
        <v>0.04374066</v>
      </c>
      <c r="BW82" s="6">
        <v>0.03714032</v>
      </c>
      <c r="BX82" s="12">
        <v>5522</v>
      </c>
      <c r="BY82" s="13">
        <v>1538</v>
      </c>
      <c r="BZ82" s="12">
        <v>6969.52</v>
      </c>
      <c r="CA82" s="6">
        <f t="shared" si="4"/>
        <v>3.59037711313394</v>
      </c>
      <c r="CB82" s="6">
        <f t="shared" si="5"/>
        <v>0.792307074231798</v>
      </c>
      <c r="CC82" s="7">
        <v>60571108.79</v>
      </c>
      <c r="CD82" s="7">
        <f t="shared" si="6"/>
        <v>0.869085802035147</v>
      </c>
      <c r="CE82" s="8">
        <v>112.4</v>
      </c>
      <c r="CF82" s="8">
        <v>1630.5</v>
      </c>
      <c r="CG82" s="8">
        <v>1415.7</v>
      </c>
      <c r="CH82" s="8">
        <v>30567</v>
      </c>
      <c r="CI82" s="14">
        <v>0</v>
      </c>
      <c r="CJ82" s="14">
        <v>0</v>
      </c>
      <c r="CK82" s="14">
        <f t="shared" si="7"/>
        <v>0</v>
      </c>
      <c r="CL82">
        <f t="shared" si="8"/>
        <v>3.71995059106252</v>
      </c>
      <c r="CM82">
        <f t="shared" si="9"/>
        <v>0.766371681354264</v>
      </c>
      <c r="CN82" s="15">
        <v>5521.9</v>
      </c>
      <c r="CO82" s="15">
        <v>3068.97</v>
      </c>
      <c r="CP82" s="15">
        <v>397.4</v>
      </c>
      <c r="CQ82" s="15">
        <v>799.6</v>
      </c>
      <c r="CR82" s="15">
        <v>235.23</v>
      </c>
      <c r="CS82" s="15">
        <v>189.36</v>
      </c>
      <c r="CT82" s="15">
        <v>140.86</v>
      </c>
      <c r="CU82" s="15">
        <v>65.88</v>
      </c>
      <c r="CV82" s="15">
        <v>32.04</v>
      </c>
      <c r="CW82" s="15">
        <v>570.54</v>
      </c>
    </row>
    <row r="83" spans="1:101">
      <c r="A83" s="6">
        <v>2006</v>
      </c>
      <c r="B83" s="6" t="s">
        <v>103</v>
      </c>
      <c r="C83" s="6">
        <v>0.23663397</v>
      </c>
      <c r="D83" s="6">
        <v>0.040747</v>
      </c>
      <c r="E83" s="6">
        <v>0.010447</v>
      </c>
      <c r="F83" s="6">
        <v>0.018054</v>
      </c>
      <c r="G83" s="6">
        <v>0.005743</v>
      </c>
      <c r="H83" s="6">
        <v>0.006503</v>
      </c>
      <c r="I83" s="6">
        <v>0.040176</v>
      </c>
      <c r="J83" s="6">
        <v>0.022057</v>
      </c>
      <c r="K83" s="6">
        <v>0.26805423</v>
      </c>
      <c r="L83" s="6">
        <v>0.2064933</v>
      </c>
      <c r="M83" s="6">
        <v>0.23456856</v>
      </c>
      <c r="N83" s="6">
        <v>0.14126955</v>
      </c>
      <c r="O83" s="6">
        <v>0.16358292</v>
      </c>
      <c r="P83" s="6">
        <v>0.35770685</v>
      </c>
      <c r="Q83" s="6">
        <v>0.32455606</v>
      </c>
      <c r="R83" s="6">
        <v>217.69486</v>
      </c>
      <c r="S83" s="6">
        <v>0.00123133</v>
      </c>
      <c r="T83" s="6">
        <v>169.97573</v>
      </c>
      <c r="U83" s="6">
        <v>0.00121484</v>
      </c>
      <c r="V83" s="6">
        <v>197.11803</v>
      </c>
      <c r="W83" s="6">
        <v>0.00118999</v>
      </c>
      <c r="X83" s="6">
        <v>134.47093</v>
      </c>
      <c r="Y83" s="6">
        <v>0.00105056</v>
      </c>
      <c r="Z83" s="6">
        <v>134.86767</v>
      </c>
      <c r="AA83" s="6">
        <v>0.00121291</v>
      </c>
      <c r="AB83" s="6">
        <v>294.9318</v>
      </c>
      <c r="AC83" s="6">
        <v>0.00121285</v>
      </c>
      <c r="AD83" s="6">
        <v>243.86163</v>
      </c>
      <c r="AE83" s="6">
        <v>0.0013309</v>
      </c>
      <c r="AF83" s="6">
        <v>775</v>
      </c>
      <c r="AG83" s="6">
        <v>-0.00824949</v>
      </c>
      <c r="AH83" s="6">
        <v>-0.00815539</v>
      </c>
      <c r="AI83" s="6">
        <v>-0.00801317</v>
      </c>
      <c r="AJ83" s="6">
        <v>-0.00720518</v>
      </c>
      <c r="AK83" s="6">
        <v>-0.00814439</v>
      </c>
      <c r="AL83" s="6">
        <v>-0.008144</v>
      </c>
      <c r="AM83" s="6">
        <v>-0.0088131</v>
      </c>
      <c r="AN83" s="6">
        <v>-6.4762184</v>
      </c>
      <c r="AO83" s="6">
        <v>-6.4515561</v>
      </c>
      <c r="AP83" s="6">
        <v>-6.4739881</v>
      </c>
      <c r="AQ83" s="6">
        <v>-6.4253629</v>
      </c>
      <c r="AR83" s="6">
        <v>-6.4020076</v>
      </c>
      <c r="AS83" s="6">
        <v>-6.4618417</v>
      </c>
      <c r="AT83" s="6">
        <v>-6.4506396</v>
      </c>
      <c r="AU83" s="6">
        <v>0.97344833</v>
      </c>
      <c r="AV83" s="6">
        <v>0.96974131</v>
      </c>
      <c r="AW83" s="6">
        <v>0.97311308</v>
      </c>
      <c r="AX83" s="6">
        <v>0.96580418</v>
      </c>
      <c r="AY83" s="6">
        <v>0.96229362</v>
      </c>
      <c r="AZ83" s="6">
        <v>0.97128734</v>
      </c>
      <c r="BA83" s="6">
        <v>0.96960354</v>
      </c>
      <c r="BB83" s="6">
        <v>0.02655167</v>
      </c>
      <c r="BC83" s="6">
        <v>0.03025869</v>
      </c>
      <c r="BD83" s="6">
        <v>0.02688692</v>
      </c>
      <c r="BE83" s="6">
        <v>0.03419582</v>
      </c>
      <c r="BF83" s="6">
        <v>0.03770638</v>
      </c>
      <c r="BG83" s="6">
        <v>0.02871266</v>
      </c>
      <c r="BH83" s="6">
        <v>0.03039646</v>
      </c>
      <c r="BI83" s="6">
        <v>0.21470859</v>
      </c>
      <c r="BJ83" s="6">
        <v>0.12366373</v>
      </c>
      <c r="BK83" s="6">
        <v>0.1409291</v>
      </c>
      <c r="BL83" s="6">
        <v>0.12522516</v>
      </c>
      <c r="BM83" s="6">
        <v>0.1592662</v>
      </c>
      <c r="BN83" s="6">
        <v>0.17561655</v>
      </c>
      <c r="BO83" s="6">
        <v>0.1337285</v>
      </c>
      <c r="BP83" s="6">
        <v>0.14157076</v>
      </c>
      <c r="BQ83" s="6">
        <v>0.03314859</v>
      </c>
      <c r="BR83" s="6">
        <v>0.02910091</v>
      </c>
      <c r="BS83" s="6">
        <v>0.02937389</v>
      </c>
      <c r="BT83" s="6">
        <v>0.02249946</v>
      </c>
      <c r="BU83" s="6">
        <v>0.02872787</v>
      </c>
      <c r="BV83" s="6">
        <v>0.0478356</v>
      </c>
      <c r="BW83" s="6">
        <v>0.04594765</v>
      </c>
      <c r="BX83" s="12">
        <v>5904</v>
      </c>
      <c r="BY83" s="13">
        <v>1601</v>
      </c>
      <c r="BZ83" s="12">
        <v>8117.78</v>
      </c>
      <c r="CA83" s="6">
        <f t="shared" si="4"/>
        <v>3.68769519050593</v>
      </c>
      <c r="CB83" s="6">
        <f t="shared" si="5"/>
        <v>0.727292437094871</v>
      </c>
      <c r="CC83" s="7">
        <v>63804734.58</v>
      </c>
      <c r="CD83" s="7">
        <f t="shared" si="6"/>
        <v>0.785987481552838</v>
      </c>
      <c r="CE83" s="8">
        <v>103.4</v>
      </c>
      <c r="CF83" s="8">
        <v>1834.5</v>
      </c>
      <c r="CG83" s="8">
        <v>1600.3</v>
      </c>
      <c r="CH83" s="8">
        <v>33411</v>
      </c>
      <c r="CI83" s="14">
        <v>0</v>
      </c>
      <c r="CJ83" s="14">
        <v>0</v>
      </c>
      <c r="CK83" s="14">
        <f t="shared" si="7"/>
        <v>0</v>
      </c>
      <c r="CL83">
        <f t="shared" si="8"/>
        <v>3.57740717995078</v>
      </c>
      <c r="CM83">
        <f t="shared" si="9"/>
        <v>0.780291299811264</v>
      </c>
      <c r="CN83" s="15">
        <v>5904.11</v>
      </c>
      <c r="CO83" s="15">
        <v>3055.67</v>
      </c>
      <c r="CP83" s="15">
        <v>348.62</v>
      </c>
      <c r="CQ83" s="15">
        <v>796.12</v>
      </c>
      <c r="CR83" s="15">
        <v>278.16</v>
      </c>
      <c r="CS83" s="15">
        <v>233.86</v>
      </c>
      <c r="CT83" s="15">
        <v>177.49</v>
      </c>
      <c r="CU83" s="15">
        <v>48.05</v>
      </c>
      <c r="CV83" s="15">
        <v>40.65</v>
      </c>
      <c r="CW83" s="15">
        <v>618.99</v>
      </c>
    </row>
    <row r="84" spans="1:101">
      <c r="A84" s="6">
        <v>2007</v>
      </c>
      <c r="B84" s="6" t="s">
        <v>103</v>
      </c>
      <c r="C84" s="6">
        <v>0.23141724</v>
      </c>
      <c r="D84" s="6">
        <v>0.044866</v>
      </c>
      <c r="E84" s="6">
        <v>0.011062</v>
      </c>
      <c r="F84" s="6">
        <v>0.020705</v>
      </c>
      <c r="G84" s="6">
        <v>0.007355</v>
      </c>
      <c r="H84" s="6">
        <v>0.005744</v>
      </c>
      <c r="I84" s="6">
        <v>0.036969</v>
      </c>
      <c r="J84" s="6">
        <v>0.016065</v>
      </c>
      <c r="K84" s="6">
        <v>0.30036236</v>
      </c>
      <c r="L84" s="6">
        <v>0.22104699</v>
      </c>
      <c r="M84" s="6">
        <v>0.27530906</v>
      </c>
      <c r="N84" s="6">
        <v>0.18891875</v>
      </c>
      <c r="O84" s="6">
        <v>0.14056754</v>
      </c>
      <c r="P84" s="6">
        <v>0.32198209</v>
      </c>
      <c r="Q84" s="6">
        <v>0.21765222</v>
      </c>
      <c r="R84" s="6">
        <v>217.69486</v>
      </c>
      <c r="S84" s="6">
        <v>0.00137974</v>
      </c>
      <c r="T84" s="6">
        <v>169.97573</v>
      </c>
      <c r="U84" s="6">
        <v>0.00130046</v>
      </c>
      <c r="V84" s="6">
        <v>197.11803</v>
      </c>
      <c r="W84" s="6">
        <v>0.00139667</v>
      </c>
      <c r="X84" s="6">
        <v>134.47093</v>
      </c>
      <c r="Y84" s="6">
        <v>0.0014049</v>
      </c>
      <c r="Z84" s="6">
        <v>134.86767</v>
      </c>
      <c r="AA84" s="6">
        <v>0.00104226</v>
      </c>
      <c r="AB84" s="6">
        <v>294.9318</v>
      </c>
      <c r="AC84" s="6">
        <v>0.00109172</v>
      </c>
      <c r="AD84" s="6">
        <v>243.86163</v>
      </c>
      <c r="AE84" s="6">
        <v>0.00089252</v>
      </c>
      <c r="AF84" s="6">
        <v>775</v>
      </c>
      <c r="AG84" s="6">
        <v>-0.00908678</v>
      </c>
      <c r="AH84" s="6">
        <v>-0.00864162</v>
      </c>
      <c r="AI84" s="6">
        <v>-0.00918125</v>
      </c>
      <c r="AJ84" s="6">
        <v>-0.00922711</v>
      </c>
      <c r="AK84" s="6">
        <v>-0.00715655</v>
      </c>
      <c r="AL84" s="6">
        <v>-0.00744551</v>
      </c>
      <c r="AM84" s="6">
        <v>-0.00626682</v>
      </c>
      <c r="AN84" s="6">
        <v>-6.4762184</v>
      </c>
      <c r="AO84" s="6">
        <v>-6.4515561</v>
      </c>
      <c r="AP84" s="6">
        <v>-6.4739881</v>
      </c>
      <c r="AQ84" s="6">
        <v>-6.4253629</v>
      </c>
      <c r="AR84" s="6">
        <v>-6.4020076</v>
      </c>
      <c r="AS84" s="6">
        <v>-6.4618417</v>
      </c>
      <c r="AT84" s="6">
        <v>-6.4506396</v>
      </c>
      <c r="AU84" s="6">
        <v>0.97344833</v>
      </c>
      <c r="AV84" s="6">
        <v>0.96974131</v>
      </c>
      <c r="AW84" s="6">
        <v>0.97311308</v>
      </c>
      <c r="AX84" s="6">
        <v>0.96580418</v>
      </c>
      <c r="AY84" s="6">
        <v>0.96229362</v>
      </c>
      <c r="AZ84" s="6">
        <v>0.97128734</v>
      </c>
      <c r="BA84" s="6">
        <v>0.96960354</v>
      </c>
      <c r="BB84" s="6">
        <v>0.02655167</v>
      </c>
      <c r="BC84" s="6">
        <v>0.03025869</v>
      </c>
      <c r="BD84" s="6">
        <v>0.02688692</v>
      </c>
      <c r="BE84" s="6">
        <v>0.03419582</v>
      </c>
      <c r="BF84" s="6">
        <v>0.03770638</v>
      </c>
      <c r="BG84" s="6">
        <v>0.02871266</v>
      </c>
      <c r="BH84" s="6">
        <v>0.03039646</v>
      </c>
      <c r="BI84" s="6">
        <v>0.21470859</v>
      </c>
      <c r="BJ84" s="6">
        <v>0.12366373</v>
      </c>
      <c r="BK84" s="6">
        <v>0.1409291</v>
      </c>
      <c r="BL84" s="6">
        <v>0.12522516</v>
      </c>
      <c r="BM84" s="6">
        <v>0.1592662</v>
      </c>
      <c r="BN84" s="6">
        <v>0.17561655</v>
      </c>
      <c r="BO84" s="6">
        <v>0.1337285</v>
      </c>
      <c r="BP84" s="6">
        <v>0.14157076</v>
      </c>
      <c r="BQ84" s="6">
        <v>0.03714393</v>
      </c>
      <c r="BR84" s="6">
        <v>0.03115195</v>
      </c>
      <c r="BS84" s="6">
        <v>0.03447562</v>
      </c>
      <c r="BT84" s="6">
        <v>0.03008837</v>
      </c>
      <c r="BU84" s="6">
        <v>0.02468599</v>
      </c>
      <c r="BV84" s="6">
        <v>0.04305818</v>
      </c>
      <c r="BW84" s="6">
        <v>0.03081319</v>
      </c>
      <c r="BX84" s="12">
        <v>6285</v>
      </c>
      <c r="BY84" s="13">
        <v>1676</v>
      </c>
      <c r="BZ84" s="12">
        <v>9846.81</v>
      </c>
      <c r="CA84" s="6">
        <f t="shared" si="4"/>
        <v>3.75</v>
      </c>
      <c r="CB84" s="6">
        <f t="shared" si="5"/>
        <v>0.638277777269999</v>
      </c>
      <c r="CC84" s="7">
        <v>63644669.1</v>
      </c>
      <c r="CD84" s="7">
        <f t="shared" si="6"/>
        <v>0.64634809750569</v>
      </c>
      <c r="CE84" s="8">
        <v>107.5</v>
      </c>
      <c r="CF84" s="8">
        <v>2123.6</v>
      </c>
      <c r="CG84" s="8">
        <v>1927.3</v>
      </c>
      <c r="CH84" s="8">
        <v>37976</v>
      </c>
      <c r="CI84" s="14">
        <v>0</v>
      </c>
      <c r="CJ84" s="14">
        <v>0</v>
      </c>
      <c r="CK84" s="14">
        <f t="shared" si="7"/>
        <v>0</v>
      </c>
      <c r="CL84">
        <f t="shared" si="8"/>
        <v>3.23986794305777</v>
      </c>
      <c r="CM84">
        <f t="shared" si="9"/>
        <v>0.800501715234828</v>
      </c>
      <c r="CN84" s="15">
        <v>6285.04</v>
      </c>
      <c r="CO84" s="15">
        <v>2984.67</v>
      </c>
      <c r="CP84" s="15">
        <v>358.19</v>
      </c>
      <c r="CQ84" s="15">
        <v>950.91</v>
      </c>
      <c r="CR84" s="15">
        <v>324.72</v>
      </c>
      <c r="CS84" s="15">
        <v>277.1</v>
      </c>
      <c r="CT84" s="15">
        <v>192.02</v>
      </c>
      <c r="CU84" s="15">
        <v>42.85</v>
      </c>
      <c r="CV84" s="15">
        <v>46.64</v>
      </c>
      <c r="CW84" s="15">
        <v>675.09</v>
      </c>
    </row>
    <row r="85" spans="1:101">
      <c r="A85" s="6">
        <v>2008</v>
      </c>
      <c r="B85" s="6" t="s">
        <v>103</v>
      </c>
      <c r="C85" s="6">
        <v>0.28628447</v>
      </c>
      <c r="D85" s="6">
        <v>0.050429</v>
      </c>
      <c r="E85" s="6">
        <v>0.012699</v>
      </c>
      <c r="F85" s="6">
        <v>0.022461</v>
      </c>
      <c r="G85" s="6">
        <v>0.007823</v>
      </c>
      <c r="H85" s="6">
        <v>0.007447</v>
      </c>
      <c r="I85" s="6">
        <v>0.046234</v>
      </c>
      <c r="J85" s="6">
        <v>0.02223</v>
      </c>
      <c r="K85" s="6">
        <v>0.34399888</v>
      </c>
      <c r="L85" s="6">
        <v>0.25973139</v>
      </c>
      <c r="M85" s="6">
        <v>0.30229607</v>
      </c>
      <c r="N85" s="6">
        <v>0.20274801</v>
      </c>
      <c r="O85" s="6">
        <v>0.19217868</v>
      </c>
      <c r="P85" s="6">
        <v>0.42518245</v>
      </c>
      <c r="Q85" s="6">
        <v>0.32765117</v>
      </c>
      <c r="R85" s="6">
        <v>217.69486</v>
      </c>
      <c r="S85" s="6">
        <v>0.00158019</v>
      </c>
      <c r="T85" s="6">
        <v>169.97573</v>
      </c>
      <c r="U85" s="6">
        <v>0.00152805</v>
      </c>
      <c r="V85" s="6">
        <v>197.11803</v>
      </c>
      <c r="W85" s="6">
        <v>0.00153358</v>
      </c>
      <c r="X85" s="6">
        <v>134.47093</v>
      </c>
      <c r="Y85" s="6">
        <v>0.00150775</v>
      </c>
      <c r="Z85" s="6">
        <v>134.86767</v>
      </c>
      <c r="AA85" s="6">
        <v>0.00142494</v>
      </c>
      <c r="AB85" s="6">
        <v>294.9318</v>
      </c>
      <c r="AC85" s="6">
        <v>0.00144163</v>
      </c>
      <c r="AD85" s="6">
        <v>243.86163</v>
      </c>
      <c r="AE85" s="6">
        <v>0.00134359</v>
      </c>
      <c r="AF85" s="6">
        <v>775</v>
      </c>
      <c r="AG85" s="6">
        <v>-0.01019255</v>
      </c>
      <c r="AH85" s="6">
        <v>-0.00990751</v>
      </c>
      <c r="AI85" s="6">
        <v>-0.00993782</v>
      </c>
      <c r="AJ85" s="6">
        <v>-0.00979604</v>
      </c>
      <c r="AK85" s="6">
        <v>-0.00933854</v>
      </c>
      <c r="AL85" s="6">
        <v>-0.00943111</v>
      </c>
      <c r="AM85" s="6">
        <v>-0.00888439</v>
      </c>
      <c r="AN85" s="6">
        <v>-6.4762184</v>
      </c>
      <c r="AO85" s="6">
        <v>-6.4515561</v>
      </c>
      <c r="AP85" s="6">
        <v>-6.4739881</v>
      </c>
      <c r="AQ85" s="6">
        <v>-6.4253629</v>
      </c>
      <c r="AR85" s="6">
        <v>-6.4020076</v>
      </c>
      <c r="AS85" s="6">
        <v>-6.4618417</v>
      </c>
      <c r="AT85" s="6">
        <v>-6.4506396</v>
      </c>
      <c r="AU85" s="6">
        <v>0.97344833</v>
      </c>
      <c r="AV85" s="6">
        <v>0.96974131</v>
      </c>
      <c r="AW85" s="6">
        <v>0.97311308</v>
      </c>
      <c r="AX85" s="6">
        <v>0.96580418</v>
      </c>
      <c r="AY85" s="6">
        <v>0.96229362</v>
      </c>
      <c r="AZ85" s="6">
        <v>0.97128734</v>
      </c>
      <c r="BA85" s="6">
        <v>0.96960354</v>
      </c>
      <c r="BB85" s="6">
        <v>0.02655167</v>
      </c>
      <c r="BC85" s="6">
        <v>0.03025869</v>
      </c>
      <c r="BD85" s="6">
        <v>0.02688692</v>
      </c>
      <c r="BE85" s="6">
        <v>0.03419582</v>
      </c>
      <c r="BF85" s="6">
        <v>0.03770638</v>
      </c>
      <c r="BG85" s="6">
        <v>0.02871266</v>
      </c>
      <c r="BH85" s="6">
        <v>0.03039646</v>
      </c>
      <c r="BI85" s="6">
        <v>0.21470859</v>
      </c>
      <c r="BJ85" s="6">
        <v>0.12366373</v>
      </c>
      <c r="BK85" s="6">
        <v>0.1409291</v>
      </c>
      <c r="BL85" s="6">
        <v>0.12522516</v>
      </c>
      <c r="BM85" s="6">
        <v>0.1592662</v>
      </c>
      <c r="BN85" s="6">
        <v>0.17561655</v>
      </c>
      <c r="BO85" s="6">
        <v>0.1337285</v>
      </c>
      <c r="BP85" s="6">
        <v>0.14157076</v>
      </c>
      <c r="BQ85" s="6">
        <v>0.04254019</v>
      </c>
      <c r="BR85" s="6">
        <v>0.03660371</v>
      </c>
      <c r="BS85" s="6">
        <v>0.03785507</v>
      </c>
      <c r="BT85" s="6">
        <v>0.03229091</v>
      </c>
      <c r="BU85" s="6">
        <v>0.03374976</v>
      </c>
      <c r="BV85" s="6">
        <v>0.05685901</v>
      </c>
      <c r="BW85" s="6">
        <v>0.04638583</v>
      </c>
      <c r="BX85" s="12">
        <v>6327</v>
      </c>
      <c r="BY85" s="13">
        <v>1771</v>
      </c>
      <c r="BZ85" s="12">
        <v>11115</v>
      </c>
      <c r="CA85" s="6">
        <f t="shared" si="4"/>
        <v>3.5725578769057</v>
      </c>
      <c r="CB85" s="6">
        <f t="shared" si="5"/>
        <v>0.569230769230769</v>
      </c>
      <c r="CC85" s="7">
        <v>63433749.21</v>
      </c>
      <c r="CD85" s="7">
        <f t="shared" si="6"/>
        <v>0.570703996491228</v>
      </c>
      <c r="CE85" s="8">
        <v>116.6</v>
      </c>
      <c r="CF85" s="8">
        <v>2659.7</v>
      </c>
      <c r="CG85" s="8">
        <v>2406.1</v>
      </c>
      <c r="CH85" s="8">
        <v>45242</v>
      </c>
      <c r="CI85" s="14">
        <v>0</v>
      </c>
      <c r="CJ85" s="14">
        <v>0</v>
      </c>
      <c r="CK85" s="14">
        <f t="shared" si="7"/>
        <v>0</v>
      </c>
      <c r="CL85">
        <f t="shared" si="8"/>
        <v>2.71728515287532</v>
      </c>
      <c r="CM85">
        <f t="shared" si="9"/>
        <v>0.789972724839963</v>
      </c>
      <c r="CN85" s="15">
        <v>6327</v>
      </c>
      <c r="CO85" s="15">
        <v>2748</v>
      </c>
      <c r="CP85" s="15">
        <v>232.87</v>
      </c>
      <c r="CQ85" s="15">
        <v>1116.76</v>
      </c>
      <c r="CR85" s="15">
        <v>340.92</v>
      </c>
      <c r="CS85" s="15">
        <v>318.39</v>
      </c>
      <c r="CT85" s="15">
        <v>227.22</v>
      </c>
      <c r="CU85" s="15">
        <v>25.62</v>
      </c>
      <c r="CV85" s="15">
        <v>60.65</v>
      </c>
      <c r="CW85" s="15">
        <v>708.15</v>
      </c>
    </row>
    <row r="86" spans="1:101">
      <c r="A86" s="6">
        <v>2009</v>
      </c>
      <c r="B86" s="6" t="s">
        <v>103</v>
      </c>
      <c r="C86" s="6">
        <v>0.29741866</v>
      </c>
      <c r="D86" s="6">
        <v>0.049421</v>
      </c>
      <c r="E86" s="6">
        <v>0.012843</v>
      </c>
      <c r="F86" s="6">
        <v>0.021911</v>
      </c>
      <c r="G86" s="6">
        <v>0.007283</v>
      </c>
      <c r="H86" s="6">
        <v>0.007384</v>
      </c>
      <c r="I86" s="6">
        <v>0.050397</v>
      </c>
      <c r="J86" s="6">
        <v>0.025937</v>
      </c>
      <c r="K86" s="6">
        <v>0.33609383</v>
      </c>
      <c r="L86" s="6">
        <v>0.26314107</v>
      </c>
      <c r="M86" s="6">
        <v>0.29384359</v>
      </c>
      <c r="N86" s="6">
        <v>0.1868026</v>
      </c>
      <c r="O86" s="6">
        <v>0.19028131</v>
      </c>
      <c r="P86" s="6">
        <v>0.47154693</v>
      </c>
      <c r="Q86" s="6">
        <v>0.39378222</v>
      </c>
      <c r="R86" s="6">
        <v>217.69486</v>
      </c>
      <c r="S86" s="6">
        <v>0.00154388</v>
      </c>
      <c r="T86" s="6">
        <v>169.97573</v>
      </c>
      <c r="U86" s="6">
        <v>0.00154811</v>
      </c>
      <c r="V86" s="6">
        <v>197.11803</v>
      </c>
      <c r="W86" s="6">
        <v>0.0014907</v>
      </c>
      <c r="X86" s="6">
        <v>134.47093</v>
      </c>
      <c r="Y86" s="6">
        <v>0.00138917</v>
      </c>
      <c r="Z86" s="6">
        <v>134.86767</v>
      </c>
      <c r="AA86" s="6">
        <v>0.00141087</v>
      </c>
      <c r="AB86" s="6">
        <v>294.9318</v>
      </c>
      <c r="AC86" s="6">
        <v>0.00159883</v>
      </c>
      <c r="AD86" s="6">
        <v>243.86163</v>
      </c>
      <c r="AE86" s="6">
        <v>0.00161478</v>
      </c>
      <c r="AF86" s="6">
        <v>775</v>
      </c>
      <c r="AG86" s="6">
        <v>-0.00999422</v>
      </c>
      <c r="AH86" s="6">
        <v>-0.01001739</v>
      </c>
      <c r="AI86" s="6">
        <v>-0.00970223</v>
      </c>
      <c r="AJ86" s="6">
        <v>-0.0091394</v>
      </c>
      <c r="AK86" s="6">
        <v>-0.00926034</v>
      </c>
      <c r="AL86" s="6">
        <v>-0.01029406</v>
      </c>
      <c r="AM86" s="6">
        <v>-0.01038069</v>
      </c>
      <c r="AN86" s="6">
        <v>-6.4762184</v>
      </c>
      <c r="AO86" s="6">
        <v>-6.4515561</v>
      </c>
      <c r="AP86" s="6">
        <v>-6.4739881</v>
      </c>
      <c r="AQ86" s="6">
        <v>-6.4253629</v>
      </c>
      <c r="AR86" s="6">
        <v>-6.4020076</v>
      </c>
      <c r="AS86" s="6">
        <v>-6.4618417</v>
      </c>
      <c r="AT86" s="6">
        <v>-6.4506396</v>
      </c>
      <c r="AU86" s="6">
        <v>0.97344833</v>
      </c>
      <c r="AV86" s="6">
        <v>0.96974131</v>
      </c>
      <c r="AW86" s="6">
        <v>0.97311308</v>
      </c>
      <c r="AX86" s="6">
        <v>0.96580418</v>
      </c>
      <c r="AY86" s="6">
        <v>0.96229362</v>
      </c>
      <c r="AZ86" s="6">
        <v>0.97128734</v>
      </c>
      <c r="BA86" s="6">
        <v>0.96960354</v>
      </c>
      <c r="BB86" s="6">
        <v>0.02655167</v>
      </c>
      <c r="BC86" s="6">
        <v>0.03025869</v>
      </c>
      <c r="BD86" s="6">
        <v>0.02688692</v>
      </c>
      <c r="BE86" s="6">
        <v>0.03419582</v>
      </c>
      <c r="BF86" s="6">
        <v>0.03770638</v>
      </c>
      <c r="BG86" s="6">
        <v>0.02871266</v>
      </c>
      <c r="BH86" s="6">
        <v>0.03039646</v>
      </c>
      <c r="BI86" s="6">
        <v>0.21470859</v>
      </c>
      <c r="BJ86" s="6">
        <v>0.12366373</v>
      </c>
      <c r="BK86" s="6">
        <v>0.1409291</v>
      </c>
      <c r="BL86" s="6">
        <v>0.12522516</v>
      </c>
      <c r="BM86" s="6">
        <v>0.1592662</v>
      </c>
      <c r="BN86" s="6">
        <v>0.17561655</v>
      </c>
      <c r="BO86" s="6">
        <v>0.1337285</v>
      </c>
      <c r="BP86" s="6">
        <v>0.14157076</v>
      </c>
      <c r="BQ86" s="6">
        <v>0.04156262</v>
      </c>
      <c r="BR86" s="6">
        <v>0.03708423</v>
      </c>
      <c r="BS86" s="6">
        <v>0.03679661</v>
      </c>
      <c r="BT86" s="6">
        <v>0.02975134</v>
      </c>
      <c r="BU86" s="6">
        <v>0.03341655</v>
      </c>
      <c r="BV86" s="6">
        <v>0.06305926</v>
      </c>
      <c r="BW86" s="6">
        <v>0.05574805</v>
      </c>
      <c r="BX86" s="12">
        <v>6570</v>
      </c>
      <c r="BY86" s="13">
        <v>1860</v>
      </c>
      <c r="BZ86" s="12">
        <v>12153.03</v>
      </c>
      <c r="CA86" s="6">
        <f t="shared" si="4"/>
        <v>3.53225806451613</v>
      </c>
      <c r="CB86" s="6">
        <f t="shared" si="5"/>
        <v>0.540605922967359</v>
      </c>
      <c r="CC86" s="7">
        <v>66458004.93</v>
      </c>
      <c r="CD86" s="7">
        <f t="shared" si="6"/>
        <v>0.546843091229101</v>
      </c>
      <c r="CE86" s="8">
        <v>119.5</v>
      </c>
      <c r="CF86" s="8">
        <v>2808.7</v>
      </c>
      <c r="CG86" s="8">
        <v>2781.3</v>
      </c>
      <c r="CH86" s="8">
        <v>47497</v>
      </c>
      <c r="CI86" s="14">
        <v>0</v>
      </c>
      <c r="CJ86" s="14">
        <v>0</v>
      </c>
      <c r="CK86" s="14">
        <f t="shared" si="7"/>
        <v>0</v>
      </c>
      <c r="CL86">
        <f t="shared" si="8"/>
        <v>2.66960201713366</v>
      </c>
      <c r="CM86">
        <f t="shared" si="9"/>
        <v>0.795159320483191</v>
      </c>
      <c r="CN86" s="15">
        <v>6570</v>
      </c>
      <c r="CO86" s="15">
        <v>2665</v>
      </c>
      <c r="CP86" s="15">
        <v>211.97</v>
      </c>
      <c r="CQ86" s="15">
        <v>1162.93</v>
      </c>
      <c r="CR86" s="15">
        <v>363.61</v>
      </c>
      <c r="CS86" s="15">
        <v>341.93</v>
      </c>
      <c r="CT86" s="15">
        <v>240.18</v>
      </c>
      <c r="CU86" s="15">
        <v>42.4</v>
      </c>
      <c r="CV86" s="15">
        <v>69.4</v>
      </c>
      <c r="CW86" s="15">
        <v>758.85</v>
      </c>
    </row>
    <row r="87" spans="1:101">
      <c r="A87" s="6">
        <v>2010</v>
      </c>
      <c r="B87" s="6" t="s">
        <v>103</v>
      </c>
      <c r="C87" s="6">
        <v>0.30384744</v>
      </c>
      <c r="D87" s="6">
        <v>0.051547</v>
      </c>
      <c r="E87" s="6">
        <v>0.013332</v>
      </c>
      <c r="F87" s="6">
        <v>0.022963</v>
      </c>
      <c r="G87" s="6">
        <v>0.007598</v>
      </c>
      <c r="H87" s="6">
        <v>0.007653</v>
      </c>
      <c r="I87" s="6">
        <v>0.049589</v>
      </c>
      <c r="J87" s="6">
        <v>0.025541</v>
      </c>
      <c r="K87" s="6">
        <v>0.35276731</v>
      </c>
      <c r="L87" s="6">
        <v>0.27471663</v>
      </c>
      <c r="M87" s="6">
        <v>0.31001631</v>
      </c>
      <c r="N87" s="6">
        <v>0.19611559</v>
      </c>
      <c r="O87" s="6">
        <v>0.19842421</v>
      </c>
      <c r="P87" s="6">
        <v>0.46255329</v>
      </c>
      <c r="Q87" s="6">
        <v>0.38671677</v>
      </c>
      <c r="R87" s="6">
        <v>217.69486</v>
      </c>
      <c r="S87" s="6">
        <v>0.00162047</v>
      </c>
      <c r="T87" s="6">
        <v>169.97573</v>
      </c>
      <c r="U87" s="6">
        <v>0.00161621</v>
      </c>
      <c r="V87" s="6">
        <v>197.11803</v>
      </c>
      <c r="W87" s="6">
        <v>0.00157274</v>
      </c>
      <c r="X87" s="6">
        <v>134.47093</v>
      </c>
      <c r="Y87" s="6">
        <v>0.00145842</v>
      </c>
      <c r="Z87" s="6">
        <v>134.86767</v>
      </c>
      <c r="AA87" s="6">
        <v>0.00147125</v>
      </c>
      <c r="AB87" s="6">
        <v>294.9318</v>
      </c>
      <c r="AC87" s="6">
        <v>0.00156834</v>
      </c>
      <c r="AD87" s="6">
        <v>243.86163</v>
      </c>
      <c r="AE87" s="6">
        <v>0.0015858</v>
      </c>
      <c r="AF87" s="6">
        <v>775</v>
      </c>
      <c r="AG87" s="6">
        <v>-0.01041157</v>
      </c>
      <c r="AH87" s="6">
        <v>-0.01038847</v>
      </c>
      <c r="AI87" s="6">
        <v>-0.01015196</v>
      </c>
      <c r="AJ87" s="6">
        <v>-0.00952409</v>
      </c>
      <c r="AK87" s="6">
        <v>-0.00959497</v>
      </c>
      <c r="AL87" s="6">
        <v>-0.01012793</v>
      </c>
      <c r="AM87" s="6">
        <v>-0.01022315</v>
      </c>
      <c r="AN87" s="6">
        <v>-6.4762184</v>
      </c>
      <c r="AO87" s="6">
        <v>-6.4515561</v>
      </c>
      <c r="AP87" s="6">
        <v>-6.4739881</v>
      </c>
      <c r="AQ87" s="6">
        <v>-6.4253629</v>
      </c>
      <c r="AR87" s="6">
        <v>-6.4020076</v>
      </c>
      <c r="AS87" s="6">
        <v>-6.4618417</v>
      </c>
      <c r="AT87" s="6">
        <v>-6.4506396</v>
      </c>
      <c r="AU87" s="6">
        <v>0.97344833</v>
      </c>
      <c r="AV87" s="6">
        <v>0.96974131</v>
      </c>
      <c r="AW87" s="6">
        <v>0.97311308</v>
      </c>
      <c r="AX87" s="6">
        <v>0.96580418</v>
      </c>
      <c r="AY87" s="6">
        <v>0.96229362</v>
      </c>
      <c r="AZ87" s="6">
        <v>0.97128734</v>
      </c>
      <c r="BA87" s="6">
        <v>0.96960354</v>
      </c>
      <c r="BB87" s="6">
        <v>0.02655167</v>
      </c>
      <c r="BC87" s="6">
        <v>0.03025869</v>
      </c>
      <c r="BD87" s="6">
        <v>0.02688692</v>
      </c>
      <c r="BE87" s="6">
        <v>0.03419582</v>
      </c>
      <c r="BF87" s="6">
        <v>0.03770638</v>
      </c>
      <c r="BG87" s="6">
        <v>0.02871266</v>
      </c>
      <c r="BH87" s="6">
        <v>0.03039646</v>
      </c>
      <c r="BI87" s="6">
        <v>0.21470859</v>
      </c>
      <c r="BJ87" s="6">
        <v>0.12366373</v>
      </c>
      <c r="BK87" s="6">
        <v>0.1409291</v>
      </c>
      <c r="BL87" s="6">
        <v>0.12522516</v>
      </c>
      <c r="BM87" s="6">
        <v>0.1592662</v>
      </c>
      <c r="BN87" s="6">
        <v>0.17561655</v>
      </c>
      <c r="BO87" s="6">
        <v>0.1337285</v>
      </c>
      <c r="BP87" s="6">
        <v>0.14157076</v>
      </c>
      <c r="BQ87" s="6">
        <v>0.04362452</v>
      </c>
      <c r="BR87" s="6">
        <v>0.03871557</v>
      </c>
      <c r="BS87" s="6">
        <v>0.03882184</v>
      </c>
      <c r="BT87" s="6">
        <v>0.03123458</v>
      </c>
      <c r="BU87" s="6">
        <v>0.03484658</v>
      </c>
      <c r="BV87" s="6">
        <v>0.06185656</v>
      </c>
      <c r="BW87" s="6">
        <v>0.05474779</v>
      </c>
      <c r="BX87" s="12">
        <v>6954</v>
      </c>
      <c r="BY87" s="13">
        <v>1961.9</v>
      </c>
      <c r="BZ87" s="12">
        <v>14113.58</v>
      </c>
      <c r="CA87" s="6">
        <f t="shared" si="4"/>
        <v>3.54452316631836</v>
      </c>
      <c r="CB87" s="6">
        <f t="shared" si="5"/>
        <v>0.492716943539485</v>
      </c>
      <c r="CC87" s="7">
        <v>72837360.71</v>
      </c>
      <c r="CD87" s="7">
        <f t="shared" si="6"/>
        <v>0.516079979069804</v>
      </c>
      <c r="CE87" s="8">
        <v>131.7</v>
      </c>
      <c r="CF87" s="8">
        <v>3259.7</v>
      </c>
      <c r="CG87" s="8">
        <v>3439.3</v>
      </c>
      <c r="CH87" s="8">
        <v>54053</v>
      </c>
      <c r="CI87" s="14">
        <v>0</v>
      </c>
      <c r="CJ87" s="14">
        <v>0</v>
      </c>
      <c r="CK87" s="14">
        <f t="shared" si="7"/>
        <v>0</v>
      </c>
      <c r="CL87">
        <f t="shared" si="8"/>
        <v>2.40850270516871</v>
      </c>
      <c r="CM87">
        <f t="shared" si="9"/>
        <v>0.785725804682601</v>
      </c>
      <c r="CN87" s="15">
        <v>6954.05</v>
      </c>
      <c r="CO87" s="15">
        <v>2634.62</v>
      </c>
      <c r="CP87" s="15">
        <v>220.45</v>
      </c>
      <c r="CQ87" s="15">
        <v>1116.29</v>
      </c>
      <c r="CR87" s="15">
        <v>371.53</v>
      </c>
      <c r="CS87" s="15">
        <v>392.63</v>
      </c>
      <c r="CT87" s="15">
        <v>237.42</v>
      </c>
      <c r="CU87" s="15">
        <v>66.69</v>
      </c>
      <c r="CV87" s="15">
        <v>74.79</v>
      </c>
      <c r="CW87" s="15">
        <v>809.9</v>
      </c>
    </row>
    <row r="88" spans="1:101">
      <c r="A88" s="6">
        <v>2011</v>
      </c>
      <c r="B88" s="6" t="s">
        <v>103</v>
      </c>
      <c r="C88" s="6">
        <v>0.30013647</v>
      </c>
      <c r="D88" s="6">
        <v>0.052035</v>
      </c>
      <c r="E88" s="6">
        <v>0.013177</v>
      </c>
      <c r="F88" s="6">
        <v>0.023823</v>
      </c>
      <c r="G88" s="6">
        <v>0.007567</v>
      </c>
      <c r="H88" s="6">
        <v>0.007468</v>
      </c>
      <c r="I88" s="6">
        <v>0.049668</v>
      </c>
      <c r="J88" s="6">
        <v>0.023834</v>
      </c>
      <c r="K88" s="6">
        <v>0.35660086</v>
      </c>
      <c r="L88" s="6">
        <v>0.27104241</v>
      </c>
      <c r="M88" s="6">
        <v>0.32323466</v>
      </c>
      <c r="N88" s="6">
        <v>0.19519824</v>
      </c>
      <c r="O88" s="6">
        <v>0.19282175</v>
      </c>
      <c r="P88" s="6">
        <v>0.46342913</v>
      </c>
      <c r="Q88" s="6">
        <v>0.35627516</v>
      </c>
      <c r="R88" s="6">
        <v>217.69486</v>
      </c>
      <c r="S88" s="6">
        <v>0.00163808</v>
      </c>
      <c r="T88" s="6">
        <v>169.97573</v>
      </c>
      <c r="U88" s="6">
        <v>0.00159459</v>
      </c>
      <c r="V88" s="6">
        <v>197.11803</v>
      </c>
      <c r="W88" s="6">
        <v>0.0016398</v>
      </c>
      <c r="X88" s="6">
        <v>134.47093</v>
      </c>
      <c r="Y88" s="6">
        <v>0.0014516</v>
      </c>
      <c r="Z88" s="6">
        <v>134.86767</v>
      </c>
      <c r="AA88" s="6">
        <v>0.00142971</v>
      </c>
      <c r="AB88" s="6">
        <v>294.9318</v>
      </c>
      <c r="AC88" s="6">
        <v>0.00157131</v>
      </c>
      <c r="AD88" s="6">
        <v>243.86163</v>
      </c>
      <c r="AE88" s="6">
        <v>0.00146097</v>
      </c>
      <c r="AF88" s="6">
        <v>775</v>
      </c>
      <c r="AG88" s="6">
        <v>-0.010507</v>
      </c>
      <c r="AH88" s="6">
        <v>-0.010271</v>
      </c>
      <c r="AI88" s="6">
        <v>-0.01051635</v>
      </c>
      <c r="AJ88" s="6">
        <v>-0.00948635</v>
      </c>
      <c r="AK88" s="6">
        <v>-0.00936501</v>
      </c>
      <c r="AL88" s="6">
        <v>-0.01014413</v>
      </c>
      <c r="AM88" s="6">
        <v>-0.00953818</v>
      </c>
      <c r="AN88" s="6">
        <v>-6.4762184</v>
      </c>
      <c r="AO88" s="6">
        <v>-6.4515561</v>
      </c>
      <c r="AP88" s="6">
        <v>-6.4739881</v>
      </c>
      <c r="AQ88" s="6">
        <v>-6.4253629</v>
      </c>
      <c r="AR88" s="6">
        <v>-6.4020076</v>
      </c>
      <c r="AS88" s="6">
        <v>-6.4618417</v>
      </c>
      <c r="AT88" s="6">
        <v>-6.4506396</v>
      </c>
      <c r="AU88" s="6">
        <v>0.97344833</v>
      </c>
      <c r="AV88" s="6">
        <v>0.96974131</v>
      </c>
      <c r="AW88" s="6">
        <v>0.97311308</v>
      </c>
      <c r="AX88" s="6">
        <v>0.96580418</v>
      </c>
      <c r="AY88" s="6">
        <v>0.96229362</v>
      </c>
      <c r="AZ88" s="6">
        <v>0.97128734</v>
      </c>
      <c r="BA88" s="6">
        <v>0.96960354</v>
      </c>
      <c r="BB88" s="6">
        <v>0.02655167</v>
      </c>
      <c r="BC88" s="6">
        <v>0.03025869</v>
      </c>
      <c r="BD88" s="6">
        <v>0.02688692</v>
      </c>
      <c r="BE88" s="6">
        <v>0.03419582</v>
      </c>
      <c r="BF88" s="6">
        <v>0.03770638</v>
      </c>
      <c r="BG88" s="6">
        <v>0.02871266</v>
      </c>
      <c r="BH88" s="6">
        <v>0.03039646</v>
      </c>
      <c r="BI88" s="6">
        <v>0.21470859</v>
      </c>
      <c r="BJ88" s="6">
        <v>0.12366373</v>
      </c>
      <c r="BK88" s="6">
        <v>0.1409291</v>
      </c>
      <c r="BL88" s="6">
        <v>0.12522516</v>
      </c>
      <c r="BM88" s="6">
        <v>0.1592662</v>
      </c>
      <c r="BN88" s="6">
        <v>0.17561655</v>
      </c>
      <c r="BO88" s="6">
        <v>0.1337285</v>
      </c>
      <c r="BP88" s="6">
        <v>0.14157076</v>
      </c>
      <c r="BQ88" s="6">
        <v>0.04409859</v>
      </c>
      <c r="BR88" s="6">
        <v>0.03819776</v>
      </c>
      <c r="BS88" s="6">
        <v>0.04047711</v>
      </c>
      <c r="BT88" s="6">
        <v>0.03108848</v>
      </c>
      <c r="BU88" s="6">
        <v>0.03386269</v>
      </c>
      <c r="BV88" s="6">
        <v>0.06197368</v>
      </c>
      <c r="BW88" s="6">
        <v>0.05043815</v>
      </c>
      <c r="BX88" s="12">
        <v>6995</v>
      </c>
      <c r="BY88" s="13">
        <v>2024</v>
      </c>
      <c r="BZ88" s="12">
        <v>16251.93</v>
      </c>
      <c r="CA88" s="6">
        <f t="shared" si="4"/>
        <v>3.45602766798419</v>
      </c>
      <c r="CB88" s="6">
        <f t="shared" si="5"/>
        <v>0.430410418947165</v>
      </c>
      <c r="CC88" s="7">
        <v>75482693.02</v>
      </c>
      <c r="CD88" s="7">
        <f t="shared" si="6"/>
        <v>0.464453717312344</v>
      </c>
      <c r="CE88" s="8">
        <v>141.1</v>
      </c>
      <c r="CF88" s="8">
        <v>3756.3</v>
      </c>
      <c r="CG88" s="8">
        <v>4215.2</v>
      </c>
      <c r="CH88" s="8">
        <v>61458</v>
      </c>
      <c r="CI88" s="14">
        <v>0</v>
      </c>
      <c r="CJ88" s="14">
        <v>0</v>
      </c>
      <c r="CK88" s="14">
        <f t="shared" si="7"/>
        <v>0</v>
      </c>
      <c r="CL88">
        <f t="shared" si="8"/>
        <v>2.18035126729488</v>
      </c>
      <c r="CM88">
        <f t="shared" si="9"/>
        <v>0.786982160040394</v>
      </c>
      <c r="CN88" s="15">
        <v>6995</v>
      </c>
      <c r="CO88" s="15">
        <v>2366</v>
      </c>
      <c r="CP88" s="15">
        <v>33.28</v>
      </c>
      <c r="CQ88" s="15">
        <v>1105.08</v>
      </c>
      <c r="CR88" s="15">
        <v>389.79</v>
      </c>
      <c r="CS88" s="15">
        <v>419.88</v>
      </c>
      <c r="CT88" s="15">
        <v>241.12</v>
      </c>
      <c r="CU88" s="15">
        <v>74.64</v>
      </c>
      <c r="CV88" s="15">
        <v>73.56</v>
      </c>
      <c r="CW88" s="15">
        <v>854</v>
      </c>
    </row>
    <row r="89" spans="1:101">
      <c r="A89" s="6">
        <v>2012</v>
      </c>
      <c r="B89" s="6" t="s">
        <v>103</v>
      </c>
      <c r="C89" s="6">
        <v>0.30563264</v>
      </c>
      <c r="D89" s="6">
        <v>0.051046</v>
      </c>
      <c r="E89" s="6">
        <v>0.013069</v>
      </c>
      <c r="F89" s="6">
        <v>0.022993</v>
      </c>
      <c r="G89" s="6">
        <v>0.008069</v>
      </c>
      <c r="H89" s="6">
        <v>0.006916</v>
      </c>
      <c r="I89" s="6">
        <v>0.053507</v>
      </c>
      <c r="J89" s="6">
        <v>0.025131</v>
      </c>
      <c r="K89" s="6">
        <v>0.34883904</v>
      </c>
      <c r="L89" s="6">
        <v>0.26848208</v>
      </c>
      <c r="M89" s="6">
        <v>0.31047074</v>
      </c>
      <c r="N89" s="6">
        <v>0.21002152</v>
      </c>
      <c r="O89" s="6">
        <v>0.1760865</v>
      </c>
      <c r="P89" s="6">
        <v>0.50618484</v>
      </c>
      <c r="Q89" s="6">
        <v>0.3794134</v>
      </c>
      <c r="R89" s="6">
        <v>217.69486</v>
      </c>
      <c r="S89" s="6">
        <v>0.00160242</v>
      </c>
      <c r="T89" s="6">
        <v>169.97573</v>
      </c>
      <c r="U89" s="6">
        <v>0.00157953</v>
      </c>
      <c r="V89" s="6">
        <v>197.11803</v>
      </c>
      <c r="W89" s="6">
        <v>0.00157505</v>
      </c>
      <c r="X89" s="6">
        <v>134.47093</v>
      </c>
      <c r="Y89" s="6">
        <v>0.00156184</v>
      </c>
      <c r="Z89" s="6">
        <v>134.86767</v>
      </c>
      <c r="AA89" s="6">
        <v>0.00130562</v>
      </c>
      <c r="AB89" s="6">
        <v>294.9318</v>
      </c>
      <c r="AC89" s="6">
        <v>0.00171628</v>
      </c>
      <c r="AD89" s="6">
        <v>243.86163</v>
      </c>
      <c r="AE89" s="6">
        <v>0.00155586</v>
      </c>
      <c r="AF89" s="6">
        <v>775</v>
      </c>
      <c r="AG89" s="6">
        <v>-0.01031357</v>
      </c>
      <c r="AH89" s="6">
        <v>-0.01018897</v>
      </c>
      <c r="AI89" s="6">
        <v>-0.01016454</v>
      </c>
      <c r="AJ89" s="6">
        <v>-0.01009242</v>
      </c>
      <c r="AK89" s="6">
        <v>-0.00867075</v>
      </c>
      <c r="AL89" s="6">
        <v>-0.01092857</v>
      </c>
      <c r="AM89" s="6">
        <v>-0.01005974</v>
      </c>
      <c r="AN89" s="6">
        <v>-6.4762184</v>
      </c>
      <c r="AO89" s="6">
        <v>-6.4515561</v>
      </c>
      <c r="AP89" s="6">
        <v>-6.4739881</v>
      </c>
      <c r="AQ89" s="6">
        <v>-6.4253629</v>
      </c>
      <c r="AR89" s="6">
        <v>-6.4020076</v>
      </c>
      <c r="AS89" s="6">
        <v>-6.4618417</v>
      </c>
      <c r="AT89" s="6">
        <v>-6.4506396</v>
      </c>
      <c r="AU89" s="6">
        <v>0.97344833</v>
      </c>
      <c r="AV89" s="6">
        <v>0.96974131</v>
      </c>
      <c r="AW89" s="6">
        <v>0.97311308</v>
      </c>
      <c r="AX89" s="6">
        <v>0.96580418</v>
      </c>
      <c r="AY89" s="6">
        <v>0.96229362</v>
      </c>
      <c r="AZ89" s="6">
        <v>0.97128734</v>
      </c>
      <c r="BA89" s="6">
        <v>0.96960354</v>
      </c>
      <c r="BB89" s="6">
        <v>0.02655167</v>
      </c>
      <c r="BC89" s="6">
        <v>0.03025869</v>
      </c>
      <c r="BD89" s="6">
        <v>0.02688692</v>
      </c>
      <c r="BE89" s="6">
        <v>0.03419582</v>
      </c>
      <c r="BF89" s="6">
        <v>0.03770638</v>
      </c>
      <c r="BG89" s="6">
        <v>0.02871266</v>
      </c>
      <c r="BH89" s="6">
        <v>0.03039646</v>
      </c>
      <c r="BI89" s="6">
        <v>0.21470859</v>
      </c>
      <c r="BJ89" s="6">
        <v>0.12366373</v>
      </c>
      <c r="BK89" s="6">
        <v>0.1409291</v>
      </c>
      <c r="BL89" s="6">
        <v>0.12522516</v>
      </c>
      <c r="BM89" s="6">
        <v>0.1592662</v>
      </c>
      <c r="BN89" s="6">
        <v>0.17561655</v>
      </c>
      <c r="BO89" s="6">
        <v>0.1337285</v>
      </c>
      <c r="BP89" s="6">
        <v>0.14157076</v>
      </c>
      <c r="BQ89" s="6">
        <v>0.04313874</v>
      </c>
      <c r="BR89" s="6">
        <v>0.03783694</v>
      </c>
      <c r="BS89" s="6">
        <v>0.03887875</v>
      </c>
      <c r="BT89" s="6">
        <v>0.03344933</v>
      </c>
      <c r="BU89" s="6">
        <v>0.0309237</v>
      </c>
      <c r="BV89" s="6">
        <v>0.06769134</v>
      </c>
      <c r="BW89" s="6">
        <v>0.05371384</v>
      </c>
      <c r="BX89" s="12">
        <v>7178</v>
      </c>
      <c r="BY89" s="13">
        <v>2078</v>
      </c>
      <c r="BZ89" s="12">
        <v>17879.4</v>
      </c>
      <c r="CA89" s="6">
        <f t="shared" si="4"/>
        <v>3.45428296438884</v>
      </c>
      <c r="CB89" s="6">
        <f t="shared" si="5"/>
        <v>0.401467610769936</v>
      </c>
      <c r="CC89" s="7">
        <v>78256629.41</v>
      </c>
      <c r="CD89" s="7">
        <f t="shared" si="6"/>
        <v>0.43769158590333</v>
      </c>
      <c r="CE89" s="8">
        <v>147.9</v>
      </c>
      <c r="CF89" s="8">
        <v>4134</v>
      </c>
      <c r="CG89" s="8">
        <v>4761.1</v>
      </c>
      <c r="CH89" s="8">
        <v>66517</v>
      </c>
      <c r="CI89" s="14">
        <v>0</v>
      </c>
      <c r="CJ89" s="14">
        <v>0</v>
      </c>
      <c r="CK89" s="14">
        <f t="shared" si="7"/>
        <v>0</v>
      </c>
      <c r="CL89">
        <f t="shared" si="8"/>
        <v>2.01609935715007</v>
      </c>
      <c r="CM89">
        <f t="shared" si="9"/>
        <v>0.782901777955009</v>
      </c>
      <c r="CN89" s="15">
        <v>7177.68</v>
      </c>
      <c r="CO89" s="15">
        <v>2270</v>
      </c>
      <c r="CP89" s="15">
        <v>32.27</v>
      </c>
      <c r="CQ89" s="15">
        <v>1075.77</v>
      </c>
      <c r="CR89" s="15">
        <v>415.9</v>
      </c>
      <c r="CS89" s="15">
        <v>443.33</v>
      </c>
      <c r="CT89" s="15">
        <v>215.82</v>
      </c>
      <c r="CU89" s="15">
        <v>78.16</v>
      </c>
      <c r="CV89" s="15">
        <v>92.07</v>
      </c>
      <c r="CW89" s="15">
        <v>911.94</v>
      </c>
    </row>
    <row r="90" spans="1:101">
      <c r="A90" s="6">
        <v>2013</v>
      </c>
      <c r="B90" s="6" t="s">
        <v>103</v>
      </c>
      <c r="C90" s="6">
        <v>0.30517614</v>
      </c>
      <c r="D90" s="6">
        <v>0.050205</v>
      </c>
      <c r="E90" s="6">
        <v>0.013001</v>
      </c>
      <c r="F90" s="6">
        <v>0.022926</v>
      </c>
      <c r="G90" s="6">
        <v>0.007452</v>
      </c>
      <c r="H90" s="6">
        <v>0.006826</v>
      </c>
      <c r="I90" s="6">
        <v>0.053561</v>
      </c>
      <c r="J90" s="6">
        <v>0.02672</v>
      </c>
      <c r="K90" s="6">
        <v>0.34224523</v>
      </c>
      <c r="L90" s="6">
        <v>0.26687391</v>
      </c>
      <c r="M90" s="6">
        <v>0.30945203</v>
      </c>
      <c r="N90" s="6">
        <v>0.19178846</v>
      </c>
      <c r="O90" s="6">
        <v>0.17337476</v>
      </c>
      <c r="P90" s="6">
        <v>0.50678897</v>
      </c>
      <c r="Q90" s="6">
        <v>0.40775594</v>
      </c>
      <c r="R90" s="6">
        <v>217.69486</v>
      </c>
      <c r="S90" s="6">
        <v>0.00157213</v>
      </c>
      <c r="T90" s="6">
        <v>169.97573</v>
      </c>
      <c r="U90" s="6">
        <v>0.00157007</v>
      </c>
      <c r="V90" s="6">
        <v>197.11803</v>
      </c>
      <c r="W90" s="6">
        <v>0.00156988</v>
      </c>
      <c r="X90" s="6">
        <v>134.47093</v>
      </c>
      <c r="Y90" s="6">
        <v>0.00142624</v>
      </c>
      <c r="Z90" s="6">
        <v>134.86767</v>
      </c>
      <c r="AA90" s="6">
        <v>0.00128552</v>
      </c>
      <c r="AB90" s="6">
        <v>294.9318</v>
      </c>
      <c r="AC90" s="6">
        <v>0.00171833</v>
      </c>
      <c r="AD90" s="6">
        <v>243.86163</v>
      </c>
      <c r="AE90" s="6">
        <v>0.00167208</v>
      </c>
      <c r="AF90" s="6">
        <v>775</v>
      </c>
      <c r="AG90" s="6">
        <v>-0.01014862</v>
      </c>
      <c r="AH90" s="6">
        <v>-0.01013737</v>
      </c>
      <c r="AI90" s="6">
        <v>-0.01013634</v>
      </c>
      <c r="AJ90" s="6">
        <v>-0.00934577</v>
      </c>
      <c r="AK90" s="6">
        <v>-0.00855717</v>
      </c>
      <c r="AL90" s="6">
        <v>-0.01093956</v>
      </c>
      <c r="AM90" s="6">
        <v>-0.01069075</v>
      </c>
      <c r="AN90" s="6">
        <v>-6.4762184</v>
      </c>
      <c r="AO90" s="6">
        <v>-6.4515561</v>
      </c>
      <c r="AP90" s="6">
        <v>-6.4739881</v>
      </c>
      <c r="AQ90" s="6">
        <v>-6.4253629</v>
      </c>
      <c r="AR90" s="6">
        <v>-6.4020076</v>
      </c>
      <c r="AS90" s="6">
        <v>-6.4618417</v>
      </c>
      <c r="AT90" s="6">
        <v>-6.4506396</v>
      </c>
      <c r="AU90" s="6">
        <v>0.97344833</v>
      </c>
      <c r="AV90" s="6">
        <v>0.96974131</v>
      </c>
      <c r="AW90" s="6">
        <v>0.97311308</v>
      </c>
      <c r="AX90" s="6">
        <v>0.96580418</v>
      </c>
      <c r="AY90" s="6">
        <v>0.96229362</v>
      </c>
      <c r="AZ90" s="6">
        <v>0.97128734</v>
      </c>
      <c r="BA90" s="6">
        <v>0.96960354</v>
      </c>
      <c r="BB90" s="6">
        <v>0.02655167</v>
      </c>
      <c r="BC90" s="6">
        <v>0.03025869</v>
      </c>
      <c r="BD90" s="6">
        <v>0.02688692</v>
      </c>
      <c r="BE90" s="6">
        <v>0.03419582</v>
      </c>
      <c r="BF90" s="6">
        <v>0.03770638</v>
      </c>
      <c r="BG90" s="6">
        <v>0.02871266</v>
      </c>
      <c r="BH90" s="6">
        <v>0.03039646</v>
      </c>
      <c r="BI90" s="6">
        <v>0.21470859</v>
      </c>
      <c r="BJ90" s="6">
        <v>0.12366373</v>
      </c>
      <c r="BK90" s="6">
        <v>0.1409291</v>
      </c>
      <c r="BL90" s="6">
        <v>0.12522516</v>
      </c>
      <c r="BM90" s="6">
        <v>0.1592662</v>
      </c>
      <c r="BN90" s="6">
        <v>0.17561655</v>
      </c>
      <c r="BO90" s="6">
        <v>0.1337285</v>
      </c>
      <c r="BP90" s="6">
        <v>0.14157076</v>
      </c>
      <c r="BQ90" s="6">
        <v>0.04232332</v>
      </c>
      <c r="BR90" s="6">
        <v>0.0376103</v>
      </c>
      <c r="BS90" s="6">
        <v>0.03875118</v>
      </c>
      <c r="BT90" s="6">
        <v>0.03054542</v>
      </c>
      <c r="BU90" s="6">
        <v>0.03044748</v>
      </c>
      <c r="BV90" s="6">
        <v>0.06777213</v>
      </c>
      <c r="BW90" s="6">
        <v>0.05772632</v>
      </c>
      <c r="BX90" s="12">
        <v>6724</v>
      </c>
      <c r="BY90" s="13">
        <v>2125</v>
      </c>
      <c r="BZ90" s="12">
        <v>19800.81</v>
      </c>
      <c r="CA90" s="6">
        <f t="shared" si="4"/>
        <v>3.16423529411765</v>
      </c>
      <c r="CB90" s="6">
        <f t="shared" si="5"/>
        <v>0.339582067602285</v>
      </c>
      <c r="CC90" s="7">
        <v>78033659.5</v>
      </c>
      <c r="CD90" s="7">
        <f t="shared" si="6"/>
        <v>0.394093269416756</v>
      </c>
      <c r="CE90" s="8">
        <v>154.8</v>
      </c>
      <c r="CF90" s="8">
        <v>4407.1</v>
      </c>
      <c r="CG90" s="8">
        <v>5383.6</v>
      </c>
      <c r="CH90" s="8">
        <v>71345</v>
      </c>
      <c r="CI90" s="14">
        <v>0</v>
      </c>
      <c r="CJ90" s="14">
        <v>0</v>
      </c>
      <c r="CK90" s="14">
        <f t="shared" si="7"/>
        <v>0</v>
      </c>
      <c r="CL90">
        <f t="shared" si="8"/>
        <v>1.91398219724656</v>
      </c>
      <c r="CM90">
        <f t="shared" si="9"/>
        <v>0.794097735086724</v>
      </c>
      <c r="CN90" s="15">
        <v>6724</v>
      </c>
      <c r="CO90" s="15">
        <v>2019.23</v>
      </c>
      <c r="CP90" s="15">
        <v>0.79</v>
      </c>
      <c r="CQ90" s="15">
        <v>870.92</v>
      </c>
      <c r="CR90" s="15">
        <v>423.61</v>
      </c>
      <c r="CS90" s="15">
        <v>477.06</v>
      </c>
      <c r="CT90" s="15">
        <v>193.9</v>
      </c>
      <c r="CU90" s="15">
        <v>8.3</v>
      </c>
      <c r="CV90" s="15">
        <v>98.81</v>
      </c>
      <c r="CW90" s="15">
        <v>913.11</v>
      </c>
    </row>
    <row r="91" spans="1:101">
      <c r="A91" s="6">
        <v>2014</v>
      </c>
      <c r="B91" s="6" t="s">
        <v>103</v>
      </c>
      <c r="C91" s="6">
        <v>0.33747034</v>
      </c>
      <c r="D91" s="6">
        <v>0.05353</v>
      </c>
      <c r="E91" s="6">
        <v>0.013538</v>
      </c>
      <c r="F91" s="6">
        <v>0.02359</v>
      </c>
      <c r="G91" s="6">
        <v>0.008416</v>
      </c>
      <c r="H91" s="6">
        <v>0.007987</v>
      </c>
      <c r="I91" s="6">
        <v>0.057259</v>
      </c>
      <c r="J91" s="6">
        <v>0.030591</v>
      </c>
      <c r="K91" s="6">
        <v>0.36832689</v>
      </c>
      <c r="L91" s="6">
        <v>0.27956606</v>
      </c>
      <c r="M91" s="6">
        <v>0.3196536</v>
      </c>
      <c r="N91" s="6">
        <v>0.22027831</v>
      </c>
      <c r="O91" s="6">
        <v>0.20854703</v>
      </c>
      <c r="P91" s="6">
        <v>0.54798364</v>
      </c>
      <c r="Q91" s="6">
        <v>0.47683413</v>
      </c>
      <c r="R91" s="6">
        <v>217.69486</v>
      </c>
      <c r="S91" s="6">
        <v>0.00169194</v>
      </c>
      <c r="T91" s="6">
        <v>169.97573</v>
      </c>
      <c r="U91" s="6">
        <v>0.00164474</v>
      </c>
      <c r="V91" s="6">
        <v>197.11803</v>
      </c>
      <c r="W91" s="6">
        <v>0.00162164</v>
      </c>
      <c r="X91" s="6">
        <v>134.47093</v>
      </c>
      <c r="Y91" s="6">
        <v>0.00163811</v>
      </c>
      <c r="Z91" s="6">
        <v>134.86767</v>
      </c>
      <c r="AA91" s="6">
        <v>0.00154631</v>
      </c>
      <c r="AB91" s="6">
        <v>294.9318</v>
      </c>
      <c r="AC91" s="6">
        <v>0.001858</v>
      </c>
      <c r="AD91" s="6">
        <v>243.86163</v>
      </c>
      <c r="AE91" s="6">
        <v>0.00195535</v>
      </c>
      <c r="AF91" s="6">
        <v>775</v>
      </c>
      <c r="AG91" s="6">
        <v>-0.01079776</v>
      </c>
      <c r="AH91" s="6">
        <v>-0.01054307</v>
      </c>
      <c r="AI91" s="6">
        <v>-0.01041791</v>
      </c>
      <c r="AJ91" s="6">
        <v>-0.01050719</v>
      </c>
      <c r="AK91" s="6">
        <v>-0.01000753</v>
      </c>
      <c r="AL91" s="6">
        <v>-0.01168358</v>
      </c>
      <c r="AM91" s="6">
        <v>-0.01219587</v>
      </c>
      <c r="AN91" s="6">
        <v>-6.4762184</v>
      </c>
      <c r="AO91" s="6">
        <v>-6.4515561</v>
      </c>
      <c r="AP91" s="6">
        <v>-6.4739881</v>
      </c>
      <c r="AQ91" s="6">
        <v>-6.4253629</v>
      </c>
      <c r="AR91" s="6">
        <v>-6.4020076</v>
      </c>
      <c r="AS91" s="6">
        <v>-6.4618417</v>
      </c>
      <c r="AT91" s="6">
        <v>-6.4506396</v>
      </c>
      <c r="AU91" s="6">
        <v>0.97344833</v>
      </c>
      <c r="AV91" s="6">
        <v>0.96974131</v>
      </c>
      <c r="AW91" s="6">
        <v>0.97311308</v>
      </c>
      <c r="AX91" s="6">
        <v>0.96580418</v>
      </c>
      <c r="AY91" s="6">
        <v>0.96229362</v>
      </c>
      <c r="AZ91" s="6">
        <v>0.97128734</v>
      </c>
      <c r="BA91" s="6">
        <v>0.96960354</v>
      </c>
      <c r="BB91" s="6">
        <v>0.02655167</v>
      </c>
      <c r="BC91" s="6">
        <v>0.03025869</v>
      </c>
      <c r="BD91" s="6">
        <v>0.02688692</v>
      </c>
      <c r="BE91" s="6">
        <v>0.03419582</v>
      </c>
      <c r="BF91" s="6">
        <v>0.03770638</v>
      </c>
      <c r="BG91" s="6">
        <v>0.02871266</v>
      </c>
      <c r="BH91" s="6">
        <v>0.03039646</v>
      </c>
      <c r="BI91" s="6">
        <v>0.21470859</v>
      </c>
      <c r="BJ91" s="6">
        <v>0.12366373</v>
      </c>
      <c r="BK91" s="6">
        <v>0.1409291</v>
      </c>
      <c r="BL91" s="6">
        <v>0.12522516</v>
      </c>
      <c r="BM91" s="6">
        <v>0.1592662</v>
      </c>
      <c r="BN91" s="6">
        <v>0.17561655</v>
      </c>
      <c r="BO91" s="6">
        <v>0.1337285</v>
      </c>
      <c r="BP91" s="6">
        <v>0.14157076</v>
      </c>
      <c r="BQ91" s="6">
        <v>0.04554868</v>
      </c>
      <c r="BR91" s="6">
        <v>0.03939899</v>
      </c>
      <c r="BS91" s="6">
        <v>0.04002867</v>
      </c>
      <c r="BT91" s="6">
        <v>0.03508289</v>
      </c>
      <c r="BU91" s="6">
        <v>0.03662431</v>
      </c>
      <c r="BV91" s="6">
        <v>0.07328103</v>
      </c>
      <c r="BW91" s="6">
        <v>0.06750577</v>
      </c>
      <c r="BX91" s="12">
        <v>6831</v>
      </c>
      <c r="BY91" s="13">
        <v>2171</v>
      </c>
      <c r="BZ91" s="12">
        <v>21330.83</v>
      </c>
      <c r="CA91" s="6">
        <f t="shared" ref="CA91:CA154" si="10">BX91/BY91</f>
        <v>3.1464762782128</v>
      </c>
      <c r="CB91" s="6">
        <f t="shared" ref="CB91:CB154" si="11">BX91/BZ91</f>
        <v>0.320240703245021</v>
      </c>
      <c r="CC91" s="7">
        <v>79358140.29</v>
      </c>
      <c r="CD91" s="7">
        <f t="shared" si="6"/>
        <v>0.3720349385842</v>
      </c>
      <c r="CE91" s="8">
        <v>158.8</v>
      </c>
      <c r="CF91" s="8">
        <v>4615.5</v>
      </c>
      <c r="CG91" s="8">
        <v>5866.3</v>
      </c>
      <c r="CH91" s="8">
        <v>74960</v>
      </c>
      <c r="CI91" s="14">
        <v>0</v>
      </c>
      <c r="CJ91" s="14">
        <v>0</v>
      </c>
      <c r="CK91" s="14">
        <f t="shared" si="7"/>
        <v>0</v>
      </c>
      <c r="CL91">
        <f t="shared" si="8"/>
        <v>1.79640226266579</v>
      </c>
      <c r="CM91">
        <f t="shared" si="9"/>
        <v>0.792899983307683</v>
      </c>
      <c r="CN91" s="15">
        <v>6831.23</v>
      </c>
      <c r="CO91" s="15">
        <v>1736.54</v>
      </c>
      <c r="CP91" s="15">
        <v>0.64</v>
      </c>
      <c r="CQ91" s="15">
        <v>1034.62</v>
      </c>
      <c r="CR91" s="15">
        <v>440.62</v>
      </c>
      <c r="CS91" s="15">
        <v>507.58</v>
      </c>
      <c r="CT91" s="15">
        <v>196.46</v>
      </c>
      <c r="CU91" s="15">
        <v>5.63</v>
      </c>
      <c r="CV91" s="15">
        <v>113.7</v>
      </c>
      <c r="CW91" s="15">
        <v>937.05</v>
      </c>
    </row>
    <row r="92" spans="1:101">
      <c r="A92" s="6">
        <v>2015</v>
      </c>
      <c r="B92" s="6" t="s">
        <v>103</v>
      </c>
      <c r="C92" s="6">
        <v>0.32274461</v>
      </c>
      <c r="D92" s="6">
        <v>0.051395</v>
      </c>
      <c r="E92" s="6">
        <v>0.01309</v>
      </c>
      <c r="F92" s="6">
        <v>0.022743</v>
      </c>
      <c r="G92" s="6">
        <v>0.007506</v>
      </c>
      <c r="H92" s="6">
        <v>0.008056</v>
      </c>
      <c r="I92" s="6">
        <v>0.056986</v>
      </c>
      <c r="J92" s="6">
        <v>0.028529</v>
      </c>
      <c r="K92" s="6">
        <v>0.35157659</v>
      </c>
      <c r="L92" s="6">
        <v>0.26899635</v>
      </c>
      <c r="M92" s="6">
        <v>0.30663605</v>
      </c>
      <c r="N92" s="6">
        <v>0.19337511</v>
      </c>
      <c r="O92" s="6">
        <v>0.21063062</v>
      </c>
      <c r="P92" s="6">
        <v>0.54494288</v>
      </c>
      <c r="Q92" s="6">
        <v>0.44003884</v>
      </c>
      <c r="R92" s="6">
        <v>217.69486</v>
      </c>
      <c r="S92" s="6">
        <v>0.001615</v>
      </c>
      <c r="T92" s="6">
        <v>169.97573</v>
      </c>
      <c r="U92" s="6">
        <v>0.00158256</v>
      </c>
      <c r="V92" s="6">
        <v>197.11803</v>
      </c>
      <c r="W92" s="6">
        <v>0.0015556</v>
      </c>
      <c r="X92" s="6">
        <v>134.47093</v>
      </c>
      <c r="Y92" s="6">
        <v>0.00143804</v>
      </c>
      <c r="Z92" s="6">
        <v>134.86767</v>
      </c>
      <c r="AA92" s="6">
        <v>0.00156176</v>
      </c>
      <c r="AB92" s="6">
        <v>294.9318</v>
      </c>
      <c r="AC92" s="6">
        <v>0.00184769</v>
      </c>
      <c r="AD92" s="6">
        <v>243.86163</v>
      </c>
      <c r="AE92" s="6">
        <v>0.00180446</v>
      </c>
      <c r="AF92" s="6">
        <v>775</v>
      </c>
      <c r="AG92" s="6">
        <v>-0.01038188</v>
      </c>
      <c r="AH92" s="6">
        <v>-0.01020546</v>
      </c>
      <c r="AI92" s="6">
        <v>-0.01005832</v>
      </c>
      <c r="AJ92" s="6">
        <v>-0.00941124</v>
      </c>
      <c r="AK92" s="6">
        <v>-0.01009199</v>
      </c>
      <c r="AL92" s="6">
        <v>-0.01162903</v>
      </c>
      <c r="AM92" s="6">
        <v>-0.01139967</v>
      </c>
      <c r="AN92" s="6">
        <v>-6.4762184</v>
      </c>
      <c r="AO92" s="6">
        <v>-6.4515561</v>
      </c>
      <c r="AP92" s="6">
        <v>-6.4739881</v>
      </c>
      <c r="AQ92" s="6">
        <v>-6.4253629</v>
      </c>
      <c r="AR92" s="6">
        <v>-6.4020076</v>
      </c>
      <c r="AS92" s="6">
        <v>-6.4618417</v>
      </c>
      <c r="AT92" s="6">
        <v>-6.4506396</v>
      </c>
      <c r="AU92" s="6">
        <v>0.97344833</v>
      </c>
      <c r="AV92" s="6">
        <v>0.96974131</v>
      </c>
      <c r="AW92" s="6">
        <v>0.97311308</v>
      </c>
      <c r="AX92" s="6">
        <v>0.96580418</v>
      </c>
      <c r="AY92" s="6">
        <v>0.96229362</v>
      </c>
      <c r="AZ92" s="6">
        <v>0.97128734</v>
      </c>
      <c r="BA92" s="6">
        <v>0.96960354</v>
      </c>
      <c r="BB92" s="6">
        <v>0.02655167</v>
      </c>
      <c r="BC92" s="6">
        <v>0.03025869</v>
      </c>
      <c r="BD92" s="6">
        <v>0.02688692</v>
      </c>
      <c r="BE92" s="6">
        <v>0.03419582</v>
      </c>
      <c r="BF92" s="6">
        <v>0.03770638</v>
      </c>
      <c r="BG92" s="6">
        <v>0.02871266</v>
      </c>
      <c r="BH92" s="6">
        <v>0.03039646</v>
      </c>
      <c r="BI92" s="6">
        <v>0.21470859</v>
      </c>
      <c r="BJ92" s="6">
        <v>0.12366373</v>
      </c>
      <c r="BK92" s="6">
        <v>0.1409291</v>
      </c>
      <c r="BL92" s="6">
        <v>0.12522516</v>
      </c>
      <c r="BM92" s="6">
        <v>0.1592662</v>
      </c>
      <c r="BN92" s="6">
        <v>0.17561655</v>
      </c>
      <c r="BO92" s="6">
        <v>0.1337285</v>
      </c>
      <c r="BP92" s="6">
        <v>0.14157076</v>
      </c>
      <c r="BQ92" s="6">
        <v>0.04347727</v>
      </c>
      <c r="BR92" s="6">
        <v>0.03790941</v>
      </c>
      <c r="BS92" s="6">
        <v>0.03839855</v>
      </c>
      <c r="BT92" s="6">
        <v>0.03079812</v>
      </c>
      <c r="BU92" s="6">
        <v>0.03699022</v>
      </c>
      <c r="BV92" s="6">
        <v>0.07287439</v>
      </c>
      <c r="BW92" s="6">
        <v>0.06229664</v>
      </c>
      <c r="BX92" s="12">
        <v>6803</v>
      </c>
      <c r="BY92" s="13">
        <v>2188</v>
      </c>
      <c r="BZ92" s="12">
        <v>23014.59</v>
      </c>
      <c r="CA92" s="6">
        <f t="shared" si="10"/>
        <v>3.10923217550274</v>
      </c>
      <c r="CB92" s="6">
        <f t="shared" si="11"/>
        <v>0.295595098587461</v>
      </c>
      <c r="CC92" s="7">
        <v>80586565.38</v>
      </c>
      <c r="CD92" s="7">
        <f t="shared" si="6"/>
        <v>0.350154251629075</v>
      </c>
      <c r="CE92" s="8">
        <v>162.3</v>
      </c>
      <c r="CF92" s="8">
        <v>4489.6</v>
      </c>
      <c r="CG92" s="8">
        <v>6227.6</v>
      </c>
      <c r="CH92" s="8">
        <v>75868</v>
      </c>
      <c r="CI92" s="14">
        <v>0</v>
      </c>
      <c r="CJ92" s="14">
        <v>0</v>
      </c>
      <c r="CK92" s="14">
        <f t="shared" si="7"/>
        <v>0</v>
      </c>
      <c r="CL92">
        <f t="shared" si="8"/>
        <v>1.71577514742415</v>
      </c>
      <c r="CM92">
        <f t="shared" si="9"/>
        <v>0.79592066468922</v>
      </c>
      <c r="CN92" s="15">
        <v>6803</v>
      </c>
      <c r="CO92" s="15">
        <v>1165.18</v>
      </c>
      <c r="CP92" s="15">
        <v>0.44</v>
      </c>
      <c r="CQ92" s="15">
        <v>991.54</v>
      </c>
      <c r="CR92" s="15">
        <v>462.75</v>
      </c>
      <c r="CS92" s="15">
        <v>544.38</v>
      </c>
      <c r="CT92" s="15">
        <v>182.35</v>
      </c>
      <c r="CU92" s="15">
        <v>4.91</v>
      </c>
      <c r="CV92" s="15">
        <v>146.88</v>
      </c>
      <c r="CW92" s="15">
        <v>953</v>
      </c>
    </row>
    <row r="93" spans="1:101">
      <c r="A93" s="6">
        <v>2016</v>
      </c>
      <c r="B93" s="6" t="s">
        <v>103</v>
      </c>
      <c r="C93" s="6">
        <v>0.34693518</v>
      </c>
      <c r="D93" s="6">
        <v>0.054795</v>
      </c>
      <c r="E93" s="6">
        <v>0.013157</v>
      </c>
      <c r="F93" s="6">
        <v>0.025315</v>
      </c>
      <c r="G93" s="6">
        <v>0.008343</v>
      </c>
      <c r="H93" s="6">
        <v>0.00798</v>
      </c>
      <c r="I93" s="6">
        <v>0.060771</v>
      </c>
      <c r="J93" s="6">
        <v>0.031119</v>
      </c>
      <c r="K93" s="6">
        <v>0.37824999</v>
      </c>
      <c r="L93" s="6">
        <v>0.27056979</v>
      </c>
      <c r="M93" s="6">
        <v>0.34616896</v>
      </c>
      <c r="N93" s="6">
        <v>0.21812065</v>
      </c>
      <c r="O93" s="6">
        <v>0.20834608</v>
      </c>
      <c r="P93" s="6">
        <v>0.5870941</v>
      </c>
      <c r="Q93" s="6">
        <v>0.48625632</v>
      </c>
      <c r="R93" s="6">
        <v>217.69486</v>
      </c>
      <c r="S93" s="6">
        <v>0.00173752</v>
      </c>
      <c r="T93" s="6">
        <v>169.97573</v>
      </c>
      <c r="U93" s="6">
        <v>0.00159181</v>
      </c>
      <c r="V93" s="6">
        <v>197.11803</v>
      </c>
      <c r="W93" s="6">
        <v>0.00175615</v>
      </c>
      <c r="X93" s="6">
        <v>134.47093</v>
      </c>
      <c r="Y93" s="6">
        <v>0.00162207</v>
      </c>
      <c r="Z93" s="6">
        <v>134.86767</v>
      </c>
      <c r="AA93" s="6">
        <v>0.00154482</v>
      </c>
      <c r="AB93" s="6">
        <v>294.9318</v>
      </c>
      <c r="AC93" s="6">
        <v>0.00199061</v>
      </c>
      <c r="AD93" s="6">
        <v>243.86163</v>
      </c>
      <c r="AE93" s="6">
        <v>0.00199398</v>
      </c>
      <c r="AF93" s="6">
        <v>775</v>
      </c>
      <c r="AG93" s="6">
        <v>-0.01104247</v>
      </c>
      <c r="AH93" s="6">
        <v>-0.01025587</v>
      </c>
      <c r="AI93" s="6">
        <v>-0.01114213</v>
      </c>
      <c r="AJ93" s="6">
        <v>-0.01042024</v>
      </c>
      <c r="AK93" s="6">
        <v>-0.00999938</v>
      </c>
      <c r="AL93" s="6">
        <v>-0.01238023</v>
      </c>
      <c r="AM93" s="6">
        <v>-0.01239784</v>
      </c>
      <c r="AN93" s="6">
        <v>-6.4762184</v>
      </c>
      <c r="AO93" s="6">
        <v>-6.4515561</v>
      </c>
      <c r="AP93" s="6">
        <v>-6.4739881</v>
      </c>
      <c r="AQ93" s="6">
        <v>-6.4253629</v>
      </c>
      <c r="AR93" s="6">
        <v>-6.4020076</v>
      </c>
      <c r="AS93" s="6">
        <v>-6.4618417</v>
      </c>
      <c r="AT93" s="6">
        <v>-6.4506396</v>
      </c>
      <c r="AU93" s="6">
        <v>0.97344833</v>
      </c>
      <c r="AV93" s="6">
        <v>0.96974131</v>
      </c>
      <c r="AW93" s="6">
        <v>0.97311308</v>
      </c>
      <c r="AX93" s="6">
        <v>0.96580418</v>
      </c>
      <c r="AY93" s="6">
        <v>0.96229362</v>
      </c>
      <c r="AZ93" s="6">
        <v>0.97128734</v>
      </c>
      <c r="BA93" s="6">
        <v>0.96960354</v>
      </c>
      <c r="BB93" s="6">
        <v>0.02655167</v>
      </c>
      <c r="BC93" s="6">
        <v>0.03025869</v>
      </c>
      <c r="BD93" s="6">
        <v>0.02688692</v>
      </c>
      <c r="BE93" s="6">
        <v>0.03419582</v>
      </c>
      <c r="BF93" s="6">
        <v>0.03770638</v>
      </c>
      <c r="BG93" s="6">
        <v>0.02871266</v>
      </c>
      <c r="BH93" s="6">
        <v>0.03039646</v>
      </c>
      <c r="BI93" s="6">
        <v>0.21470859</v>
      </c>
      <c r="BJ93" s="6">
        <v>0.12366373</v>
      </c>
      <c r="BK93" s="6">
        <v>0.1409291</v>
      </c>
      <c r="BL93" s="6">
        <v>0.12522516</v>
      </c>
      <c r="BM93" s="6">
        <v>0.1592662</v>
      </c>
      <c r="BN93" s="6">
        <v>0.17561655</v>
      </c>
      <c r="BO93" s="6">
        <v>0.1337285</v>
      </c>
      <c r="BP93" s="6">
        <v>0.14157076</v>
      </c>
      <c r="BQ93" s="6">
        <v>0.04677581</v>
      </c>
      <c r="BR93" s="6">
        <v>0.03813116</v>
      </c>
      <c r="BS93" s="6">
        <v>0.04334906</v>
      </c>
      <c r="BT93" s="6">
        <v>0.03473925</v>
      </c>
      <c r="BU93" s="6">
        <v>0.03658902</v>
      </c>
      <c r="BV93" s="6">
        <v>0.07851121</v>
      </c>
      <c r="BW93" s="6">
        <v>0.06883968</v>
      </c>
      <c r="BX93" s="12">
        <v>6917</v>
      </c>
      <c r="BY93" s="13">
        <v>2195</v>
      </c>
      <c r="BZ93" s="12">
        <v>25669.13</v>
      </c>
      <c r="CA93" s="6">
        <f t="shared" si="10"/>
        <v>3.15125284738041</v>
      </c>
      <c r="CB93" s="6">
        <f t="shared" si="11"/>
        <v>0.269467644598785</v>
      </c>
      <c r="CC93" s="7">
        <v>74208997.5</v>
      </c>
      <c r="CD93" s="7">
        <f t="shared" si="6"/>
        <v>0.289098218365796</v>
      </c>
      <c r="CE93" s="8">
        <v>168.5</v>
      </c>
      <c r="CF93" s="8">
        <v>4368</v>
      </c>
      <c r="CG93" s="8">
        <v>6940.8</v>
      </c>
      <c r="CH93" s="8">
        <v>79647</v>
      </c>
      <c r="CI93" s="14">
        <v>0</v>
      </c>
      <c r="CJ93" s="14">
        <v>0</v>
      </c>
      <c r="CK93" s="14">
        <f t="shared" si="7"/>
        <v>0</v>
      </c>
      <c r="CL93">
        <f t="shared" si="8"/>
        <v>1.62438398605541</v>
      </c>
      <c r="CM93">
        <f t="shared" si="9"/>
        <v>0.822025936695035</v>
      </c>
      <c r="CN93" s="15">
        <v>6917</v>
      </c>
      <c r="CO93" s="15">
        <v>847.62</v>
      </c>
      <c r="CP93" s="15">
        <v>0.21</v>
      </c>
      <c r="CQ93" s="15">
        <v>821</v>
      </c>
      <c r="CR93" s="15">
        <v>470.37</v>
      </c>
      <c r="CS93" s="15">
        <v>594.27</v>
      </c>
      <c r="CT93" s="15">
        <v>172.69</v>
      </c>
      <c r="CU93" s="15">
        <v>4.64</v>
      </c>
      <c r="CV93" s="15">
        <v>162.31</v>
      </c>
      <c r="CW93" s="15">
        <v>1020.27</v>
      </c>
    </row>
    <row r="94" spans="1:101">
      <c r="A94" s="6">
        <v>2017</v>
      </c>
      <c r="B94" s="6" t="s">
        <v>103</v>
      </c>
      <c r="C94" s="6">
        <v>0.38616063</v>
      </c>
      <c r="D94" s="6">
        <v>0.06344</v>
      </c>
      <c r="E94" s="6">
        <v>0.01554</v>
      </c>
      <c r="F94" s="6">
        <v>0.028379</v>
      </c>
      <c r="G94" s="6">
        <v>0.009048</v>
      </c>
      <c r="H94" s="6">
        <v>0.010473</v>
      </c>
      <c r="I94" s="6">
        <v>0.06076</v>
      </c>
      <c r="J94" s="6">
        <v>0.031292</v>
      </c>
      <c r="K94" s="6">
        <v>0.44605599</v>
      </c>
      <c r="L94" s="6">
        <v>0.32691369</v>
      </c>
      <c r="M94" s="6">
        <v>0.39325832</v>
      </c>
      <c r="N94" s="6">
        <v>0.23896416</v>
      </c>
      <c r="O94" s="6">
        <v>0.28387028</v>
      </c>
      <c r="P94" s="6">
        <v>0.5869744</v>
      </c>
      <c r="Q94" s="6">
        <v>0.4893366</v>
      </c>
      <c r="R94" s="6">
        <v>217.69486</v>
      </c>
      <c r="S94" s="6">
        <v>0.002049</v>
      </c>
      <c r="T94" s="6">
        <v>169.97573</v>
      </c>
      <c r="U94" s="6">
        <v>0.0019233</v>
      </c>
      <c r="V94" s="6">
        <v>197.11803</v>
      </c>
      <c r="W94" s="6">
        <v>0.00199504</v>
      </c>
      <c r="X94" s="6">
        <v>134.47093</v>
      </c>
      <c r="Y94" s="6">
        <v>0.00177707</v>
      </c>
      <c r="Z94" s="6">
        <v>134.86767</v>
      </c>
      <c r="AA94" s="6">
        <v>0.00210481</v>
      </c>
      <c r="AB94" s="6">
        <v>294.9318</v>
      </c>
      <c r="AC94" s="6">
        <v>0.0019902</v>
      </c>
      <c r="AD94" s="6">
        <v>243.86163</v>
      </c>
      <c r="AE94" s="6">
        <v>0.00200662</v>
      </c>
      <c r="AF94" s="6">
        <v>775</v>
      </c>
      <c r="AG94" s="6">
        <v>-0.01268412</v>
      </c>
      <c r="AH94" s="6">
        <v>-0.01202775</v>
      </c>
      <c r="AI94" s="6">
        <v>-0.01240334</v>
      </c>
      <c r="AJ94" s="6">
        <v>-0.01125381</v>
      </c>
      <c r="AK94" s="6">
        <v>-0.01297304</v>
      </c>
      <c r="AL94" s="6">
        <v>-0.01237811</v>
      </c>
      <c r="AM94" s="6">
        <v>-0.0124637</v>
      </c>
      <c r="AN94" s="6">
        <v>-6.4762184</v>
      </c>
      <c r="AO94" s="6">
        <v>-6.4515561</v>
      </c>
      <c r="AP94" s="6">
        <v>-6.4739881</v>
      </c>
      <c r="AQ94" s="6">
        <v>-6.4253629</v>
      </c>
      <c r="AR94" s="6">
        <v>-6.4020076</v>
      </c>
      <c r="AS94" s="6">
        <v>-6.4618417</v>
      </c>
      <c r="AT94" s="6">
        <v>-6.4506396</v>
      </c>
      <c r="AU94" s="6">
        <v>0.97344833</v>
      </c>
      <c r="AV94" s="6">
        <v>0.96974131</v>
      </c>
      <c r="AW94" s="6">
        <v>0.97311308</v>
      </c>
      <c r="AX94" s="6">
        <v>0.96580418</v>
      </c>
      <c r="AY94" s="6">
        <v>0.96229362</v>
      </c>
      <c r="AZ94" s="6">
        <v>0.97128734</v>
      </c>
      <c r="BA94" s="6">
        <v>0.96960354</v>
      </c>
      <c r="BB94" s="6">
        <v>0.02655167</v>
      </c>
      <c r="BC94" s="6">
        <v>0.03025869</v>
      </c>
      <c r="BD94" s="6">
        <v>0.02688692</v>
      </c>
      <c r="BE94" s="6">
        <v>0.03419582</v>
      </c>
      <c r="BF94" s="6">
        <v>0.03770638</v>
      </c>
      <c r="BG94" s="6">
        <v>0.02871266</v>
      </c>
      <c r="BH94" s="6">
        <v>0.03039646</v>
      </c>
      <c r="BI94" s="6">
        <v>0.21470859</v>
      </c>
      <c r="BJ94" s="6">
        <v>0.12366373</v>
      </c>
      <c r="BK94" s="6">
        <v>0.1409291</v>
      </c>
      <c r="BL94" s="6">
        <v>0.12522516</v>
      </c>
      <c r="BM94" s="6">
        <v>0.1592662</v>
      </c>
      <c r="BN94" s="6">
        <v>0.17561655</v>
      </c>
      <c r="BO94" s="6">
        <v>0.1337285</v>
      </c>
      <c r="BP94" s="6">
        <v>0.14157076</v>
      </c>
      <c r="BQ94" s="6">
        <v>0.05516095</v>
      </c>
      <c r="BR94" s="6">
        <v>0.04607165</v>
      </c>
      <c r="BS94" s="6">
        <v>0.04924584</v>
      </c>
      <c r="BT94" s="6">
        <v>0.03805891</v>
      </c>
      <c r="BU94" s="6">
        <v>0.04985232</v>
      </c>
      <c r="BV94" s="6">
        <v>0.0784952</v>
      </c>
      <c r="BW94" s="6">
        <v>0.06927576</v>
      </c>
      <c r="BX94" s="12">
        <v>7088</v>
      </c>
      <c r="BY94" s="13">
        <v>2194</v>
      </c>
      <c r="BZ94" s="12">
        <v>28014.94</v>
      </c>
      <c r="CA94" s="6">
        <f t="shared" si="10"/>
        <v>3.2306289881495</v>
      </c>
      <c r="CB94" s="6">
        <f t="shared" si="11"/>
        <v>0.253007859377889</v>
      </c>
      <c r="CC94" s="7">
        <v>76289375.29</v>
      </c>
      <c r="CD94" s="7">
        <f t="shared" si="6"/>
        <v>0.272316754167598</v>
      </c>
      <c r="CE94" s="8">
        <v>169</v>
      </c>
      <c r="CF94" s="8">
        <v>4564.1</v>
      </c>
      <c r="CG94" s="8">
        <v>7717.5</v>
      </c>
      <c r="CH94" s="8">
        <v>87280</v>
      </c>
      <c r="CI94" s="14">
        <v>1</v>
      </c>
      <c r="CJ94" s="14">
        <v>0</v>
      </c>
      <c r="CK94" s="14">
        <f t="shared" si="7"/>
        <v>0</v>
      </c>
      <c r="CL94">
        <f t="shared" si="8"/>
        <v>1.56738551218677</v>
      </c>
      <c r="CM94">
        <f t="shared" si="9"/>
        <v>0.826260513415318</v>
      </c>
      <c r="CN94" s="15">
        <v>7088</v>
      </c>
      <c r="CO94" s="15">
        <v>490.46</v>
      </c>
      <c r="CP94" s="15">
        <v>0.18</v>
      </c>
      <c r="CQ94" s="15">
        <v>892.54</v>
      </c>
      <c r="CR94" s="15">
        <v>489.85</v>
      </c>
      <c r="CS94" s="15">
        <v>644</v>
      </c>
      <c r="CT94" s="15">
        <v>175.11</v>
      </c>
      <c r="CU94" s="15">
        <v>2.81</v>
      </c>
      <c r="CV94" s="15">
        <v>164.56</v>
      </c>
      <c r="CW94" s="15">
        <v>1066.89</v>
      </c>
    </row>
    <row r="95" spans="1:101">
      <c r="A95" s="6">
        <v>2018</v>
      </c>
      <c r="B95" s="6" t="s">
        <v>103</v>
      </c>
      <c r="C95" s="6">
        <v>0.37520201</v>
      </c>
      <c r="D95" s="6">
        <v>0.061512</v>
      </c>
      <c r="E95" s="6">
        <v>0.0163</v>
      </c>
      <c r="F95" s="6">
        <v>0.02769</v>
      </c>
      <c r="G95" s="6">
        <v>0.009483</v>
      </c>
      <c r="H95" s="6">
        <v>0.008039</v>
      </c>
      <c r="I95" s="6">
        <v>0.060976</v>
      </c>
      <c r="J95" s="6">
        <v>0.031406</v>
      </c>
      <c r="K95" s="6">
        <v>0.43093403</v>
      </c>
      <c r="L95" s="6">
        <v>0.34487963</v>
      </c>
      <c r="M95" s="6">
        <v>0.38266786</v>
      </c>
      <c r="N95" s="6">
        <v>0.25181855</v>
      </c>
      <c r="O95" s="6">
        <v>0.21012293</v>
      </c>
      <c r="P95" s="6">
        <v>0.589382</v>
      </c>
      <c r="Q95" s="6">
        <v>0.49136889</v>
      </c>
      <c r="R95" s="6">
        <v>217.69486</v>
      </c>
      <c r="S95" s="6">
        <v>0.00197953</v>
      </c>
      <c r="T95" s="6">
        <v>169.97573</v>
      </c>
      <c r="U95" s="6">
        <v>0.00202899</v>
      </c>
      <c r="V95" s="6">
        <v>197.11803</v>
      </c>
      <c r="W95" s="6">
        <v>0.00194131</v>
      </c>
      <c r="X95" s="6">
        <v>134.47093</v>
      </c>
      <c r="Y95" s="6">
        <v>0.00187266</v>
      </c>
      <c r="Z95" s="6">
        <v>134.86767</v>
      </c>
      <c r="AA95" s="6">
        <v>0.00155799</v>
      </c>
      <c r="AB95" s="6">
        <v>294.9318</v>
      </c>
      <c r="AC95" s="6">
        <v>0.00199837</v>
      </c>
      <c r="AD95" s="6">
        <v>243.86163</v>
      </c>
      <c r="AE95" s="6">
        <v>0.00201495</v>
      </c>
      <c r="AF95" s="6">
        <v>775</v>
      </c>
      <c r="AG95" s="6">
        <v>-0.01232238</v>
      </c>
      <c r="AH95" s="6">
        <v>-0.0125802</v>
      </c>
      <c r="AI95" s="6">
        <v>-0.01212232</v>
      </c>
      <c r="AJ95" s="6">
        <v>-0.01176105</v>
      </c>
      <c r="AK95" s="6">
        <v>-0.01007142</v>
      </c>
      <c r="AL95" s="6">
        <v>-0.0124207</v>
      </c>
      <c r="AM95" s="6">
        <v>-0.01250712</v>
      </c>
      <c r="AN95" s="6">
        <v>-6.4762184</v>
      </c>
      <c r="AO95" s="6">
        <v>-6.4515561</v>
      </c>
      <c r="AP95" s="6">
        <v>-6.4739881</v>
      </c>
      <c r="AQ95" s="6">
        <v>-6.4253629</v>
      </c>
      <c r="AR95" s="6">
        <v>-6.4020076</v>
      </c>
      <c r="AS95" s="6">
        <v>-6.4618417</v>
      </c>
      <c r="AT95" s="6">
        <v>-6.4506396</v>
      </c>
      <c r="AU95" s="6">
        <v>0.97344833</v>
      </c>
      <c r="AV95" s="6">
        <v>0.96974131</v>
      </c>
      <c r="AW95" s="6">
        <v>0.97311308</v>
      </c>
      <c r="AX95" s="6">
        <v>0.96580418</v>
      </c>
      <c r="AY95" s="6">
        <v>0.96229362</v>
      </c>
      <c r="AZ95" s="6">
        <v>0.97128734</v>
      </c>
      <c r="BA95" s="6">
        <v>0.96960354</v>
      </c>
      <c r="BB95" s="6">
        <v>0.02655167</v>
      </c>
      <c r="BC95" s="6">
        <v>0.03025869</v>
      </c>
      <c r="BD95" s="6">
        <v>0.02688692</v>
      </c>
      <c r="BE95" s="6">
        <v>0.03419582</v>
      </c>
      <c r="BF95" s="6">
        <v>0.03770638</v>
      </c>
      <c r="BG95" s="6">
        <v>0.02871266</v>
      </c>
      <c r="BH95" s="6">
        <v>0.03039646</v>
      </c>
      <c r="BI95" s="6">
        <v>0.21470859</v>
      </c>
      <c r="BJ95" s="6">
        <v>0.12366373</v>
      </c>
      <c r="BK95" s="6">
        <v>0.1409291</v>
      </c>
      <c r="BL95" s="6">
        <v>0.12522516</v>
      </c>
      <c r="BM95" s="6">
        <v>0.1592662</v>
      </c>
      <c r="BN95" s="6">
        <v>0.17561655</v>
      </c>
      <c r="BO95" s="6">
        <v>0.1337285</v>
      </c>
      <c r="BP95" s="6">
        <v>0.14157076</v>
      </c>
      <c r="BQ95" s="6">
        <v>0.05329091</v>
      </c>
      <c r="BR95" s="6">
        <v>0.04860357</v>
      </c>
      <c r="BS95" s="6">
        <v>0.04791964</v>
      </c>
      <c r="BT95" s="6">
        <v>0.04010618</v>
      </c>
      <c r="BU95" s="6">
        <v>0.03690106</v>
      </c>
      <c r="BV95" s="6">
        <v>0.07881717</v>
      </c>
      <c r="BW95" s="6">
        <v>0.06956347</v>
      </c>
      <c r="BX95" s="12">
        <v>7270</v>
      </c>
      <c r="BY95" s="13">
        <v>2192</v>
      </c>
      <c r="BZ95" s="12">
        <v>30319.98</v>
      </c>
      <c r="CA95" s="6">
        <f t="shared" si="10"/>
        <v>3.31660583941606</v>
      </c>
      <c r="CB95" s="6">
        <f t="shared" si="11"/>
        <v>0.239775883757179</v>
      </c>
      <c r="CC95" s="7">
        <v>77590274.28</v>
      </c>
      <c r="CD95" s="7">
        <f t="shared" si="6"/>
        <v>0.25590476735143</v>
      </c>
      <c r="CE95" s="8">
        <v>175.3</v>
      </c>
      <c r="CF95" s="8">
        <v>4835.3</v>
      </c>
      <c r="CG95" s="8">
        <v>8352.3</v>
      </c>
      <c r="CH95" s="8">
        <v>95689</v>
      </c>
      <c r="CI95" s="14">
        <v>1</v>
      </c>
      <c r="CJ95" s="14">
        <v>0</v>
      </c>
      <c r="CK95" s="14">
        <f t="shared" si="7"/>
        <v>0</v>
      </c>
      <c r="CL95">
        <f t="shared" si="8"/>
        <v>1.51591455826218</v>
      </c>
      <c r="CM95">
        <f t="shared" si="9"/>
        <v>0.831187868764321</v>
      </c>
      <c r="CN95" s="15">
        <v>7270</v>
      </c>
      <c r="CO95" s="15">
        <v>276.19</v>
      </c>
      <c r="CP95" s="15">
        <v>0.01</v>
      </c>
      <c r="CQ95" s="15">
        <v>911.78</v>
      </c>
      <c r="CR95" s="15">
        <v>493.6</v>
      </c>
      <c r="CS95" s="15">
        <v>691.03</v>
      </c>
      <c r="CT95" s="15">
        <v>178.78</v>
      </c>
      <c r="CU95" s="15">
        <v>1.54</v>
      </c>
      <c r="CV95" s="15">
        <v>187.88</v>
      </c>
      <c r="CW95" s="15">
        <v>1142.38</v>
      </c>
    </row>
    <row r="96" spans="1:101">
      <c r="A96" s="6">
        <v>2019</v>
      </c>
      <c r="B96" s="6" t="s">
        <v>103</v>
      </c>
      <c r="C96" s="6">
        <v>0.40602122</v>
      </c>
      <c r="D96" s="6">
        <v>0.067838</v>
      </c>
      <c r="E96" s="6">
        <v>0.017318</v>
      </c>
      <c r="F96" s="6">
        <v>0.03069</v>
      </c>
      <c r="G96" s="6">
        <v>0.009857</v>
      </c>
      <c r="H96" s="6">
        <v>0.009973</v>
      </c>
      <c r="I96" s="6">
        <v>0.061517</v>
      </c>
      <c r="J96" s="6">
        <v>0.032458</v>
      </c>
      <c r="K96" s="6">
        <v>0.4805551</v>
      </c>
      <c r="L96" s="6">
        <v>0.3689419</v>
      </c>
      <c r="M96" s="6">
        <v>0.42877595</v>
      </c>
      <c r="N96" s="6">
        <v>0.26287042</v>
      </c>
      <c r="O96" s="6">
        <v>0.26874294</v>
      </c>
      <c r="P96" s="6">
        <v>0.59540287</v>
      </c>
      <c r="Q96" s="6">
        <v>0.51014336</v>
      </c>
      <c r="R96" s="6">
        <v>217.69486</v>
      </c>
      <c r="S96" s="6">
        <v>0.00220747</v>
      </c>
      <c r="T96" s="6">
        <v>169.97573</v>
      </c>
      <c r="U96" s="6">
        <v>0.00217056</v>
      </c>
      <c r="V96" s="6">
        <v>197.11803</v>
      </c>
      <c r="W96" s="6">
        <v>0.00217522</v>
      </c>
      <c r="X96" s="6">
        <v>134.47093</v>
      </c>
      <c r="Y96" s="6">
        <v>0.00195485</v>
      </c>
      <c r="Z96" s="6">
        <v>134.86767</v>
      </c>
      <c r="AA96" s="6">
        <v>0.00199264</v>
      </c>
      <c r="AB96" s="6">
        <v>294.9318</v>
      </c>
      <c r="AC96" s="6">
        <v>0.00201878</v>
      </c>
      <c r="AD96" s="6">
        <v>243.86163</v>
      </c>
      <c r="AE96" s="6">
        <v>0.00209194</v>
      </c>
      <c r="AF96" s="6">
        <v>775</v>
      </c>
      <c r="AG96" s="6">
        <v>-0.01350069</v>
      </c>
      <c r="AH96" s="6">
        <v>-0.01331153</v>
      </c>
      <c r="AI96" s="6">
        <v>-0.01333548</v>
      </c>
      <c r="AJ96" s="6">
        <v>-0.01219326</v>
      </c>
      <c r="AK96" s="6">
        <v>-0.01239083</v>
      </c>
      <c r="AL96" s="6">
        <v>-0.01252707</v>
      </c>
      <c r="AM96" s="6">
        <v>-0.01290655</v>
      </c>
      <c r="AN96" s="6">
        <v>-6.4762184</v>
      </c>
      <c r="AO96" s="6">
        <v>-6.4515561</v>
      </c>
      <c r="AP96" s="6">
        <v>-6.4739881</v>
      </c>
      <c r="AQ96" s="6">
        <v>-6.4253629</v>
      </c>
      <c r="AR96" s="6">
        <v>-6.4020076</v>
      </c>
      <c r="AS96" s="6">
        <v>-6.4618417</v>
      </c>
      <c r="AT96" s="6">
        <v>-6.4506396</v>
      </c>
      <c r="AU96" s="6">
        <v>0.97344833</v>
      </c>
      <c r="AV96" s="6">
        <v>0.96974131</v>
      </c>
      <c r="AW96" s="6">
        <v>0.97311308</v>
      </c>
      <c r="AX96" s="6">
        <v>0.96580418</v>
      </c>
      <c r="AY96" s="6">
        <v>0.96229362</v>
      </c>
      <c r="AZ96" s="6">
        <v>0.97128734</v>
      </c>
      <c r="BA96" s="6">
        <v>0.96960354</v>
      </c>
      <c r="BB96" s="6">
        <v>0.02655167</v>
      </c>
      <c r="BC96" s="6">
        <v>0.03025869</v>
      </c>
      <c r="BD96" s="6">
        <v>0.02688692</v>
      </c>
      <c r="BE96" s="6">
        <v>0.03419582</v>
      </c>
      <c r="BF96" s="6">
        <v>0.03770638</v>
      </c>
      <c r="BG96" s="6">
        <v>0.02871266</v>
      </c>
      <c r="BH96" s="6">
        <v>0.03039646</v>
      </c>
      <c r="BI96" s="6">
        <v>0.21470859</v>
      </c>
      <c r="BJ96" s="6">
        <v>0.12366373</v>
      </c>
      <c r="BK96" s="6">
        <v>0.1409291</v>
      </c>
      <c r="BL96" s="6">
        <v>0.12522516</v>
      </c>
      <c r="BM96" s="6">
        <v>0.1592662</v>
      </c>
      <c r="BN96" s="6">
        <v>0.17561655</v>
      </c>
      <c r="BO96" s="6">
        <v>0.1337285</v>
      </c>
      <c r="BP96" s="6">
        <v>0.14157076</v>
      </c>
      <c r="BQ96" s="6">
        <v>0.05942724</v>
      </c>
      <c r="BR96" s="6">
        <v>0.05199465</v>
      </c>
      <c r="BS96" s="6">
        <v>0.05369354</v>
      </c>
      <c r="BT96" s="6">
        <v>0.04186637</v>
      </c>
      <c r="BU96" s="6">
        <v>0.04719571</v>
      </c>
      <c r="BV96" s="6">
        <v>0.07962233</v>
      </c>
      <c r="BW96" s="6">
        <v>0.07222139</v>
      </c>
      <c r="BX96" s="12">
        <v>7360</v>
      </c>
      <c r="BY96" s="13">
        <v>2190</v>
      </c>
      <c r="BZ96" s="12">
        <v>35371.28</v>
      </c>
      <c r="CA96" s="6">
        <f t="shared" si="10"/>
        <v>3.36073059360731</v>
      </c>
      <c r="CB96" s="6">
        <f t="shared" si="11"/>
        <v>0.208078418423082</v>
      </c>
      <c r="CC96" s="7">
        <v>78214222.14</v>
      </c>
      <c r="CD96" s="7">
        <f t="shared" si="6"/>
        <v>0.221123527732104</v>
      </c>
      <c r="CE96" s="8">
        <v>185.4</v>
      </c>
      <c r="CF96" s="8">
        <v>4947.2</v>
      </c>
      <c r="CG96" s="8">
        <v>8922.9</v>
      </c>
      <c r="CH96" s="8">
        <v>101557</v>
      </c>
      <c r="CI96" s="14">
        <v>1</v>
      </c>
      <c r="CJ96" s="14">
        <v>0</v>
      </c>
      <c r="CK96" s="14">
        <f t="shared" si="7"/>
        <v>0</v>
      </c>
      <c r="CL96">
        <f t="shared" si="8"/>
        <v>1.5000536746505</v>
      </c>
      <c r="CM96">
        <f t="shared" si="9"/>
        <v>0.852589589646768</v>
      </c>
      <c r="CN96" s="15">
        <v>7360</v>
      </c>
      <c r="CO96" s="15">
        <v>182.8</v>
      </c>
      <c r="CP96">
        <v>0</v>
      </c>
      <c r="CQ96" s="15">
        <v>936.99</v>
      </c>
      <c r="CR96" s="15">
        <v>500.9</v>
      </c>
      <c r="CS96" s="15">
        <v>697.8</v>
      </c>
      <c r="CT96" s="15">
        <v>161.87</v>
      </c>
      <c r="CU96" s="15">
        <v>0.48</v>
      </c>
      <c r="CV96" s="15">
        <v>189.4</v>
      </c>
      <c r="CW96" s="15">
        <v>1166.4</v>
      </c>
    </row>
    <row r="97" spans="1:101">
      <c r="A97" s="6">
        <v>2020</v>
      </c>
      <c r="B97" s="6" t="s">
        <v>103</v>
      </c>
      <c r="C97" s="6">
        <v>0.41015071</v>
      </c>
      <c r="D97" s="6">
        <v>0.063077</v>
      </c>
      <c r="E97" s="6">
        <v>0.015688</v>
      </c>
      <c r="F97" s="6">
        <v>0.028708</v>
      </c>
      <c r="G97" s="6">
        <v>0.009795</v>
      </c>
      <c r="H97" s="6">
        <v>0.008885</v>
      </c>
      <c r="I97" s="6">
        <v>0.067535</v>
      </c>
      <c r="J97" s="6">
        <v>0.038439</v>
      </c>
      <c r="K97" s="6">
        <v>0.44321005</v>
      </c>
      <c r="L97" s="6">
        <v>0.33040688</v>
      </c>
      <c r="M97" s="6">
        <v>0.398319</v>
      </c>
      <c r="N97" s="6">
        <v>0.26105959</v>
      </c>
      <c r="O97" s="6">
        <v>0.23576702</v>
      </c>
      <c r="P97" s="6">
        <v>0.66243402</v>
      </c>
      <c r="Q97" s="6">
        <v>0.61685994</v>
      </c>
      <c r="R97" s="6">
        <v>217.69486</v>
      </c>
      <c r="S97" s="6">
        <v>0.00203592</v>
      </c>
      <c r="T97" s="6">
        <v>169.97573</v>
      </c>
      <c r="U97" s="6">
        <v>0.00194385</v>
      </c>
      <c r="V97" s="6">
        <v>197.11803</v>
      </c>
      <c r="W97" s="6">
        <v>0.00202071</v>
      </c>
      <c r="X97" s="6">
        <v>134.47093</v>
      </c>
      <c r="Y97" s="6">
        <v>0.00194138</v>
      </c>
      <c r="Z97" s="6">
        <v>134.86767</v>
      </c>
      <c r="AA97" s="6">
        <v>0.00174814</v>
      </c>
      <c r="AB97" s="6">
        <v>294.9318</v>
      </c>
      <c r="AC97" s="6">
        <v>0.00224606</v>
      </c>
      <c r="AD97" s="6">
        <v>243.86163</v>
      </c>
      <c r="AE97" s="6">
        <v>0.00252955</v>
      </c>
      <c r="AF97" s="6">
        <v>775</v>
      </c>
      <c r="AG97" s="6">
        <v>-0.01261622</v>
      </c>
      <c r="AH97" s="6">
        <v>-0.01213561</v>
      </c>
      <c r="AI97" s="6">
        <v>-0.01253712</v>
      </c>
      <c r="AJ97" s="6">
        <v>-0.01212268</v>
      </c>
      <c r="AK97" s="6">
        <v>-0.01109927</v>
      </c>
      <c r="AL97" s="6">
        <v>-0.01369776</v>
      </c>
      <c r="AM97" s="6">
        <v>-0.01512598</v>
      </c>
      <c r="AN97" s="6">
        <v>-6.4762184</v>
      </c>
      <c r="AO97" s="6">
        <v>-6.4515561</v>
      </c>
      <c r="AP97" s="6">
        <v>-6.4739881</v>
      </c>
      <c r="AQ97" s="6">
        <v>-6.4253629</v>
      </c>
      <c r="AR97" s="6">
        <v>-6.4020076</v>
      </c>
      <c r="AS97" s="6">
        <v>-6.4618417</v>
      </c>
      <c r="AT97" s="6">
        <v>-6.4506396</v>
      </c>
      <c r="AU97" s="6">
        <v>0.97344833</v>
      </c>
      <c r="AV97" s="6">
        <v>0.96974131</v>
      </c>
      <c r="AW97" s="6">
        <v>0.97311308</v>
      </c>
      <c r="AX97" s="6">
        <v>0.96580418</v>
      </c>
      <c r="AY97" s="6">
        <v>0.96229362</v>
      </c>
      <c r="AZ97" s="6">
        <v>0.97128734</v>
      </c>
      <c r="BA97" s="6">
        <v>0.96960354</v>
      </c>
      <c r="BB97" s="6">
        <v>0.02655167</v>
      </c>
      <c r="BC97" s="6">
        <v>0.03025869</v>
      </c>
      <c r="BD97" s="6">
        <v>0.02688692</v>
      </c>
      <c r="BE97" s="6">
        <v>0.03419582</v>
      </c>
      <c r="BF97" s="6">
        <v>0.03770638</v>
      </c>
      <c r="BG97" s="6">
        <v>0.02871266</v>
      </c>
      <c r="BH97" s="6">
        <v>0.03039646</v>
      </c>
      <c r="BI97" s="6">
        <v>0.21470859</v>
      </c>
      <c r="BJ97" s="6">
        <v>0.12366373</v>
      </c>
      <c r="BK97" s="6">
        <v>0.1409291</v>
      </c>
      <c r="BL97" s="6">
        <v>0.12522516</v>
      </c>
      <c r="BM97" s="6">
        <v>0.1592662</v>
      </c>
      <c r="BN97" s="6">
        <v>0.17561655</v>
      </c>
      <c r="BO97" s="6">
        <v>0.1337285</v>
      </c>
      <c r="BP97" s="6">
        <v>0.14157076</v>
      </c>
      <c r="BQ97" s="6">
        <v>0.05480901</v>
      </c>
      <c r="BR97" s="6">
        <v>0.04656394</v>
      </c>
      <c r="BS97" s="6">
        <v>0.04987956</v>
      </c>
      <c r="BT97" s="6">
        <v>0.04157797</v>
      </c>
      <c r="BU97" s="6">
        <v>0.04140459</v>
      </c>
      <c r="BV97" s="6">
        <v>0.0885863</v>
      </c>
      <c r="BW97" s="6">
        <v>0.08732933</v>
      </c>
      <c r="BX97" s="12">
        <v>6762.1</v>
      </c>
      <c r="BY97" s="13">
        <v>2189</v>
      </c>
      <c r="BZ97" s="12">
        <v>36102.55</v>
      </c>
      <c r="CA97" s="6">
        <f t="shared" si="10"/>
        <v>3.08912745545911</v>
      </c>
      <c r="CB97" s="6">
        <f t="shared" si="11"/>
        <v>0.187302558960517</v>
      </c>
      <c r="CC97" s="7">
        <v>77702847.6</v>
      </c>
      <c r="CD97" s="7">
        <f t="shared" si="6"/>
        <v>0.215228142056447</v>
      </c>
      <c r="CE97" s="8">
        <v>210.3</v>
      </c>
      <c r="CF97" s="8">
        <v>4911.8</v>
      </c>
      <c r="CG97" s="8">
        <v>8885.9</v>
      </c>
      <c r="CH97" s="8">
        <v>101068</v>
      </c>
      <c r="CI97" s="14">
        <v>1</v>
      </c>
      <c r="CJ97" s="14">
        <v>0</v>
      </c>
      <c r="CK97" s="14">
        <f t="shared" si="7"/>
        <v>0</v>
      </c>
      <c r="CL97">
        <f t="shared" si="8"/>
        <v>1.47141701078949</v>
      </c>
      <c r="CM97">
        <f t="shared" si="9"/>
        <v>0.853727297918782</v>
      </c>
      <c r="CN97" s="15">
        <v>6762</v>
      </c>
      <c r="CO97" s="15">
        <v>134.98</v>
      </c>
      <c r="CP97" s="15">
        <v>0.01</v>
      </c>
      <c r="CQ97" s="15">
        <v>781.77</v>
      </c>
      <c r="CR97" s="15">
        <v>423.06</v>
      </c>
      <c r="CS97" s="15">
        <v>457.88</v>
      </c>
      <c r="CT97" s="15">
        <v>112.55</v>
      </c>
      <c r="CU97" s="15">
        <v>0.27</v>
      </c>
      <c r="CV97" s="15">
        <v>189.12</v>
      </c>
      <c r="CW97" s="15">
        <v>1140.22</v>
      </c>
    </row>
    <row r="98" spans="1:101">
      <c r="A98" s="6">
        <v>2021</v>
      </c>
      <c r="B98" s="6" t="s">
        <v>103</v>
      </c>
      <c r="C98" s="6">
        <v>0.42903389</v>
      </c>
      <c r="D98" s="6">
        <v>0.067727</v>
      </c>
      <c r="E98" s="6">
        <v>0.016152</v>
      </c>
      <c r="F98" s="6">
        <v>0.030958</v>
      </c>
      <c r="G98" s="6">
        <v>0.009862</v>
      </c>
      <c r="H98" s="6">
        <v>0.010755</v>
      </c>
      <c r="I98" s="6">
        <v>0.072294</v>
      </c>
      <c r="J98" s="6">
        <v>0.034932</v>
      </c>
      <c r="K98" s="6">
        <v>0.47968909</v>
      </c>
      <c r="L98" s="6">
        <v>0.34136948</v>
      </c>
      <c r="M98" s="6">
        <v>0.43289897</v>
      </c>
      <c r="N98" s="6">
        <v>0.26303634</v>
      </c>
      <c r="O98" s="6">
        <v>0.2924393</v>
      </c>
      <c r="P98" s="6">
        <v>0.71544322</v>
      </c>
      <c r="Q98" s="6">
        <v>0.55428029</v>
      </c>
      <c r="R98" s="6">
        <v>217.69486</v>
      </c>
      <c r="S98" s="6">
        <v>0.00220349</v>
      </c>
      <c r="T98" s="6">
        <v>169.97573</v>
      </c>
      <c r="U98" s="6">
        <v>0.00200834</v>
      </c>
      <c r="V98" s="6">
        <v>197.11803</v>
      </c>
      <c r="W98" s="6">
        <v>0.00219614</v>
      </c>
      <c r="X98" s="6">
        <v>134.47093</v>
      </c>
      <c r="Y98" s="6">
        <v>0.00195608</v>
      </c>
      <c r="Z98" s="6">
        <v>134.86767</v>
      </c>
      <c r="AA98" s="6">
        <v>0.00216834</v>
      </c>
      <c r="AB98" s="6">
        <v>294.9318</v>
      </c>
      <c r="AC98" s="6">
        <v>0.00242579</v>
      </c>
      <c r="AD98" s="6">
        <v>243.86163</v>
      </c>
      <c r="AE98" s="6">
        <v>0.00227293</v>
      </c>
      <c r="AF98" s="6">
        <v>775</v>
      </c>
      <c r="AG98" s="6">
        <v>-0.01348033</v>
      </c>
      <c r="AH98" s="6">
        <v>-0.0124727</v>
      </c>
      <c r="AI98" s="6">
        <v>-0.0134427</v>
      </c>
      <c r="AJ98" s="6">
        <v>-0.01219972</v>
      </c>
      <c r="AK98" s="6">
        <v>-0.01330016</v>
      </c>
      <c r="AL98" s="6">
        <v>-0.01460714</v>
      </c>
      <c r="AM98" s="6">
        <v>-0.01383461</v>
      </c>
      <c r="AN98" s="6">
        <v>-6.4762184</v>
      </c>
      <c r="AO98" s="6">
        <v>-6.4515561</v>
      </c>
      <c r="AP98" s="6">
        <v>-6.4739881</v>
      </c>
      <c r="AQ98" s="6">
        <v>-6.4253629</v>
      </c>
      <c r="AR98" s="6">
        <v>-6.4020076</v>
      </c>
      <c r="AS98" s="6">
        <v>-6.4618417</v>
      </c>
      <c r="AT98" s="6">
        <v>-6.4506396</v>
      </c>
      <c r="AU98" s="6">
        <v>0.97344833</v>
      </c>
      <c r="AV98" s="6">
        <v>0.96974131</v>
      </c>
      <c r="AW98" s="6">
        <v>0.97311308</v>
      </c>
      <c r="AX98" s="6">
        <v>0.96580418</v>
      </c>
      <c r="AY98" s="6">
        <v>0.96229362</v>
      </c>
      <c r="AZ98" s="6">
        <v>0.97128734</v>
      </c>
      <c r="BA98" s="6">
        <v>0.96960354</v>
      </c>
      <c r="BB98" s="6">
        <v>0.02655167</v>
      </c>
      <c r="BC98" s="6">
        <v>0.03025869</v>
      </c>
      <c r="BD98" s="6">
        <v>0.02688692</v>
      </c>
      <c r="BE98" s="6">
        <v>0.03419582</v>
      </c>
      <c r="BF98" s="6">
        <v>0.03770638</v>
      </c>
      <c r="BG98" s="6">
        <v>0.02871266</v>
      </c>
      <c r="BH98" s="6">
        <v>0.03039646</v>
      </c>
      <c r="BI98" s="6">
        <v>0.21470859</v>
      </c>
      <c r="BJ98" s="6">
        <v>0.12366373</v>
      </c>
      <c r="BK98" s="6">
        <v>0.1409291</v>
      </c>
      <c r="BL98" s="6">
        <v>0.12522516</v>
      </c>
      <c r="BM98" s="6">
        <v>0.1592662</v>
      </c>
      <c r="BN98" s="6">
        <v>0.17561655</v>
      </c>
      <c r="BO98" s="6">
        <v>0.1337285</v>
      </c>
      <c r="BP98" s="6">
        <v>0.14157076</v>
      </c>
      <c r="BQ98" s="6">
        <v>0.05932014</v>
      </c>
      <c r="BR98" s="6">
        <v>0.04810889</v>
      </c>
      <c r="BS98" s="6">
        <v>0.05420984</v>
      </c>
      <c r="BT98" s="6">
        <v>0.0418928</v>
      </c>
      <c r="BU98" s="6">
        <v>0.05135718</v>
      </c>
      <c r="BV98" s="6">
        <v>0.09567515</v>
      </c>
      <c r="BW98" s="6">
        <v>0.07846988</v>
      </c>
      <c r="BX98" s="12">
        <v>7103.62</v>
      </c>
      <c r="BY98" s="13">
        <v>2189</v>
      </c>
      <c r="BZ98" s="12">
        <v>40269.6</v>
      </c>
      <c r="CA98" s="6">
        <f t="shared" si="10"/>
        <v>3.24514390132481</v>
      </c>
      <c r="CB98" s="6">
        <f t="shared" si="11"/>
        <v>0.176401553529213</v>
      </c>
      <c r="CC98" s="7">
        <v>80052763.58</v>
      </c>
      <c r="CD98" s="7">
        <f t="shared" si="6"/>
        <v>0.198792050529432</v>
      </c>
      <c r="CE98" s="8">
        <v>265.9</v>
      </c>
      <c r="CF98" s="8">
        <v>5672.7</v>
      </c>
      <c r="CG98" s="8">
        <v>9746.5</v>
      </c>
      <c r="CH98" s="8">
        <v>113660</v>
      </c>
      <c r="CI98" s="14">
        <v>1</v>
      </c>
      <c r="CJ98" s="14">
        <v>0</v>
      </c>
      <c r="CK98" s="14">
        <f t="shared" si="7"/>
        <v>0</v>
      </c>
      <c r="CL98">
        <f t="shared" si="8"/>
        <v>1.36781889095748</v>
      </c>
      <c r="CM98">
        <f t="shared" si="9"/>
        <v>0.854664932730767</v>
      </c>
      <c r="CN98" s="15">
        <v>7103</v>
      </c>
      <c r="CO98" s="15">
        <v>130.78</v>
      </c>
      <c r="CP98">
        <v>0</v>
      </c>
      <c r="CQ98" s="15">
        <v>776.43</v>
      </c>
      <c r="CR98" s="15">
        <v>480.02</v>
      </c>
      <c r="CS98" s="15">
        <v>496.28</v>
      </c>
      <c r="CT98" s="15">
        <v>130.68</v>
      </c>
      <c r="CU98" s="15">
        <v>0.61</v>
      </c>
      <c r="CV98" s="15">
        <v>189.96</v>
      </c>
      <c r="CW98" s="15">
        <v>1233</v>
      </c>
    </row>
    <row r="99" spans="1:101">
      <c r="A99" s="6">
        <v>2022</v>
      </c>
      <c r="B99" s="6" t="s">
        <v>103</v>
      </c>
      <c r="C99" s="6">
        <v>0.41694424</v>
      </c>
      <c r="D99" s="6">
        <v>0.065123</v>
      </c>
      <c r="E99" s="6">
        <v>0.01633</v>
      </c>
      <c r="F99" s="6">
        <v>0.029626</v>
      </c>
      <c r="G99" s="6">
        <v>0.00989</v>
      </c>
      <c r="H99" s="6">
        <v>0.009276</v>
      </c>
      <c r="I99" s="6">
        <v>0.068069</v>
      </c>
      <c r="J99" s="6">
        <v>0.037481</v>
      </c>
      <c r="K99" s="6">
        <v>0.45925818</v>
      </c>
      <c r="L99" s="6">
        <v>0.34559122</v>
      </c>
      <c r="M99" s="6">
        <v>0.41242321</v>
      </c>
      <c r="N99" s="6">
        <v>0.26386214</v>
      </c>
      <c r="O99" s="6">
        <v>0.24762141</v>
      </c>
      <c r="P99" s="6">
        <v>0.66838273</v>
      </c>
      <c r="Q99" s="6">
        <v>0.59976003</v>
      </c>
      <c r="R99" s="6">
        <v>217.69486</v>
      </c>
      <c r="S99" s="6">
        <v>0.00210964</v>
      </c>
      <c r="T99" s="6">
        <v>169.97573</v>
      </c>
      <c r="U99" s="6">
        <v>0.00203318</v>
      </c>
      <c r="V99" s="6">
        <v>197.11803</v>
      </c>
      <c r="W99" s="6">
        <v>0.00209227</v>
      </c>
      <c r="X99" s="6">
        <v>134.47093</v>
      </c>
      <c r="Y99" s="6">
        <v>0.00196222</v>
      </c>
      <c r="Z99" s="6">
        <v>134.86767</v>
      </c>
      <c r="AA99" s="6">
        <v>0.00183603</v>
      </c>
      <c r="AB99" s="6">
        <v>294.9318</v>
      </c>
      <c r="AC99" s="6">
        <v>0.00226623</v>
      </c>
      <c r="AD99" s="6">
        <v>243.86163</v>
      </c>
      <c r="AE99" s="6">
        <v>0.00245943</v>
      </c>
      <c r="AF99" s="6">
        <v>775</v>
      </c>
      <c r="AG99" s="6">
        <v>-0.012998</v>
      </c>
      <c r="AH99" s="6">
        <v>-0.01260196</v>
      </c>
      <c r="AI99" s="6">
        <v>-0.01290825</v>
      </c>
      <c r="AJ99" s="6">
        <v>-0.01223187</v>
      </c>
      <c r="AK99" s="6">
        <v>-0.01156728</v>
      </c>
      <c r="AL99" s="6">
        <v>-0.01380051</v>
      </c>
      <c r="AM99" s="6">
        <v>-0.01477581</v>
      </c>
      <c r="AN99" s="6">
        <v>-6.4762184</v>
      </c>
      <c r="AO99" s="6">
        <v>-6.4515561</v>
      </c>
      <c r="AP99" s="6">
        <v>-6.4739881</v>
      </c>
      <c r="AQ99" s="6">
        <v>-6.4253629</v>
      </c>
      <c r="AR99" s="6">
        <v>-6.4020076</v>
      </c>
      <c r="AS99" s="6">
        <v>-6.4618417</v>
      </c>
      <c r="AT99" s="6">
        <v>-6.4506396</v>
      </c>
      <c r="AU99" s="6">
        <v>0.97344833</v>
      </c>
      <c r="AV99" s="6">
        <v>0.96974131</v>
      </c>
      <c r="AW99" s="6">
        <v>0.97311308</v>
      </c>
      <c r="AX99" s="6">
        <v>0.96580418</v>
      </c>
      <c r="AY99" s="6">
        <v>0.96229362</v>
      </c>
      <c r="AZ99" s="6">
        <v>0.97128734</v>
      </c>
      <c r="BA99" s="6">
        <v>0.96960354</v>
      </c>
      <c r="BB99" s="6">
        <v>0.02655167</v>
      </c>
      <c r="BC99" s="6">
        <v>0.03025869</v>
      </c>
      <c r="BD99" s="6">
        <v>0.02688692</v>
      </c>
      <c r="BE99" s="6">
        <v>0.03419582</v>
      </c>
      <c r="BF99" s="6">
        <v>0.03770638</v>
      </c>
      <c r="BG99" s="6">
        <v>0.02871266</v>
      </c>
      <c r="BH99" s="6">
        <v>0.03039646</v>
      </c>
      <c r="BI99" s="6">
        <v>0.21470859</v>
      </c>
      <c r="BJ99" s="6">
        <v>0.12366373</v>
      </c>
      <c r="BK99" s="6">
        <v>0.1409291</v>
      </c>
      <c r="BL99" s="6">
        <v>0.12522516</v>
      </c>
      <c r="BM99" s="6">
        <v>0.1592662</v>
      </c>
      <c r="BN99" s="6">
        <v>0.17561655</v>
      </c>
      <c r="BO99" s="6">
        <v>0.1337285</v>
      </c>
      <c r="BP99" s="6">
        <v>0.14157076</v>
      </c>
      <c r="BQ99" s="6">
        <v>0.05679358</v>
      </c>
      <c r="BR99" s="6">
        <v>0.04870386</v>
      </c>
      <c r="BS99" s="6">
        <v>0.05164576</v>
      </c>
      <c r="BT99" s="6">
        <v>0.04202432</v>
      </c>
      <c r="BU99" s="6">
        <v>0.04348642</v>
      </c>
      <c r="BV99" s="6">
        <v>0.08938182</v>
      </c>
      <c r="BW99" s="6">
        <v>0.08490849</v>
      </c>
      <c r="BX99" s="12">
        <v>6896.89</v>
      </c>
      <c r="BY99" s="13">
        <v>2184</v>
      </c>
      <c r="BZ99" s="12">
        <v>41610.9</v>
      </c>
      <c r="CA99" s="6">
        <f t="shared" si="10"/>
        <v>3.15791666666667</v>
      </c>
      <c r="CB99" s="6">
        <f t="shared" si="11"/>
        <v>0.16574719604719</v>
      </c>
      <c r="CC99" s="7">
        <v>78882821.54</v>
      </c>
      <c r="CD99" s="7">
        <f t="shared" si="6"/>
        <v>0.189572495524009</v>
      </c>
      <c r="CE99" s="8">
        <v>273.2</v>
      </c>
      <c r="CF99" s="8">
        <v>5982.3</v>
      </c>
      <c r="CG99" s="8">
        <v>9876.7</v>
      </c>
      <c r="CH99" s="8">
        <v>117925</v>
      </c>
      <c r="CI99" s="14">
        <v>1</v>
      </c>
      <c r="CJ99" s="14">
        <v>0</v>
      </c>
      <c r="CK99" s="14">
        <f t="shared" si="7"/>
        <v>0</v>
      </c>
      <c r="CL99">
        <f t="shared" si="8"/>
        <v>1.27047633725244</v>
      </c>
      <c r="CM99">
        <f t="shared" si="9"/>
        <v>0.850786283879963</v>
      </c>
      <c r="CN99" s="15">
        <v>6896.88757080913</v>
      </c>
      <c r="CO99" s="15">
        <v>79.29</v>
      </c>
      <c r="CP99">
        <v>0</v>
      </c>
      <c r="CQ99" s="15">
        <v>774.92</v>
      </c>
      <c r="CR99" s="15">
        <v>374.82</v>
      </c>
      <c r="CS99" s="15">
        <v>330.32</v>
      </c>
      <c r="CT99" s="15">
        <v>125.71</v>
      </c>
      <c r="CU99" s="15">
        <v>0.2</v>
      </c>
      <c r="CV99" s="15">
        <v>197.95</v>
      </c>
      <c r="CW99" s="15">
        <v>1280.8</v>
      </c>
    </row>
    <row r="100" spans="1:101">
      <c r="A100" s="6">
        <v>2023</v>
      </c>
      <c r="B100" s="6" t="s">
        <v>103</v>
      </c>
      <c r="C100" s="6">
        <v>0.51334968</v>
      </c>
      <c r="D100" s="6">
        <v>0.06787</v>
      </c>
      <c r="E100" s="6">
        <v>0.021861</v>
      </c>
      <c r="F100" s="6">
        <v>0.033646</v>
      </c>
      <c r="G100" s="6">
        <v>0.01527</v>
      </c>
      <c r="H100" s="6">
        <v>0.01315</v>
      </c>
      <c r="I100" s="6">
        <v>0.069196</v>
      </c>
      <c r="J100" s="6">
        <v>0.045382</v>
      </c>
      <c r="K100" s="6">
        <v>0.48080856</v>
      </c>
      <c r="L100" s="6">
        <v>0.47634813</v>
      </c>
      <c r="M100" s="6">
        <v>0.47420536</v>
      </c>
      <c r="N100" s="6">
        <v>0.42288931</v>
      </c>
      <c r="O100" s="6">
        <v>0.36499359</v>
      </c>
      <c r="P100" s="6">
        <v>0.68093417</v>
      </c>
      <c r="Q100" s="6">
        <v>0.74073311</v>
      </c>
      <c r="R100" s="6">
        <v>217.69486</v>
      </c>
      <c r="S100" s="6">
        <v>0.00220864</v>
      </c>
      <c r="T100" s="6">
        <v>169.97573</v>
      </c>
      <c r="U100" s="6">
        <v>0.00280245</v>
      </c>
      <c r="V100" s="6">
        <v>197.11803</v>
      </c>
      <c r="W100" s="6">
        <v>0.00240569</v>
      </c>
      <c r="X100" s="6">
        <v>134.47093</v>
      </c>
      <c r="Y100" s="6">
        <v>0.00314484</v>
      </c>
      <c r="Z100" s="6">
        <v>134.86767</v>
      </c>
      <c r="AA100" s="6">
        <v>0.00270631</v>
      </c>
      <c r="AB100" s="6">
        <v>294.9318</v>
      </c>
      <c r="AC100" s="6">
        <v>0.00230879</v>
      </c>
      <c r="AD100" s="6">
        <v>243.86163</v>
      </c>
      <c r="AE100" s="6">
        <v>0.00303751</v>
      </c>
      <c r="AF100" s="6">
        <v>775</v>
      </c>
      <c r="AG100" s="6">
        <v>-0.01350665</v>
      </c>
      <c r="AH100" s="6">
        <v>-0.01647072</v>
      </c>
      <c r="AI100" s="6">
        <v>-0.01450613</v>
      </c>
      <c r="AJ100" s="6">
        <v>-0.01812054</v>
      </c>
      <c r="AK100" s="6">
        <v>-0.01600016</v>
      </c>
      <c r="AL100" s="6">
        <v>-0.01401671</v>
      </c>
      <c r="AM100" s="6">
        <v>-0.01760761</v>
      </c>
      <c r="AN100" s="6">
        <v>-6.4762184</v>
      </c>
      <c r="AO100" s="6">
        <v>-6.4515561</v>
      </c>
      <c r="AP100" s="6">
        <v>-6.4739881</v>
      </c>
      <c r="AQ100" s="6">
        <v>-6.4253629</v>
      </c>
      <c r="AR100" s="6">
        <v>-6.4020076</v>
      </c>
      <c r="AS100" s="6">
        <v>-6.4618417</v>
      </c>
      <c r="AT100" s="6">
        <v>-6.4506396</v>
      </c>
      <c r="AU100" s="6">
        <v>0.97344833</v>
      </c>
      <c r="AV100" s="6">
        <v>0.96974131</v>
      </c>
      <c r="AW100" s="6">
        <v>0.97311308</v>
      </c>
      <c r="AX100" s="6">
        <v>0.96580418</v>
      </c>
      <c r="AY100" s="6">
        <v>0.96229362</v>
      </c>
      <c r="AZ100" s="6">
        <v>0.97128734</v>
      </c>
      <c r="BA100" s="6">
        <v>0.96960354</v>
      </c>
      <c r="BB100" s="6">
        <v>0.02655167</v>
      </c>
      <c r="BC100" s="6">
        <v>0.03025869</v>
      </c>
      <c r="BD100" s="6">
        <v>0.02688692</v>
      </c>
      <c r="BE100" s="6">
        <v>0.03419582</v>
      </c>
      <c r="BF100" s="6">
        <v>0.03770638</v>
      </c>
      <c r="BG100" s="6">
        <v>0.02871266</v>
      </c>
      <c r="BH100" s="6">
        <v>0.03039646</v>
      </c>
      <c r="BI100" s="6">
        <v>0.21470859</v>
      </c>
      <c r="BJ100" s="6">
        <v>0.12366373</v>
      </c>
      <c r="BK100" s="6">
        <v>0.1409291</v>
      </c>
      <c r="BL100" s="6">
        <v>0.12522516</v>
      </c>
      <c r="BM100" s="6">
        <v>0.1592662</v>
      </c>
      <c r="BN100" s="6">
        <v>0.17561655</v>
      </c>
      <c r="BO100" s="6">
        <v>0.1337285</v>
      </c>
      <c r="BP100" s="6">
        <v>0.14157076</v>
      </c>
      <c r="BQ100" s="6">
        <v>0.05945858</v>
      </c>
      <c r="BR100" s="6">
        <v>0.06713131</v>
      </c>
      <c r="BS100" s="6">
        <v>0.05938244</v>
      </c>
      <c r="BT100" s="6">
        <v>0.06735197</v>
      </c>
      <c r="BU100" s="6">
        <v>0.06409891</v>
      </c>
      <c r="BV100" s="6">
        <v>0.0910603</v>
      </c>
      <c r="BW100" s="6">
        <v>0.10486615</v>
      </c>
      <c r="BX100" s="12">
        <v>7571.35</v>
      </c>
      <c r="BY100" s="13">
        <v>2186</v>
      </c>
      <c r="BZ100" s="12">
        <v>43760.7</v>
      </c>
      <c r="CA100" s="6">
        <f t="shared" si="10"/>
        <v>3.46356358645929</v>
      </c>
      <c r="CB100" s="6">
        <f t="shared" si="11"/>
        <v>0.173017113528806</v>
      </c>
      <c r="CC100" s="7">
        <v>81035400.62</v>
      </c>
      <c r="CD100" s="7">
        <f t="shared" si="6"/>
        <v>0.185178483479469</v>
      </c>
      <c r="CE100" s="8">
        <v>268.5</v>
      </c>
      <c r="CF100" s="8">
        <v>5982.6</v>
      </c>
      <c r="CG100" s="8">
        <v>10486.2</v>
      </c>
      <c r="CH100" s="8">
        <v>122752</v>
      </c>
      <c r="CI100" s="14">
        <v>1</v>
      </c>
      <c r="CJ100" s="14">
        <v>0</v>
      </c>
      <c r="CK100" s="14">
        <f t="shared" si="7"/>
        <v>0</v>
      </c>
      <c r="CL100">
        <f t="shared" si="8"/>
        <v>1.2756783895882</v>
      </c>
      <c r="CM100">
        <f t="shared" si="9"/>
        <v>0.854839209481908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</row>
    <row r="101" spans="1:101">
      <c r="A101" s="6">
        <v>2024</v>
      </c>
      <c r="B101" s="6" t="s">
        <v>103</v>
      </c>
      <c r="C101" s="6">
        <v>0.55198369</v>
      </c>
      <c r="D101" s="6">
        <v>0.069365</v>
      </c>
      <c r="E101" s="6">
        <v>0.02338</v>
      </c>
      <c r="F101" s="6">
        <v>0.035091</v>
      </c>
      <c r="G101" s="6">
        <v>0.017062</v>
      </c>
      <c r="H101" s="6">
        <v>0.014785</v>
      </c>
      <c r="I101" s="6">
        <v>0.071068</v>
      </c>
      <c r="J101" s="6">
        <v>0.049106</v>
      </c>
      <c r="K101" s="6">
        <v>0.49253337</v>
      </c>
      <c r="L101" s="6">
        <v>0.51227973</v>
      </c>
      <c r="M101" s="6">
        <v>0.49642017</v>
      </c>
      <c r="N101" s="6">
        <v>0.47586615</v>
      </c>
      <c r="O101" s="6">
        <v>0.41456583</v>
      </c>
      <c r="P101" s="6">
        <v>0.70178608</v>
      </c>
      <c r="Q101" s="6">
        <v>0.80717899</v>
      </c>
      <c r="R101" s="6">
        <v>217.69486</v>
      </c>
      <c r="S101" s="6">
        <v>0.00226249</v>
      </c>
      <c r="T101" s="6">
        <v>169.97573</v>
      </c>
      <c r="U101" s="6">
        <v>0.00301384</v>
      </c>
      <c r="V101" s="6">
        <v>197.11803</v>
      </c>
      <c r="W101" s="6">
        <v>0.00251839</v>
      </c>
      <c r="X101" s="6">
        <v>134.47093</v>
      </c>
      <c r="Y101" s="6">
        <v>0.0035388</v>
      </c>
      <c r="Z101" s="6">
        <v>134.86767</v>
      </c>
      <c r="AA101" s="6">
        <v>0.00307387</v>
      </c>
      <c r="AB101" s="6">
        <v>294.9318</v>
      </c>
      <c r="AC101" s="6">
        <v>0.00237949</v>
      </c>
      <c r="AD101" s="6">
        <v>243.86163</v>
      </c>
      <c r="AE101" s="6">
        <v>0.00330999</v>
      </c>
      <c r="AF101" s="6">
        <v>775</v>
      </c>
      <c r="AG101" s="6">
        <v>-0.0137815</v>
      </c>
      <c r="AH101" s="6">
        <v>-0.01749396</v>
      </c>
      <c r="AI101" s="6">
        <v>-0.01507039</v>
      </c>
      <c r="AJ101" s="6">
        <v>-0.01997289</v>
      </c>
      <c r="AK101" s="6">
        <v>-0.01778178</v>
      </c>
      <c r="AL101" s="6">
        <v>-0.01437417</v>
      </c>
      <c r="AM101" s="6">
        <v>-0.01890271</v>
      </c>
      <c r="AN101" s="6">
        <v>-6.4762184</v>
      </c>
      <c r="AO101" s="6">
        <v>-6.4515561</v>
      </c>
      <c r="AP101" s="6">
        <v>-6.4739881</v>
      </c>
      <c r="AQ101" s="6">
        <v>-6.4253629</v>
      </c>
      <c r="AR101" s="6">
        <v>-6.4020076</v>
      </c>
      <c r="AS101" s="6">
        <v>-6.4618417</v>
      </c>
      <c r="AT101" s="6">
        <v>-6.4506396</v>
      </c>
      <c r="AU101" s="6">
        <v>0.97344833</v>
      </c>
      <c r="AV101" s="6">
        <v>0.96974131</v>
      </c>
      <c r="AW101" s="6">
        <v>0.97311308</v>
      </c>
      <c r="AX101" s="6">
        <v>0.96580418</v>
      </c>
      <c r="AY101" s="6">
        <v>0.96229362</v>
      </c>
      <c r="AZ101" s="6">
        <v>0.97128734</v>
      </c>
      <c r="BA101" s="6">
        <v>0.96960354</v>
      </c>
      <c r="BB101" s="6">
        <v>0.02655167</v>
      </c>
      <c r="BC101" s="6">
        <v>0.03025869</v>
      </c>
      <c r="BD101" s="6">
        <v>0.02688692</v>
      </c>
      <c r="BE101" s="6">
        <v>0.03419582</v>
      </c>
      <c r="BF101" s="6">
        <v>0.03770638</v>
      </c>
      <c r="BG101" s="6">
        <v>0.02871266</v>
      </c>
      <c r="BH101" s="6">
        <v>0.03039646</v>
      </c>
      <c r="BI101" s="6">
        <v>0.21470859</v>
      </c>
      <c r="BJ101" s="6">
        <v>0.12366373</v>
      </c>
      <c r="BK101" s="6">
        <v>0.1409291</v>
      </c>
      <c r="BL101" s="6">
        <v>0.12522516</v>
      </c>
      <c r="BM101" s="6">
        <v>0.1592662</v>
      </c>
      <c r="BN101" s="6">
        <v>0.17561655</v>
      </c>
      <c r="BO101" s="6">
        <v>0.1337285</v>
      </c>
      <c r="BP101" s="6">
        <v>0.14157076</v>
      </c>
      <c r="BQ101" s="6">
        <v>0.06090852</v>
      </c>
      <c r="BR101" s="6">
        <v>0.07219512</v>
      </c>
      <c r="BS101" s="6">
        <v>0.06216429</v>
      </c>
      <c r="BT101" s="6">
        <v>0.07578939</v>
      </c>
      <c r="BU101" s="6">
        <v>0.07280462</v>
      </c>
      <c r="BV101" s="6">
        <v>0.0938488</v>
      </c>
      <c r="BW101" s="6">
        <v>0.11427295</v>
      </c>
      <c r="BX101" s="12">
        <v>7660.12</v>
      </c>
      <c r="BY101" s="13">
        <v>2183</v>
      </c>
      <c r="BZ101" s="12">
        <v>49843.1</v>
      </c>
      <c r="CA101" s="6">
        <f t="shared" si="10"/>
        <v>3.5089876316995</v>
      </c>
      <c r="CB101" s="6">
        <f t="shared" si="11"/>
        <v>0.153684662470833</v>
      </c>
      <c r="CC101" s="7">
        <v>80742908.89</v>
      </c>
      <c r="CD101" s="7">
        <f t="shared" si="6"/>
        <v>0.16199415543977</v>
      </c>
      <c r="CE101" s="8">
        <v>284.3</v>
      </c>
      <c r="CF101" s="8">
        <v>6214.3</v>
      </c>
      <c r="CG101" s="8">
        <v>11525.8</v>
      </c>
      <c r="CH101" s="8">
        <v>132143</v>
      </c>
      <c r="CI101" s="14">
        <v>1</v>
      </c>
      <c r="CJ101" s="14">
        <v>0</v>
      </c>
      <c r="CK101" s="14">
        <f t="shared" si="7"/>
        <v>0</v>
      </c>
      <c r="CL101">
        <f t="shared" si="8"/>
        <v>1.21200651315194</v>
      </c>
      <c r="CM101">
        <f t="shared" si="9"/>
        <v>0.866342174169932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</row>
    <row r="102" spans="1:101">
      <c r="A102" s="6">
        <v>2000</v>
      </c>
      <c r="B102" s="6" t="s">
        <v>104</v>
      </c>
      <c r="C102" s="6">
        <v>0.10045388</v>
      </c>
      <c r="D102" s="6">
        <v>0.020737</v>
      </c>
      <c r="E102" s="6">
        <v>0.005218</v>
      </c>
      <c r="F102" s="6">
        <v>0.009588</v>
      </c>
      <c r="G102" s="6">
        <v>0.003294</v>
      </c>
      <c r="H102" s="6">
        <v>0.002638</v>
      </c>
      <c r="I102" s="6">
        <v>0.023826</v>
      </c>
      <c r="J102" s="6">
        <v>0.011527</v>
      </c>
      <c r="K102" s="6">
        <v>0.1110969</v>
      </c>
      <c r="L102" s="6">
        <v>0.08286829</v>
      </c>
      <c r="M102" s="6">
        <v>0.1044486</v>
      </c>
      <c r="N102" s="6">
        <v>0.06887051</v>
      </c>
      <c r="O102" s="6">
        <v>0.04644088</v>
      </c>
      <c r="P102" s="6">
        <v>0.17559733</v>
      </c>
      <c r="Q102" s="6">
        <v>0.136682</v>
      </c>
      <c r="R102" s="6">
        <v>217.69486</v>
      </c>
      <c r="S102" s="6">
        <v>0.00051033</v>
      </c>
      <c r="T102" s="6">
        <v>169.97573</v>
      </c>
      <c r="U102" s="6">
        <v>0.00048753</v>
      </c>
      <c r="V102" s="6">
        <v>197.11803</v>
      </c>
      <c r="W102" s="6">
        <v>0.00052988</v>
      </c>
      <c r="X102" s="6">
        <v>134.47093</v>
      </c>
      <c r="Y102" s="6">
        <v>0.00051216</v>
      </c>
      <c r="Z102" s="6">
        <v>134.86767</v>
      </c>
      <c r="AA102" s="6">
        <v>0.00034434</v>
      </c>
      <c r="AB102" s="6">
        <v>294.9318</v>
      </c>
      <c r="AC102" s="6">
        <v>0.00059538</v>
      </c>
      <c r="AD102" s="6">
        <v>243.86163</v>
      </c>
      <c r="AE102" s="6">
        <v>0.00056049</v>
      </c>
      <c r="AF102" s="6">
        <v>775</v>
      </c>
      <c r="AG102" s="6">
        <v>-0.00386855</v>
      </c>
      <c r="AH102" s="6">
        <v>-0.00371798</v>
      </c>
      <c r="AI102" s="6">
        <v>-0.0039968</v>
      </c>
      <c r="AJ102" s="6">
        <v>-0.00388057</v>
      </c>
      <c r="AK102" s="6">
        <v>-0.00274575</v>
      </c>
      <c r="AL102" s="6">
        <v>-0.0044215</v>
      </c>
      <c r="AM102" s="6">
        <v>-0.00419622</v>
      </c>
      <c r="AN102" s="6">
        <v>-6.4762184</v>
      </c>
      <c r="AO102" s="6">
        <v>-6.4515561</v>
      </c>
      <c r="AP102" s="6">
        <v>-6.4739881</v>
      </c>
      <c r="AQ102" s="6">
        <v>-6.4253629</v>
      </c>
      <c r="AR102" s="6">
        <v>-6.4020076</v>
      </c>
      <c r="AS102" s="6">
        <v>-6.4618417</v>
      </c>
      <c r="AT102" s="6">
        <v>-6.4506396</v>
      </c>
      <c r="AU102" s="6">
        <v>0.97344833</v>
      </c>
      <c r="AV102" s="6">
        <v>0.96974131</v>
      </c>
      <c r="AW102" s="6">
        <v>0.97311308</v>
      </c>
      <c r="AX102" s="6">
        <v>0.96580418</v>
      </c>
      <c r="AY102" s="6">
        <v>0.96229362</v>
      </c>
      <c r="AZ102" s="6">
        <v>0.97128734</v>
      </c>
      <c r="BA102" s="6">
        <v>0.96960354</v>
      </c>
      <c r="BB102" s="6">
        <v>0.02655167</v>
      </c>
      <c r="BC102" s="6">
        <v>0.03025869</v>
      </c>
      <c r="BD102" s="6">
        <v>0.02688692</v>
      </c>
      <c r="BE102" s="6">
        <v>0.03419582</v>
      </c>
      <c r="BF102" s="6">
        <v>0.03770638</v>
      </c>
      <c r="BG102" s="6">
        <v>0.02871266</v>
      </c>
      <c r="BH102" s="6">
        <v>0.03039646</v>
      </c>
      <c r="BI102" s="6">
        <v>0.21470859</v>
      </c>
      <c r="BJ102" s="6">
        <v>0.12366373</v>
      </c>
      <c r="BK102" s="6">
        <v>0.1409291</v>
      </c>
      <c r="BL102" s="6">
        <v>0.12522516</v>
      </c>
      <c r="BM102" s="6">
        <v>0.1592662</v>
      </c>
      <c r="BN102" s="6">
        <v>0.17561655</v>
      </c>
      <c r="BO102" s="6">
        <v>0.1337285</v>
      </c>
      <c r="BP102" s="6">
        <v>0.14157076</v>
      </c>
      <c r="BQ102" s="6">
        <v>0.01373866</v>
      </c>
      <c r="BR102" s="6">
        <v>0.01167855</v>
      </c>
      <c r="BS102" s="6">
        <v>0.01307959</v>
      </c>
      <c r="BT102" s="6">
        <v>0.01096874</v>
      </c>
      <c r="BU102" s="6">
        <v>0.00815579</v>
      </c>
      <c r="BV102" s="6">
        <v>0.02348237</v>
      </c>
      <c r="BW102" s="6">
        <v>0.01935018</v>
      </c>
      <c r="BX102" s="12">
        <v>3766</v>
      </c>
      <c r="BY102" s="13">
        <v>2681.7</v>
      </c>
      <c r="BZ102" s="12">
        <v>1821.19</v>
      </c>
      <c r="CA102" s="6">
        <f t="shared" si="10"/>
        <v>1.40433307230488</v>
      </c>
      <c r="CB102" s="6">
        <f t="shared" si="11"/>
        <v>2.06787869469962</v>
      </c>
      <c r="CC102" s="7">
        <v>60281574.06</v>
      </c>
      <c r="CD102" s="7">
        <f t="shared" si="6"/>
        <v>3.31001016148782</v>
      </c>
      <c r="CE102" s="8">
        <v>485.1</v>
      </c>
      <c r="CF102" s="8">
        <v>700.8</v>
      </c>
      <c r="CG102" s="8">
        <v>817.2</v>
      </c>
      <c r="CH102" s="8">
        <v>4851</v>
      </c>
      <c r="CI102" s="14">
        <v>0</v>
      </c>
      <c r="CJ102" s="14">
        <v>0</v>
      </c>
      <c r="CK102" s="14">
        <f t="shared" si="7"/>
        <v>0</v>
      </c>
      <c r="CL102">
        <f t="shared" si="8"/>
        <v>4.53658228674969</v>
      </c>
      <c r="CM102">
        <f t="shared" si="9"/>
        <v>0.270373608970877</v>
      </c>
      <c r="CN102" s="15">
        <v>3766.41</v>
      </c>
      <c r="CO102" s="15">
        <v>4212.7</v>
      </c>
      <c r="CP102" s="15">
        <v>170.55</v>
      </c>
      <c r="CQ102" s="15">
        <v>702.63</v>
      </c>
      <c r="CR102" s="15">
        <v>90.67</v>
      </c>
      <c r="CS102" s="15">
        <v>3.28</v>
      </c>
      <c r="CT102" s="15">
        <v>73.74</v>
      </c>
      <c r="CU102" s="15">
        <v>50.96</v>
      </c>
      <c r="CV102" s="15">
        <v>2.98</v>
      </c>
      <c r="CW102" s="15">
        <v>291.37</v>
      </c>
    </row>
    <row r="103" spans="1:101">
      <c r="A103" s="6">
        <v>2001</v>
      </c>
      <c r="B103" s="6" t="s">
        <v>104</v>
      </c>
      <c r="C103" s="6">
        <v>0.09865736</v>
      </c>
      <c r="D103" s="6">
        <v>0.022254</v>
      </c>
      <c r="E103" s="6">
        <v>0.005558</v>
      </c>
      <c r="F103" s="6">
        <v>0.010404</v>
      </c>
      <c r="G103" s="6">
        <v>0.002878</v>
      </c>
      <c r="H103" s="6">
        <v>0.003414</v>
      </c>
      <c r="I103" s="6">
        <v>0.020095</v>
      </c>
      <c r="J103" s="6">
        <v>0.010503</v>
      </c>
      <c r="K103" s="6">
        <v>0.12299244</v>
      </c>
      <c r="L103" s="6">
        <v>0.09091831</v>
      </c>
      <c r="M103" s="6">
        <v>0.11698394</v>
      </c>
      <c r="N103" s="6">
        <v>0.05657378</v>
      </c>
      <c r="O103" s="6">
        <v>0.0699701</v>
      </c>
      <c r="P103" s="6">
        <v>0.13403949</v>
      </c>
      <c r="Q103" s="6">
        <v>0.11840147</v>
      </c>
      <c r="R103" s="6">
        <v>217.69486</v>
      </c>
      <c r="S103" s="6">
        <v>0.00056498</v>
      </c>
      <c r="T103" s="6">
        <v>169.97573</v>
      </c>
      <c r="U103" s="6">
        <v>0.00053489</v>
      </c>
      <c r="V103" s="6">
        <v>197.11803</v>
      </c>
      <c r="W103" s="6">
        <v>0.00059347</v>
      </c>
      <c r="X103" s="6">
        <v>134.47093</v>
      </c>
      <c r="Y103" s="6">
        <v>0.00042071</v>
      </c>
      <c r="Z103" s="6">
        <v>134.86767</v>
      </c>
      <c r="AA103" s="6">
        <v>0.00051881</v>
      </c>
      <c r="AB103" s="6">
        <v>294.9318</v>
      </c>
      <c r="AC103" s="6">
        <v>0.00045448</v>
      </c>
      <c r="AD103" s="6">
        <v>243.86163</v>
      </c>
      <c r="AE103" s="6">
        <v>0.00048553</v>
      </c>
      <c r="AF103" s="6">
        <v>775</v>
      </c>
      <c r="AG103" s="6">
        <v>-0.0042253</v>
      </c>
      <c r="AH103" s="6">
        <v>-0.00402957</v>
      </c>
      <c r="AI103" s="6">
        <v>-0.00440921</v>
      </c>
      <c r="AJ103" s="6">
        <v>-0.00327044</v>
      </c>
      <c r="AK103" s="6">
        <v>-0.00392424</v>
      </c>
      <c r="AL103" s="6">
        <v>-0.00349781</v>
      </c>
      <c r="AM103" s="6">
        <v>-0.00370471</v>
      </c>
      <c r="AN103" s="6">
        <v>-6.4762184</v>
      </c>
      <c r="AO103" s="6">
        <v>-6.4515561</v>
      </c>
      <c r="AP103" s="6">
        <v>-6.4739881</v>
      </c>
      <c r="AQ103" s="6">
        <v>-6.4253629</v>
      </c>
      <c r="AR103" s="6">
        <v>-6.4020076</v>
      </c>
      <c r="AS103" s="6">
        <v>-6.4618417</v>
      </c>
      <c r="AT103" s="6">
        <v>-6.4506396</v>
      </c>
      <c r="AU103" s="6">
        <v>0.97344833</v>
      </c>
      <c r="AV103" s="6">
        <v>0.96974131</v>
      </c>
      <c r="AW103" s="6">
        <v>0.97311308</v>
      </c>
      <c r="AX103" s="6">
        <v>0.96580418</v>
      </c>
      <c r="AY103" s="6">
        <v>0.96229362</v>
      </c>
      <c r="AZ103" s="6">
        <v>0.97128734</v>
      </c>
      <c r="BA103" s="6">
        <v>0.96960354</v>
      </c>
      <c r="BB103" s="6">
        <v>0.02655167</v>
      </c>
      <c r="BC103" s="6">
        <v>0.03025869</v>
      </c>
      <c r="BD103" s="6">
        <v>0.02688692</v>
      </c>
      <c r="BE103" s="6">
        <v>0.03419582</v>
      </c>
      <c r="BF103" s="6">
        <v>0.03770638</v>
      </c>
      <c r="BG103" s="6">
        <v>0.02871266</v>
      </c>
      <c r="BH103" s="6">
        <v>0.03039646</v>
      </c>
      <c r="BI103" s="6">
        <v>0.21470859</v>
      </c>
      <c r="BJ103" s="6">
        <v>0.12366373</v>
      </c>
      <c r="BK103" s="6">
        <v>0.1409291</v>
      </c>
      <c r="BL103" s="6">
        <v>0.12522516</v>
      </c>
      <c r="BM103" s="6">
        <v>0.1592662</v>
      </c>
      <c r="BN103" s="6">
        <v>0.17561655</v>
      </c>
      <c r="BO103" s="6">
        <v>0.1337285</v>
      </c>
      <c r="BP103" s="6">
        <v>0.14157076</v>
      </c>
      <c r="BQ103" s="6">
        <v>0.0152097</v>
      </c>
      <c r="BR103" s="6">
        <v>0.01281304</v>
      </c>
      <c r="BS103" s="6">
        <v>0.01464933</v>
      </c>
      <c r="BT103" s="6">
        <v>0.00901029</v>
      </c>
      <c r="BU103" s="6">
        <v>0.01228791</v>
      </c>
      <c r="BV103" s="6">
        <v>0.0179249</v>
      </c>
      <c r="BW103" s="6">
        <v>0.01676219</v>
      </c>
      <c r="BX103" s="12">
        <v>3863</v>
      </c>
      <c r="BY103" s="13">
        <v>2690.8</v>
      </c>
      <c r="BZ103" s="12">
        <v>2120.35</v>
      </c>
      <c r="CA103" s="6">
        <f t="shared" si="10"/>
        <v>1.43563252564293</v>
      </c>
      <c r="CB103" s="6">
        <f t="shared" si="11"/>
        <v>1.82186903105619</v>
      </c>
      <c r="CC103" s="7">
        <v>64918080.33</v>
      </c>
      <c r="CD103" s="7">
        <f t="shared" si="6"/>
        <v>3.06166813639258</v>
      </c>
      <c r="CE103" s="8">
        <v>506</v>
      </c>
      <c r="CF103" s="8">
        <v>786.1</v>
      </c>
      <c r="CG103" s="8">
        <v>883.6</v>
      </c>
      <c r="CH103" s="8">
        <v>5221</v>
      </c>
      <c r="CI103" s="14">
        <v>0</v>
      </c>
      <c r="CJ103" s="14">
        <v>0</v>
      </c>
      <c r="CK103" s="14">
        <f t="shared" si="7"/>
        <v>0</v>
      </c>
      <c r="CL103">
        <f t="shared" si="8"/>
        <v>4.16809156222866</v>
      </c>
      <c r="CM103">
        <f t="shared" si="9"/>
        <v>0.265450844665342</v>
      </c>
      <c r="CN103" s="15">
        <v>3863</v>
      </c>
      <c r="CO103" s="15">
        <v>4484</v>
      </c>
      <c r="CP103" s="15">
        <v>162.09</v>
      </c>
      <c r="CQ103" s="15">
        <v>709.33</v>
      </c>
      <c r="CR103" s="15">
        <v>93.61</v>
      </c>
      <c r="CS103" s="15">
        <v>3.62</v>
      </c>
      <c r="CT103" s="15">
        <v>76.59</v>
      </c>
      <c r="CU103" s="15">
        <v>41.53</v>
      </c>
      <c r="CV103" s="15">
        <v>3.02</v>
      </c>
      <c r="CW103" s="15">
        <v>323.36</v>
      </c>
    </row>
    <row r="104" spans="1:101">
      <c r="A104" s="6">
        <v>2002</v>
      </c>
      <c r="B104" s="6" t="s">
        <v>104</v>
      </c>
      <c r="C104" s="6">
        <v>0.11736193</v>
      </c>
      <c r="D104" s="6">
        <v>0.023287</v>
      </c>
      <c r="E104" s="6">
        <v>0.005773</v>
      </c>
      <c r="F104" s="6">
        <v>0.010506</v>
      </c>
      <c r="G104" s="6">
        <v>0.003299</v>
      </c>
      <c r="H104" s="6">
        <v>0.003709</v>
      </c>
      <c r="I104" s="6">
        <v>0.024298</v>
      </c>
      <c r="J104" s="6">
        <v>0.013263</v>
      </c>
      <c r="K104" s="6">
        <v>0.13110033</v>
      </c>
      <c r="L104" s="6">
        <v>0.09598497</v>
      </c>
      <c r="M104" s="6">
        <v>0.11855607</v>
      </c>
      <c r="N104" s="6">
        <v>0.0690432</v>
      </c>
      <c r="O104" s="6">
        <v>0.07891613</v>
      </c>
      <c r="P104" s="6">
        <v>0.18085096</v>
      </c>
      <c r="Q104" s="6">
        <v>0.16766276</v>
      </c>
      <c r="R104" s="6">
        <v>217.69486</v>
      </c>
      <c r="S104" s="6">
        <v>0.00060222</v>
      </c>
      <c r="T104" s="6">
        <v>169.97573</v>
      </c>
      <c r="U104" s="6">
        <v>0.0005647</v>
      </c>
      <c r="V104" s="6">
        <v>197.11803</v>
      </c>
      <c r="W104" s="6">
        <v>0.00060145</v>
      </c>
      <c r="X104" s="6">
        <v>134.47093</v>
      </c>
      <c r="Y104" s="6">
        <v>0.00051344</v>
      </c>
      <c r="Z104" s="6">
        <v>134.86767</v>
      </c>
      <c r="AA104" s="6">
        <v>0.00058514</v>
      </c>
      <c r="AB104" s="6">
        <v>294.9318</v>
      </c>
      <c r="AC104" s="6">
        <v>0.0006132</v>
      </c>
      <c r="AD104" s="6">
        <v>243.86163</v>
      </c>
      <c r="AE104" s="6">
        <v>0.00068753</v>
      </c>
      <c r="AF104" s="6">
        <v>775</v>
      </c>
      <c r="AG104" s="6">
        <v>-0.0044654</v>
      </c>
      <c r="AH104" s="6">
        <v>-0.0042235</v>
      </c>
      <c r="AI104" s="6">
        <v>-0.00446044</v>
      </c>
      <c r="AJ104" s="6">
        <v>-0.00388901</v>
      </c>
      <c r="AK104" s="6">
        <v>-0.00435557</v>
      </c>
      <c r="AL104" s="6">
        <v>-0.0045357</v>
      </c>
      <c r="AM104" s="6">
        <v>-0.00500689</v>
      </c>
      <c r="AN104" s="6">
        <v>-6.4762184</v>
      </c>
      <c r="AO104" s="6">
        <v>-6.4515561</v>
      </c>
      <c r="AP104" s="6">
        <v>-6.4739881</v>
      </c>
      <c r="AQ104" s="6">
        <v>-6.4253629</v>
      </c>
      <c r="AR104" s="6">
        <v>-6.4020076</v>
      </c>
      <c r="AS104" s="6">
        <v>-6.4618417</v>
      </c>
      <c r="AT104" s="6">
        <v>-6.4506396</v>
      </c>
      <c r="AU104" s="6">
        <v>0.97344833</v>
      </c>
      <c r="AV104" s="6">
        <v>0.96974131</v>
      </c>
      <c r="AW104" s="6">
        <v>0.97311308</v>
      </c>
      <c r="AX104" s="6">
        <v>0.96580418</v>
      </c>
      <c r="AY104" s="6">
        <v>0.96229362</v>
      </c>
      <c r="AZ104" s="6">
        <v>0.97128734</v>
      </c>
      <c r="BA104" s="6">
        <v>0.96960354</v>
      </c>
      <c r="BB104" s="6">
        <v>0.02655167</v>
      </c>
      <c r="BC104" s="6">
        <v>0.03025869</v>
      </c>
      <c r="BD104" s="6">
        <v>0.02688692</v>
      </c>
      <c r="BE104" s="6">
        <v>0.03419582</v>
      </c>
      <c r="BF104" s="6">
        <v>0.03770638</v>
      </c>
      <c r="BG104" s="6">
        <v>0.02871266</v>
      </c>
      <c r="BH104" s="6">
        <v>0.03039646</v>
      </c>
      <c r="BI104" s="6">
        <v>0.21470859</v>
      </c>
      <c r="BJ104" s="6">
        <v>0.12366373</v>
      </c>
      <c r="BK104" s="6">
        <v>0.1409291</v>
      </c>
      <c r="BL104" s="6">
        <v>0.12522516</v>
      </c>
      <c r="BM104" s="6">
        <v>0.1592662</v>
      </c>
      <c r="BN104" s="6">
        <v>0.17561655</v>
      </c>
      <c r="BO104" s="6">
        <v>0.1337285</v>
      </c>
      <c r="BP104" s="6">
        <v>0.14157076</v>
      </c>
      <c r="BQ104" s="6">
        <v>0.01621236</v>
      </c>
      <c r="BR104" s="6">
        <v>0.01352707</v>
      </c>
      <c r="BS104" s="6">
        <v>0.0148462</v>
      </c>
      <c r="BT104" s="6">
        <v>0.01099625</v>
      </c>
      <c r="BU104" s="6">
        <v>0.01385898</v>
      </c>
      <c r="BV104" s="6">
        <v>0.02418493</v>
      </c>
      <c r="BW104" s="6">
        <v>0.02373615</v>
      </c>
      <c r="BX104" s="12">
        <v>4531</v>
      </c>
      <c r="BY104" s="13">
        <v>2699.4</v>
      </c>
      <c r="BZ104" s="12">
        <v>2348.54</v>
      </c>
      <c r="CA104" s="6">
        <f t="shared" si="10"/>
        <v>1.67852115284878</v>
      </c>
      <c r="CB104" s="6">
        <f t="shared" si="11"/>
        <v>1.929283725208</v>
      </c>
      <c r="CC104" s="7">
        <v>70021018.62</v>
      </c>
      <c r="CD104" s="7">
        <f t="shared" si="6"/>
        <v>2.98147013123047</v>
      </c>
      <c r="CE104" s="8">
        <v>536</v>
      </c>
      <c r="CF104" s="8">
        <v>941.8</v>
      </c>
      <c r="CG104" s="8">
        <v>972.7</v>
      </c>
      <c r="CH104" s="8">
        <v>5829</v>
      </c>
      <c r="CI104" s="14">
        <v>0</v>
      </c>
      <c r="CJ104" s="14">
        <v>0</v>
      </c>
      <c r="CK104" s="14">
        <f t="shared" si="7"/>
        <v>0</v>
      </c>
      <c r="CL104">
        <f t="shared" si="8"/>
        <v>4.06804884448575</v>
      </c>
      <c r="CM104">
        <f t="shared" si="9"/>
        <v>0.267100704734197</v>
      </c>
      <c r="CN104" s="15">
        <v>4531</v>
      </c>
      <c r="CO104" s="15">
        <v>4664</v>
      </c>
      <c r="CP104" s="15">
        <v>191.62</v>
      </c>
      <c r="CQ104" s="15">
        <v>731.42</v>
      </c>
      <c r="CR104" s="15">
        <v>96.99</v>
      </c>
      <c r="CS104" s="15">
        <v>3.89</v>
      </c>
      <c r="CT104" s="15">
        <v>85.49</v>
      </c>
      <c r="CU104" s="15">
        <v>32.03</v>
      </c>
      <c r="CV104" s="15">
        <v>3.02</v>
      </c>
      <c r="CW104" s="15">
        <v>344.54</v>
      </c>
    </row>
    <row r="105" spans="1:101">
      <c r="A105" s="6">
        <v>2003</v>
      </c>
      <c r="B105" s="6" t="s">
        <v>104</v>
      </c>
      <c r="C105" s="6">
        <v>0.12314182</v>
      </c>
      <c r="D105" s="6">
        <v>0.024851</v>
      </c>
      <c r="E105" s="6">
        <v>0.006017</v>
      </c>
      <c r="F105" s="6">
        <v>0.011274</v>
      </c>
      <c r="G105" s="6">
        <v>0.004215</v>
      </c>
      <c r="H105" s="6">
        <v>0.003346</v>
      </c>
      <c r="I105" s="6">
        <v>0.024175</v>
      </c>
      <c r="J105" s="6">
        <v>0.013176</v>
      </c>
      <c r="K105" s="6">
        <v>0.14336711</v>
      </c>
      <c r="L105" s="6">
        <v>0.10175433</v>
      </c>
      <c r="M105" s="6">
        <v>0.1303573</v>
      </c>
      <c r="N105" s="6">
        <v>0.09610468</v>
      </c>
      <c r="O105" s="6">
        <v>0.06789985</v>
      </c>
      <c r="P105" s="6">
        <v>0.17948494</v>
      </c>
      <c r="Q105" s="6">
        <v>0.16610446</v>
      </c>
      <c r="R105" s="6">
        <v>217.69486</v>
      </c>
      <c r="S105" s="6">
        <v>0.00065857</v>
      </c>
      <c r="T105" s="6">
        <v>169.97573</v>
      </c>
      <c r="U105" s="6">
        <v>0.00059864</v>
      </c>
      <c r="V105" s="6">
        <v>197.11803</v>
      </c>
      <c r="W105" s="6">
        <v>0.00066132</v>
      </c>
      <c r="X105" s="6">
        <v>134.47093</v>
      </c>
      <c r="Y105" s="6">
        <v>0.00071469</v>
      </c>
      <c r="Z105" s="6">
        <v>134.86767</v>
      </c>
      <c r="AA105" s="6">
        <v>0.00050346</v>
      </c>
      <c r="AB105" s="6">
        <v>294.9318</v>
      </c>
      <c r="AC105" s="6">
        <v>0.00060856</v>
      </c>
      <c r="AD105" s="6">
        <v>243.86163</v>
      </c>
      <c r="AE105" s="6">
        <v>0.00068114</v>
      </c>
      <c r="AF105" s="6">
        <v>775</v>
      </c>
      <c r="AG105" s="6">
        <v>-0.00482431</v>
      </c>
      <c r="AH105" s="6">
        <v>-0.00444242</v>
      </c>
      <c r="AI105" s="6">
        <v>-0.00484168</v>
      </c>
      <c r="AJ105" s="6">
        <v>-0.00517696</v>
      </c>
      <c r="AK105" s="6">
        <v>-0.00382325</v>
      </c>
      <c r="AL105" s="6">
        <v>-0.00450606</v>
      </c>
      <c r="AM105" s="6">
        <v>-0.00496671</v>
      </c>
      <c r="AN105" s="6">
        <v>-6.4762184</v>
      </c>
      <c r="AO105" s="6">
        <v>-6.4515561</v>
      </c>
      <c r="AP105" s="6">
        <v>-6.4739881</v>
      </c>
      <c r="AQ105" s="6">
        <v>-6.4253629</v>
      </c>
      <c r="AR105" s="6">
        <v>-6.4020076</v>
      </c>
      <c r="AS105" s="6">
        <v>-6.4618417</v>
      </c>
      <c r="AT105" s="6">
        <v>-6.4506396</v>
      </c>
      <c r="AU105" s="6">
        <v>0.97344833</v>
      </c>
      <c r="AV105" s="6">
        <v>0.96974131</v>
      </c>
      <c r="AW105" s="6">
        <v>0.97311308</v>
      </c>
      <c r="AX105" s="6">
        <v>0.96580418</v>
      </c>
      <c r="AY105" s="6">
        <v>0.96229362</v>
      </c>
      <c r="AZ105" s="6">
        <v>0.97128734</v>
      </c>
      <c r="BA105" s="6">
        <v>0.96960354</v>
      </c>
      <c r="BB105" s="6">
        <v>0.02655167</v>
      </c>
      <c r="BC105" s="6">
        <v>0.03025869</v>
      </c>
      <c r="BD105" s="6">
        <v>0.02688692</v>
      </c>
      <c r="BE105" s="6">
        <v>0.03419582</v>
      </c>
      <c r="BF105" s="6">
        <v>0.03770638</v>
      </c>
      <c r="BG105" s="6">
        <v>0.02871266</v>
      </c>
      <c r="BH105" s="6">
        <v>0.03039646</v>
      </c>
      <c r="BI105" s="6">
        <v>0.21470859</v>
      </c>
      <c r="BJ105" s="6">
        <v>0.12366373</v>
      </c>
      <c r="BK105" s="6">
        <v>0.1409291</v>
      </c>
      <c r="BL105" s="6">
        <v>0.12522516</v>
      </c>
      <c r="BM105" s="6">
        <v>0.1592662</v>
      </c>
      <c r="BN105" s="6">
        <v>0.17561655</v>
      </c>
      <c r="BO105" s="6">
        <v>0.1337285</v>
      </c>
      <c r="BP105" s="6">
        <v>0.14157076</v>
      </c>
      <c r="BQ105" s="6">
        <v>0.01772931</v>
      </c>
      <c r="BR105" s="6">
        <v>0.01434015</v>
      </c>
      <c r="BS105" s="6">
        <v>0.01632401</v>
      </c>
      <c r="BT105" s="6">
        <v>0.01530623</v>
      </c>
      <c r="BU105" s="6">
        <v>0.01192434</v>
      </c>
      <c r="BV105" s="6">
        <v>0.02400225</v>
      </c>
      <c r="BW105" s="6">
        <v>0.02351554</v>
      </c>
      <c r="BX105" s="12">
        <v>5174</v>
      </c>
      <c r="BY105" s="13">
        <v>2703.7</v>
      </c>
      <c r="BZ105" s="12">
        <v>2662.08</v>
      </c>
      <c r="CA105" s="6">
        <f t="shared" si="10"/>
        <v>1.91367385434775</v>
      </c>
      <c r="CB105" s="6">
        <f t="shared" si="11"/>
        <v>1.94359297992547</v>
      </c>
      <c r="CC105" s="7">
        <v>77447694.43</v>
      </c>
      <c r="CD105" s="7">
        <f t="shared" si="6"/>
        <v>2.90929252426674</v>
      </c>
      <c r="CE105" s="8">
        <v>551.5</v>
      </c>
      <c r="CF105" s="8">
        <v>1204.3</v>
      </c>
      <c r="CG105" s="8">
        <v>1056.9</v>
      </c>
      <c r="CH105" s="8">
        <v>6636</v>
      </c>
      <c r="CI105" s="14">
        <v>0</v>
      </c>
      <c r="CJ105" s="14">
        <v>0</v>
      </c>
      <c r="CK105" s="14">
        <f t="shared" si="7"/>
        <v>0</v>
      </c>
      <c r="CL105">
        <f t="shared" si="8"/>
        <v>4.08414499624993</v>
      </c>
      <c r="CM105">
        <f t="shared" si="9"/>
        <v>0.287661792875117</v>
      </c>
      <c r="CN105" s="15">
        <v>5173.5</v>
      </c>
      <c r="CO105" s="15">
        <v>5202.06</v>
      </c>
      <c r="CP105" s="15">
        <v>231.15</v>
      </c>
      <c r="CQ105" s="15">
        <v>885.24</v>
      </c>
      <c r="CR105" s="15">
        <v>103.41</v>
      </c>
      <c r="CS105" s="15">
        <v>4.07</v>
      </c>
      <c r="CT105" s="15">
        <v>92.53</v>
      </c>
      <c r="CU105" s="15">
        <v>28.95</v>
      </c>
      <c r="CV105" s="15">
        <v>3.08</v>
      </c>
      <c r="CW105" s="15">
        <v>359.4</v>
      </c>
    </row>
    <row r="106" spans="1:101">
      <c r="A106" s="6">
        <v>2004</v>
      </c>
      <c r="B106" s="6" t="s">
        <v>104</v>
      </c>
      <c r="C106" s="6">
        <v>0.124638</v>
      </c>
      <c r="D106" s="6">
        <v>0.024694</v>
      </c>
      <c r="E106" s="6">
        <v>0.006149</v>
      </c>
      <c r="F106" s="6">
        <v>0.011522</v>
      </c>
      <c r="G106" s="6">
        <v>0.003809</v>
      </c>
      <c r="H106" s="6">
        <v>0.003214</v>
      </c>
      <c r="I106" s="6">
        <v>0.024621</v>
      </c>
      <c r="J106" s="6">
        <v>0.014237</v>
      </c>
      <c r="K106" s="6">
        <v>0.14213455</v>
      </c>
      <c r="L106" s="6">
        <v>0.10489042</v>
      </c>
      <c r="M106" s="6">
        <v>0.13417348</v>
      </c>
      <c r="N106" s="6">
        <v>0.08410863</v>
      </c>
      <c r="O106" s="6">
        <v>0.06389222</v>
      </c>
      <c r="P106" s="6">
        <v>0.18445434</v>
      </c>
      <c r="Q106" s="6">
        <v>0.18502483</v>
      </c>
      <c r="R106" s="6">
        <v>217.69486</v>
      </c>
      <c r="S106" s="6">
        <v>0.00065291</v>
      </c>
      <c r="T106" s="6">
        <v>169.97573</v>
      </c>
      <c r="U106" s="6">
        <v>0.00061709</v>
      </c>
      <c r="V106" s="6">
        <v>197.11803</v>
      </c>
      <c r="W106" s="6">
        <v>0.00068068</v>
      </c>
      <c r="X106" s="6">
        <v>134.47093</v>
      </c>
      <c r="Y106" s="6">
        <v>0.00062548</v>
      </c>
      <c r="Z106" s="6">
        <v>134.86767</v>
      </c>
      <c r="AA106" s="6">
        <v>0.00047374</v>
      </c>
      <c r="AB106" s="6">
        <v>294.9318</v>
      </c>
      <c r="AC106" s="6">
        <v>0.00062541</v>
      </c>
      <c r="AD106" s="6">
        <v>243.86163</v>
      </c>
      <c r="AE106" s="6">
        <v>0.00075873</v>
      </c>
      <c r="AF106" s="6">
        <v>775</v>
      </c>
      <c r="AG106" s="6">
        <v>-0.00478847</v>
      </c>
      <c r="AH106" s="6">
        <v>-0.0045606</v>
      </c>
      <c r="AI106" s="6">
        <v>-0.00496378</v>
      </c>
      <c r="AJ106" s="6">
        <v>-0.00461415</v>
      </c>
      <c r="AK106" s="6">
        <v>-0.00362641</v>
      </c>
      <c r="AL106" s="6">
        <v>-0.00461374</v>
      </c>
      <c r="AM106" s="6">
        <v>-0.00545061</v>
      </c>
      <c r="AN106" s="6">
        <v>-6.4762184</v>
      </c>
      <c r="AO106" s="6">
        <v>-6.4515561</v>
      </c>
      <c r="AP106" s="6">
        <v>-6.4739881</v>
      </c>
      <c r="AQ106" s="6">
        <v>-6.4253629</v>
      </c>
      <c r="AR106" s="6">
        <v>-6.4020076</v>
      </c>
      <c r="AS106" s="6">
        <v>-6.4618417</v>
      </c>
      <c r="AT106" s="6">
        <v>-6.4506396</v>
      </c>
      <c r="AU106" s="6">
        <v>0.97344833</v>
      </c>
      <c r="AV106" s="6">
        <v>0.96974131</v>
      </c>
      <c r="AW106" s="6">
        <v>0.97311308</v>
      </c>
      <c r="AX106" s="6">
        <v>0.96580418</v>
      </c>
      <c r="AY106" s="6">
        <v>0.96229362</v>
      </c>
      <c r="AZ106" s="6">
        <v>0.97128734</v>
      </c>
      <c r="BA106" s="6">
        <v>0.96960354</v>
      </c>
      <c r="BB106" s="6">
        <v>0.02655167</v>
      </c>
      <c r="BC106" s="6">
        <v>0.03025869</v>
      </c>
      <c r="BD106" s="6">
        <v>0.02688692</v>
      </c>
      <c r="BE106" s="6">
        <v>0.03419582</v>
      </c>
      <c r="BF106" s="6">
        <v>0.03770638</v>
      </c>
      <c r="BG106" s="6">
        <v>0.02871266</v>
      </c>
      <c r="BH106" s="6">
        <v>0.03039646</v>
      </c>
      <c r="BI106" s="6">
        <v>0.21470859</v>
      </c>
      <c r="BJ106" s="6">
        <v>0.12366373</v>
      </c>
      <c r="BK106" s="6">
        <v>0.1409291</v>
      </c>
      <c r="BL106" s="6">
        <v>0.12522516</v>
      </c>
      <c r="BM106" s="6">
        <v>0.1592662</v>
      </c>
      <c r="BN106" s="6">
        <v>0.17561655</v>
      </c>
      <c r="BO106" s="6">
        <v>0.1337285</v>
      </c>
      <c r="BP106" s="6">
        <v>0.14157076</v>
      </c>
      <c r="BQ106" s="6">
        <v>0.01757689</v>
      </c>
      <c r="BR106" s="6">
        <v>0.01478211</v>
      </c>
      <c r="BS106" s="6">
        <v>0.0168019</v>
      </c>
      <c r="BT106" s="6">
        <v>0.01339566</v>
      </c>
      <c r="BU106" s="6">
        <v>0.01122053</v>
      </c>
      <c r="BV106" s="6">
        <v>0.0246668</v>
      </c>
      <c r="BW106" s="6">
        <v>0.02619411</v>
      </c>
      <c r="BX106" s="12">
        <v>5603</v>
      </c>
      <c r="BY106" s="13">
        <v>2708.5</v>
      </c>
      <c r="BZ106" s="12">
        <v>3122.01</v>
      </c>
      <c r="CA106" s="6">
        <f t="shared" si="10"/>
        <v>2.0686726970648</v>
      </c>
      <c r="CB106" s="6">
        <f t="shared" si="11"/>
        <v>1.79467714709434</v>
      </c>
      <c r="CC106" s="7">
        <v>83725792.15</v>
      </c>
      <c r="CD106" s="7">
        <f t="shared" si="6"/>
        <v>2.68179128670312</v>
      </c>
      <c r="CE106" s="8">
        <v>664.5</v>
      </c>
      <c r="CF106" s="8">
        <v>1505.2</v>
      </c>
      <c r="CG106" s="8">
        <v>1228.4</v>
      </c>
      <c r="CH106" s="8">
        <v>7960</v>
      </c>
      <c r="CI106" s="14">
        <v>0</v>
      </c>
      <c r="CJ106" s="14">
        <v>0</v>
      </c>
      <c r="CK106" s="14">
        <f t="shared" si="7"/>
        <v>0</v>
      </c>
      <c r="CL106">
        <f t="shared" si="8"/>
        <v>3.89549779892895</v>
      </c>
      <c r="CM106">
        <f t="shared" si="9"/>
        <v>0.311566473624894</v>
      </c>
      <c r="CN106" s="15">
        <v>5602.51</v>
      </c>
      <c r="CO106" s="15">
        <v>5715.02</v>
      </c>
      <c r="CP106" s="15">
        <v>249.99</v>
      </c>
      <c r="CQ106" s="15">
        <v>833.01</v>
      </c>
      <c r="CR106" s="15">
        <v>111.12</v>
      </c>
      <c r="CS106" s="15">
        <v>10.29</v>
      </c>
      <c r="CT106" s="15">
        <v>103.04</v>
      </c>
      <c r="CU106" s="15">
        <v>38.45</v>
      </c>
      <c r="CV106" s="15">
        <v>4</v>
      </c>
      <c r="CW106" s="15">
        <v>383.06</v>
      </c>
    </row>
    <row r="107" spans="1:101">
      <c r="A107" s="6">
        <v>2005</v>
      </c>
      <c r="B107" s="6" t="s">
        <v>104</v>
      </c>
      <c r="C107" s="6">
        <v>0.14234674</v>
      </c>
      <c r="D107" s="6">
        <v>0.027448</v>
      </c>
      <c r="E107" s="6">
        <v>0.006811</v>
      </c>
      <c r="F107" s="6">
        <v>0.012325</v>
      </c>
      <c r="G107" s="6">
        <v>0.003742</v>
      </c>
      <c r="H107" s="6">
        <v>0.00457</v>
      </c>
      <c r="I107" s="6">
        <v>0.027437</v>
      </c>
      <c r="J107" s="6">
        <v>0.014312</v>
      </c>
      <c r="K107" s="6">
        <v>0.16373848</v>
      </c>
      <c r="L107" s="6">
        <v>0.12053802</v>
      </c>
      <c r="M107" s="6">
        <v>0.14651821</v>
      </c>
      <c r="N107" s="6">
        <v>0.08211302</v>
      </c>
      <c r="O107" s="6">
        <v>0.1050054</v>
      </c>
      <c r="P107" s="6">
        <v>0.21581644</v>
      </c>
      <c r="Q107" s="6">
        <v>0.18636491</v>
      </c>
      <c r="R107" s="6">
        <v>217.69486</v>
      </c>
      <c r="S107" s="6">
        <v>0.00075215</v>
      </c>
      <c r="T107" s="6">
        <v>169.97573</v>
      </c>
      <c r="U107" s="6">
        <v>0.00070915</v>
      </c>
      <c r="V107" s="6">
        <v>197.11803</v>
      </c>
      <c r="W107" s="6">
        <v>0.0007433</v>
      </c>
      <c r="X107" s="6">
        <v>134.47093</v>
      </c>
      <c r="Y107" s="6">
        <v>0.00061064</v>
      </c>
      <c r="Z107" s="6">
        <v>134.86767</v>
      </c>
      <c r="AA107" s="6">
        <v>0.00077858</v>
      </c>
      <c r="AB107" s="6">
        <v>294.9318</v>
      </c>
      <c r="AC107" s="6">
        <v>0.00073175</v>
      </c>
      <c r="AD107" s="6">
        <v>243.86163</v>
      </c>
      <c r="AE107" s="6">
        <v>0.00076422</v>
      </c>
      <c r="AF107" s="6">
        <v>775</v>
      </c>
      <c r="AG107" s="6">
        <v>-0.00540988</v>
      </c>
      <c r="AH107" s="6">
        <v>-0.00514235</v>
      </c>
      <c r="AI107" s="6">
        <v>-0.00535505</v>
      </c>
      <c r="AJ107" s="6">
        <v>-0.00451933</v>
      </c>
      <c r="AK107" s="6">
        <v>-0.00557311</v>
      </c>
      <c r="AL107" s="6">
        <v>-0.00528329</v>
      </c>
      <c r="AM107" s="6">
        <v>-0.00548457</v>
      </c>
      <c r="AN107" s="6">
        <v>-6.4762184</v>
      </c>
      <c r="AO107" s="6">
        <v>-6.4515561</v>
      </c>
      <c r="AP107" s="6">
        <v>-6.4739881</v>
      </c>
      <c r="AQ107" s="6">
        <v>-6.4253629</v>
      </c>
      <c r="AR107" s="6">
        <v>-6.4020076</v>
      </c>
      <c r="AS107" s="6">
        <v>-6.4618417</v>
      </c>
      <c r="AT107" s="6">
        <v>-6.4506396</v>
      </c>
      <c r="AU107" s="6">
        <v>0.97344833</v>
      </c>
      <c r="AV107" s="6">
        <v>0.96974131</v>
      </c>
      <c r="AW107" s="6">
        <v>0.97311308</v>
      </c>
      <c r="AX107" s="6">
        <v>0.96580418</v>
      </c>
      <c r="AY107" s="6">
        <v>0.96229362</v>
      </c>
      <c r="AZ107" s="6">
        <v>0.97128734</v>
      </c>
      <c r="BA107" s="6">
        <v>0.96960354</v>
      </c>
      <c r="BB107" s="6">
        <v>0.02655167</v>
      </c>
      <c r="BC107" s="6">
        <v>0.03025869</v>
      </c>
      <c r="BD107" s="6">
        <v>0.02688692</v>
      </c>
      <c r="BE107" s="6">
        <v>0.03419582</v>
      </c>
      <c r="BF107" s="6">
        <v>0.03770638</v>
      </c>
      <c r="BG107" s="6">
        <v>0.02871266</v>
      </c>
      <c r="BH107" s="6">
        <v>0.03039646</v>
      </c>
      <c r="BI107" s="6">
        <v>0.21470859</v>
      </c>
      <c r="BJ107" s="6">
        <v>0.12366373</v>
      </c>
      <c r="BK107" s="6">
        <v>0.1409291</v>
      </c>
      <c r="BL107" s="6">
        <v>0.12522516</v>
      </c>
      <c r="BM107" s="6">
        <v>0.1592662</v>
      </c>
      <c r="BN107" s="6">
        <v>0.17561655</v>
      </c>
      <c r="BO107" s="6">
        <v>0.1337285</v>
      </c>
      <c r="BP107" s="6">
        <v>0.14157076</v>
      </c>
      <c r="BQ107" s="6">
        <v>0.02024851</v>
      </c>
      <c r="BR107" s="6">
        <v>0.01698731</v>
      </c>
      <c r="BS107" s="6">
        <v>0.01834777</v>
      </c>
      <c r="BT107" s="6">
        <v>0.01307783</v>
      </c>
      <c r="BU107" s="6">
        <v>0.01844069</v>
      </c>
      <c r="BV107" s="6">
        <v>0.02886081</v>
      </c>
      <c r="BW107" s="6">
        <v>0.02638382</v>
      </c>
      <c r="BX107" s="12">
        <v>5315</v>
      </c>
      <c r="BY107" s="13">
        <v>2716</v>
      </c>
      <c r="BZ107" s="12">
        <v>3620.27</v>
      </c>
      <c r="CA107" s="6">
        <f t="shared" si="10"/>
        <v>1.95692194403535</v>
      </c>
      <c r="CB107" s="6">
        <f t="shared" si="11"/>
        <v>1.46812254334621</v>
      </c>
      <c r="CC107" s="7">
        <v>91827788.41</v>
      </c>
      <c r="CD107" s="7">
        <f t="shared" si="6"/>
        <v>2.53649005212318</v>
      </c>
      <c r="CE107" s="8">
        <v>717.7</v>
      </c>
      <c r="CF107" s="8">
        <v>1834.7</v>
      </c>
      <c r="CG107" s="8">
        <v>1388.9</v>
      </c>
      <c r="CH107" s="8">
        <v>9172</v>
      </c>
      <c r="CI107" s="14">
        <v>0</v>
      </c>
      <c r="CJ107" s="14">
        <v>0</v>
      </c>
      <c r="CK107" s="14">
        <f t="shared" si="7"/>
        <v>0</v>
      </c>
      <c r="CL107">
        <f t="shared" si="8"/>
        <v>3.71995059106252</v>
      </c>
      <c r="CM107">
        <f t="shared" si="9"/>
        <v>0.318138778988812</v>
      </c>
      <c r="CN107" s="15">
        <v>5957.6</v>
      </c>
      <c r="CO107" s="15">
        <v>6802.48</v>
      </c>
      <c r="CP107" s="15">
        <v>336.92</v>
      </c>
      <c r="CQ107" s="15">
        <v>968.36</v>
      </c>
      <c r="CR107" s="15">
        <v>166.94</v>
      </c>
      <c r="CS107" s="15">
        <v>15.85</v>
      </c>
      <c r="CT107" s="15">
        <v>242.61</v>
      </c>
      <c r="CU107" s="15">
        <v>53.13</v>
      </c>
      <c r="CV107" s="15">
        <v>6.18</v>
      </c>
      <c r="CW107" s="15">
        <v>378.23</v>
      </c>
    </row>
    <row r="108" spans="1:101">
      <c r="A108" s="6">
        <v>2006</v>
      </c>
      <c r="B108" s="6" t="s">
        <v>104</v>
      </c>
      <c r="C108" s="6">
        <v>0.1423867</v>
      </c>
      <c r="D108" s="6">
        <v>0.026529</v>
      </c>
      <c r="E108" s="6">
        <v>0.006126</v>
      </c>
      <c r="F108" s="6">
        <v>0.011675</v>
      </c>
      <c r="G108" s="6">
        <v>0.004349</v>
      </c>
      <c r="H108" s="6">
        <v>0.00438</v>
      </c>
      <c r="I108" s="6">
        <v>0.027925</v>
      </c>
      <c r="J108" s="6">
        <v>0.015061</v>
      </c>
      <c r="K108" s="6">
        <v>0.15653089</v>
      </c>
      <c r="L108" s="6">
        <v>0.10433132</v>
      </c>
      <c r="M108" s="6">
        <v>0.13652268</v>
      </c>
      <c r="N108" s="6">
        <v>0.10007009</v>
      </c>
      <c r="O108" s="6">
        <v>0.09923168</v>
      </c>
      <c r="P108" s="6">
        <v>0.22125484</v>
      </c>
      <c r="Q108" s="6">
        <v>0.19974126</v>
      </c>
      <c r="R108" s="6">
        <v>217.69486</v>
      </c>
      <c r="S108" s="6">
        <v>0.00071904</v>
      </c>
      <c r="T108" s="6">
        <v>169.97573</v>
      </c>
      <c r="U108" s="6">
        <v>0.0006138</v>
      </c>
      <c r="V108" s="6">
        <v>197.11803</v>
      </c>
      <c r="W108" s="6">
        <v>0.00069259</v>
      </c>
      <c r="X108" s="6">
        <v>134.47093</v>
      </c>
      <c r="Y108" s="6">
        <v>0.00074418</v>
      </c>
      <c r="Z108" s="6">
        <v>134.86767</v>
      </c>
      <c r="AA108" s="6">
        <v>0.00073577</v>
      </c>
      <c r="AB108" s="6">
        <v>294.9318</v>
      </c>
      <c r="AC108" s="6">
        <v>0.00075019</v>
      </c>
      <c r="AD108" s="6">
        <v>243.86163</v>
      </c>
      <c r="AE108" s="6">
        <v>0.00081908</v>
      </c>
      <c r="AF108" s="6">
        <v>775</v>
      </c>
      <c r="AG108" s="6">
        <v>-0.00520411</v>
      </c>
      <c r="AH108" s="6">
        <v>-0.00453958</v>
      </c>
      <c r="AI108" s="6">
        <v>-0.00503866</v>
      </c>
      <c r="AJ108" s="6">
        <v>-0.00536048</v>
      </c>
      <c r="AK108" s="6">
        <v>-0.00530829</v>
      </c>
      <c r="AL108" s="6">
        <v>-0.00539775</v>
      </c>
      <c r="AM108" s="6">
        <v>-0.00582145</v>
      </c>
      <c r="AN108" s="6">
        <v>-6.4762184</v>
      </c>
      <c r="AO108" s="6">
        <v>-6.4515561</v>
      </c>
      <c r="AP108" s="6">
        <v>-6.4739881</v>
      </c>
      <c r="AQ108" s="6">
        <v>-6.4253629</v>
      </c>
      <c r="AR108" s="6">
        <v>-6.4020076</v>
      </c>
      <c r="AS108" s="6">
        <v>-6.4618417</v>
      </c>
      <c r="AT108" s="6">
        <v>-6.4506396</v>
      </c>
      <c r="AU108" s="6">
        <v>0.97344833</v>
      </c>
      <c r="AV108" s="6">
        <v>0.96974131</v>
      </c>
      <c r="AW108" s="6">
        <v>0.97311308</v>
      </c>
      <c r="AX108" s="6">
        <v>0.96580418</v>
      </c>
      <c r="AY108" s="6">
        <v>0.96229362</v>
      </c>
      <c r="AZ108" s="6">
        <v>0.97128734</v>
      </c>
      <c r="BA108" s="6">
        <v>0.96960354</v>
      </c>
      <c r="BB108" s="6">
        <v>0.02655167</v>
      </c>
      <c r="BC108" s="6">
        <v>0.03025869</v>
      </c>
      <c r="BD108" s="6">
        <v>0.02688692</v>
      </c>
      <c r="BE108" s="6">
        <v>0.03419582</v>
      </c>
      <c r="BF108" s="6">
        <v>0.03770638</v>
      </c>
      <c r="BG108" s="6">
        <v>0.02871266</v>
      </c>
      <c r="BH108" s="6">
        <v>0.03039646</v>
      </c>
      <c r="BI108" s="6">
        <v>0.21470859</v>
      </c>
      <c r="BJ108" s="6">
        <v>0.12366373</v>
      </c>
      <c r="BK108" s="6">
        <v>0.1409291</v>
      </c>
      <c r="BL108" s="6">
        <v>0.12522516</v>
      </c>
      <c r="BM108" s="6">
        <v>0.1592662</v>
      </c>
      <c r="BN108" s="6">
        <v>0.17561655</v>
      </c>
      <c r="BO108" s="6">
        <v>0.1337285</v>
      </c>
      <c r="BP108" s="6">
        <v>0.14157076</v>
      </c>
      <c r="BQ108" s="6">
        <v>0.01935719</v>
      </c>
      <c r="BR108" s="6">
        <v>0.01470332</v>
      </c>
      <c r="BS108" s="6">
        <v>0.01709607</v>
      </c>
      <c r="BT108" s="6">
        <v>0.01593778</v>
      </c>
      <c r="BU108" s="6">
        <v>0.01742673</v>
      </c>
      <c r="BV108" s="6">
        <v>0.02958808</v>
      </c>
      <c r="BW108" s="6">
        <v>0.02827752</v>
      </c>
      <c r="BX108" s="12">
        <v>5908</v>
      </c>
      <c r="BY108" s="13">
        <v>2723</v>
      </c>
      <c r="BZ108" s="12">
        <v>4275.12</v>
      </c>
      <c r="CA108" s="6">
        <f t="shared" si="10"/>
        <v>2.16966580976864</v>
      </c>
      <c r="CB108" s="6">
        <f t="shared" si="11"/>
        <v>1.3819495125283</v>
      </c>
      <c r="CC108" s="7">
        <v>97564670.08</v>
      </c>
      <c r="CD108" s="7">
        <f t="shared" si="6"/>
        <v>2.28215044443197</v>
      </c>
      <c r="CE108" s="8">
        <v>775.1</v>
      </c>
      <c r="CF108" s="8">
        <v>2337.6</v>
      </c>
      <c r="CG108" s="8">
        <v>1584.1</v>
      </c>
      <c r="CH108" s="8">
        <v>10859</v>
      </c>
      <c r="CI108" s="14">
        <v>0</v>
      </c>
      <c r="CJ108" s="14">
        <v>0</v>
      </c>
      <c r="CK108" s="14">
        <f t="shared" si="7"/>
        <v>0</v>
      </c>
      <c r="CL108">
        <f t="shared" si="8"/>
        <v>3.57740717995078</v>
      </c>
      <c r="CM108">
        <f t="shared" si="9"/>
        <v>0.362065784062252</v>
      </c>
      <c r="CN108" s="15">
        <v>6622.41</v>
      </c>
      <c r="CO108" s="15">
        <v>7548.83</v>
      </c>
      <c r="CP108" s="15">
        <v>367.23</v>
      </c>
      <c r="CQ108" s="15">
        <v>954.94</v>
      </c>
      <c r="CR108" s="15">
        <v>193.01</v>
      </c>
      <c r="CS108" s="15">
        <v>6.73</v>
      </c>
      <c r="CT108" s="15">
        <v>303.75</v>
      </c>
      <c r="CU108" s="15">
        <v>40.09</v>
      </c>
      <c r="CV108" s="15">
        <v>6</v>
      </c>
      <c r="CW108" s="15">
        <v>412.45</v>
      </c>
    </row>
    <row r="109" spans="1:101">
      <c r="A109" s="6">
        <v>2007</v>
      </c>
      <c r="B109" s="6" t="s">
        <v>104</v>
      </c>
      <c r="C109" s="6">
        <v>0.14581867</v>
      </c>
      <c r="D109" s="6">
        <v>0.026672</v>
      </c>
      <c r="E109" s="6">
        <v>0.006195</v>
      </c>
      <c r="F109" s="6">
        <v>0.012614</v>
      </c>
      <c r="G109" s="6">
        <v>0.003675</v>
      </c>
      <c r="H109" s="6">
        <v>0.004189</v>
      </c>
      <c r="I109" s="6">
        <v>0.029814</v>
      </c>
      <c r="J109" s="6">
        <v>0.016105</v>
      </c>
      <c r="K109" s="6">
        <v>0.15764936</v>
      </c>
      <c r="L109" s="6">
        <v>0.10596472</v>
      </c>
      <c r="M109" s="6">
        <v>0.15095012</v>
      </c>
      <c r="N109" s="6">
        <v>0.08014638</v>
      </c>
      <c r="O109" s="6">
        <v>0.09343821</v>
      </c>
      <c r="P109" s="6">
        <v>0.24228505</v>
      </c>
      <c r="Q109" s="6">
        <v>0.21835426</v>
      </c>
      <c r="R109" s="6">
        <v>217.69486</v>
      </c>
      <c r="S109" s="6">
        <v>0.00072418</v>
      </c>
      <c r="T109" s="6">
        <v>169.97573</v>
      </c>
      <c r="U109" s="6">
        <v>0.00062341</v>
      </c>
      <c r="V109" s="6">
        <v>197.11803</v>
      </c>
      <c r="W109" s="6">
        <v>0.00076579</v>
      </c>
      <c r="X109" s="6">
        <v>134.47093</v>
      </c>
      <c r="Y109" s="6">
        <v>0.00059601</v>
      </c>
      <c r="Z109" s="6">
        <v>134.86767</v>
      </c>
      <c r="AA109" s="6">
        <v>0.00069281</v>
      </c>
      <c r="AB109" s="6">
        <v>294.9318</v>
      </c>
      <c r="AC109" s="6">
        <v>0.0008215</v>
      </c>
      <c r="AD109" s="6">
        <v>243.86163</v>
      </c>
      <c r="AE109" s="6">
        <v>0.0008954</v>
      </c>
      <c r="AF109" s="6">
        <v>775</v>
      </c>
      <c r="AG109" s="6">
        <v>-0.00523614</v>
      </c>
      <c r="AH109" s="6">
        <v>-0.00460096</v>
      </c>
      <c r="AI109" s="6">
        <v>-0.00549421</v>
      </c>
      <c r="AJ109" s="6">
        <v>-0.00442554</v>
      </c>
      <c r="AK109" s="6">
        <v>-0.00504005</v>
      </c>
      <c r="AL109" s="6">
        <v>-0.00583622</v>
      </c>
      <c r="AM109" s="6">
        <v>-0.00628415</v>
      </c>
      <c r="AN109" s="6">
        <v>-6.4762184</v>
      </c>
      <c r="AO109" s="6">
        <v>-6.4515561</v>
      </c>
      <c r="AP109" s="6">
        <v>-6.4739881</v>
      </c>
      <c r="AQ109" s="6">
        <v>-6.4253629</v>
      </c>
      <c r="AR109" s="6">
        <v>-6.4020076</v>
      </c>
      <c r="AS109" s="6">
        <v>-6.4618417</v>
      </c>
      <c r="AT109" s="6">
        <v>-6.4506396</v>
      </c>
      <c r="AU109" s="6">
        <v>0.97344833</v>
      </c>
      <c r="AV109" s="6">
        <v>0.96974131</v>
      </c>
      <c r="AW109" s="6">
        <v>0.97311308</v>
      </c>
      <c r="AX109" s="6">
        <v>0.96580418</v>
      </c>
      <c r="AY109" s="6">
        <v>0.96229362</v>
      </c>
      <c r="AZ109" s="6">
        <v>0.97128734</v>
      </c>
      <c r="BA109" s="6">
        <v>0.96960354</v>
      </c>
      <c r="BB109" s="6">
        <v>0.02655167</v>
      </c>
      <c r="BC109" s="6">
        <v>0.03025869</v>
      </c>
      <c r="BD109" s="6">
        <v>0.02688692</v>
      </c>
      <c r="BE109" s="6">
        <v>0.03419582</v>
      </c>
      <c r="BF109" s="6">
        <v>0.03770638</v>
      </c>
      <c r="BG109" s="6">
        <v>0.02871266</v>
      </c>
      <c r="BH109" s="6">
        <v>0.03039646</v>
      </c>
      <c r="BI109" s="6">
        <v>0.21470859</v>
      </c>
      <c r="BJ109" s="6">
        <v>0.12366373</v>
      </c>
      <c r="BK109" s="6">
        <v>0.1409291</v>
      </c>
      <c r="BL109" s="6">
        <v>0.12522516</v>
      </c>
      <c r="BM109" s="6">
        <v>0.1592662</v>
      </c>
      <c r="BN109" s="6">
        <v>0.17561655</v>
      </c>
      <c r="BO109" s="6">
        <v>0.1337285</v>
      </c>
      <c r="BP109" s="6">
        <v>0.14157076</v>
      </c>
      <c r="BQ109" s="6">
        <v>0.01949551</v>
      </c>
      <c r="BR109" s="6">
        <v>0.01493351</v>
      </c>
      <c r="BS109" s="6">
        <v>0.01890275</v>
      </c>
      <c r="BT109" s="6">
        <v>0.01276461</v>
      </c>
      <c r="BU109" s="6">
        <v>0.0164093</v>
      </c>
      <c r="BV109" s="6">
        <v>0.03240042</v>
      </c>
      <c r="BW109" s="6">
        <v>0.03091258</v>
      </c>
      <c r="BX109" s="12">
        <v>6557</v>
      </c>
      <c r="BY109" s="13">
        <v>2729.82</v>
      </c>
      <c r="BZ109" s="12">
        <v>5284.69</v>
      </c>
      <c r="CA109" s="6">
        <f t="shared" si="10"/>
        <v>2.40198987479028</v>
      </c>
      <c r="CB109" s="6">
        <f t="shared" si="11"/>
        <v>1.24075395150898</v>
      </c>
      <c r="CC109" s="7">
        <v>105876900.2</v>
      </c>
      <c r="CD109" s="7">
        <f t="shared" si="6"/>
        <v>2.00346472924618</v>
      </c>
      <c r="CE109" s="8">
        <v>868.6</v>
      </c>
      <c r="CF109" s="8">
        <v>2950.3</v>
      </c>
      <c r="CG109" s="8">
        <v>1958.7</v>
      </c>
      <c r="CH109" s="8">
        <v>13270</v>
      </c>
      <c r="CI109" s="14">
        <v>0</v>
      </c>
      <c r="CJ109" s="14">
        <v>0</v>
      </c>
      <c r="CK109" s="14">
        <f t="shared" si="7"/>
        <v>0</v>
      </c>
      <c r="CL109">
        <f t="shared" si="8"/>
        <v>3.23986794305777</v>
      </c>
      <c r="CM109">
        <f t="shared" si="9"/>
        <v>0.381621484437627</v>
      </c>
      <c r="CN109" s="15">
        <v>7346.11</v>
      </c>
      <c r="CO109" s="15">
        <v>7846.56</v>
      </c>
      <c r="CP109" s="15">
        <v>408.41</v>
      </c>
      <c r="CQ109" s="15">
        <v>986.08</v>
      </c>
      <c r="CR109" s="15">
        <v>203.92</v>
      </c>
      <c r="CS109" s="15">
        <v>7.47</v>
      </c>
      <c r="CT109" s="15">
        <v>403.8</v>
      </c>
      <c r="CU109" s="15">
        <v>39.92</v>
      </c>
      <c r="CV109" s="15">
        <v>6.47</v>
      </c>
      <c r="CW109" s="15">
        <v>462.64</v>
      </c>
    </row>
    <row r="110" spans="1:101">
      <c r="A110" s="6">
        <v>2008</v>
      </c>
      <c r="B110" s="6" t="s">
        <v>104</v>
      </c>
      <c r="C110" s="6">
        <v>0.1614856</v>
      </c>
      <c r="D110" s="6">
        <v>0.031289</v>
      </c>
      <c r="E110" s="6">
        <v>0.008115</v>
      </c>
      <c r="F110" s="6">
        <v>0.014142</v>
      </c>
      <c r="G110" s="6">
        <v>0.004369</v>
      </c>
      <c r="H110" s="6">
        <v>0.004663</v>
      </c>
      <c r="I110" s="6">
        <v>0.030938</v>
      </c>
      <c r="J110" s="6">
        <v>0.013881</v>
      </c>
      <c r="K110" s="6">
        <v>0.19386506</v>
      </c>
      <c r="L110" s="6">
        <v>0.15136914</v>
      </c>
      <c r="M110" s="6">
        <v>0.17444698</v>
      </c>
      <c r="N110" s="6">
        <v>0.1006451</v>
      </c>
      <c r="O110" s="6">
        <v>0.10781027</v>
      </c>
      <c r="P110" s="6">
        <v>0.25481418</v>
      </c>
      <c r="Q110" s="6">
        <v>0.17867745</v>
      </c>
      <c r="R110" s="6">
        <v>217.69486</v>
      </c>
      <c r="S110" s="6">
        <v>0.00089054</v>
      </c>
      <c r="T110" s="6">
        <v>169.97573</v>
      </c>
      <c r="U110" s="6">
        <v>0.00089053</v>
      </c>
      <c r="V110" s="6">
        <v>197.11803</v>
      </c>
      <c r="W110" s="6">
        <v>0.00088499</v>
      </c>
      <c r="X110" s="6">
        <v>134.47093</v>
      </c>
      <c r="Y110" s="6">
        <v>0.00074845</v>
      </c>
      <c r="Z110" s="6">
        <v>134.86767</v>
      </c>
      <c r="AA110" s="6">
        <v>0.00079938</v>
      </c>
      <c r="AB110" s="6">
        <v>294.9318</v>
      </c>
      <c r="AC110" s="6">
        <v>0.00086398</v>
      </c>
      <c r="AD110" s="6">
        <v>243.86163</v>
      </c>
      <c r="AE110" s="6">
        <v>0.0007327</v>
      </c>
      <c r="AF110" s="6">
        <v>775</v>
      </c>
      <c r="AG110" s="6">
        <v>-0.00625484</v>
      </c>
      <c r="AH110" s="6">
        <v>-0.00625483</v>
      </c>
      <c r="AI110" s="6">
        <v>-0.00622141</v>
      </c>
      <c r="AJ110" s="6">
        <v>-0.00538699</v>
      </c>
      <c r="AK110" s="6">
        <v>-0.00570091</v>
      </c>
      <c r="AL110" s="6">
        <v>-0.00609446</v>
      </c>
      <c r="AM110" s="6">
        <v>-0.0052892</v>
      </c>
      <c r="AN110" s="6">
        <v>-6.4762184</v>
      </c>
      <c r="AO110" s="6">
        <v>-6.4515561</v>
      </c>
      <c r="AP110" s="6">
        <v>-6.4739881</v>
      </c>
      <c r="AQ110" s="6">
        <v>-6.4253629</v>
      </c>
      <c r="AR110" s="6">
        <v>-6.4020076</v>
      </c>
      <c r="AS110" s="6">
        <v>-6.4618417</v>
      </c>
      <c r="AT110" s="6">
        <v>-6.4506396</v>
      </c>
      <c r="AU110" s="6">
        <v>0.97344833</v>
      </c>
      <c r="AV110" s="6">
        <v>0.96974131</v>
      </c>
      <c r="AW110" s="6">
        <v>0.97311308</v>
      </c>
      <c r="AX110" s="6">
        <v>0.96580418</v>
      </c>
      <c r="AY110" s="6">
        <v>0.96229362</v>
      </c>
      <c r="AZ110" s="6">
        <v>0.97128734</v>
      </c>
      <c r="BA110" s="6">
        <v>0.96960354</v>
      </c>
      <c r="BB110" s="6">
        <v>0.02655167</v>
      </c>
      <c r="BC110" s="6">
        <v>0.03025869</v>
      </c>
      <c r="BD110" s="6">
        <v>0.02688692</v>
      </c>
      <c r="BE110" s="6">
        <v>0.03419582</v>
      </c>
      <c r="BF110" s="6">
        <v>0.03770638</v>
      </c>
      <c r="BG110" s="6">
        <v>0.02871266</v>
      </c>
      <c r="BH110" s="6">
        <v>0.03039646</v>
      </c>
      <c r="BI110" s="6">
        <v>0.21470859</v>
      </c>
      <c r="BJ110" s="6">
        <v>0.12366373</v>
      </c>
      <c r="BK110" s="6">
        <v>0.1409291</v>
      </c>
      <c r="BL110" s="6">
        <v>0.12522516</v>
      </c>
      <c r="BM110" s="6">
        <v>0.1592662</v>
      </c>
      <c r="BN110" s="6">
        <v>0.17561655</v>
      </c>
      <c r="BO110" s="6">
        <v>0.1337285</v>
      </c>
      <c r="BP110" s="6">
        <v>0.14157076</v>
      </c>
      <c r="BQ110" s="6">
        <v>0.02397408</v>
      </c>
      <c r="BR110" s="6">
        <v>0.02133232</v>
      </c>
      <c r="BS110" s="6">
        <v>0.02184515</v>
      </c>
      <c r="BT110" s="6">
        <v>0.01602936</v>
      </c>
      <c r="BU110" s="6">
        <v>0.01893327</v>
      </c>
      <c r="BV110" s="6">
        <v>0.03407592</v>
      </c>
      <c r="BW110" s="6">
        <v>0.0252955</v>
      </c>
      <c r="BX110" s="12">
        <v>7221</v>
      </c>
      <c r="BY110" s="13">
        <v>2734.21</v>
      </c>
      <c r="BZ110" s="12">
        <v>6426.1</v>
      </c>
      <c r="CA110" s="6">
        <f t="shared" si="10"/>
        <v>2.64098222155577</v>
      </c>
      <c r="CB110" s="6">
        <f t="shared" si="11"/>
        <v>1.12369866637618</v>
      </c>
      <c r="CC110" s="7">
        <v>101764602.1</v>
      </c>
      <c r="CD110" s="7">
        <f t="shared" si="6"/>
        <v>1.58361373305738</v>
      </c>
      <c r="CE110" s="8">
        <v>1014.5</v>
      </c>
      <c r="CF110" s="8">
        <v>3518.8</v>
      </c>
      <c r="CG110" s="8">
        <v>2400.9</v>
      </c>
      <c r="CH110" s="8">
        <v>15816</v>
      </c>
      <c r="CI110" s="14">
        <v>0</v>
      </c>
      <c r="CJ110" s="14">
        <v>0</v>
      </c>
      <c r="CK110" s="14">
        <f t="shared" si="7"/>
        <v>0</v>
      </c>
      <c r="CL110">
        <f t="shared" si="8"/>
        <v>2.71728515287532</v>
      </c>
      <c r="CM110">
        <f t="shared" si="9"/>
        <v>0.417207380174412</v>
      </c>
      <c r="CN110" s="15">
        <v>7221</v>
      </c>
      <c r="CO110" s="15">
        <v>8367</v>
      </c>
      <c r="CP110" s="15">
        <v>541.82</v>
      </c>
      <c r="CQ110" s="15">
        <v>915.24</v>
      </c>
      <c r="CR110" s="15">
        <v>130.3</v>
      </c>
      <c r="CS110" s="15">
        <v>1.18</v>
      </c>
      <c r="CT110" s="15">
        <v>312.57</v>
      </c>
      <c r="CU110" s="15">
        <v>39.84</v>
      </c>
      <c r="CV110" s="15">
        <v>13.83</v>
      </c>
      <c r="CW110" s="15">
        <v>496.49</v>
      </c>
    </row>
    <row r="111" spans="1:101">
      <c r="A111" s="6">
        <v>2009</v>
      </c>
      <c r="B111" s="6" t="s">
        <v>104</v>
      </c>
      <c r="C111" s="6">
        <v>0.1506309</v>
      </c>
      <c r="D111" s="6">
        <v>0.029288</v>
      </c>
      <c r="E111" s="6">
        <v>0.007549</v>
      </c>
      <c r="F111" s="6">
        <v>0.012928</v>
      </c>
      <c r="G111" s="6">
        <v>0.00419</v>
      </c>
      <c r="H111" s="6">
        <v>0.004621</v>
      </c>
      <c r="I111" s="6">
        <v>0.028058</v>
      </c>
      <c r="J111" s="6">
        <v>0.014143</v>
      </c>
      <c r="K111" s="6">
        <v>0.17817171</v>
      </c>
      <c r="L111" s="6">
        <v>0.13799207</v>
      </c>
      <c r="M111" s="6">
        <v>0.15577778</v>
      </c>
      <c r="N111" s="6">
        <v>0.09537879</v>
      </c>
      <c r="O111" s="6">
        <v>0.10653675</v>
      </c>
      <c r="P111" s="6">
        <v>0.22273387</v>
      </c>
      <c r="Q111" s="6">
        <v>0.18335018</v>
      </c>
      <c r="R111" s="6">
        <v>217.69486</v>
      </c>
      <c r="S111" s="6">
        <v>0.00081845</v>
      </c>
      <c r="T111" s="6">
        <v>169.97573</v>
      </c>
      <c r="U111" s="6">
        <v>0.00081183</v>
      </c>
      <c r="V111" s="6">
        <v>197.11803</v>
      </c>
      <c r="W111" s="6">
        <v>0.00079028</v>
      </c>
      <c r="X111" s="6">
        <v>134.47093</v>
      </c>
      <c r="Y111" s="6">
        <v>0.00070929</v>
      </c>
      <c r="Z111" s="6">
        <v>134.86767</v>
      </c>
      <c r="AA111" s="6">
        <v>0.00078994</v>
      </c>
      <c r="AB111" s="6">
        <v>294.9318</v>
      </c>
      <c r="AC111" s="6">
        <v>0.0007552</v>
      </c>
      <c r="AD111" s="6">
        <v>243.86163</v>
      </c>
      <c r="AE111" s="6">
        <v>0.00075186</v>
      </c>
      <c r="AF111" s="6">
        <v>775</v>
      </c>
      <c r="AG111" s="6">
        <v>-0.0058176</v>
      </c>
      <c r="AH111" s="6">
        <v>-0.00577718</v>
      </c>
      <c r="AI111" s="6">
        <v>-0.00564505</v>
      </c>
      <c r="AJ111" s="6">
        <v>-0.00514323</v>
      </c>
      <c r="AK111" s="6">
        <v>-0.00564295</v>
      </c>
      <c r="AL111" s="6">
        <v>-0.00542881</v>
      </c>
      <c r="AM111" s="6">
        <v>-0.00540811</v>
      </c>
      <c r="AN111" s="6">
        <v>-6.4762184</v>
      </c>
      <c r="AO111" s="6">
        <v>-6.4515561</v>
      </c>
      <c r="AP111" s="6">
        <v>-6.4739881</v>
      </c>
      <c r="AQ111" s="6">
        <v>-6.4253629</v>
      </c>
      <c r="AR111" s="6">
        <v>-6.4020076</v>
      </c>
      <c r="AS111" s="6">
        <v>-6.4618417</v>
      </c>
      <c r="AT111" s="6">
        <v>-6.4506396</v>
      </c>
      <c r="AU111" s="6">
        <v>0.97344833</v>
      </c>
      <c r="AV111" s="6">
        <v>0.96974131</v>
      </c>
      <c r="AW111" s="6">
        <v>0.97311308</v>
      </c>
      <c r="AX111" s="6">
        <v>0.96580418</v>
      </c>
      <c r="AY111" s="6">
        <v>0.96229362</v>
      </c>
      <c r="AZ111" s="6">
        <v>0.97128734</v>
      </c>
      <c r="BA111" s="6">
        <v>0.96960354</v>
      </c>
      <c r="BB111" s="6">
        <v>0.02655167</v>
      </c>
      <c r="BC111" s="6">
        <v>0.03025869</v>
      </c>
      <c r="BD111" s="6">
        <v>0.02688692</v>
      </c>
      <c r="BE111" s="6">
        <v>0.03419582</v>
      </c>
      <c r="BF111" s="6">
        <v>0.03770638</v>
      </c>
      <c r="BG111" s="6">
        <v>0.02871266</v>
      </c>
      <c r="BH111" s="6">
        <v>0.03039646</v>
      </c>
      <c r="BI111" s="6">
        <v>0.21470859</v>
      </c>
      <c r="BJ111" s="6">
        <v>0.12366373</v>
      </c>
      <c r="BK111" s="6">
        <v>0.1409291</v>
      </c>
      <c r="BL111" s="6">
        <v>0.12522516</v>
      </c>
      <c r="BM111" s="6">
        <v>0.1592662</v>
      </c>
      <c r="BN111" s="6">
        <v>0.17561655</v>
      </c>
      <c r="BO111" s="6">
        <v>0.1337285</v>
      </c>
      <c r="BP111" s="6">
        <v>0.14157076</v>
      </c>
      <c r="BQ111" s="6">
        <v>0.02203338</v>
      </c>
      <c r="BR111" s="6">
        <v>0.0194471</v>
      </c>
      <c r="BS111" s="6">
        <v>0.0195073</v>
      </c>
      <c r="BT111" s="6">
        <v>0.01519062</v>
      </c>
      <c r="BU111" s="6">
        <v>0.01870962</v>
      </c>
      <c r="BV111" s="6">
        <v>0.02978586</v>
      </c>
      <c r="BW111" s="6">
        <v>0.02595703</v>
      </c>
      <c r="BX111" s="12">
        <v>7698</v>
      </c>
      <c r="BY111" s="13">
        <v>2739.55</v>
      </c>
      <c r="BZ111" s="12">
        <v>7278.75</v>
      </c>
      <c r="CA111" s="6">
        <f t="shared" si="10"/>
        <v>2.80995053932215</v>
      </c>
      <c r="CB111" s="6">
        <f t="shared" si="11"/>
        <v>1.05759917568264</v>
      </c>
      <c r="CC111" s="7">
        <v>120438560.3</v>
      </c>
      <c r="CD111" s="7">
        <f t="shared" si="6"/>
        <v>1.65465993886313</v>
      </c>
      <c r="CE111" s="8">
        <v>1062.1</v>
      </c>
      <c r="CF111" s="8">
        <v>3882.7</v>
      </c>
      <c r="CG111" s="8">
        <v>2685.2</v>
      </c>
      <c r="CH111" s="8">
        <v>17277</v>
      </c>
      <c r="CI111" s="14">
        <v>0</v>
      </c>
      <c r="CJ111" s="14">
        <v>0</v>
      </c>
      <c r="CK111" s="14">
        <f t="shared" si="7"/>
        <v>0</v>
      </c>
      <c r="CL111">
        <f t="shared" si="8"/>
        <v>2.66960201713366</v>
      </c>
      <c r="CM111">
        <f t="shared" si="9"/>
        <v>0.380184788502769</v>
      </c>
      <c r="CN111" s="15">
        <v>7698</v>
      </c>
      <c r="CO111" s="15">
        <v>8589</v>
      </c>
      <c r="CP111" s="15">
        <v>593.1</v>
      </c>
      <c r="CQ111" s="15">
        <v>851.89</v>
      </c>
      <c r="CR111" s="15">
        <v>138.44</v>
      </c>
      <c r="CS111" s="15">
        <v>1.15</v>
      </c>
      <c r="CT111" s="15">
        <v>328.12</v>
      </c>
      <c r="CU111" s="15">
        <v>38.44</v>
      </c>
      <c r="CV111" s="15">
        <v>16.66</v>
      </c>
      <c r="CW111" s="15">
        <v>515.25</v>
      </c>
    </row>
    <row r="112" spans="1:101">
      <c r="A112" s="6">
        <v>2010</v>
      </c>
      <c r="B112" s="6" t="s">
        <v>104</v>
      </c>
      <c r="C112" s="6">
        <v>0.16273595</v>
      </c>
      <c r="D112" s="6">
        <v>0.029499</v>
      </c>
      <c r="E112" s="6">
        <v>0.006995</v>
      </c>
      <c r="F112" s="6">
        <v>0.01355</v>
      </c>
      <c r="G112" s="6">
        <v>0.004864</v>
      </c>
      <c r="H112" s="6">
        <v>0.00409</v>
      </c>
      <c r="I112" s="6">
        <v>0.034171</v>
      </c>
      <c r="J112" s="6">
        <v>0.015371</v>
      </c>
      <c r="K112" s="6">
        <v>0.17982105</v>
      </c>
      <c r="L112" s="6">
        <v>0.12489227</v>
      </c>
      <c r="M112" s="6">
        <v>0.16534163</v>
      </c>
      <c r="N112" s="6">
        <v>0.11527717</v>
      </c>
      <c r="O112" s="6">
        <v>0.09044251</v>
      </c>
      <c r="P112" s="6">
        <v>0.29082238</v>
      </c>
      <c r="Q112" s="6">
        <v>0.20525793</v>
      </c>
      <c r="R112" s="6">
        <v>217.69486</v>
      </c>
      <c r="S112" s="6">
        <v>0.00082602</v>
      </c>
      <c r="T112" s="6">
        <v>169.97573</v>
      </c>
      <c r="U112" s="6">
        <v>0.00073477</v>
      </c>
      <c r="V112" s="6">
        <v>197.11803</v>
      </c>
      <c r="W112" s="6">
        <v>0.0008388</v>
      </c>
      <c r="X112" s="6">
        <v>134.47093</v>
      </c>
      <c r="Y112" s="6">
        <v>0.00085726</v>
      </c>
      <c r="Z112" s="6">
        <v>134.86767</v>
      </c>
      <c r="AA112" s="6">
        <v>0.0006706</v>
      </c>
      <c r="AB112" s="6">
        <v>294.9318</v>
      </c>
      <c r="AC112" s="6">
        <v>0.00098607</v>
      </c>
      <c r="AD112" s="6">
        <v>243.86163</v>
      </c>
      <c r="AE112" s="6">
        <v>0.0008417</v>
      </c>
      <c r="AF112" s="6">
        <v>775</v>
      </c>
      <c r="AG112" s="6">
        <v>-0.00586385</v>
      </c>
      <c r="AH112" s="6">
        <v>-0.00530204</v>
      </c>
      <c r="AI112" s="6">
        <v>-0.00594164</v>
      </c>
      <c r="AJ112" s="6">
        <v>-0.0060538</v>
      </c>
      <c r="AK112" s="6">
        <v>-0.00490031</v>
      </c>
      <c r="AL112" s="6">
        <v>-0.00682534</v>
      </c>
      <c r="AM112" s="6">
        <v>-0.0059593</v>
      </c>
      <c r="AN112" s="6">
        <v>-6.4762184</v>
      </c>
      <c r="AO112" s="6">
        <v>-6.4515561</v>
      </c>
      <c r="AP112" s="6">
        <v>-6.4739881</v>
      </c>
      <c r="AQ112" s="6">
        <v>-6.4253629</v>
      </c>
      <c r="AR112" s="6">
        <v>-6.4020076</v>
      </c>
      <c r="AS112" s="6">
        <v>-6.4618417</v>
      </c>
      <c r="AT112" s="6">
        <v>-6.4506396</v>
      </c>
      <c r="AU112" s="6">
        <v>0.97344833</v>
      </c>
      <c r="AV112" s="6">
        <v>0.96974131</v>
      </c>
      <c r="AW112" s="6">
        <v>0.97311308</v>
      </c>
      <c r="AX112" s="6">
        <v>0.96580418</v>
      </c>
      <c r="AY112" s="6">
        <v>0.96229362</v>
      </c>
      <c r="AZ112" s="6">
        <v>0.97128734</v>
      </c>
      <c r="BA112" s="6">
        <v>0.96960354</v>
      </c>
      <c r="BB112" s="6">
        <v>0.02655167</v>
      </c>
      <c r="BC112" s="6">
        <v>0.03025869</v>
      </c>
      <c r="BD112" s="6">
        <v>0.02688692</v>
      </c>
      <c r="BE112" s="6">
        <v>0.03419582</v>
      </c>
      <c r="BF112" s="6">
        <v>0.03770638</v>
      </c>
      <c r="BG112" s="6">
        <v>0.02871266</v>
      </c>
      <c r="BH112" s="6">
        <v>0.03039646</v>
      </c>
      <c r="BI112" s="6">
        <v>0.21470859</v>
      </c>
      <c r="BJ112" s="6">
        <v>0.12366373</v>
      </c>
      <c r="BK112" s="6">
        <v>0.1409291</v>
      </c>
      <c r="BL112" s="6">
        <v>0.12522516</v>
      </c>
      <c r="BM112" s="6">
        <v>0.1592662</v>
      </c>
      <c r="BN112" s="6">
        <v>0.17561655</v>
      </c>
      <c r="BO112" s="6">
        <v>0.1337285</v>
      </c>
      <c r="BP112" s="6">
        <v>0.14157076</v>
      </c>
      <c r="BQ112" s="6">
        <v>0.02223734</v>
      </c>
      <c r="BR112" s="6">
        <v>0.01760096</v>
      </c>
      <c r="BS112" s="6">
        <v>0.02070493</v>
      </c>
      <c r="BT112" s="6">
        <v>0.01835976</v>
      </c>
      <c r="BU112" s="6">
        <v>0.0158832</v>
      </c>
      <c r="BV112" s="6">
        <v>0.03889124</v>
      </c>
      <c r="BW112" s="6">
        <v>0.02905852</v>
      </c>
      <c r="BX112" s="12">
        <v>8297</v>
      </c>
      <c r="BY112" s="13">
        <v>2746.6</v>
      </c>
      <c r="BZ112" s="12">
        <v>8667.58</v>
      </c>
      <c r="CA112" s="6">
        <f t="shared" si="10"/>
        <v>3.02082574819777</v>
      </c>
      <c r="CB112" s="6">
        <f t="shared" si="11"/>
        <v>0.957245274921028</v>
      </c>
      <c r="CC112" s="7">
        <v>137452229</v>
      </c>
      <c r="CD112" s="7">
        <f t="shared" si="6"/>
        <v>1.58582013664714</v>
      </c>
      <c r="CE112" s="8">
        <v>1147.6</v>
      </c>
      <c r="CF112" s="8">
        <v>5083.1</v>
      </c>
      <c r="CG112" s="8">
        <v>3152.5</v>
      </c>
      <c r="CH112" s="8">
        <v>21099</v>
      </c>
      <c r="CI112" s="14">
        <v>0</v>
      </c>
      <c r="CJ112" s="14">
        <v>0</v>
      </c>
      <c r="CK112" s="14">
        <f t="shared" si="7"/>
        <v>0</v>
      </c>
      <c r="CL112">
        <f t="shared" si="8"/>
        <v>2.40850270516871</v>
      </c>
      <c r="CM112">
        <f t="shared" si="9"/>
        <v>0.341574276315352</v>
      </c>
      <c r="CN112" s="15">
        <v>8297.31</v>
      </c>
      <c r="CO112" s="15">
        <v>9582.66</v>
      </c>
      <c r="CP112" s="15">
        <v>640.61</v>
      </c>
      <c r="CQ112" s="15">
        <v>939.97</v>
      </c>
      <c r="CR112" s="15">
        <v>166.61</v>
      </c>
      <c r="CS112" s="15">
        <v>1.21</v>
      </c>
      <c r="CT112" s="15">
        <v>363.3</v>
      </c>
      <c r="CU112" s="15">
        <v>39.96</v>
      </c>
      <c r="CV112" s="15">
        <v>22.01</v>
      </c>
      <c r="CW112" s="15">
        <v>576.98</v>
      </c>
    </row>
    <row r="113" spans="1:101">
      <c r="A113" s="6">
        <v>2011</v>
      </c>
      <c r="B113" s="6" t="s">
        <v>104</v>
      </c>
      <c r="C113" s="6">
        <v>0.1817433</v>
      </c>
      <c r="D113" s="6">
        <v>0.033769</v>
      </c>
      <c r="E113" s="6">
        <v>0.008797</v>
      </c>
      <c r="F113" s="6">
        <v>0.014977</v>
      </c>
      <c r="G113" s="6">
        <v>0.005127</v>
      </c>
      <c r="H113" s="6">
        <v>0.004867</v>
      </c>
      <c r="I113" s="6">
        <v>0.030252</v>
      </c>
      <c r="J113" s="6">
        <v>0.017973</v>
      </c>
      <c r="K113" s="6">
        <v>0.21331648</v>
      </c>
      <c r="L113" s="6">
        <v>0.16749313</v>
      </c>
      <c r="M113" s="6">
        <v>0.18728237</v>
      </c>
      <c r="N113" s="6">
        <v>0.12306708</v>
      </c>
      <c r="O113" s="6">
        <v>0.11399613</v>
      </c>
      <c r="P113" s="6">
        <v>0.24716725</v>
      </c>
      <c r="Q113" s="6">
        <v>0.25169979</v>
      </c>
      <c r="R113" s="6">
        <v>217.69486</v>
      </c>
      <c r="S113" s="6">
        <v>0.00097989</v>
      </c>
      <c r="T113" s="6">
        <v>169.97573</v>
      </c>
      <c r="U113" s="6">
        <v>0.00098539</v>
      </c>
      <c r="V113" s="6">
        <v>197.11803</v>
      </c>
      <c r="W113" s="6">
        <v>0.0009501</v>
      </c>
      <c r="X113" s="6">
        <v>134.47093</v>
      </c>
      <c r="Y113" s="6">
        <v>0.00091519</v>
      </c>
      <c r="Z113" s="6">
        <v>134.86767</v>
      </c>
      <c r="AA113" s="6">
        <v>0.00084524</v>
      </c>
      <c r="AB113" s="6">
        <v>294.9318</v>
      </c>
      <c r="AC113" s="6">
        <v>0.00083805</v>
      </c>
      <c r="AD113" s="6">
        <v>243.86163</v>
      </c>
      <c r="AE113" s="6">
        <v>0.00103214</v>
      </c>
      <c r="AF113" s="6">
        <v>775</v>
      </c>
      <c r="AG113" s="6">
        <v>-0.00678873</v>
      </c>
      <c r="AH113" s="6">
        <v>-0.00682136</v>
      </c>
      <c r="AI113" s="6">
        <v>-0.00661171</v>
      </c>
      <c r="AJ113" s="6">
        <v>-0.00640304</v>
      </c>
      <c r="AK113" s="6">
        <v>-0.00598085</v>
      </c>
      <c r="AL113" s="6">
        <v>-0.0059371</v>
      </c>
      <c r="AM113" s="6">
        <v>-0.00709713</v>
      </c>
      <c r="AN113" s="6">
        <v>-6.4762184</v>
      </c>
      <c r="AO113" s="6">
        <v>-6.4515561</v>
      </c>
      <c r="AP113" s="6">
        <v>-6.4739881</v>
      </c>
      <c r="AQ113" s="6">
        <v>-6.4253629</v>
      </c>
      <c r="AR113" s="6">
        <v>-6.4020076</v>
      </c>
      <c r="AS113" s="6">
        <v>-6.4618417</v>
      </c>
      <c r="AT113" s="6">
        <v>-6.4506396</v>
      </c>
      <c r="AU113" s="6">
        <v>0.97344833</v>
      </c>
      <c r="AV113" s="6">
        <v>0.96974131</v>
      </c>
      <c r="AW113" s="6">
        <v>0.97311308</v>
      </c>
      <c r="AX113" s="6">
        <v>0.96580418</v>
      </c>
      <c r="AY113" s="6">
        <v>0.96229362</v>
      </c>
      <c r="AZ113" s="6">
        <v>0.97128734</v>
      </c>
      <c r="BA113" s="6">
        <v>0.96960354</v>
      </c>
      <c r="BB113" s="6">
        <v>0.02655167</v>
      </c>
      <c r="BC113" s="6">
        <v>0.03025869</v>
      </c>
      <c r="BD113" s="6">
        <v>0.02688692</v>
      </c>
      <c r="BE113" s="6">
        <v>0.03419582</v>
      </c>
      <c r="BF113" s="6">
        <v>0.03770638</v>
      </c>
      <c r="BG113" s="6">
        <v>0.02871266</v>
      </c>
      <c r="BH113" s="6">
        <v>0.03039646</v>
      </c>
      <c r="BI113" s="6">
        <v>0.21470859</v>
      </c>
      <c r="BJ113" s="6">
        <v>0.12366373</v>
      </c>
      <c r="BK113" s="6">
        <v>0.1409291</v>
      </c>
      <c r="BL113" s="6">
        <v>0.12522516</v>
      </c>
      <c r="BM113" s="6">
        <v>0.1592662</v>
      </c>
      <c r="BN113" s="6">
        <v>0.17561655</v>
      </c>
      <c r="BO113" s="6">
        <v>0.1337285</v>
      </c>
      <c r="BP113" s="6">
        <v>0.14157076</v>
      </c>
      <c r="BQ113" s="6">
        <v>0.02637951</v>
      </c>
      <c r="BR113" s="6">
        <v>0.02360466</v>
      </c>
      <c r="BS113" s="6">
        <v>0.02345246</v>
      </c>
      <c r="BT113" s="6">
        <v>0.01960043</v>
      </c>
      <c r="BU113" s="6">
        <v>0.02001961</v>
      </c>
      <c r="BV113" s="6">
        <v>0.0330533</v>
      </c>
      <c r="BW113" s="6">
        <v>0.03563333</v>
      </c>
      <c r="BX113" s="12">
        <v>9103</v>
      </c>
      <c r="BY113" s="13">
        <v>2725</v>
      </c>
      <c r="BZ113" s="12">
        <v>10568.83</v>
      </c>
      <c r="CA113" s="6">
        <f t="shared" si="10"/>
        <v>3.3405504587156</v>
      </c>
      <c r="CB113" s="6">
        <f t="shared" si="11"/>
        <v>0.861306312997749</v>
      </c>
      <c r="CC113" s="7">
        <v>152563269</v>
      </c>
      <c r="CD113" s="7">
        <f t="shared" si="6"/>
        <v>1.44352089114878</v>
      </c>
      <c r="CE113" s="8">
        <v>1320.5</v>
      </c>
      <c r="CF113" s="8">
        <v>6338</v>
      </c>
      <c r="CG113" s="8">
        <v>3926</v>
      </c>
      <c r="CH113" s="8">
        <v>25928</v>
      </c>
      <c r="CI113" s="14">
        <v>0</v>
      </c>
      <c r="CJ113" s="14">
        <v>0</v>
      </c>
      <c r="CK113" s="14">
        <f t="shared" si="7"/>
        <v>0</v>
      </c>
      <c r="CL113">
        <f t="shared" si="8"/>
        <v>2.18035126729488</v>
      </c>
      <c r="CM113">
        <f t="shared" si="9"/>
        <v>0.337941132329687</v>
      </c>
      <c r="CN113" s="15">
        <v>9103</v>
      </c>
      <c r="CO113" s="15">
        <v>11035</v>
      </c>
      <c r="CP113" s="15">
        <v>757.71</v>
      </c>
      <c r="CQ113" s="15">
        <v>1064.58</v>
      </c>
      <c r="CR113" s="15">
        <v>181.51</v>
      </c>
      <c r="CS113" s="15">
        <v>1.25</v>
      </c>
      <c r="CT113" s="15">
        <v>417.47</v>
      </c>
      <c r="CU113" s="15">
        <v>37.81</v>
      </c>
      <c r="CV113" s="15">
        <v>19.38</v>
      </c>
      <c r="CW113" s="15">
        <v>631</v>
      </c>
    </row>
    <row r="114" spans="1:101">
      <c r="A114" s="6">
        <v>2012</v>
      </c>
      <c r="B114" s="6" t="s">
        <v>104</v>
      </c>
      <c r="C114" s="6">
        <v>0.2018315</v>
      </c>
      <c r="D114" s="6">
        <v>0.037057</v>
      </c>
      <c r="E114" s="6">
        <v>0.009426</v>
      </c>
      <c r="F114" s="6">
        <v>0.016807</v>
      </c>
      <c r="G114" s="6">
        <v>0.005683</v>
      </c>
      <c r="H114" s="6">
        <v>0.005141</v>
      </c>
      <c r="I114" s="6">
        <v>0.03754</v>
      </c>
      <c r="J114" s="6">
        <v>0.016529</v>
      </c>
      <c r="K114" s="6">
        <v>0.23910626</v>
      </c>
      <c r="L114" s="6">
        <v>0.18235243</v>
      </c>
      <c r="M114" s="6">
        <v>0.21540133</v>
      </c>
      <c r="N114" s="6">
        <v>0.13950181</v>
      </c>
      <c r="O114" s="6">
        <v>0.12229373</v>
      </c>
      <c r="P114" s="6">
        <v>0.32834833</v>
      </c>
      <c r="Q114" s="6">
        <v>0.22593679</v>
      </c>
      <c r="R114" s="6">
        <v>217.69486</v>
      </c>
      <c r="S114" s="6">
        <v>0.00109836</v>
      </c>
      <c r="T114" s="6">
        <v>169.97573</v>
      </c>
      <c r="U114" s="6">
        <v>0.00107281</v>
      </c>
      <c r="V114" s="6">
        <v>197.11803</v>
      </c>
      <c r="W114" s="6">
        <v>0.00109275</v>
      </c>
      <c r="X114" s="6">
        <v>134.47093</v>
      </c>
      <c r="Y114" s="6">
        <v>0.00103741</v>
      </c>
      <c r="Z114" s="6">
        <v>134.86767</v>
      </c>
      <c r="AA114" s="6">
        <v>0.00090677</v>
      </c>
      <c r="AB114" s="6">
        <v>294.9318</v>
      </c>
      <c r="AC114" s="6">
        <v>0.0011133</v>
      </c>
      <c r="AD114" s="6">
        <v>243.86163</v>
      </c>
      <c r="AE114" s="6">
        <v>0.0009265</v>
      </c>
      <c r="AF114" s="6">
        <v>775</v>
      </c>
      <c r="AG114" s="6">
        <v>-0.00748413</v>
      </c>
      <c r="AH114" s="6">
        <v>-0.00733534</v>
      </c>
      <c r="AI114" s="6">
        <v>-0.00745154</v>
      </c>
      <c r="AJ114" s="6">
        <v>-0.00712809</v>
      </c>
      <c r="AK114" s="6">
        <v>-0.00635248</v>
      </c>
      <c r="AL114" s="6">
        <v>-0.00757093</v>
      </c>
      <c r="AM114" s="6">
        <v>-0.00647074</v>
      </c>
      <c r="AN114" s="6">
        <v>-6.4762184</v>
      </c>
      <c r="AO114" s="6">
        <v>-6.4515561</v>
      </c>
      <c r="AP114" s="6">
        <v>-6.4739881</v>
      </c>
      <c r="AQ114" s="6">
        <v>-6.4253629</v>
      </c>
      <c r="AR114" s="6">
        <v>-6.4020076</v>
      </c>
      <c r="AS114" s="6">
        <v>-6.4618417</v>
      </c>
      <c r="AT114" s="6">
        <v>-6.4506396</v>
      </c>
      <c r="AU114" s="6">
        <v>0.97344833</v>
      </c>
      <c r="AV114" s="6">
        <v>0.96974131</v>
      </c>
      <c r="AW114" s="6">
        <v>0.97311308</v>
      </c>
      <c r="AX114" s="6">
        <v>0.96580418</v>
      </c>
      <c r="AY114" s="6">
        <v>0.96229362</v>
      </c>
      <c r="AZ114" s="6">
        <v>0.97128734</v>
      </c>
      <c r="BA114" s="6">
        <v>0.96960354</v>
      </c>
      <c r="BB114" s="6">
        <v>0.02655167</v>
      </c>
      <c r="BC114" s="6">
        <v>0.03025869</v>
      </c>
      <c r="BD114" s="6">
        <v>0.02688692</v>
      </c>
      <c r="BE114" s="6">
        <v>0.03419582</v>
      </c>
      <c r="BF114" s="6">
        <v>0.03770638</v>
      </c>
      <c r="BG114" s="6">
        <v>0.02871266</v>
      </c>
      <c r="BH114" s="6">
        <v>0.03039646</v>
      </c>
      <c r="BI114" s="6">
        <v>0.21470859</v>
      </c>
      <c r="BJ114" s="6">
        <v>0.12366373</v>
      </c>
      <c r="BK114" s="6">
        <v>0.1409291</v>
      </c>
      <c r="BL114" s="6">
        <v>0.12522516</v>
      </c>
      <c r="BM114" s="6">
        <v>0.1592662</v>
      </c>
      <c r="BN114" s="6">
        <v>0.17561655</v>
      </c>
      <c r="BO114" s="6">
        <v>0.1337285</v>
      </c>
      <c r="BP114" s="6">
        <v>0.14157076</v>
      </c>
      <c r="BQ114" s="6">
        <v>0.02956877</v>
      </c>
      <c r="BR114" s="6">
        <v>0.02569876</v>
      </c>
      <c r="BS114" s="6">
        <v>0.02697367</v>
      </c>
      <c r="BT114" s="6">
        <v>0.02221792</v>
      </c>
      <c r="BU114" s="6">
        <v>0.0214768</v>
      </c>
      <c r="BV114" s="6">
        <v>0.04390953</v>
      </c>
      <c r="BW114" s="6">
        <v>0.03198604</v>
      </c>
      <c r="BX114" s="12">
        <v>9443</v>
      </c>
      <c r="BY114" s="13">
        <v>2698</v>
      </c>
      <c r="BZ114" s="12">
        <v>11939.24</v>
      </c>
      <c r="CA114" s="6">
        <f t="shared" si="10"/>
        <v>3.5</v>
      </c>
      <c r="CB114" s="6">
        <f t="shared" si="11"/>
        <v>0.790921365179023</v>
      </c>
      <c r="CC114" s="7">
        <v>155274079.8</v>
      </c>
      <c r="CD114" s="7">
        <f t="shared" si="6"/>
        <v>1.30053571081576</v>
      </c>
      <c r="CE114" s="8">
        <v>1439.1</v>
      </c>
      <c r="CF114" s="8">
        <v>6893.3</v>
      </c>
      <c r="CG114" s="8">
        <v>4475.2</v>
      </c>
      <c r="CH114" s="8">
        <v>28624</v>
      </c>
      <c r="CI114" s="14">
        <v>0</v>
      </c>
      <c r="CJ114" s="14">
        <v>0</v>
      </c>
      <c r="CK114" s="14">
        <f t="shared" si="7"/>
        <v>0</v>
      </c>
      <c r="CL114">
        <f t="shared" si="8"/>
        <v>2.01609935715007</v>
      </c>
      <c r="CM114">
        <f t="shared" si="9"/>
        <v>0.354924792667869</v>
      </c>
      <c r="CN114" s="15">
        <v>9443.04</v>
      </c>
      <c r="CO114" s="15">
        <v>11083</v>
      </c>
      <c r="CP114" s="15">
        <v>670.1</v>
      </c>
      <c r="CQ114" s="15">
        <v>977.05</v>
      </c>
      <c r="CR114" s="15">
        <v>182.6</v>
      </c>
      <c r="CS114" s="15">
        <v>0.81</v>
      </c>
      <c r="CT114" s="15">
        <v>424.4</v>
      </c>
      <c r="CU114" s="15">
        <v>34.11</v>
      </c>
      <c r="CV114" s="15">
        <v>22.79</v>
      </c>
      <c r="CW114" s="15">
        <v>787.05</v>
      </c>
    </row>
    <row r="115" spans="1:101">
      <c r="A115" s="6">
        <v>2013</v>
      </c>
      <c r="B115" s="6" t="s">
        <v>104</v>
      </c>
      <c r="C115" s="6">
        <v>0.17330074</v>
      </c>
      <c r="D115" s="6">
        <v>0.032628</v>
      </c>
      <c r="E115" s="6">
        <v>0.00826</v>
      </c>
      <c r="F115" s="6">
        <v>0.014481</v>
      </c>
      <c r="G115" s="6">
        <v>0.004951</v>
      </c>
      <c r="H115" s="6">
        <v>0.004937</v>
      </c>
      <c r="I115" s="6">
        <v>0.031299</v>
      </c>
      <c r="J115" s="6">
        <v>0.015721</v>
      </c>
      <c r="K115" s="6">
        <v>0.20436914</v>
      </c>
      <c r="L115" s="6">
        <v>0.1547915</v>
      </c>
      <c r="M115" s="6">
        <v>0.17964573</v>
      </c>
      <c r="N115" s="6">
        <v>0.11785045</v>
      </c>
      <c r="O115" s="6">
        <v>0.11611521</v>
      </c>
      <c r="P115" s="6">
        <v>0.25882742</v>
      </c>
      <c r="Q115" s="6">
        <v>0.21150516</v>
      </c>
      <c r="R115" s="6">
        <v>217.69486</v>
      </c>
      <c r="S115" s="6">
        <v>0.00093879</v>
      </c>
      <c r="T115" s="6">
        <v>169.97573</v>
      </c>
      <c r="U115" s="6">
        <v>0.00091067</v>
      </c>
      <c r="V115" s="6">
        <v>197.11803</v>
      </c>
      <c r="W115" s="6">
        <v>0.00091136</v>
      </c>
      <c r="X115" s="6">
        <v>134.47093</v>
      </c>
      <c r="Y115" s="6">
        <v>0.0008764</v>
      </c>
      <c r="Z115" s="6">
        <v>134.86767</v>
      </c>
      <c r="AA115" s="6">
        <v>0.00086096</v>
      </c>
      <c r="AB115" s="6">
        <v>294.9318</v>
      </c>
      <c r="AC115" s="6">
        <v>0.00087758</v>
      </c>
      <c r="AD115" s="6">
        <v>243.86163</v>
      </c>
      <c r="AE115" s="6">
        <v>0.00086732</v>
      </c>
      <c r="AF115" s="6">
        <v>775</v>
      </c>
      <c r="AG115" s="6">
        <v>-0.00654421</v>
      </c>
      <c r="AH115" s="6">
        <v>-0.00637589</v>
      </c>
      <c r="AI115" s="6">
        <v>-0.00638005</v>
      </c>
      <c r="AJ115" s="6">
        <v>-0.00616959</v>
      </c>
      <c r="AK115" s="6">
        <v>-0.00607617</v>
      </c>
      <c r="AL115" s="6">
        <v>-0.00617673</v>
      </c>
      <c r="AM115" s="6">
        <v>-0.00611467</v>
      </c>
      <c r="AN115" s="6">
        <v>-6.4762184</v>
      </c>
      <c r="AO115" s="6">
        <v>-6.4515561</v>
      </c>
      <c r="AP115" s="6">
        <v>-6.4739881</v>
      </c>
      <c r="AQ115" s="6">
        <v>-6.4253629</v>
      </c>
      <c r="AR115" s="6">
        <v>-6.4020076</v>
      </c>
      <c r="AS115" s="6">
        <v>-6.4618417</v>
      </c>
      <c r="AT115" s="6">
        <v>-6.4506396</v>
      </c>
      <c r="AU115" s="6">
        <v>0.97344833</v>
      </c>
      <c r="AV115" s="6">
        <v>0.96974131</v>
      </c>
      <c r="AW115" s="6">
        <v>0.97311308</v>
      </c>
      <c r="AX115" s="6">
        <v>0.96580418</v>
      </c>
      <c r="AY115" s="6">
        <v>0.96229362</v>
      </c>
      <c r="AZ115" s="6">
        <v>0.97128734</v>
      </c>
      <c r="BA115" s="6">
        <v>0.96960354</v>
      </c>
      <c r="BB115" s="6">
        <v>0.02655167</v>
      </c>
      <c r="BC115" s="6">
        <v>0.03025869</v>
      </c>
      <c r="BD115" s="6">
        <v>0.02688692</v>
      </c>
      <c r="BE115" s="6">
        <v>0.03419582</v>
      </c>
      <c r="BF115" s="6">
        <v>0.03770638</v>
      </c>
      <c r="BG115" s="6">
        <v>0.02871266</v>
      </c>
      <c r="BH115" s="6">
        <v>0.03039646</v>
      </c>
      <c r="BI115" s="6">
        <v>0.21470859</v>
      </c>
      <c r="BJ115" s="6">
        <v>0.12366373</v>
      </c>
      <c r="BK115" s="6">
        <v>0.1409291</v>
      </c>
      <c r="BL115" s="6">
        <v>0.12522516</v>
      </c>
      <c r="BM115" s="6">
        <v>0.1592662</v>
      </c>
      <c r="BN115" s="6">
        <v>0.17561655</v>
      </c>
      <c r="BO115" s="6">
        <v>0.1337285</v>
      </c>
      <c r="BP115" s="6">
        <v>0.14157076</v>
      </c>
      <c r="BQ115" s="6">
        <v>0.02527305</v>
      </c>
      <c r="BR115" s="6">
        <v>0.02181463</v>
      </c>
      <c r="BS115" s="6">
        <v>0.02249617</v>
      </c>
      <c r="BT115" s="6">
        <v>0.01876959</v>
      </c>
      <c r="BU115" s="6">
        <v>0.02039175</v>
      </c>
      <c r="BV115" s="6">
        <v>0.0346126</v>
      </c>
      <c r="BW115" s="6">
        <v>0.02994295</v>
      </c>
      <c r="BX115" s="12">
        <v>8645</v>
      </c>
      <c r="BY115" s="13">
        <v>2668</v>
      </c>
      <c r="BZ115" s="12">
        <v>13046.4</v>
      </c>
      <c r="CA115" s="6">
        <f t="shared" si="10"/>
        <v>3.24025487256372</v>
      </c>
      <c r="CB115" s="6">
        <f t="shared" si="11"/>
        <v>0.662634903115036</v>
      </c>
      <c r="CC115" s="7">
        <v>158125657.6</v>
      </c>
      <c r="CD115" s="7">
        <f t="shared" si="6"/>
        <v>1.21202521461859</v>
      </c>
      <c r="CE115" s="8">
        <v>1540.7</v>
      </c>
      <c r="CF115" s="8">
        <v>7661.9</v>
      </c>
      <c r="CG115" s="8">
        <v>5097.7</v>
      </c>
      <c r="CH115" s="8">
        <v>31952</v>
      </c>
      <c r="CI115" s="14">
        <v>0</v>
      </c>
      <c r="CJ115" s="14">
        <v>0</v>
      </c>
      <c r="CK115" s="14">
        <f t="shared" si="7"/>
        <v>0</v>
      </c>
      <c r="CL115">
        <f t="shared" si="8"/>
        <v>1.91398219724656</v>
      </c>
      <c r="CM115">
        <f t="shared" si="9"/>
        <v>0.366752096042377</v>
      </c>
      <c r="CN115" s="15">
        <v>8645</v>
      </c>
      <c r="CO115" s="15">
        <v>10413.74</v>
      </c>
      <c r="CP115" s="15">
        <v>719.77</v>
      </c>
      <c r="CQ115" s="15">
        <v>1002.13</v>
      </c>
      <c r="CR115" s="15">
        <v>178.94</v>
      </c>
      <c r="CS115" s="15">
        <v>1.71</v>
      </c>
      <c r="CT115" s="15">
        <v>381.6</v>
      </c>
      <c r="CU115" s="15">
        <v>32.82</v>
      </c>
      <c r="CV115" s="15">
        <v>24.05</v>
      </c>
      <c r="CW115" s="15">
        <v>653.85</v>
      </c>
    </row>
    <row r="116" spans="1:101">
      <c r="A116" s="6">
        <v>2014</v>
      </c>
      <c r="B116" s="6" t="s">
        <v>104</v>
      </c>
      <c r="C116" s="6">
        <v>0.21222928</v>
      </c>
      <c r="D116" s="6">
        <v>0.038038</v>
      </c>
      <c r="E116" s="6">
        <v>0.009896</v>
      </c>
      <c r="F116" s="6">
        <v>0.017683</v>
      </c>
      <c r="G116" s="6">
        <v>0.006007</v>
      </c>
      <c r="H116" s="6">
        <v>0.004453</v>
      </c>
      <c r="I116" s="6">
        <v>0.038027</v>
      </c>
      <c r="J116" s="6">
        <v>0.01954</v>
      </c>
      <c r="K116" s="6">
        <v>0.24680801</v>
      </c>
      <c r="L116" s="6">
        <v>0.19345972</v>
      </c>
      <c r="M116" s="6">
        <v>0.22886329</v>
      </c>
      <c r="N116" s="6">
        <v>0.14907506</v>
      </c>
      <c r="O116" s="6">
        <v>0.10145358</v>
      </c>
      <c r="P116" s="6">
        <v>0.33377049</v>
      </c>
      <c r="Q116" s="6">
        <v>0.27965071</v>
      </c>
      <c r="R116" s="6">
        <v>217.69486</v>
      </c>
      <c r="S116" s="6">
        <v>0.00113373</v>
      </c>
      <c r="T116" s="6">
        <v>169.97573</v>
      </c>
      <c r="U116" s="6">
        <v>0.00113816</v>
      </c>
      <c r="V116" s="6">
        <v>197.11803</v>
      </c>
      <c r="W116" s="6">
        <v>0.00116105</v>
      </c>
      <c r="X116" s="6">
        <v>134.47093</v>
      </c>
      <c r="Y116" s="6">
        <v>0.0011086</v>
      </c>
      <c r="Z116" s="6">
        <v>134.86767</v>
      </c>
      <c r="AA116" s="6">
        <v>0.00075225</v>
      </c>
      <c r="AB116" s="6">
        <v>294.9318</v>
      </c>
      <c r="AC116" s="6">
        <v>0.00113169</v>
      </c>
      <c r="AD116" s="6">
        <v>243.86163</v>
      </c>
      <c r="AE116" s="6">
        <v>0.00114676</v>
      </c>
      <c r="AF116" s="6">
        <v>775</v>
      </c>
      <c r="AG116" s="6">
        <v>-0.00768925</v>
      </c>
      <c r="AH116" s="6">
        <v>-0.00771484</v>
      </c>
      <c r="AI116" s="6">
        <v>-0.00784686</v>
      </c>
      <c r="AJ116" s="6">
        <v>-0.00754367</v>
      </c>
      <c r="AK116" s="6">
        <v>-0.00541049</v>
      </c>
      <c r="AL116" s="6">
        <v>-0.00767742</v>
      </c>
      <c r="AM116" s="6">
        <v>-0.0077645</v>
      </c>
      <c r="AN116" s="6">
        <v>-6.4762184</v>
      </c>
      <c r="AO116" s="6">
        <v>-6.4515561</v>
      </c>
      <c r="AP116" s="6">
        <v>-6.4739881</v>
      </c>
      <c r="AQ116" s="6">
        <v>-6.4253629</v>
      </c>
      <c r="AR116" s="6">
        <v>-6.4020076</v>
      </c>
      <c r="AS116" s="6">
        <v>-6.4618417</v>
      </c>
      <c r="AT116" s="6">
        <v>-6.4506396</v>
      </c>
      <c r="AU116" s="6">
        <v>0.97344833</v>
      </c>
      <c r="AV116" s="6">
        <v>0.96974131</v>
      </c>
      <c r="AW116" s="6">
        <v>0.97311308</v>
      </c>
      <c r="AX116" s="6">
        <v>0.96580418</v>
      </c>
      <c r="AY116" s="6">
        <v>0.96229362</v>
      </c>
      <c r="AZ116" s="6">
        <v>0.97128734</v>
      </c>
      <c r="BA116" s="6">
        <v>0.96960354</v>
      </c>
      <c r="BB116" s="6">
        <v>0.02655167</v>
      </c>
      <c r="BC116" s="6">
        <v>0.03025869</v>
      </c>
      <c r="BD116" s="6">
        <v>0.02688692</v>
      </c>
      <c r="BE116" s="6">
        <v>0.03419582</v>
      </c>
      <c r="BF116" s="6">
        <v>0.03770638</v>
      </c>
      <c r="BG116" s="6">
        <v>0.02871266</v>
      </c>
      <c r="BH116" s="6">
        <v>0.03039646</v>
      </c>
      <c r="BI116" s="6">
        <v>0.21470859</v>
      </c>
      <c r="BJ116" s="6">
        <v>0.12366373</v>
      </c>
      <c r="BK116" s="6">
        <v>0.1409291</v>
      </c>
      <c r="BL116" s="6">
        <v>0.12522516</v>
      </c>
      <c r="BM116" s="6">
        <v>0.1592662</v>
      </c>
      <c r="BN116" s="6">
        <v>0.17561655</v>
      </c>
      <c r="BO116" s="6">
        <v>0.1337285</v>
      </c>
      <c r="BP116" s="6">
        <v>0.14157076</v>
      </c>
      <c r="BQ116" s="6">
        <v>0.0305212</v>
      </c>
      <c r="BR116" s="6">
        <v>0.0272641</v>
      </c>
      <c r="BS116" s="6">
        <v>0.02865944</v>
      </c>
      <c r="BT116" s="6">
        <v>0.02374262</v>
      </c>
      <c r="BU116" s="6">
        <v>0.01781693</v>
      </c>
      <c r="BV116" s="6">
        <v>0.04463463</v>
      </c>
      <c r="BW116" s="6">
        <v>0.03959036</v>
      </c>
      <c r="BX116" s="12">
        <v>8560</v>
      </c>
      <c r="BY116" s="13">
        <v>2642</v>
      </c>
      <c r="BZ116" s="12">
        <v>13803.14</v>
      </c>
      <c r="CA116" s="6">
        <f t="shared" si="10"/>
        <v>3.23996971990916</v>
      </c>
      <c r="CB116" s="6">
        <f t="shared" si="11"/>
        <v>0.620148748762963</v>
      </c>
      <c r="CC116" s="7">
        <v>158236893.3</v>
      </c>
      <c r="CD116" s="7">
        <f t="shared" si="6"/>
        <v>1.14638331060904</v>
      </c>
      <c r="CE116" s="8">
        <v>1626.9</v>
      </c>
      <c r="CF116" s="8">
        <v>8238.7</v>
      </c>
      <c r="CG116" s="8">
        <v>5802.3</v>
      </c>
      <c r="CH116" s="8">
        <v>34988</v>
      </c>
      <c r="CI116" s="14">
        <v>0</v>
      </c>
      <c r="CJ116" s="14">
        <v>0</v>
      </c>
      <c r="CK116" s="14">
        <f t="shared" si="7"/>
        <v>0</v>
      </c>
      <c r="CL116">
        <f t="shared" si="8"/>
        <v>1.79640226266579</v>
      </c>
      <c r="CM116">
        <f t="shared" si="9"/>
        <v>0.361844874929152</v>
      </c>
      <c r="CN116" s="15">
        <v>8559.79</v>
      </c>
      <c r="CO116" s="15">
        <v>10379.34</v>
      </c>
      <c r="CP116" s="15">
        <v>664.72</v>
      </c>
      <c r="CQ116" s="15">
        <v>999.37</v>
      </c>
      <c r="CR116" s="15">
        <v>193.36</v>
      </c>
      <c r="CS116" s="15">
        <v>1.71</v>
      </c>
      <c r="CT116" s="15">
        <v>378.42</v>
      </c>
      <c r="CU116" s="15">
        <v>31.91</v>
      </c>
      <c r="CV116" s="15">
        <v>22.58</v>
      </c>
      <c r="CW116" s="15">
        <v>667.81</v>
      </c>
    </row>
    <row r="117" spans="1:101">
      <c r="A117" s="6">
        <v>2015</v>
      </c>
      <c r="B117" s="6" t="s">
        <v>104</v>
      </c>
      <c r="C117" s="6">
        <v>0.20209053</v>
      </c>
      <c r="D117" s="6">
        <v>0.036655</v>
      </c>
      <c r="E117" s="6">
        <v>0.008775</v>
      </c>
      <c r="F117" s="6">
        <v>0.017304</v>
      </c>
      <c r="G117" s="6">
        <v>0.00596</v>
      </c>
      <c r="H117" s="6">
        <v>0.004617</v>
      </c>
      <c r="I117" s="6">
        <v>0.036185</v>
      </c>
      <c r="J117" s="6">
        <v>0.018654</v>
      </c>
      <c r="K117" s="6">
        <v>0.23595438</v>
      </c>
      <c r="L117" s="6">
        <v>0.16695964</v>
      </c>
      <c r="M117" s="6">
        <v>0.2230331</v>
      </c>
      <c r="N117" s="6">
        <v>0.14768244</v>
      </c>
      <c r="O117" s="6">
        <v>0.10641229</v>
      </c>
      <c r="P117" s="6">
        <v>0.31325572</v>
      </c>
      <c r="Q117" s="6">
        <v>0.26384622</v>
      </c>
      <c r="R117" s="6">
        <v>217.69486</v>
      </c>
      <c r="S117" s="6">
        <v>0.00108388</v>
      </c>
      <c r="T117" s="6">
        <v>169.97573</v>
      </c>
      <c r="U117" s="6">
        <v>0.00098226</v>
      </c>
      <c r="V117" s="6">
        <v>197.11803</v>
      </c>
      <c r="W117" s="6">
        <v>0.00113147</v>
      </c>
      <c r="X117" s="6">
        <v>134.47093</v>
      </c>
      <c r="Y117" s="6">
        <v>0.00109825</v>
      </c>
      <c r="Z117" s="6">
        <v>134.86767</v>
      </c>
      <c r="AA117" s="6">
        <v>0.00078901</v>
      </c>
      <c r="AB117" s="6">
        <v>294.9318</v>
      </c>
      <c r="AC117" s="6">
        <v>0.00106213</v>
      </c>
      <c r="AD117" s="6">
        <v>243.86163</v>
      </c>
      <c r="AE117" s="6">
        <v>0.00108195</v>
      </c>
      <c r="AF117" s="6">
        <v>775</v>
      </c>
      <c r="AG117" s="6">
        <v>-0.00739986</v>
      </c>
      <c r="AH117" s="6">
        <v>-0.00680277</v>
      </c>
      <c r="AI117" s="6">
        <v>-0.00767616</v>
      </c>
      <c r="AJ117" s="6">
        <v>-0.00748351</v>
      </c>
      <c r="AK117" s="6">
        <v>-0.00563728</v>
      </c>
      <c r="AL117" s="6">
        <v>-0.00727291</v>
      </c>
      <c r="AM117" s="6">
        <v>-0.00738863</v>
      </c>
      <c r="AN117" s="6">
        <v>-6.4762184</v>
      </c>
      <c r="AO117" s="6">
        <v>-6.4515561</v>
      </c>
      <c r="AP117" s="6">
        <v>-6.4739881</v>
      </c>
      <c r="AQ117" s="6">
        <v>-6.4253629</v>
      </c>
      <c r="AR117" s="6">
        <v>-6.4020076</v>
      </c>
      <c r="AS117" s="6">
        <v>-6.4618417</v>
      </c>
      <c r="AT117" s="6">
        <v>-6.4506396</v>
      </c>
      <c r="AU117" s="6">
        <v>0.97344833</v>
      </c>
      <c r="AV117" s="6">
        <v>0.96974131</v>
      </c>
      <c r="AW117" s="6">
        <v>0.97311308</v>
      </c>
      <c r="AX117" s="6">
        <v>0.96580418</v>
      </c>
      <c r="AY117" s="6">
        <v>0.96229362</v>
      </c>
      <c r="AZ117" s="6">
        <v>0.97128734</v>
      </c>
      <c r="BA117" s="6">
        <v>0.96960354</v>
      </c>
      <c r="BB117" s="6">
        <v>0.02655167</v>
      </c>
      <c r="BC117" s="6">
        <v>0.03025869</v>
      </c>
      <c r="BD117" s="6">
        <v>0.02688692</v>
      </c>
      <c r="BE117" s="6">
        <v>0.03419582</v>
      </c>
      <c r="BF117" s="6">
        <v>0.03770638</v>
      </c>
      <c r="BG117" s="6">
        <v>0.02871266</v>
      </c>
      <c r="BH117" s="6">
        <v>0.03039646</v>
      </c>
      <c r="BI117" s="6">
        <v>0.21470859</v>
      </c>
      <c r="BJ117" s="6">
        <v>0.12366373</v>
      </c>
      <c r="BK117" s="6">
        <v>0.1409291</v>
      </c>
      <c r="BL117" s="6">
        <v>0.12522516</v>
      </c>
      <c r="BM117" s="6">
        <v>0.1592662</v>
      </c>
      <c r="BN117" s="6">
        <v>0.17561655</v>
      </c>
      <c r="BO117" s="6">
        <v>0.1337285</v>
      </c>
      <c r="BP117" s="6">
        <v>0.14157076</v>
      </c>
      <c r="BQ117" s="6">
        <v>0.029179</v>
      </c>
      <c r="BR117" s="6">
        <v>0.02352947</v>
      </c>
      <c r="BS117" s="6">
        <v>0.02792936</v>
      </c>
      <c r="BT117" s="6">
        <v>0.02352082</v>
      </c>
      <c r="BU117" s="6">
        <v>0.01868776</v>
      </c>
      <c r="BV117" s="6">
        <v>0.04189122</v>
      </c>
      <c r="BW117" s="6">
        <v>0.03735291</v>
      </c>
      <c r="BX117" s="12">
        <v>7020</v>
      </c>
      <c r="BY117" s="13">
        <v>2613</v>
      </c>
      <c r="BZ117" s="12">
        <v>14063.13</v>
      </c>
      <c r="CA117" s="6">
        <f t="shared" si="10"/>
        <v>2.6865671641791</v>
      </c>
      <c r="CB117" s="6">
        <f t="shared" si="11"/>
        <v>0.499177636841869</v>
      </c>
      <c r="CC117" s="7">
        <v>151831412</v>
      </c>
      <c r="CD117" s="7">
        <f t="shared" si="6"/>
        <v>1.07964167294194</v>
      </c>
      <c r="CE117" s="8">
        <v>1714.5</v>
      </c>
      <c r="CF117" s="8">
        <v>8367.7</v>
      </c>
      <c r="CG117" s="8">
        <v>6698.8</v>
      </c>
      <c r="CH117" s="8">
        <v>37436</v>
      </c>
      <c r="CI117" s="14">
        <v>0</v>
      </c>
      <c r="CJ117" s="14">
        <v>0</v>
      </c>
      <c r="CK117" s="14">
        <f t="shared" si="7"/>
        <v>0</v>
      </c>
      <c r="CL117">
        <f t="shared" si="8"/>
        <v>1.71577514742415</v>
      </c>
      <c r="CM117">
        <f t="shared" si="9"/>
        <v>0.370755734186509</v>
      </c>
      <c r="CN117" s="15">
        <v>7020</v>
      </c>
      <c r="CO117" s="15">
        <v>8632.01</v>
      </c>
      <c r="CP117" s="15">
        <v>532.82</v>
      </c>
      <c r="CQ117" s="15">
        <v>960.34</v>
      </c>
      <c r="CR117" s="15">
        <v>167.9</v>
      </c>
      <c r="CS117" s="15">
        <v>22.33</v>
      </c>
      <c r="CT117" s="15">
        <v>343.43</v>
      </c>
      <c r="CU117" s="15">
        <v>30.86</v>
      </c>
      <c r="CV117" s="15">
        <v>20.65</v>
      </c>
      <c r="CW117" s="15">
        <v>652</v>
      </c>
    </row>
    <row r="118" spans="1:101">
      <c r="A118" s="6">
        <v>2016</v>
      </c>
      <c r="B118" s="6" t="s">
        <v>104</v>
      </c>
      <c r="C118" s="6">
        <v>0.19744256</v>
      </c>
      <c r="D118" s="6">
        <v>0.035084</v>
      </c>
      <c r="E118" s="6">
        <v>0.009025</v>
      </c>
      <c r="F118" s="6">
        <v>0.016114</v>
      </c>
      <c r="G118" s="6">
        <v>0.005309</v>
      </c>
      <c r="H118" s="6">
        <v>0.004636</v>
      </c>
      <c r="I118" s="6">
        <v>0.036103</v>
      </c>
      <c r="J118" s="6">
        <v>0.019215</v>
      </c>
      <c r="K118" s="6">
        <v>0.22362964</v>
      </c>
      <c r="L118" s="6">
        <v>0.17287421</v>
      </c>
      <c r="M118" s="6">
        <v>0.20474782</v>
      </c>
      <c r="N118" s="6">
        <v>0.12843312</v>
      </c>
      <c r="O118" s="6">
        <v>0.10700411</v>
      </c>
      <c r="P118" s="6">
        <v>0.31234153</v>
      </c>
      <c r="Q118" s="6">
        <v>0.27385166</v>
      </c>
      <c r="R118" s="6">
        <v>217.69486</v>
      </c>
      <c r="S118" s="6">
        <v>0.00102726</v>
      </c>
      <c r="T118" s="6">
        <v>169.97573</v>
      </c>
      <c r="U118" s="6">
        <v>0.00101705</v>
      </c>
      <c r="V118" s="6">
        <v>197.11803</v>
      </c>
      <c r="W118" s="6">
        <v>0.00103871</v>
      </c>
      <c r="X118" s="6">
        <v>134.47093</v>
      </c>
      <c r="Y118" s="6">
        <v>0.0009551</v>
      </c>
      <c r="Z118" s="6">
        <v>134.86767</v>
      </c>
      <c r="AA118" s="6">
        <v>0.0007934</v>
      </c>
      <c r="AB118" s="6">
        <v>294.9318</v>
      </c>
      <c r="AC118" s="6">
        <v>0.00105903</v>
      </c>
      <c r="AD118" s="6">
        <v>243.86163</v>
      </c>
      <c r="AE118" s="6">
        <v>0.00112298</v>
      </c>
      <c r="AF118" s="6">
        <v>775</v>
      </c>
      <c r="AG118" s="6">
        <v>-0.00706844</v>
      </c>
      <c r="AH118" s="6">
        <v>-0.00700835</v>
      </c>
      <c r="AI118" s="6">
        <v>-0.00713569</v>
      </c>
      <c r="AJ118" s="6">
        <v>-0.00664147</v>
      </c>
      <c r="AK118" s="6">
        <v>-0.00566423</v>
      </c>
      <c r="AL118" s="6">
        <v>-0.00725478</v>
      </c>
      <c r="AM118" s="6">
        <v>-0.00762702</v>
      </c>
      <c r="AN118" s="6">
        <v>-6.4762184</v>
      </c>
      <c r="AO118" s="6">
        <v>-6.4515561</v>
      </c>
      <c r="AP118" s="6">
        <v>-6.4739881</v>
      </c>
      <c r="AQ118" s="6">
        <v>-6.4253629</v>
      </c>
      <c r="AR118" s="6">
        <v>-6.4020076</v>
      </c>
      <c r="AS118" s="6">
        <v>-6.4618417</v>
      </c>
      <c r="AT118" s="6">
        <v>-6.4506396</v>
      </c>
      <c r="AU118" s="6">
        <v>0.97344833</v>
      </c>
      <c r="AV118" s="6">
        <v>0.96974131</v>
      </c>
      <c r="AW118" s="6">
        <v>0.97311308</v>
      </c>
      <c r="AX118" s="6">
        <v>0.96580418</v>
      </c>
      <c r="AY118" s="6">
        <v>0.96229362</v>
      </c>
      <c r="AZ118" s="6">
        <v>0.97128734</v>
      </c>
      <c r="BA118" s="6">
        <v>0.96960354</v>
      </c>
      <c r="BB118" s="6">
        <v>0.02655167</v>
      </c>
      <c r="BC118" s="6">
        <v>0.03025869</v>
      </c>
      <c r="BD118" s="6">
        <v>0.02688692</v>
      </c>
      <c r="BE118" s="6">
        <v>0.03419582</v>
      </c>
      <c r="BF118" s="6">
        <v>0.03770638</v>
      </c>
      <c r="BG118" s="6">
        <v>0.02871266</v>
      </c>
      <c r="BH118" s="6">
        <v>0.03039646</v>
      </c>
      <c r="BI118" s="6">
        <v>0.21470859</v>
      </c>
      <c r="BJ118" s="6">
        <v>0.12366373</v>
      </c>
      <c r="BK118" s="6">
        <v>0.1409291</v>
      </c>
      <c r="BL118" s="6">
        <v>0.12522516</v>
      </c>
      <c r="BM118" s="6">
        <v>0.1592662</v>
      </c>
      <c r="BN118" s="6">
        <v>0.17561655</v>
      </c>
      <c r="BO118" s="6">
        <v>0.1337285</v>
      </c>
      <c r="BP118" s="6">
        <v>0.14157076</v>
      </c>
      <c r="BQ118" s="6">
        <v>0.02765488</v>
      </c>
      <c r="BR118" s="6">
        <v>0.02436301</v>
      </c>
      <c r="BS118" s="6">
        <v>0.02563958</v>
      </c>
      <c r="BT118" s="6">
        <v>0.02045506</v>
      </c>
      <c r="BU118" s="6">
        <v>0.01879169</v>
      </c>
      <c r="BV118" s="6">
        <v>0.04176896</v>
      </c>
      <c r="BW118" s="6">
        <v>0.03876939</v>
      </c>
      <c r="BX118" s="12">
        <v>6886</v>
      </c>
      <c r="BY118" s="13">
        <v>2567</v>
      </c>
      <c r="BZ118" s="12">
        <v>14776.8</v>
      </c>
      <c r="CA118" s="6">
        <f t="shared" si="10"/>
        <v>2.68250876509544</v>
      </c>
      <c r="CB118" s="6">
        <f t="shared" si="11"/>
        <v>0.466000757944887</v>
      </c>
      <c r="CC118" s="7">
        <v>148934997.6</v>
      </c>
      <c r="CD118" s="7">
        <f t="shared" si="6"/>
        <v>1.00789749878187</v>
      </c>
      <c r="CE118" s="8">
        <v>1794.1</v>
      </c>
      <c r="CF118" s="8">
        <v>8732.5</v>
      </c>
      <c r="CG118" s="8">
        <v>7862</v>
      </c>
      <c r="CH118" s="8">
        <v>40950</v>
      </c>
      <c r="CI118" s="14">
        <v>0</v>
      </c>
      <c r="CJ118" s="14">
        <v>0</v>
      </c>
      <c r="CK118" s="14">
        <f t="shared" si="7"/>
        <v>0</v>
      </c>
      <c r="CL118">
        <f t="shared" si="8"/>
        <v>1.62438398605541</v>
      </c>
      <c r="CM118">
        <f t="shared" si="9"/>
        <v>0.379520170455872</v>
      </c>
      <c r="CN118" s="15">
        <v>6886</v>
      </c>
      <c r="CO118" s="15">
        <v>8349.29</v>
      </c>
      <c r="CP118" s="15">
        <v>477.62</v>
      </c>
      <c r="CQ118" s="15">
        <v>1051.29</v>
      </c>
      <c r="CR118" s="15">
        <v>175.36</v>
      </c>
      <c r="CS118" s="15">
        <v>20.41</v>
      </c>
      <c r="CT118" s="15">
        <v>348.33</v>
      </c>
      <c r="CU118" s="15">
        <v>38.05</v>
      </c>
      <c r="CV118" s="15">
        <v>23</v>
      </c>
      <c r="CW118" s="15">
        <v>667.63</v>
      </c>
    </row>
    <row r="119" spans="1:101">
      <c r="A119" s="6">
        <v>2017</v>
      </c>
      <c r="B119" s="6" t="s">
        <v>104</v>
      </c>
      <c r="C119" s="6">
        <v>0.19812876</v>
      </c>
      <c r="D119" s="6">
        <v>0.036739</v>
      </c>
      <c r="E119" s="6">
        <v>0.008744</v>
      </c>
      <c r="F119" s="6">
        <v>0.017029</v>
      </c>
      <c r="G119" s="6">
        <v>0.005352</v>
      </c>
      <c r="H119" s="6">
        <v>0.005614</v>
      </c>
      <c r="I119" s="6">
        <v>0.037333</v>
      </c>
      <c r="J119" s="6">
        <v>0.015658</v>
      </c>
      <c r="K119" s="6">
        <v>0.2366166</v>
      </c>
      <c r="L119" s="6">
        <v>0.16624251</v>
      </c>
      <c r="M119" s="6">
        <v>0.21881331</v>
      </c>
      <c r="N119" s="6">
        <v>0.12970893</v>
      </c>
      <c r="O119" s="6">
        <v>0.13663689</v>
      </c>
      <c r="P119" s="6">
        <v>0.32603625</v>
      </c>
      <c r="Q119" s="6">
        <v>0.21038413</v>
      </c>
      <c r="R119" s="6">
        <v>217.69486</v>
      </c>
      <c r="S119" s="6">
        <v>0.00108692</v>
      </c>
      <c r="T119" s="6">
        <v>169.97573</v>
      </c>
      <c r="U119" s="6">
        <v>0.00097804</v>
      </c>
      <c r="V119" s="6">
        <v>197.11803</v>
      </c>
      <c r="W119" s="6">
        <v>0.00111006</v>
      </c>
      <c r="X119" s="6">
        <v>134.47093</v>
      </c>
      <c r="Y119" s="6">
        <v>0.00096459</v>
      </c>
      <c r="Z119" s="6">
        <v>134.86767</v>
      </c>
      <c r="AA119" s="6">
        <v>0.00101312</v>
      </c>
      <c r="AB119" s="6">
        <v>294.9318</v>
      </c>
      <c r="AC119" s="6">
        <v>0.00110546</v>
      </c>
      <c r="AD119" s="6">
        <v>243.86163</v>
      </c>
      <c r="AE119" s="6">
        <v>0.00086272</v>
      </c>
      <c r="AF119" s="6">
        <v>775</v>
      </c>
      <c r="AG119" s="6">
        <v>-0.00741758</v>
      </c>
      <c r="AH119" s="6">
        <v>-0.00677776</v>
      </c>
      <c r="AI119" s="6">
        <v>-0.00755213</v>
      </c>
      <c r="AJ119" s="6">
        <v>-0.00669791</v>
      </c>
      <c r="AK119" s="6">
        <v>-0.00698517</v>
      </c>
      <c r="AL119" s="6">
        <v>-0.00752543</v>
      </c>
      <c r="AM119" s="6">
        <v>-0.00608685</v>
      </c>
      <c r="AN119" s="6">
        <v>-6.4762184</v>
      </c>
      <c r="AO119" s="6">
        <v>-6.4515561</v>
      </c>
      <c r="AP119" s="6">
        <v>-6.4739881</v>
      </c>
      <c r="AQ119" s="6">
        <v>-6.4253629</v>
      </c>
      <c r="AR119" s="6">
        <v>-6.4020076</v>
      </c>
      <c r="AS119" s="6">
        <v>-6.4618417</v>
      </c>
      <c r="AT119" s="6">
        <v>-6.4506396</v>
      </c>
      <c r="AU119" s="6">
        <v>0.97344833</v>
      </c>
      <c r="AV119" s="6">
        <v>0.96974131</v>
      </c>
      <c r="AW119" s="6">
        <v>0.97311308</v>
      </c>
      <c r="AX119" s="6">
        <v>0.96580418</v>
      </c>
      <c r="AY119" s="6">
        <v>0.96229362</v>
      </c>
      <c r="AZ119" s="6">
        <v>0.97128734</v>
      </c>
      <c r="BA119" s="6">
        <v>0.96960354</v>
      </c>
      <c r="BB119" s="6">
        <v>0.02655167</v>
      </c>
      <c r="BC119" s="6">
        <v>0.03025869</v>
      </c>
      <c r="BD119" s="6">
        <v>0.02688692</v>
      </c>
      <c r="BE119" s="6">
        <v>0.03419582</v>
      </c>
      <c r="BF119" s="6">
        <v>0.03770638</v>
      </c>
      <c r="BG119" s="6">
        <v>0.02871266</v>
      </c>
      <c r="BH119" s="6">
        <v>0.03039646</v>
      </c>
      <c r="BI119" s="6">
        <v>0.21470859</v>
      </c>
      <c r="BJ119" s="6">
        <v>0.12366373</v>
      </c>
      <c r="BK119" s="6">
        <v>0.1409291</v>
      </c>
      <c r="BL119" s="6">
        <v>0.12522516</v>
      </c>
      <c r="BM119" s="6">
        <v>0.1592662</v>
      </c>
      <c r="BN119" s="6">
        <v>0.17561655</v>
      </c>
      <c r="BO119" s="6">
        <v>0.1337285</v>
      </c>
      <c r="BP119" s="6">
        <v>0.14157076</v>
      </c>
      <c r="BQ119" s="6">
        <v>0.02926089</v>
      </c>
      <c r="BR119" s="6">
        <v>0.02342841</v>
      </c>
      <c r="BS119" s="6">
        <v>0.02740093</v>
      </c>
      <c r="BT119" s="6">
        <v>0.02065825</v>
      </c>
      <c r="BU119" s="6">
        <v>0.0239957</v>
      </c>
      <c r="BV119" s="6">
        <v>0.04360034</v>
      </c>
      <c r="BW119" s="6">
        <v>0.02978424</v>
      </c>
      <c r="BX119" s="12">
        <v>6881</v>
      </c>
      <c r="BY119" s="13">
        <v>2526</v>
      </c>
      <c r="BZ119" s="12">
        <v>14944.53</v>
      </c>
      <c r="CA119" s="6">
        <f t="shared" si="10"/>
        <v>2.72406967537609</v>
      </c>
      <c r="CB119" s="6">
        <f t="shared" si="11"/>
        <v>0.460436025756581</v>
      </c>
      <c r="CC119" s="7">
        <v>150113095.3</v>
      </c>
      <c r="CD119" s="7">
        <f t="shared" si="6"/>
        <v>1.00446849315435</v>
      </c>
      <c r="CE119" s="8">
        <v>1835.3</v>
      </c>
      <c r="CF119" s="8">
        <v>9444.6</v>
      </c>
      <c r="CG119" s="8">
        <v>8930.9</v>
      </c>
      <c r="CH119" s="8">
        <v>44878</v>
      </c>
      <c r="CI119" s="14">
        <v>1</v>
      </c>
      <c r="CJ119" s="14">
        <v>0</v>
      </c>
      <c r="CK119" s="14">
        <f t="shared" si="7"/>
        <v>0</v>
      </c>
      <c r="CL119">
        <f t="shared" si="8"/>
        <v>1.56738551218677</v>
      </c>
      <c r="CM119">
        <f t="shared" si="9"/>
        <v>0.359143946818198</v>
      </c>
      <c r="CN119" s="15">
        <v>6881</v>
      </c>
      <c r="CO119" s="15">
        <v>8270.55</v>
      </c>
      <c r="CP119" s="15">
        <v>476.07</v>
      </c>
      <c r="CQ119" s="15">
        <v>1026.83</v>
      </c>
      <c r="CR119" s="15">
        <v>188.51</v>
      </c>
      <c r="CS119" s="15">
        <v>29.55</v>
      </c>
      <c r="CT119" s="15">
        <v>343.37</v>
      </c>
      <c r="CU119" s="15">
        <v>29.08</v>
      </c>
      <c r="CV119" s="15">
        <v>24.91</v>
      </c>
      <c r="CW119" s="15">
        <v>702.98</v>
      </c>
    </row>
    <row r="120" spans="1:101">
      <c r="A120" s="6">
        <v>2018</v>
      </c>
      <c r="B120" s="6" t="s">
        <v>104</v>
      </c>
      <c r="C120" s="6">
        <v>0.23487881</v>
      </c>
      <c r="D120" s="6">
        <v>0.039929</v>
      </c>
      <c r="E120" s="6">
        <v>0.010123</v>
      </c>
      <c r="F120" s="6">
        <v>0.017626</v>
      </c>
      <c r="G120" s="6">
        <v>0.005506</v>
      </c>
      <c r="H120" s="6">
        <v>0.006673</v>
      </c>
      <c r="I120" s="6">
        <v>0.04491</v>
      </c>
      <c r="J120" s="6">
        <v>0.019721</v>
      </c>
      <c r="K120" s="6">
        <v>0.26163423</v>
      </c>
      <c r="L120" s="6">
        <v>0.19884626</v>
      </c>
      <c r="M120" s="6">
        <v>0.22799119</v>
      </c>
      <c r="N120" s="6">
        <v>0.13427862</v>
      </c>
      <c r="O120" s="6">
        <v>0.1687177</v>
      </c>
      <c r="P120" s="6">
        <v>0.41043044</v>
      </c>
      <c r="Q120" s="6">
        <v>0.28288872</v>
      </c>
      <c r="R120" s="6">
        <v>217.69486</v>
      </c>
      <c r="S120" s="6">
        <v>0.00120184</v>
      </c>
      <c r="T120" s="6">
        <v>169.97573</v>
      </c>
      <c r="U120" s="6">
        <v>0.00116985</v>
      </c>
      <c r="V120" s="6">
        <v>197.11803</v>
      </c>
      <c r="W120" s="6">
        <v>0.00115662</v>
      </c>
      <c r="X120" s="6">
        <v>134.47093</v>
      </c>
      <c r="Y120" s="6">
        <v>0.00099857</v>
      </c>
      <c r="Z120" s="6">
        <v>134.86767</v>
      </c>
      <c r="AA120" s="6">
        <v>0.00125099</v>
      </c>
      <c r="AB120" s="6">
        <v>294.9318</v>
      </c>
      <c r="AC120" s="6">
        <v>0.00139161</v>
      </c>
      <c r="AD120" s="6">
        <v>243.86163</v>
      </c>
      <c r="AE120" s="6">
        <v>0.00116004</v>
      </c>
      <c r="AF120" s="6">
        <v>775</v>
      </c>
      <c r="AG120" s="6">
        <v>-0.00808105</v>
      </c>
      <c r="AH120" s="6">
        <v>-0.00789752</v>
      </c>
      <c r="AI120" s="6">
        <v>-0.00782137</v>
      </c>
      <c r="AJ120" s="6">
        <v>-0.00689931</v>
      </c>
      <c r="AK120" s="6">
        <v>-0.00836138</v>
      </c>
      <c r="AL120" s="6">
        <v>-0.00915304</v>
      </c>
      <c r="AM120" s="6">
        <v>-0.00784105</v>
      </c>
      <c r="AN120" s="6">
        <v>-6.4762184</v>
      </c>
      <c r="AO120" s="6">
        <v>-6.4515561</v>
      </c>
      <c r="AP120" s="6">
        <v>-6.4739881</v>
      </c>
      <c r="AQ120" s="6">
        <v>-6.4253629</v>
      </c>
      <c r="AR120" s="6">
        <v>-6.4020076</v>
      </c>
      <c r="AS120" s="6">
        <v>-6.4618417</v>
      </c>
      <c r="AT120" s="6">
        <v>-6.4506396</v>
      </c>
      <c r="AU120" s="6">
        <v>0.97344833</v>
      </c>
      <c r="AV120" s="6">
        <v>0.96974131</v>
      </c>
      <c r="AW120" s="6">
        <v>0.97311308</v>
      </c>
      <c r="AX120" s="6">
        <v>0.96580418</v>
      </c>
      <c r="AY120" s="6">
        <v>0.96229362</v>
      </c>
      <c r="AZ120" s="6">
        <v>0.97128734</v>
      </c>
      <c r="BA120" s="6">
        <v>0.96960354</v>
      </c>
      <c r="BB120" s="6">
        <v>0.02655167</v>
      </c>
      <c r="BC120" s="6">
        <v>0.03025869</v>
      </c>
      <c r="BD120" s="6">
        <v>0.02688692</v>
      </c>
      <c r="BE120" s="6">
        <v>0.03419582</v>
      </c>
      <c r="BF120" s="6">
        <v>0.03770638</v>
      </c>
      <c r="BG120" s="6">
        <v>0.02871266</v>
      </c>
      <c r="BH120" s="6">
        <v>0.03039646</v>
      </c>
      <c r="BI120" s="6">
        <v>0.21470859</v>
      </c>
      <c r="BJ120" s="6">
        <v>0.12366373</v>
      </c>
      <c r="BK120" s="6">
        <v>0.1409291</v>
      </c>
      <c r="BL120" s="6">
        <v>0.12522516</v>
      </c>
      <c r="BM120" s="6">
        <v>0.1592662</v>
      </c>
      <c r="BN120" s="6">
        <v>0.17561655</v>
      </c>
      <c r="BO120" s="6">
        <v>0.1337285</v>
      </c>
      <c r="BP120" s="6">
        <v>0.14157076</v>
      </c>
      <c r="BQ120" s="6">
        <v>0.03235467</v>
      </c>
      <c r="BR120" s="6">
        <v>0.02802322</v>
      </c>
      <c r="BS120" s="6">
        <v>0.02855023</v>
      </c>
      <c r="BT120" s="6">
        <v>0.02138605</v>
      </c>
      <c r="BU120" s="6">
        <v>0.02962962</v>
      </c>
      <c r="BV120" s="6">
        <v>0.05488624</v>
      </c>
      <c r="BW120" s="6">
        <v>0.04004877</v>
      </c>
      <c r="BX120" s="12">
        <v>7000</v>
      </c>
      <c r="BY120" s="13">
        <v>2484</v>
      </c>
      <c r="BZ120" s="12">
        <v>15074.62</v>
      </c>
      <c r="CA120" s="6">
        <f t="shared" si="10"/>
        <v>2.81803542673108</v>
      </c>
      <c r="CB120" s="6">
        <f t="shared" si="11"/>
        <v>0.46435664713273</v>
      </c>
      <c r="CC120" s="7">
        <v>158410588.2</v>
      </c>
      <c r="CD120" s="7">
        <f t="shared" si="6"/>
        <v>1.05084299438394</v>
      </c>
      <c r="CE120" s="8">
        <v>1877.3</v>
      </c>
      <c r="CF120" s="8">
        <v>10081.2</v>
      </c>
      <c r="CG120" s="8">
        <v>10758</v>
      </c>
      <c r="CH120" s="8">
        <v>50347</v>
      </c>
      <c r="CI120" s="14">
        <v>1</v>
      </c>
      <c r="CJ120" s="14">
        <v>0</v>
      </c>
      <c r="CK120" s="14">
        <f t="shared" si="7"/>
        <v>0</v>
      </c>
      <c r="CL120">
        <f t="shared" si="8"/>
        <v>1.51591455826218</v>
      </c>
      <c r="CM120">
        <f t="shared" si="9"/>
        <v>0.306792728748108</v>
      </c>
      <c r="CN120" s="15">
        <v>7000</v>
      </c>
      <c r="CO120" s="15">
        <v>8553.18</v>
      </c>
      <c r="CP120" s="15">
        <v>592.83</v>
      </c>
      <c r="CQ120" s="15">
        <v>935.8</v>
      </c>
      <c r="CR120" s="15">
        <v>204.68</v>
      </c>
      <c r="CS120" s="15">
        <v>32.58</v>
      </c>
      <c r="CT120" s="15">
        <v>364.61</v>
      </c>
      <c r="CU120" s="15">
        <v>25.79</v>
      </c>
      <c r="CV120" s="15">
        <v>29.71</v>
      </c>
      <c r="CW120" s="15">
        <v>750.57</v>
      </c>
    </row>
    <row r="121" spans="1:101">
      <c r="A121" s="6">
        <v>2019</v>
      </c>
      <c r="B121" s="6" t="s">
        <v>104</v>
      </c>
      <c r="C121" s="6">
        <v>0.216649</v>
      </c>
      <c r="D121" s="6">
        <v>0.039267</v>
      </c>
      <c r="E121" s="6">
        <v>0.010608</v>
      </c>
      <c r="F121" s="6">
        <v>0.017798</v>
      </c>
      <c r="G121" s="6">
        <v>0.005794</v>
      </c>
      <c r="H121" s="6">
        <v>0.005066</v>
      </c>
      <c r="I121" s="6">
        <v>0.039307</v>
      </c>
      <c r="J121" s="6">
        <v>0.01814</v>
      </c>
      <c r="K121" s="6">
        <v>0.2564441</v>
      </c>
      <c r="L121" s="6">
        <v>0.2103054</v>
      </c>
      <c r="M121" s="6">
        <v>0.23063223</v>
      </c>
      <c r="N121" s="6">
        <v>0.14279445</v>
      </c>
      <c r="O121" s="6">
        <v>0.12004023</v>
      </c>
      <c r="P121" s="6">
        <v>0.34802184</v>
      </c>
      <c r="Q121" s="6">
        <v>0.25466589</v>
      </c>
      <c r="R121" s="6">
        <v>217.69486</v>
      </c>
      <c r="S121" s="6">
        <v>0.001178</v>
      </c>
      <c r="T121" s="6">
        <v>169.97573</v>
      </c>
      <c r="U121" s="6">
        <v>0.00123727</v>
      </c>
      <c r="V121" s="6">
        <v>197.11803</v>
      </c>
      <c r="W121" s="6">
        <v>0.00117002</v>
      </c>
      <c r="X121" s="6">
        <v>134.47093</v>
      </c>
      <c r="Y121" s="6">
        <v>0.0010619</v>
      </c>
      <c r="Z121" s="6">
        <v>134.86767</v>
      </c>
      <c r="AA121" s="6">
        <v>0.00089006</v>
      </c>
      <c r="AB121" s="6">
        <v>294.9318</v>
      </c>
      <c r="AC121" s="6">
        <v>0.00118001</v>
      </c>
      <c r="AD121" s="6">
        <v>243.86163</v>
      </c>
      <c r="AE121" s="6">
        <v>0.0010443</v>
      </c>
      <c r="AF121" s="6">
        <v>775</v>
      </c>
      <c r="AG121" s="6">
        <v>-0.00794435</v>
      </c>
      <c r="AH121" s="6">
        <v>-0.00828332</v>
      </c>
      <c r="AI121" s="6">
        <v>-0.0078985</v>
      </c>
      <c r="AJ121" s="6">
        <v>-0.00727156</v>
      </c>
      <c r="AK121" s="6">
        <v>-0.00625197</v>
      </c>
      <c r="AL121" s="6">
        <v>-0.00795589</v>
      </c>
      <c r="AM121" s="6">
        <v>-0.00716853</v>
      </c>
      <c r="AN121" s="6">
        <v>-6.4762184</v>
      </c>
      <c r="AO121" s="6">
        <v>-6.4515561</v>
      </c>
      <c r="AP121" s="6">
        <v>-6.4739881</v>
      </c>
      <c r="AQ121" s="6">
        <v>-6.4253629</v>
      </c>
      <c r="AR121" s="6">
        <v>-6.4020076</v>
      </c>
      <c r="AS121" s="6">
        <v>-6.4618417</v>
      </c>
      <c r="AT121" s="6">
        <v>-6.4506396</v>
      </c>
      <c r="AU121" s="6">
        <v>0.97344833</v>
      </c>
      <c r="AV121" s="6">
        <v>0.96974131</v>
      </c>
      <c r="AW121" s="6">
        <v>0.97311308</v>
      </c>
      <c r="AX121" s="6">
        <v>0.96580418</v>
      </c>
      <c r="AY121" s="6">
        <v>0.96229362</v>
      </c>
      <c r="AZ121" s="6">
        <v>0.97128734</v>
      </c>
      <c r="BA121" s="6">
        <v>0.96960354</v>
      </c>
      <c r="BB121" s="6">
        <v>0.02655167</v>
      </c>
      <c r="BC121" s="6">
        <v>0.03025869</v>
      </c>
      <c r="BD121" s="6">
        <v>0.02688692</v>
      </c>
      <c r="BE121" s="6">
        <v>0.03419582</v>
      </c>
      <c r="BF121" s="6">
        <v>0.03770638</v>
      </c>
      <c r="BG121" s="6">
        <v>0.02871266</v>
      </c>
      <c r="BH121" s="6">
        <v>0.03039646</v>
      </c>
      <c r="BI121" s="6">
        <v>0.21470859</v>
      </c>
      <c r="BJ121" s="6">
        <v>0.12366373</v>
      </c>
      <c r="BK121" s="6">
        <v>0.1409291</v>
      </c>
      <c r="BL121" s="6">
        <v>0.12522516</v>
      </c>
      <c r="BM121" s="6">
        <v>0.1592662</v>
      </c>
      <c r="BN121" s="6">
        <v>0.17561655</v>
      </c>
      <c r="BO121" s="6">
        <v>0.1337285</v>
      </c>
      <c r="BP121" s="6">
        <v>0.14157076</v>
      </c>
      <c r="BQ121" s="6">
        <v>0.03171283</v>
      </c>
      <c r="BR121" s="6">
        <v>0.02963815</v>
      </c>
      <c r="BS121" s="6">
        <v>0.02888096</v>
      </c>
      <c r="BT121" s="6">
        <v>0.02274233</v>
      </c>
      <c r="BU121" s="6">
        <v>0.02108105</v>
      </c>
      <c r="BV121" s="6">
        <v>0.04654044</v>
      </c>
      <c r="BW121" s="6">
        <v>0.03605324</v>
      </c>
      <c r="BX121" s="12">
        <v>7132</v>
      </c>
      <c r="BY121" s="13">
        <v>2448</v>
      </c>
      <c r="BZ121" s="12">
        <v>11726.82</v>
      </c>
      <c r="CA121" s="6">
        <f t="shared" si="10"/>
        <v>2.91339869281046</v>
      </c>
      <c r="CB121" s="6">
        <f t="shared" si="11"/>
        <v>0.608178517279194</v>
      </c>
      <c r="CC121" s="7">
        <v>158644494.5</v>
      </c>
      <c r="CD121" s="7">
        <f t="shared" si="6"/>
        <v>1.35283473695341</v>
      </c>
      <c r="CE121" s="8">
        <v>2057.7</v>
      </c>
      <c r="CF121" s="8">
        <v>10820.3</v>
      </c>
      <c r="CG121" s="8">
        <v>11789.3</v>
      </c>
      <c r="CH121" s="8">
        <v>54640</v>
      </c>
      <c r="CI121" s="14">
        <v>1</v>
      </c>
      <c r="CJ121" s="14">
        <v>0</v>
      </c>
      <c r="CK121" s="14">
        <f t="shared" si="7"/>
        <v>0</v>
      </c>
      <c r="CL121">
        <f t="shared" si="8"/>
        <v>1.5000536746505</v>
      </c>
      <c r="CM121">
        <f t="shared" si="9"/>
        <v>0.0981424466237116</v>
      </c>
      <c r="CN121" s="15">
        <v>7132</v>
      </c>
      <c r="CO121" s="15">
        <v>8730.65</v>
      </c>
      <c r="CP121" s="15">
        <v>662.31</v>
      </c>
      <c r="CQ121" s="15">
        <v>1035.48</v>
      </c>
      <c r="CR121" s="15">
        <v>182.71</v>
      </c>
      <c r="CS121" s="15">
        <v>33.68</v>
      </c>
      <c r="CT121" s="15">
        <v>346.18</v>
      </c>
      <c r="CU121" s="15">
        <v>28.15</v>
      </c>
      <c r="CV121" s="15">
        <v>30.17</v>
      </c>
      <c r="CW121" s="15">
        <v>780.37</v>
      </c>
    </row>
    <row r="122" spans="1:101">
      <c r="A122" s="6">
        <v>2020</v>
      </c>
      <c r="B122" s="6" t="s">
        <v>104</v>
      </c>
      <c r="C122" s="6">
        <v>0.26262627</v>
      </c>
      <c r="D122" s="6">
        <v>0.044579</v>
      </c>
      <c r="E122" s="6">
        <v>0.010767</v>
      </c>
      <c r="F122" s="6">
        <v>0.020171</v>
      </c>
      <c r="G122" s="6">
        <v>0.006731</v>
      </c>
      <c r="H122" s="6">
        <v>0.006909</v>
      </c>
      <c r="I122" s="6">
        <v>0.044783</v>
      </c>
      <c r="J122" s="6">
        <v>0.023426</v>
      </c>
      <c r="K122" s="6">
        <v>0.29811029</v>
      </c>
      <c r="L122" s="6">
        <v>0.21406441</v>
      </c>
      <c r="M122" s="6">
        <v>0.2671084</v>
      </c>
      <c r="N122" s="6">
        <v>0.17048877</v>
      </c>
      <c r="O122" s="6">
        <v>0.17588113</v>
      </c>
      <c r="P122" s="6">
        <v>0.40901398</v>
      </c>
      <c r="Q122" s="6">
        <v>0.34898928</v>
      </c>
      <c r="R122" s="6">
        <v>217.69486</v>
      </c>
      <c r="S122" s="6">
        <v>0.0013694</v>
      </c>
      <c r="T122" s="6">
        <v>169.97573</v>
      </c>
      <c r="U122" s="6">
        <v>0.00125938</v>
      </c>
      <c r="V122" s="6">
        <v>197.11803</v>
      </c>
      <c r="W122" s="6">
        <v>0.00135507</v>
      </c>
      <c r="X122" s="6">
        <v>134.47093</v>
      </c>
      <c r="Y122" s="6">
        <v>0.00126785</v>
      </c>
      <c r="Z122" s="6">
        <v>134.86767</v>
      </c>
      <c r="AA122" s="6">
        <v>0.0013041</v>
      </c>
      <c r="AB122" s="6">
        <v>294.9318</v>
      </c>
      <c r="AC122" s="6">
        <v>0.00138681</v>
      </c>
      <c r="AD122" s="6">
        <v>243.86163</v>
      </c>
      <c r="AE122" s="6">
        <v>0.0014311</v>
      </c>
      <c r="AF122" s="6">
        <v>775</v>
      </c>
      <c r="AG122" s="6">
        <v>-0.00902895</v>
      </c>
      <c r="AH122" s="6">
        <v>-0.00840906</v>
      </c>
      <c r="AI122" s="6">
        <v>-0.00894874</v>
      </c>
      <c r="AJ122" s="6">
        <v>-0.0084571</v>
      </c>
      <c r="AK122" s="6">
        <v>-0.00866216</v>
      </c>
      <c r="AL122" s="6">
        <v>-0.00912624</v>
      </c>
      <c r="AM122" s="6">
        <v>-0.0093727</v>
      </c>
      <c r="AN122" s="6">
        <v>-6.4762184</v>
      </c>
      <c r="AO122" s="6">
        <v>-6.4515561</v>
      </c>
      <c r="AP122" s="6">
        <v>-6.4739881</v>
      </c>
      <c r="AQ122" s="6">
        <v>-6.4253629</v>
      </c>
      <c r="AR122" s="6">
        <v>-6.4020076</v>
      </c>
      <c r="AS122" s="6">
        <v>-6.4618417</v>
      </c>
      <c r="AT122" s="6">
        <v>-6.4506396</v>
      </c>
      <c r="AU122" s="6">
        <v>0.97344833</v>
      </c>
      <c r="AV122" s="6">
        <v>0.96974131</v>
      </c>
      <c r="AW122" s="6">
        <v>0.97311308</v>
      </c>
      <c r="AX122" s="6">
        <v>0.96580418</v>
      </c>
      <c r="AY122" s="6">
        <v>0.96229362</v>
      </c>
      <c r="AZ122" s="6">
        <v>0.97128734</v>
      </c>
      <c r="BA122" s="6">
        <v>0.96960354</v>
      </c>
      <c r="BB122" s="6">
        <v>0.02655167</v>
      </c>
      <c r="BC122" s="6">
        <v>0.03025869</v>
      </c>
      <c r="BD122" s="6">
        <v>0.02688692</v>
      </c>
      <c r="BE122" s="6">
        <v>0.03419582</v>
      </c>
      <c r="BF122" s="6">
        <v>0.03770638</v>
      </c>
      <c r="BG122" s="6">
        <v>0.02871266</v>
      </c>
      <c r="BH122" s="6">
        <v>0.03039646</v>
      </c>
      <c r="BI122" s="6">
        <v>0.21470859</v>
      </c>
      <c r="BJ122" s="6">
        <v>0.12366373</v>
      </c>
      <c r="BK122" s="6">
        <v>0.1409291</v>
      </c>
      <c r="BL122" s="6">
        <v>0.12522516</v>
      </c>
      <c r="BM122" s="6">
        <v>0.1592662</v>
      </c>
      <c r="BN122" s="6">
        <v>0.17561655</v>
      </c>
      <c r="BO122" s="6">
        <v>0.1337285</v>
      </c>
      <c r="BP122" s="6">
        <v>0.14157076</v>
      </c>
      <c r="BQ122" s="6">
        <v>0.03686543</v>
      </c>
      <c r="BR122" s="6">
        <v>0.0301679</v>
      </c>
      <c r="BS122" s="6">
        <v>0.03344869</v>
      </c>
      <c r="BT122" s="6">
        <v>0.0271531</v>
      </c>
      <c r="BU122" s="6">
        <v>0.03088764</v>
      </c>
      <c r="BV122" s="6">
        <v>0.05469682</v>
      </c>
      <c r="BW122" s="6">
        <v>0.04940668</v>
      </c>
      <c r="BX122" s="12">
        <v>7185.7</v>
      </c>
      <c r="BY122" s="13">
        <v>2399.23</v>
      </c>
      <c r="BZ122" s="12">
        <v>12311.32</v>
      </c>
      <c r="CA122" s="6">
        <f t="shared" si="10"/>
        <v>2.9950025633224</v>
      </c>
      <c r="CB122" s="6">
        <f t="shared" si="11"/>
        <v>0.583666089420143</v>
      </c>
      <c r="CC122" s="7">
        <v>156868071.7</v>
      </c>
      <c r="CD122" s="7">
        <f t="shared" si="6"/>
        <v>1.27417751873885</v>
      </c>
      <c r="CE122" s="8">
        <v>2243.8</v>
      </c>
      <c r="CF122" s="8">
        <v>11107.9</v>
      </c>
      <c r="CG122" s="8">
        <v>12430.2</v>
      </c>
      <c r="CH122" s="8">
        <v>57065</v>
      </c>
      <c r="CI122" s="14">
        <v>1</v>
      </c>
      <c r="CJ122" s="14">
        <v>0</v>
      </c>
      <c r="CK122" s="14">
        <f t="shared" si="7"/>
        <v>0</v>
      </c>
      <c r="CL122">
        <f t="shared" si="8"/>
        <v>1.47141701078949</v>
      </c>
      <c r="CM122">
        <f t="shared" si="9"/>
        <v>0.134047309908978</v>
      </c>
      <c r="CN122" s="15">
        <v>7185.7</v>
      </c>
      <c r="CO122" s="15">
        <v>8489.19</v>
      </c>
      <c r="CP122" s="15">
        <v>669.56</v>
      </c>
      <c r="CQ122" s="15">
        <v>970.25</v>
      </c>
      <c r="CR122" s="15">
        <v>174.35</v>
      </c>
      <c r="CS122" s="15">
        <v>28.35</v>
      </c>
      <c r="CT122" s="15">
        <v>341.79</v>
      </c>
      <c r="CU122" s="15">
        <v>32.52</v>
      </c>
      <c r="CV122" s="15">
        <v>31.67</v>
      </c>
      <c r="CW122" s="15">
        <v>805</v>
      </c>
    </row>
    <row r="123" spans="1:101">
      <c r="A123" s="6">
        <v>2021</v>
      </c>
      <c r="B123" s="6" t="s">
        <v>104</v>
      </c>
      <c r="C123" s="6">
        <v>0.25141102</v>
      </c>
      <c r="D123" s="6">
        <v>0.043045</v>
      </c>
      <c r="E123" s="6">
        <v>0.010895</v>
      </c>
      <c r="F123" s="6">
        <v>0.019925</v>
      </c>
      <c r="G123" s="6">
        <v>0.006408</v>
      </c>
      <c r="H123" s="6">
        <v>0.005817</v>
      </c>
      <c r="I123" s="6">
        <v>0.045198</v>
      </c>
      <c r="J123" s="6">
        <v>0.022253</v>
      </c>
      <c r="K123" s="6">
        <v>0.28607939</v>
      </c>
      <c r="L123" s="6">
        <v>0.21708303</v>
      </c>
      <c r="M123" s="6">
        <v>0.2633287</v>
      </c>
      <c r="N123" s="6">
        <v>0.16092873</v>
      </c>
      <c r="O123" s="6">
        <v>0.14278556</v>
      </c>
      <c r="P123" s="6">
        <v>0.41364329</v>
      </c>
      <c r="Q123" s="6">
        <v>0.32805341</v>
      </c>
      <c r="R123" s="6">
        <v>217.69486</v>
      </c>
      <c r="S123" s="6">
        <v>0.00131413</v>
      </c>
      <c r="T123" s="6">
        <v>169.97573</v>
      </c>
      <c r="U123" s="6">
        <v>0.00127714</v>
      </c>
      <c r="V123" s="6">
        <v>197.11803</v>
      </c>
      <c r="W123" s="6">
        <v>0.00133589</v>
      </c>
      <c r="X123" s="6">
        <v>134.47093</v>
      </c>
      <c r="Y123" s="6">
        <v>0.00119675</v>
      </c>
      <c r="Z123" s="6">
        <v>134.86767</v>
      </c>
      <c r="AA123" s="6">
        <v>0.00105871</v>
      </c>
      <c r="AB123" s="6">
        <v>294.9318</v>
      </c>
      <c r="AC123" s="6">
        <v>0.0014025</v>
      </c>
      <c r="AD123" s="6">
        <v>243.86163</v>
      </c>
      <c r="AE123" s="6">
        <v>0.00134524</v>
      </c>
      <c r="AF123" s="6">
        <v>775</v>
      </c>
      <c r="AG123" s="6">
        <v>-0.0087187</v>
      </c>
      <c r="AH123" s="6">
        <v>-0.00850976</v>
      </c>
      <c r="AI123" s="6">
        <v>-0.00884115</v>
      </c>
      <c r="AJ123" s="6">
        <v>-0.00805194</v>
      </c>
      <c r="AK123" s="6">
        <v>-0.0072529</v>
      </c>
      <c r="AL123" s="6">
        <v>-0.00921375</v>
      </c>
      <c r="AM123" s="6">
        <v>-0.00889365</v>
      </c>
      <c r="AN123" s="6">
        <v>-6.4762184</v>
      </c>
      <c r="AO123" s="6">
        <v>-6.4515561</v>
      </c>
      <c r="AP123" s="6">
        <v>-6.4739881</v>
      </c>
      <c r="AQ123" s="6">
        <v>-6.4253629</v>
      </c>
      <c r="AR123" s="6">
        <v>-6.4020076</v>
      </c>
      <c r="AS123" s="6">
        <v>-6.4618417</v>
      </c>
      <c r="AT123" s="6">
        <v>-6.4506396</v>
      </c>
      <c r="AU123" s="6">
        <v>0.97344833</v>
      </c>
      <c r="AV123" s="6">
        <v>0.96974131</v>
      </c>
      <c r="AW123" s="6">
        <v>0.97311308</v>
      </c>
      <c r="AX123" s="6">
        <v>0.96580418</v>
      </c>
      <c r="AY123" s="6">
        <v>0.96229362</v>
      </c>
      <c r="AZ123" s="6">
        <v>0.97128734</v>
      </c>
      <c r="BA123" s="6">
        <v>0.96960354</v>
      </c>
      <c r="BB123" s="6">
        <v>0.02655167</v>
      </c>
      <c r="BC123" s="6">
        <v>0.03025869</v>
      </c>
      <c r="BD123" s="6">
        <v>0.02688692</v>
      </c>
      <c r="BE123" s="6">
        <v>0.03419582</v>
      </c>
      <c r="BF123" s="6">
        <v>0.03770638</v>
      </c>
      <c r="BG123" s="6">
        <v>0.02871266</v>
      </c>
      <c r="BH123" s="6">
        <v>0.03039646</v>
      </c>
      <c r="BI123" s="6">
        <v>0.21470859</v>
      </c>
      <c r="BJ123" s="6">
        <v>0.12366373</v>
      </c>
      <c r="BK123" s="6">
        <v>0.1409291</v>
      </c>
      <c r="BL123" s="6">
        <v>0.12522516</v>
      </c>
      <c r="BM123" s="6">
        <v>0.1592662</v>
      </c>
      <c r="BN123" s="6">
        <v>0.17561655</v>
      </c>
      <c r="BO123" s="6">
        <v>0.1337285</v>
      </c>
      <c r="BP123" s="6">
        <v>0.14157076</v>
      </c>
      <c r="BQ123" s="6">
        <v>0.03537765</v>
      </c>
      <c r="BR123" s="6">
        <v>0.03059332</v>
      </c>
      <c r="BS123" s="6">
        <v>0.03297538</v>
      </c>
      <c r="BT123" s="6">
        <v>0.02563051</v>
      </c>
      <c r="BU123" s="6">
        <v>0.02507551</v>
      </c>
      <c r="BV123" s="6">
        <v>0.05531589</v>
      </c>
      <c r="BW123" s="6">
        <v>0.04644277</v>
      </c>
      <c r="BX123" s="12">
        <v>7287.6</v>
      </c>
      <c r="BY123" s="13">
        <v>2375</v>
      </c>
      <c r="BZ123" s="12">
        <v>13235.5</v>
      </c>
      <c r="CA123" s="6">
        <f t="shared" si="10"/>
        <v>3.06846315789474</v>
      </c>
      <c r="CB123" s="6">
        <f t="shared" si="11"/>
        <v>0.550610101620642</v>
      </c>
      <c r="CC123" s="7">
        <v>161511466.7</v>
      </c>
      <c r="CD123" s="7">
        <f t="shared" si="6"/>
        <v>1.22028987722413</v>
      </c>
      <c r="CE123" s="8">
        <v>2334.1</v>
      </c>
      <c r="CF123" s="8">
        <v>13230.7</v>
      </c>
      <c r="CG123" s="8">
        <v>14263</v>
      </c>
      <c r="CH123" s="8">
        <v>66020</v>
      </c>
      <c r="CI123" s="14">
        <v>1</v>
      </c>
      <c r="CJ123" s="14">
        <v>0</v>
      </c>
      <c r="CK123" s="14">
        <f t="shared" si="7"/>
        <v>0</v>
      </c>
      <c r="CL123">
        <f t="shared" si="8"/>
        <v>1.36781889095748</v>
      </c>
      <c r="CM123">
        <f t="shared" si="9"/>
        <v>0.107857125463501</v>
      </c>
      <c r="CN123" s="15">
        <v>7287.6</v>
      </c>
      <c r="CO123" s="15">
        <v>8282.83</v>
      </c>
      <c r="CP123" s="15">
        <v>674.12</v>
      </c>
      <c r="CQ123" s="15">
        <v>828.91</v>
      </c>
      <c r="CR123" s="15">
        <v>163.61</v>
      </c>
      <c r="CS123" s="15">
        <v>32.73</v>
      </c>
      <c r="CT123" s="15">
        <v>398.38</v>
      </c>
      <c r="CU123" s="15">
        <v>25.76</v>
      </c>
      <c r="CV123" s="15">
        <v>35.42</v>
      </c>
      <c r="CW123" s="15">
        <v>843</v>
      </c>
    </row>
    <row r="124" spans="1:101">
      <c r="A124" s="6">
        <v>2022</v>
      </c>
      <c r="B124" s="6" t="s">
        <v>104</v>
      </c>
      <c r="C124" s="6">
        <v>0.2893591</v>
      </c>
      <c r="D124" s="6">
        <v>0.04761</v>
      </c>
      <c r="E124" s="6">
        <v>0.011165</v>
      </c>
      <c r="F124" s="6">
        <v>0.02125</v>
      </c>
      <c r="G124" s="6">
        <v>0.007274</v>
      </c>
      <c r="H124" s="6">
        <v>0.007921</v>
      </c>
      <c r="I124" s="6">
        <v>0.047499</v>
      </c>
      <c r="J124" s="6">
        <v>0.026753</v>
      </c>
      <c r="K124" s="6">
        <v>0.32189025</v>
      </c>
      <c r="L124" s="6">
        <v>0.22347982</v>
      </c>
      <c r="M124" s="6">
        <v>0.2836959</v>
      </c>
      <c r="N124" s="6">
        <v>0.18652466</v>
      </c>
      <c r="O124" s="6">
        <v>0.20653775</v>
      </c>
      <c r="P124" s="6">
        <v>0.43927417</v>
      </c>
      <c r="Q124" s="6">
        <v>0.40834902</v>
      </c>
      <c r="R124" s="6">
        <v>217.69486</v>
      </c>
      <c r="S124" s="6">
        <v>0.00147863</v>
      </c>
      <c r="T124" s="6">
        <v>169.97573</v>
      </c>
      <c r="U124" s="6">
        <v>0.00131477</v>
      </c>
      <c r="V124" s="6">
        <v>197.11803</v>
      </c>
      <c r="W124" s="6">
        <v>0.00143922</v>
      </c>
      <c r="X124" s="6">
        <v>134.47093</v>
      </c>
      <c r="Y124" s="6">
        <v>0.0013871</v>
      </c>
      <c r="Z124" s="6">
        <v>134.86767</v>
      </c>
      <c r="AA124" s="6">
        <v>0.00153141</v>
      </c>
      <c r="AB124" s="6">
        <v>294.9318</v>
      </c>
      <c r="AC124" s="6">
        <v>0.00148941</v>
      </c>
      <c r="AD124" s="6">
        <v>243.86163</v>
      </c>
      <c r="AE124" s="6">
        <v>0.00167451</v>
      </c>
      <c r="AF124" s="6">
        <v>775</v>
      </c>
      <c r="AG124" s="6">
        <v>-0.0096357</v>
      </c>
      <c r="AH124" s="6">
        <v>-0.00872233</v>
      </c>
      <c r="AI124" s="6">
        <v>-0.00941775</v>
      </c>
      <c r="AJ124" s="6">
        <v>-0.00912787</v>
      </c>
      <c r="AK124" s="6">
        <v>-0.00992594</v>
      </c>
      <c r="AL124" s="6">
        <v>-0.00969512</v>
      </c>
      <c r="AM124" s="6">
        <v>-0.01070387</v>
      </c>
      <c r="AN124" s="6">
        <v>-6.4762184</v>
      </c>
      <c r="AO124" s="6">
        <v>-6.4515561</v>
      </c>
      <c r="AP124" s="6">
        <v>-6.4739881</v>
      </c>
      <c r="AQ124" s="6">
        <v>-6.4253629</v>
      </c>
      <c r="AR124" s="6">
        <v>-6.4020076</v>
      </c>
      <c r="AS124" s="6">
        <v>-6.4618417</v>
      </c>
      <c r="AT124" s="6">
        <v>-6.4506396</v>
      </c>
      <c r="AU124" s="6">
        <v>0.97344833</v>
      </c>
      <c r="AV124" s="6">
        <v>0.96974131</v>
      </c>
      <c r="AW124" s="6">
        <v>0.97311308</v>
      </c>
      <c r="AX124" s="6">
        <v>0.96580418</v>
      </c>
      <c r="AY124" s="6">
        <v>0.96229362</v>
      </c>
      <c r="AZ124" s="6">
        <v>0.97128734</v>
      </c>
      <c r="BA124" s="6">
        <v>0.96960354</v>
      </c>
      <c r="BB124" s="6">
        <v>0.02655167</v>
      </c>
      <c r="BC124" s="6">
        <v>0.03025869</v>
      </c>
      <c r="BD124" s="6">
        <v>0.02688692</v>
      </c>
      <c r="BE124" s="6">
        <v>0.03419582</v>
      </c>
      <c r="BF124" s="6">
        <v>0.03770638</v>
      </c>
      <c r="BG124" s="6">
        <v>0.02871266</v>
      </c>
      <c r="BH124" s="6">
        <v>0.03039646</v>
      </c>
      <c r="BI124" s="6">
        <v>0.21470859</v>
      </c>
      <c r="BJ124" s="6">
        <v>0.12366373</v>
      </c>
      <c r="BK124" s="6">
        <v>0.1409291</v>
      </c>
      <c r="BL124" s="6">
        <v>0.12522516</v>
      </c>
      <c r="BM124" s="6">
        <v>0.1592662</v>
      </c>
      <c r="BN124" s="6">
        <v>0.17561655</v>
      </c>
      <c r="BO124" s="6">
        <v>0.1337285</v>
      </c>
      <c r="BP124" s="6">
        <v>0.14157076</v>
      </c>
      <c r="BQ124" s="6">
        <v>0.03980615</v>
      </c>
      <c r="BR124" s="6">
        <v>0.03149481</v>
      </c>
      <c r="BS124" s="6">
        <v>0.03552586</v>
      </c>
      <c r="BT124" s="6">
        <v>0.02970707</v>
      </c>
      <c r="BU124" s="6">
        <v>0.03627145</v>
      </c>
      <c r="BV124" s="6">
        <v>0.05874347</v>
      </c>
      <c r="BW124" s="6">
        <v>0.05781028</v>
      </c>
      <c r="BX124" s="12">
        <v>7027.8</v>
      </c>
      <c r="BY124" s="13">
        <v>2348</v>
      </c>
      <c r="BZ124" s="12">
        <v>13070.2</v>
      </c>
      <c r="CA124" s="6">
        <f t="shared" si="10"/>
        <v>2.99310051107325</v>
      </c>
      <c r="CB124" s="6">
        <f t="shared" si="11"/>
        <v>0.537696439228168</v>
      </c>
      <c r="CC124" s="7">
        <v>159542000.5</v>
      </c>
      <c r="CD124" s="7">
        <f t="shared" si="6"/>
        <v>1.22065462272957</v>
      </c>
      <c r="CE124" s="8">
        <v>2466.5</v>
      </c>
      <c r="CF124" s="8">
        <v>13483</v>
      </c>
      <c r="CG124" s="8">
        <v>15264.4</v>
      </c>
      <c r="CH124" s="8">
        <v>69019</v>
      </c>
      <c r="CI124" s="14">
        <v>1</v>
      </c>
      <c r="CJ124" s="14">
        <v>0</v>
      </c>
      <c r="CK124" s="14">
        <f t="shared" si="7"/>
        <v>0</v>
      </c>
      <c r="CL124">
        <f t="shared" si="8"/>
        <v>1.27047633725244</v>
      </c>
      <c r="CM124">
        <f t="shared" si="9"/>
        <v>0.0392149881599628</v>
      </c>
      <c r="CN124" s="15">
        <v>7392.9500087525</v>
      </c>
      <c r="CO124" s="15">
        <v>7809.19</v>
      </c>
      <c r="CP124" s="15">
        <v>628.67</v>
      </c>
      <c r="CQ124" s="15">
        <v>953.76</v>
      </c>
      <c r="CR124" s="15">
        <v>88.47</v>
      </c>
      <c r="CS124" s="15">
        <v>31.73</v>
      </c>
      <c r="CT124" s="15">
        <v>242.96</v>
      </c>
      <c r="CU124" s="15">
        <v>22.27</v>
      </c>
      <c r="CV124" s="15">
        <v>37.14</v>
      </c>
      <c r="CW124" s="15">
        <v>887.14</v>
      </c>
    </row>
    <row r="125" spans="1:101">
      <c r="A125" s="6">
        <v>2023</v>
      </c>
      <c r="B125" s="6" t="s">
        <v>104</v>
      </c>
      <c r="C125" s="6">
        <v>0.49765176</v>
      </c>
      <c r="D125" s="6">
        <v>0.060579</v>
      </c>
      <c r="E125" s="6">
        <v>0.019839</v>
      </c>
      <c r="F125" s="6">
        <v>0.030979</v>
      </c>
      <c r="G125" s="6">
        <v>0.016543</v>
      </c>
      <c r="H125" s="6">
        <v>0.018427</v>
      </c>
      <c r="I125" s="6">
        <v>0.058204</v>
      </c>
      <c r="J125" s="6">
        <v>0.039656</v>
      </c>
      <c r="K125" s="6">
        <v>0.42361456</v>
      </c>
      <c r="L125" s="6">
        <v>0.42854534</v>
      </c>
      <c r="M125" s="6">
        <v>0.43321357</v>
      </c>
      <c r="N125" s="6">
        <v>0.4605074</v>
      </c>
      <c r="O125" s="6">
        <v>0.52493924</v>
      </c>
      <c r="P125" s="6">
        <v>0.5584998</v>
      </c>
      <c r="Q125" s="6">
        <v>0.63857561</v>
      </c>
      <c r="R125" s="6">
        <v>217.69486</v>
      </c>
      <c r="S125" s="6">
        <v>0.00194591</v>
      </c>
      <c r="T125" s="6">
        <v>169.97573</v>
      </c>
      <c r="U125" s="6">
        <v>0.00252121</v>
      </c>
      <c r="V125" s="6">
        <v>197.11803</v>
      </c>
      <c r="W125" s="6">
        <v>0.00219774</v>
      </c>
      <c r="X125" s="6">
        <v>134.47093</v>
      </c>
      <c r="Y125" s="6">
        <v>0.00342459</v>
      </c>
      <c r="Z125" s="6">
        <v>134.86767</v>
      </c>
      <c r="AA125" s="6">
        <v>0.00389225</v>
      </c>
      <c r="AB125" s="6">
        <v>294.9318</v>
      </c>
      <c r="AC125" s="6">
        <v>0.00189366</v>
      </c>
      <c r="AD125" s="6">
        <v>243.86163</v>
      </c>
      <c r="AE125" s="6">
        <v>0.0026186</v>
      </c>
      <c r="AF125" s="6">
        <v>775</v>
      </c>
      <c r="AG125" s="6">
        <v>-0.01214642</v>
      </c>
      <c r="AH125" s="6">
        <v>-0.01508446</v>
      </c>
      <c r="AI125" s="6">
        <v>-0.01345087</v>
      </c>
      <c r="AJ125" s="6">
        <v>-0.01944061</v>
      </c>
      <c r="AK125" s="6">
        <v>-0.02159721</v>
      </c>
      <c r="AL125" s="6">
        <v>-0.0118718</v>
      </c>
      <c r="AM125" s="6">
        <v>-0.01556787</v>
      </c>
      <c r="AN125" s="6">
        <v>-6.4762184</v>
      </c>
      <c r="AO125" s="6">
        <v>-6.4515561</v>
      </c>
      <c r="AP125" s="6">
        <v>-6.4739881</v>
      </c>
      <c r="AQ125" s="6">
        <v>-6.4253629</v>
      </c>
      <c r="AR125" s="6">
        <v>-6.4020076</v>
      </c>
      <c r="AS125" s="6">
        <v>-6.4618417</v>
      </c>
      <c r="AT125" s="6">
        <v>-6.4506396</v>
      </c>
      <c r="AU125" s="6">
        <v>0.97344833</v>
      </c>
      <c r="AV125" s="6">
        <v>0.96974131</v>
      </c>
      <c r="AW125" s="6">
        <v>0.97311308</v>
      </c>
      <c r="AX125" s="6">
        <v>0.96580418</v>
      </c>
      <c r="AY125" s="6">
        <v>0.96229362</v>
      </c>
      <c r="AZ125" s="6">
        <v>0.97128734</v>
      </c>
      <c r="BA125" s="6">
        <v>0.96960354</v>
      </c>
      <c r="BB125" s="6">
        <v>0.02655167</v>
      </c>
      <c r="BC125" s="6">
        <v>0.03025869</v>
      </c>
      <c r="BD125" s="6">
        <v>0.02688692</v>
      </c>
      <c r="BE125" s="6">
        <v>0.03419582</v>
      </c>
      <c r="BF125" s="6">
        <v>0.03770638</v>
      </c>
      <c r="BG125" s="6">
        <v>0.02871266</v>
      </c>
      <c r="BH125" s="6">
        <v>0.03039646</v>
      </c>
      <c r="BI125" s="6">
        <v>0.21470859</v>
      </c>
      <c r="BJ125" s="6">
        <v>0.12366373</v>
      </c>
      <c r="BK125" s="6">
        <v>0.1409291</v>
      </c>
      <c r="BL125" s="6">
        <v>0.12522516</v>
      </c>
      <c r="BM125" s="6">
        <v>0.1592662</v>
      </c>
      <c r="BN125" s="6">
        <v>0.17561655</v>
      </c>
      <c r="BO125" s="6">
        <v>0.1337285</v>
      </c>
      <c r="BP125" s="6">
        <v>0.14157076</v>
      </c>
      <c r="BQ125" s="6">
        <v>0.05238576</v>
      </c>
      <c r="BR125" s="6">
        <v>0.06039451</v>
      </c>
      <c r="BS125" s="6">
        <v>0.05424924</v>
      </c>
      <c r="BT125" s="6">
        <v>0.07334326</v>
      </c>
      <c r="BU125" s="6">
        <v>0.09218802</v>
      </c>
      <c r="BV125" s="6">
        <v>0.07468734</v>
      </c>
      <c r="BW125" s="6">
        <v>0.09040364</v>
      </c>
      <c r="BX125" s="12">
        <v>7434</v>
      </c>
      <c r="BY125" s="13">
        <v>2339</v>
      </c>
      <c r="BZ125" s="12">
        <v>13531.2</v>
      </c>
      <c r="CA125" s="6">
        <f t="shared" si="10"/>
        <v>3.17828131680205</v>
      </c>
      <c r="CB125" s="6">
        <f t="shared" si="11"/>
        <v>0.549396949272792</v>
      </c>
      <c r="CC125" s="7">
        <v>166593866.5</v>
      </c>
      <c r="CD125" s="7">
        <f t="shared" si="6"/>
        <v>1.23118323947617</v>
      </c>
      <c r="CE125" s="8">
        <v>2450.4</v>
      </c>
      <c r="CF125" s="8">
        <v>13706.5</v>
      </c>
      <c r="CG125" s="8">
        <v>16043.2</v>
      </c>
      <c r="CH125" s="8">
        <v>71216</v>
      </c>
      <c r="CI125" s="14">
        <v>1</v>
      </c>
      <c r="CJ125" s="14">
        <v>0</v>
      </c>
      <c r="CK125" s="14">
        <f t="shared" si="7"/>
        <v>0</v>
      </c>
      <c r="CL125">
        <f t="shared" si="8"/>
        <v>1.2756783895882</v>
      </c>
      <c r="CM125">
        <f t="shared" si="9"/>
        <v>0.0348795985533549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</row>
    <row r="126" spans="1:101">
      <c r="A126" s="6">
        <v>2024</v>
      </c>
      <c r="B126" s="6" t="s">
        <v>104</v>
      </c>
      <c r="C126" s="6">
        <v>0.60159604</v>
      </c>
      <c r="D126" s="6">
        <v>0.066185</v>
      </c>
      <c r="E126" s="6">
        <v>0.023316</v>
      </c>
      <c r="F126" s="6">
        <v>0.035038</v>
      </c>
      <c r="G126" s="6">
        <v>0.021755</v>
      </c>
      <c r="H126" s="6">
        <v>0.02452</v>
      </c>
      <c r="I126" s="6">
        <v>0.061697</v>
      </c>
      <c r="J126" s="6">
        <v>0.046363</v>
      </c>
      <c r="K126" s="6">
        <v>0.46759201</v>
      </c>
      <c r="L126" s="6">
        <v>0.51075826</v>
      </c>
      <c r="M126" s="6">
        <v>0.49560491</v>
      </c>
      <c r="N126" s="6">
        <v>0.61457663</v>
      </c>
      <c r="O126" s="6">
        <v>0.70956227</v>
      </c>
      <c r="P126" s="6">
        <v>0.59740946</v>
      </c>
      <c r="Q126" s="6">
        <v>0.75825069</v>
      </c>
      <c r="R126" s="6">
        <v>217.69486</v>
      </c>
      <c r="S126" s="6">
        <v>0.00214792</v>
      </c>
      <c r="T126" s="6">
        <v>169.97573</v>
      </c>
      <c r="U126" s="6">
        <v>0.00300489</v>
      </c>
      <c r="V126" s="6">
        <v>197.11803</v>
      </c>
      <c r="W126" s="6">
        <v>0.00251425</v>
      </c>
      <c r="X126" s="6">
        <v>134.47093</v>
      </c>
      <c r="Y126" s="6">
        <v>0.00457033</v>
      </c>
      <c r="Z126" s="6">
        <v>134.86767</v>
      </c>
      <c r="AA126" s="6">
        <v>0.00526117</v>
      </c>
      <c r="AB126" s="6">
        <v>294.9318</v>
      </c>
      <c r="AC126" s="6">
        <v>0.00202559</v>
      </c>
      <c r="AD126" s="6">
        <v>243.86163</v>
      </c>
      <c r="AE126" s="6">
        <v>0.00310935</v>
      </c>
      <c r="AF126" s="6">
        <v>775</v>
      </c>
      <c r="AG126" s="6">
        <v>-0.01319524</v>
      </c>
      <c r="AH126" s="6">
        <v>-0.01745094</v>
      </c>
      <c r="AI126" s="6">
        <v>-0.01504977</v>
      </c>
      <c r="AJ126" s="6">
        <v>-0.02462572</v>
      </c>
      <c r="AK126" s="6">
        <v>-0.02760749</v>
      </c>
      <c r="AL126" s="6">
        <v>-0.01256247</v>
      </c>
      <c r="AM126" s="6">
        <v>-0.01795133</v>
      </c>
      <c r="AN126" s="6">
        <v>-6.4762184</v>
      </c>
      <c r="AO126" s="6">
        <v>-6.4515561</v>
      </c>
      <c r="AP126" s="6">
        <v>-6.4739881</v>
      </c>
      <c r="AQ126" s="6">
        <v>-6.4253629</v>
      </c>
      <c r="AR126" s="6">
        <v>-6.4020076</v>
      </c>
      <c r="AS126" s="6">
        <v>-6.4618417</v>
      </c>
      <c r="AT126" s="6">
        <v>-6.4506396</v>
      </c>
      <c r="AU126" s="6">
        <v>0.97344833</v>
      </c>
      <c r="AV126" s="6">
        <v>0.96974131</v>
      </c>
      <c r="AW126" s="6">
        <v>0.97311308</v>
      </c>
      <c r="AX126" s="6">
        <v>0.96580418</v>
      </c>
      <c r="AY126" s="6">
        <v>0.96229362</v>
      </c>
      <c r="AZ126" s="6">
        <v>0.97128734</v>
      </c>
      <c r="BA126" s="6">
        <v>0.96960354</v>
      </c>
      <c r="BB126" s="6">
        <v>0.02655167</v>
      </c>
      <c r="BC126" s="6">
        <v>0.03025869</v>
      </c>
      <c r="BD126" s="6">
        <v>0.02688692</v>
      </c>
      <c r="BE126" s="6">
        <v>0.03419582</v>
      </c>
      <c r="BF126" s="6">
        <v>0.03770638</v>
      </c>
      <c r="BG126" s="6">
        <v>0.02871266</v>
      </c>
      <c r="BH126" s="6">
        <v>0.03039646</v>
      </c>
      <c r="BI126" s="6">
        <v>0.21470859</v>
      </c>
      <c r="BJ126" s="6">
        <v>0.12366373</v>
      </c>
      <c r="BK126" s="6">
        <v>0.1409291</v>
      </c>
      <c r="BL126" s="6">
        <v>0.12522516</v>
      </c>
      <c r="BM126" s="6">
        <v>0.1592662</v>
      </c>
      <c r="BN126" s="6">
        <v>0.17561655</v>
      </c>
      <c r="BO126" s="6">
        <v>0.1337285</v>
      </c>
      <c r="BP126" s="6">
        <v>0.14157076</v>
      </c>
      <c r="BQ126" s="6">
        <v>0.05782417</v>
      </c>
      <c r="BR126" s="6">
        <v>0.0719807</v>
      </c>
      <c r="BS126" s="6">
        <v>0.0620622</v>
      </c>
      <c r="BT126" s="6">
        <v>0.09788129</v>
      </c>
      <c r="BU126" s="6">
        <v>0.12461088</v>
      </c>
      <c r="BV126" s="6">
        <v>0.07989067</v>
      </c>
      <c r="BW126" s="6">
        <v>0.10734613</v>
      </c>
      <c r="BX126" s="12">
        <v>7840.2</v>
      </c>
      <c r="BY126" s="13">
        <v>2317</v>
      </c>
      <c r="BZ126" s="12">
        <v>14361.2</v>
      </c>
      <c r="CA126" s="6">
        <f t="shared" si="10"/>
        <v>3.38377211911955</v>
      </c>
      <c r="CB126" s="6">
        <f t="shared" si="11"/>
        <v>0.545929309528452</v>
      </c>
      <c r="CC126" s="7">
        <v>164525808.9</v>
      </c>
      <c r="CD126" s="7">
        <f t="shared" si="6"/>
        <v>1.14562716834248</v>
      </c>
      <c r="CE126" s="8">
        <v>2605.1</v>
      </c>
      <c r="CF126" s="8">
        <v>13688.5</v>
      </c>
      <c r="CG126" s="8">
        <v>17908.8</v>
      </c>
      <c r="CH126" s="8">
        <v>75862</v>
      </c>
      <c r="CI126" s="14">
        <v>1</v>
      </c>
      <c r="CJ126" s="14">
        <v>0</v>
      </c>
      <c r="CK126" s="14">
        <f t="shared" si="7"/>
        <v>0</v>
      </c>
      <c r="CL126">
        <f t="shared" si="8"/>
        <v>1.21200651315194</v>
      </c>
      <c r="CM126">
        <f t="shared" si="9"/>
        <v>0.0547681419935891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</row>
    <row r="127" spans="1:101">
      <c r="A127" s="6">
        <v>2000</v>
      </c>
      <c r="B127" s="6" t="s">
        <v>105</v>
      </c>
      <c r="C127" s="6">
        <v>0.09768237</v>
      </c>
      <c r="D127" s="6">
        <v>0.021448</v>
      </c>
      <c r="E127" s="6">
        <v>0.005426</v>
      </c>
      <c r="F127" s="6">
        <v>0.009832</v>
      </c>
      <c r="G127" s="6">
        <v>0.003166</v>
      </c>
      <c r="H127" s="6">
        <v>0.003023</v>
      </c>
      <c r="I127" s="6">
        <v>0.021272</v>
      </c>
      <c r="J127" s="6">
        <v>0.010629</v>
      </c>
      <c r="K127" s="6">
        <v>0.11666861</v>
      </c>
      <c r="L127" s="6">
        <v>0.08779969</v>
      </c>
      <c r="M127" s="6">
        <v>0.1082042</v>
      </c>
      <c r="N127" s="6">
        <v>0.06510732</v>
      </c>
      <c r="O127" s="6">
        <v>0.05809865</v>
      </c>
      <c r="P127" s="6">
        <v>0.14714553</v>
      </c>
      <c r="Q127" s="6">
        <v>0.12065516</v>
      </c>
      <c r="R127" s="6">
        <v>217.69486</v>
      </c>
      <c r="S127" s="6">
        <v>0.00053593</v>
      </c>
      <c r="T127" s="6">
        <v>169.97573</v>
      </c>
      <c r="U127" s="6">
        <v>0.00051654</v>
      </c>
      <c r="V127" s="6">
        <v>197.11803</v>
      </c>
      <c r="W127" s="6">
        <v>0.00054893</v>
      </c>
      <c r="X127" s="6">
        <v>134.47093</v>
      </c>
      <c r="Y127" s="6">
        <v>0.00048417</v>
      </c>
      <c r="Z127" s="6">
        <v>134.86767</v>
      </c>
      <c r="AA127" s="6">
        <v>0.00043078</v>
      </c>
      <c r="AB127" s="6">
        <v>294.9318</v>
      </c>
      <c r="AC127" s="6">
        <v>0.00049891</v>
      </c>
      <c r="AD127" s="6">
        <v>243.86163</v>
      </c>
      <c r="AE127" s="6">
        <v>0.00049477</v>
      </c>
      <c r="AF127" s="6">
        <v>775</v>
      </c>
      <c r="AG127" s="6">
        <v>-0.00403634</v>
      </c>
      <c r="AH127" s="6">
        <v>-0.00390938</v>
      </c>
      <c r="AI127" s="6">
        <v>-0.00412112</v>
      </c>
      <c r="AJ127" s="6">
        <v>-0.00369573</v>
      </c>
      <c r="AK127" s="6">
        <v>-0.00333853</v>
      </c>
      <c r="AL127" s="6">
        <v>-0.00379328</v>
      </c>
      <c r="AM127" s="6">
        <v>-0.00376589</v>
      </c>
      <c r="AN127" s="6">
        <v>-6.4762184</v>
      </c>
      <c r="AO127" s="6">
        <v>-6.4515561</v>
      </c>
      <c r="AP127" s="6">
        <v>-6.4739881</v>
      </c>
      <c r="AQ127" s="6">
        <v>-6.4253629</v>
      </c>
      <c r="AR127" s="6">
        <v>-6.4020076</v>
      </c>
      <c r="AS127" s="6">
        <v>-6.4618417</v>
      </c>
      <c r="AT127" s="6">
        <v>-6.4506396</v>
      </c>
      <c r="AU127" s="6">
        <v>0.97344833</v>
      </c>
      <c r="AV127" s="6">
        <v>0.96974131</v>
      </c>
      <c r="AW127" s="6">
        <v>0.97311308</v>
      </c>
      <c r="AX127" s="6">
        <v>0.96580418</v>
      </c>
      <c r="AY127" s="6">
        <v>0.96229362</v>
      </c>
      <c r="AZ127" s="6">
        <v>0.97128734</v>
      </c>
      <c r="BA127" s="6">
        <v>0.96960354</v>
      </c>
      <c r="BB127" s="6">
        <v>0.02655167</v>
      </c>
      <c r="BC127" s="6">
        <v>0.03025869</v>
      </c>
      <c r="BD127" s="6">
        <v>0.02688692</v>
      </c>
      <c r="BE127" s="6">
        <v>0.03419582</v>
      </c>
      <c r="BF127" s="6">
        <v>0.03770638</v>
      </c>
      <c r="BG127" s="6">
        <v>0.02871266</v>
      </c>
      <c r="BH127" s="6">
        <v>0.03039646</v>
      </c>
      <c r="BI127" s="6">
        <v>0.21470859</v>
      </c>
      <c r="BJ127" s="6">
        <v>0.12366373</v>
      </c>
      <c r="BK127" s="6">
        <v>0.1409291</v>
      </c>
      <c r="BL127" s="6">
        <v>0.12522516</v>
      </c>
      <c r="BM127" s="6">
        <v>0.1592662</v>
      </c>
      <c r="BN127" s="6">
        <v>0.17561655</v>
      </c>
      <c r="BO127" s="6">
        <v>0.1337285</v>
      </c>
      <c r="BP127" s="6">
        <v>0.14157076</v>
      </c>
      <c r="BQ127" s="6">
        <v>0.01442768</v>
      </c>
      <c r="BR127" s="6">
        <v>0.01237353</v>
      </c>
      <c r="BS127" s="6">
        <v>0.01354989</v>
      </c>
      <c r="BT127" s="6">
        <v>0.0103694</v>
      </c>
      <c r="BU127" s="6">
        <v>0.01020308</v>
      </c>
      <c r="BV127" s="6">
        <v>0.01967755</v>
      </c>
      <c r="BW127" s="6">
        <v>0.01708124</v>
      </c>
      <c r="BX127" s="12">
        <v>6518</v>
      </c>
      <c r="BY127" s="13">
        <v>8329</v>
      </c>
      <c r="BZ127" s="12">
        <v>4010.25</v>
      </c>
      <c r="CA127" s="6">
        <f t="shared" si="10"/>
        <v>0.782566934806099</v>
      </c>
      <c r="CB127" s="6">
        <f t="shared" si="11"/>
        <v>1.62533507886042</v>
      </c>
      <c r="CC127" s="7">
        <v>107805404.1</v>
      </c>
      <c r="CD127" s="7">
        <f t="shared" si="6"/>
        <v>2.68824647091827</v>
      </c>
      <c r="CE127" s="8">
        <v>442.3</v>
      </c>
      <c r="CF127" s="8">
        <v>836.2</v>
      </c>
      <c r="CG127" s="8">
        <v>751.6</v>
      </c>
      <c r="CH127" s="8">
        <v>4814</v>
      </c>
      <c r="CI127" s="14">
        <v>0</v>
      </c>
      <c r="CJ127" s="14">
        <v>0</v>
      </c>
      <c r="CK127" s="14">
        <f t="shared" si="7"/>
        <v>0</v>
      </c>
      <c r="CL127">
        <f t="shared" si="8"/>
        <v>4.53658228674969</v>
      </c>
      <c r="CM127">
        <f t="shared" si="9"/>
        <v>0.407429139162753</v>
      </c>
      <c r="CN127" s="15">
        <v>6517.82</v>
      </c>
      <c r="CO127" s="15">
        <v>4861.98</v>
      </c>
      <c r="CP127" s="15">
        <v>447.25</v>
      </c>
      <c r="CQ127" s="15">
        <v>38.89</v>
      </c>
      <c r="CR127" s="15">
        <v>143.65</v>
      </c>
      <c r="CS127" s="15">
        <v>36.04</v>
      </c>
      <c r="CT127" s="15">
        <v>161.61</v>
      </c>
      <c r="CU127" s="15">
        <v>13.32</v>
      </c>
      <c r="CV127" s="15">
        <v>58.67</v>
      </c>
      <c r="CW127" s="15">
        <v>521.23</v>
      </c>
    </row>
    <row r="128" spans="1:101">
      <c r="A128" s="6">
        <v>2001</v>
      </c>
      <c r="B128" s="6" t="s">
        <v>105</v>
      </c>
      <c r="C128" s="6">
        <v>0.10627641</v>
      </c>
      <c r="D128" s="6">
        <v>0.021831</v>
      </c>
      <c r="E128" s="6">
        <v>0.005456</v>
      </c>
      <c r="F128" s="6">
        <v>0.009959</v>
      </c>
      <c r="G128" s="6">
        <v>0.003462</v>
      </c>
      <c r="H128" s="6">
        <v>0.002954</v>
      </c>
      <c r="I128" s="6">
        <v>0.023833</v>
      </c>
      <c r="J128" s="6">
        <v>0.011831</v>
      </c>
      <c r="K128" s="6">
        <v>0.11967785</v>
      </c>
      <c r="L128" s="6">
        <v>0.08850726</v>
      </c>
      <c r="M128" s="6">
        <v>0.11014313</v>
      </c>
      <c r="N128" s="6">
        <v>0.07386195</v>
      </c>
      <c r="O128" s="6">
        <v>0.05601912</v>
      </c>
      <c r="P128" s="6">
        <v>0.17567132</v>
      </c>
      <c r="Q128" s="6">
        <v>0.14209715</v>
      </c>
      <c r="R128" s="6">
        <v>217.69486</v>
      </c>
      <c r="S128" s="6">
        <v>0.00054975</v>
      </c>
      <c r="T128" s="6">
        <v>169.97573</v>
      </c>
      <c r="U128" s="6">
        <v>0.00052071</v>
      </c>
      <c r="V128" s="6">
        <v>197.11803</v>
      </c>
      <c r="W128" s="6">
        <v>0.00055877</v>
      </c>
      <c r="X128" s="6">
        <v>134.47093</v>
      </c>
      <c r="Y128" s="6">
        <v>0.00054928</v>
      </c>
      <c r="Z128" s="6">
        <v>134.86767</v>
      </c>
      <c r="AA128" s="6">
        <v>0.00041536</v>
      </c>
      <c r="AB128" s="6">
        <v>294.9318</v>
      </c>
      <c r="AC128" s="6">
        <v>0.00059563</v>
      </c>
      <c r="AD128" s="6">
        <v>243.86163</v>
      </c>
      <c r="AE128" s="6">
        <v>0.0005827</v>
      </c>
      <c r="AF128" s="6">
        <v>775</v>
      </c>
      <c r="AG128" s="6">
        <v>-0.00412645</v>
      </c>
      <c r="AH128" s="6">
        <v>-0.0039367</v>
      </c>
      <c r="AI128" s="6">
        <v>-0.00418504</v>
      </c>
      <c r="AJ128" s="6">
        <v>-0.00412338</v>
      </c>
      <c r="AK128" s="6">
        <v>-0.00323417</v>
      </c>
      <c r="AL128" s="6">
        <v>-0.00442311</v>
      </c>
      <c r="AM128" s="6">
        <v>-0.00433983</v>
      </c>
      <c r="AN128" s="6">
        <v>-6.4762184</v>
      </c>
      <c r="AO128" s="6">
        <v>-6.4515561</v>
      </c>
      <c r="AP128" s="6">
        <v>-6.4739881</v>
      </c>
      <c r="AQ128" s="6">
        <v>-6.4253629</v>
      </c>
      <c r="AR128" s="6">
        <v>-6.4020076</v>
      </c>
      <c r="AS128" s="6">
        <v>-6.4618417</v>
      </c>
      <c r="AT128" s="6">
        <v>-6.4506396</v>
      </c>
      <c r="AU128" s="6">
        <v>0.97344833</v>
      </c>
      <c r="AV128" s="6">
        <v>0.96974131</v>
      </c>
      <c r="AW128" s="6">
        <v>0.97311308</v>
      </c>
      <c r="AX128" s="6">
        <v>0.96580418</v>
      </c>
      <c r="AY128" s="6">
        <v>0.96229362</v>
      </c>
      <c r="AZ128" s="6">
        <v>0.97128734</v>
      </c>
      <c r="BA128" s="6">
        <v>0.96960354</v>
      </c>
      <c r="BB128" s="6">
        <v>0.02655167</v>
      </c>
      <c r="BC128" s="6">
        <v>0.03025869</v>
      </c>
      <c r="BD128" s="6">
        <v>0.02688692</v>
      </c>
      <c r="BE128" s="6">
        <v>0.03419582</v>
      </c>
      <c r="BF128" s="6">
        <v>0.03770638</v>
      </c>
      <c r="BG128" s="6">
        <v>0.02871266</v>
      </c>
      <c r="BH128" s="6">
        <v>0.03039646</v>
      </c>
      <c r="BI128" s="6">
        <v>0.21470859</v>
      </c>
      <c r="BJ128" s="6">
        <v>0.12366373</v>
      </c>
      <c r="BK128" s="6">
        <v>0.1409291</v>
      </c>
      <c r="BL128" s="6">
        <v>0.12522516</v>
      </c>
      <c r="BM128" s="6">
        <v>0.1592662</v>
      </c>
      <c r="BN128" s="6">
        <v>0.17561655</v>
      </c>
      <c r="BO128" s="6">
        <v>0.1337285</v>
      </c>
      <c r="BP128" s="6">
        <v>0.14157076</v>
      </c>
      <c r="BQ128" s="6">
        <v>0.01479981</v>
      </c>
      <c r="BR128" s="6">
        <v>0.01247325</v>
      </c>
      <c r="BS128" s="6">
        <v>0.01379269</v>
      </c>
      <c r="BT128" s="6">
        <v>0.01176371</v>
      </c>
      <c r="BU128" s="6">
        <v>0.00983788</v>
      </c>
      <c r="BV128" s="6">
        <v>0.02349226</v>
      </c>
      <c r="BW128" s="6">
        <v>0.0201168</v>
      </c>
      <c r="BX128" s="12">
        <v>6810</v>
      </c>
      <c r="BY128" s="13">
        <v>8143</v>
      </c>
      <c r="BZ128" s="12">
        <v>4293.49105</v>
      </c>
      <c r="CA128" s="6">
        <f t="shared" si="10"/>
        <v>0.836301117524254</v>
      </c>
      <c r="CB128" s="6">
        <f t="shared" si="11"/>
        <v>1.58612185764309</v>
      </c>
      <c r="CC128" s="7">
        <v>110226027.9</v>
      </c>
      <c r="CD128" s="7">
        <f t="shared" si="6"/>
        <v>2.56728211649585</v>
      </c>
      <c r="CE128" s="8">
        <v>444.4</v>
      </c>
      <c r="CF128" s="8">
        <v>871.4</v>
      </c>
      <c r="CG128" s="8">
        <v>843.2</v>
      </c>
      <c r="CH128" s="8">
        <v>5063</v>
      </c>
      <c r="CI128" s="14">
        <v>0</v>
      </c>
      <c r="CJ128" s="14">
        <v>0</v>
      </c>
      <c r="CK128" s="14">
        <f t="shared" si="7"/>
        <v>0</v>
      </c>
      <c r="CL128">
        <f t="shared" si="8"/>
        <v>4.16809156222866</v>
      </c>
      <c r="CM128">
        <f t="shared" si="9"/>
        <v>0.384062927081397</v>
      </c>
      <c r="CN128" s="15">
        <v>6810</v>
      </c>
      <c r="CO128" s="15">
        <v>4650</v>
      </c>
      <c r="CP128" s="15">
        <v>487.81</v>
      </c>
      <c r="CQ128" s="15">
        <v>55.8</v>
      </c>
      <c r="CR128" s="15">
        <v>157.96</v>
      </c>
      <c r="CS128" s="15">
        <v>43.62</v>
      </c>
      <c r="CT128" s="15">
        <v>194.86</v>
      </c>
      <c r="CU128" s="15">
        <v>11.74</v>
      </c>
      <c r="CV128" s="15">
        <v>63.07</v>
      </c>
      <c r="CW128" s="15">
        <v>586.48</v>
      </c>
    </row>
    <row r="129" spans="1:101">
      <c r="A129" s="6">
        <v>2002</v>
      </c>
      <c r="B129" s="6" t="s">
        <v>105</v>
      </c>
      <c r="C129" s="6">
        <v>0.09491713</v>
      </c>
      <c r="D129" s="6">
        <v>0.021104</v>
      </c>
      <c r="E129" s="6">
        <v>0.005178</v>
      </c>
      <c r="F129" s="6">
        <v>0.009468</v>
      </c>
      <c r="G129" s="6">
        <v>0.003</v>
      </c>
      <c r="H129" s="6">
        <v>0.003458</v>
      </c>
      <c r="I129" s="6">
        <v>0.021414</v>
      </c>
      <c r="J129" s="6">
        <v>0.009581</v>
      </c>
      <c r="K129" s="6">
        <v>0.11397315</v>
      </c>
      <c r="L129" s="6">
        <v>0.08192495</v>
      </c>
      <c r="M129" s="6">
        <v>0.10261162</v>
      </c>
      <c r="N129" s="6">
        <v>0.06018667</v>
      </c>
      <c r="O129" s="6">
        <v>0.0712869</v>
      </c>
      <c r="P129" s="6">
        <v>0.14872514</v>
      </c>
      <c r="Q129" s="6">
        <v>0.10195586</v>
      </c>
      <c r="R129" s="6">
        <v>217.69486</v>
      </c>
      <c r="S129" s="6">
        <v>0.00052355</v>
      </c>
      <c r="T129" s="6">
        <v>169.97573</v>
      </c>
      <c r="U129" s="6">
        <v>0.00048198</v>
      </c>
      <c r="V129" s="6">
        <v>197.11803</v>
      </c>
      <c r="W129" s="6">
        <v>0.00052056</v>
      </c>
      <c r="X129" s="6">
        <v>134.47093</v>
      </c>
      <c r="Y129" s="6">
        <v>0.00044758</v>
      </c>
      <c r="Z129" s="6">
        <v>134.86767</v>
      </c>
      <c r="AA129" s="6">
        <v>0.00052857</v>
      </c>
      <c r="AB129" s="6">
        <v>294.9318</v>
      </c>
      <c r="AC129" s="6">
        <v>0.00050427</v>
      </c>
      <c r="AD129" s="6">
        <v>243.86163</v>
      </c>
      <c r="AE129" s="6">
        <v>0.00041809</v>
      </c>
      <c r="AF129" s="6">
        <v>775</v>
      </c>
      <c r="AG129" s="6">
        <v>-0.00395533</v>
      </c>
      <c r="AH129" s="6">
        <v>-0.00368118</v>
      </c>
      <c r="AI129" s="6">
        <v>-0.00393574</v>
      </c>
      <c r="AJ129" s="6">
        <v>-0.00345159</v>
      </c>
      <c r="AK129" s="6">
        <v>-0.00398823</v>
      </c>
      <c r="AL129" s="6">
        <v>-0.00382862</v>
      </c>
      <c r="AM129" s="6">
        <v>-0.00325266</v>
      </c>
      <c r="AN129" s="6">
        <v>-6.4762184</v>
      </c>
      <c r="AO129" s="6">
        <v>-6.4515561</v>
      </c>
      <c r="AP129" s="6">
        <v>-6.4739881</v>
      </c>
      <c r="AQ129" s="6">
        <v>-6.4253629</v>
      </c>
      <c r="AR129" s="6">
        <v>-6.4020076</v>
      </c>
      <c r="AS129" s="6">
        <v>-6.4618417</v>
      </c>
      <c r="AT129" s="6">
        <v>-6.4506396</v>
      </c>
      <c r="AU129" s="6">
        <v>0.97344833</v>
      </c>
      <c r="AV129" s="6">
        <v>0.96974131</v>
      </c>
      <c r="AW129" s="6">
        <v>0.97311308</v>
      </c>
      <c r="AX129" s="6">
        <v>0.96580418</v>
      </c>
      <c r="AY129" s="6">
        <v>0.96229362</v>
      </c>
      <c r="AZ129" s="6">
        <v>0.97128734</v>
      </c>
      <c r="BA129" s="6">
        <v>0.96960354</v>
      </c>
      <c r="BB129" s="6">
        <v>0.02655167</v>
      </c>
      <c r="BC129" s="6">
        <v>0.03025869</v>
      </c>
      <c r="BD129" s="6">
        <v>0.02688692</v>
      </c>
      <c r="BE129" s="6">
        <v>0.03419582</v>
      </c>
      <c r="BF129" s="6">
        <v>0.03770638</v>
      </c>
      <c r="BG129" s="6">
        <v>0.02871266</v>
      </c>
      <c r="BH129" s="6">
        <v>0.03039646</v>
      </c>
      <c r="BI129" s="6">
        <v>0.21470859</v>
      </c>
      <c r="BJ129" s="6">
        <v>0.12366373</v>
      </c>
      <c r="BK129" s="6">
        <v>0.1409291</v>
      </c>
      <c r="BL129" s="6">
        <v>0.12522516</v>
      </c>
      <c r="BM129" s="6">
        <v>0.1592662</v>
      </c>
      <c r="BN129" s="6">
        <v>0.17561655</v>
      </c>
      <c r="BO129" s="6">
        <v>0.1337285</v>
      </c>
      <c r="BP129" s="6">
        <v>0.14157076</v>
      </c>
      <c r="BQ129" s="6">
        <v>0.01409435</v>
      </c>
      <c r="BR129" s="6">
        <v>0.01154561</v>
      </c>
      <c r="BS129" s="6">
        <v>0.01284956</v>
      </c>
      <c r="BT129" s="6">
        <v>0.0095857</v>
      </c>
      <c r="BU129" s="6">
        <v>0.01251916</v>
      </c>
      <c r="BV129" s="6">
        <v>0.01988879</v>
      </c>
      <c r="BW129" s="6">
        <v>0.01443397</v>
      </c>
      <c r="BX129" s="12">
        <v>7510</v>
      </c>
      <c r="BY129" s="13">
        <v>8110</v>
      </c>
      <c r="BZ129" s="12">
        <v>4725.0134</v>
      </c>
      <c r="CA129" s="6">
        <f t="shared" si="10"/>
        <v>0.926017262638718</v>
      </c>
      <c r="CB129" s="6">
        <f t="shared" si="11"/>
        <v>1.58941348187499</v>
      </c>
      <c r="CC129" s="7">
        <v>115063670.3</v>
      </c>
      <c r="CD129" s="7">
        <f t="shared" si="6"/>
        <v>2.43520304725485</v>
      </c>
      <c r="CE129" s="8">
        <v>463.4</v>
      </c>
      <c r="CF129" s="8">
        <v>942.1</v>
      </c>
      <c r="CG129" s="8">
        <v>953.2</v>
      </c>
      <c r="CH129" s="8">
        <v>5472</v>
      </c>
      <c r="CI129" s="14">
        <v>0</v>
      </c>
      <c r="CJ129" s="14">
        <v>0</v>
      </c>
      <c r="CK129" s="14">
        <f t="shared" si="7"/>
        <v>0</v>
      </c>
      <c r="CL129">
        <f t="shared" si="8"/>
        <v>4.06804884448575</v>
      </c>
      <c r="CM129">
        <f t="shared" si="9"/>
        <v>0.401383036352729</v>
      </c>
      <c r="CN129" s="15">
        <v>7510</v>
      </c>
      <c r="CO129" s="15">
        <v>5462</v>
      </c>
      <c r="CP129" s="15">
        <v>541.2</v>
      </c>
      <c r="CQ129" s="15">
        <v>57.78</v>
      </c>
      <c r="CR129" s="15">
        <v>171.47</v>
      </c>
      <c r="CS129" s="15">
        <v>56.13</v>
      </c>
      <c r="CT129" s="15">
        <v>196.43</v>
      </c>
      <c r="CU129" s="15">
        <v>12.42</v>
      </c>
      <c r="CV129" s="15">
        <v>69.96</v>
      </c>
      <c r="CW129" s="15">
        <v>670.76</v>
      </c>
    </row>
    <row r="130" spans="1:101">
      <c r="A130" s="6">
        <v>2003</v>
      </c>
      <c r="B130" s="6" t="s">
        <v>105</v>
      </c>
      <c r="C130" s="6">
        <v>0.11738155</v>
      </c>
      <c r="D130" s="6">
        <v>0.023822</v>
      </c>
      <c r="E130" s="6">
        <v>0.005907</v>
      </c>
      <c r="F130" s="6">
        <v>0.010719</v>
      </c>
      <c r="G130" s="6">
        <v>0.0035</v>
      </c>
      <c r="H130" s="6">
        <v>0.003696</v>
      </c>
      <c r="I130" s="6">
        <v>0.023393</v>
      </c>
      <c r="J130" s="6">
        <v>0.012914</v>
      </c>
      <c r="K130" s="6">
        <v>0.13529209</v>
      </c>
      <c r="L130" s="6">
        <v>0.09916821</v>
      </c>
      <c r="M130" s="6">
        <v>0.12182438</v>
      </c>
      <c r="N130" s="6">
        <v>0.07496132</v>
      </c>
      <c r="O130" s="6">
        <v>0.07851878</v>
      </c>
      <c r="P130" s="6">
        <v>0.17077613</v>
      </c>
      <c r="Q130" s="6">
        <v>0.16143182</v>
      </c>
      <c r="R130" s="6">
        <v>217.69486</v>
      </c>
      <c r="S130" s="6">
        <v>0.00062148</v>
      </c>
      <c r="T130" s="6">
        <v>169.97573</v>
      </c>
      <c r="U130" s="6">
        <v>0.00058343</v>
      </c>
      <c r="V130" s="6">
        <v>197.11803</v>
      </c>
      <c r="W130" s="6">
        <v>0.00061803</v>
      </c>
      <c r="X130" s="6">
        <v>134.47093</v>
      </c>
      <c r="Y130" s="6">
        <v>0.00055745</v>
      </c>
      <c r="Z130" s="6">
        <v>134.86767</v>
      </c>
      <c r="AA130" s="6">
        <v>0.00058219</v>
      </c>
      <c r="AB130" s="6">
        <v>294.9318</v>
      </c>
      <c r="AC130" s="6">
        <v>0.00057904</v>
      </c>
      <c r="AD130" s="6">
        <v>243.86163</v>
      </c>
      <c r="AE130" s="6">
        <v>0.00066198</v>
      </c>
      <c r="AF130" s="6">
        <v>775</v>
      </c>
      <c r="AG130" s="6">
        <v>-0.00458861</v>
      </c>
      <c r="AH130" s="6">
        <v>-0.00434453</v>
      </c>
      <c r="AI130" s="6">
        <v>-0.00456659</v>
      </c>
      <c r="AJ130" s="6">
        <v>-0.00417652</v>
      </c>
      <c r="AK130" s="6">
        <v>-0.00433657</v>
      </c>
      <c r="AL130" s="6">
        <v>-0.00431622</v>
      </c>
      <c r="AM130" s="6">
        <v>-0.00484588</v>
      </c>
      <c r="AN130" s="6">
        <v>-6.4762184</v>
      </c>
      <c r="AO130" s="6">
        <v>-6.4515561</v>
      </c>
      <c r="AP130" s="6">
        <v>-6.4739881</v>
      </c>
      <c r="AQ130" s="6">
        <v>-6.4253629</v>
      </c>
      <c r="AR130" s="6">
        <v>-6.4020076</v>
      </c>
      <c r="AS130" s="6">
        <v>-6.4618417</v>
      </c>
      <c r="AT130" s="6">
        <v>-6.4506396</v>
      </c>
      <c r="AU130" s="6">
        <v>0.97344833</v>
      </c>
      <c r="AV130" s="6">
        <v>0.96974131</v>
      </c>
      <c r="AW130" s="6">
        <v>0.97311308</v>
      </c>
      <c r="AX130" s="6">
        <v>0.96580418</v>
      </c>
      <c r="AY130" s="6">
        <v>0.96229362</v>
      </c>
      <c r="AZ130" s="6">
        <v>0.97128734</v>
      </c>
      <c r="BA130" s="6">
        <v>0.96960354</v>
      </c>
      <c r="BB130" s="6">
        <v>0.02655167</v>
      </c>
      <c r="BC130" s="6">
        <v>0.03025869</v>
      </c>
      <c r="BD130" s="6">
        <v>0.02688692</v>
      </c>
      <c r="BE130" s="6">
        <v>0.03419582</v>
      </c>
      <c r="BF130" s="6">
        <v>0.03770638</v>
      </c>
      <c r="BG130" s="6">
        <v>0.02871266</v>
      </c>
      <c r="BH130" s="6">
        <v>0.03039646</v>
      </c>
      <c r="BI130" s="6">
        <v>0.21470859</v>
      </c>
      <c r="BJ130" s="6">
        <v>0.12366373</v>
      </c>
      <c r="BK130" s="6">
        <v>0.1409291</v>
      </c>
      <c r="BL130" s="6">
        <v>0.12522516</v>
      </c>
      <c r="BM130" s="6">
        <v>0.1592662</v>
      </c>
      <c r="BN130" s="6">
        <v>0.17561655</v>
      </c>
      <c r="BO130" s="6">
        <v>0.1337285</v>
      </c>
      <c r="BP130" s="6">
        <v>0.14157076</v>
      </c>
      <c r="BQ130" s="6">
        <v>0.01673073</v>
      </c>
      <c r="BR130" s="6">
        <v>0.01397569</v>
      </c>
      <c r="BS130" s="6">
        <v>0.01525548</v>
      </c>
      <c r="BT130" s="6">
        <v>0.01193881</v>
      </c>
      <c r="BU130" s="6">
        <v>0.0137892</v>
      </c>
      <c r="BV130" s="6">
        <v>0.02283763</v>
      </c>
      <c r="BW130" s="6">
        <v>0.02285403</v>
      </c>
      <c r="BX130" s="12">
        <v>9204</v>
      </c>
      <c r="BY130" s="13">
        <v>8176</v>
      </c>
      <c r="BZ130" s="12">
        <v>5333.09</v>
      </c>
      <c r="CA130" s="6">
        <f t="shared" si="10"/>
        <v>1.12573385518591</v>
      </c>
      <c r="CB130" s="6">
        <f t="shared" si="11"/>
        <v>1.72582874093631</v>
      </c>
      <c r="CC130" s="7">
        <v>125726453.2</v>
      </c>
      <c r="CD130" s="7">
        <f t="shared" si="6"/>
        <v>2.35747855745918</v>
      </c>
      <c r="CE130" s="8">
        <v>494.6</v>
      </c>
      <c r="CF130" s="8">
        <v>1059.8</v>
      </c>
      <c r="CG130" s="8">
        <v>1079</v>
      </c>
      <c r="CH130" s="8">
        <v>6048</v>
      </c>
      <c r="CI130" s="14">
        <v>0</v>
      </c>
      <c r="CJ130" s="14">
        <v>0</v>
      </c>
      <c r="CK130" s="14">
        <f t="shared" si="7"/>
        <v>0</v>
      </c>
      <c r="CL130">
        <f t="shared" si="8"/>
        <v>4.08414499624993</v>
      </c>
      <c r="CM130">
        <f t="shared" si="9"/>
        <v>0.422773050510249</v>
      </c>
      <c r="CN130" s="15">
        <v>9203.51</v>
      </c>
      <c r="CO130" s="15">
        <v>7254.1</v>
      </c>
      <c r="CP130" s="15">
        <v>625.58</v>
      </c>
      <c r="CQ130" s="15">
        <v>75.67</v>
      </c>
      <c r="CR130" s="15">
        <v>181.66</v>
      </c>
      <c r="CS130" s="15">
        <v>72.14</v>
      </c>
      <c r="CT130" s="15">
        <v>226.98</v>
      </c>
      <c r="CU130" s="15">
        <v>11.13</v>
      </c>
      <c r="CV130" s="15">
        <v>74.68</v>
      </c>
      <c r="CW130" s="15">
        <v>758.79</v>
      </c>
    </row>
    <row r="131" spans="1:101">
      <c r="A131" s="6">
        <v>2004</v>
      </c>
      <c r="B131" s="6" t="s">
        <v>105</v>
      </c>
      <c r="C131" s="6">
        <v>0.13181763</v>
      </c>
      <c r="D131" s="6">
        <v>0.027279</v>
      </c>
      <c r="E131" s="6">
        <v>0.006335</v>
      </c>
      <c r="F131" s="6">
        <v>0.012168</v>
      </c>
      <c r="G131" s="6">
        <v>0.003991</v>
      </c>
      <c r="H131" s="6">
        <v>0.004785</v>
      </c>
      <c r="I131" s="6">
        <v>0.023988</v>
      </c>
      <c r="J131" s="6">
        <v>0.012073</v>
      </c>
      <c r="K131" s="6">
        <v>0.16241206</v>
      </c>
      <c r="L131" s="6">
        <v>0.10928064</v>
      </c>
      <c r="M131" s="6">
        <v>0.14410682</v>
      </c>
      <c r="N131" s="6">
        <v>0.08949528</v>
      </c>
      <c r="O131" s="6">
        <v>0.11149667</v>
      </c>
      <c r="P131" s="6">
        <v>0.17739762</v>
      </c>
      <c r="Q131" s="6">
        <v>0.14642272</v>
      </c>
      <c r="R131" s="6">
        <v>217.69486</v>
      </c>
      <c r="S131" s="6">
        <v>0.00074605</v>
      </c>
      <c r="T131" s="6">
        <v>169.97573</v>
      </c>
      <c r="U131" s="6">
        <v>0.00064292</v>
      </c>
      <c r="V131" s="6">
        <v>197.11803</v>
      </c>
      <c r="W131" s="6">
        <v>0.00073107</v>
      </c>
      <c r="X131" s="6">
        <v>134.47093</v>
      </c>
      <c r="Y131" s="6">
        <v>0.00066554</v>
      </c>
      <c r="Z131" s="6">
        <v>134.86767</v>
      </c>
      <c r="AA131" s="6">
        <v>0.00082671</v>
      </c>
      <c r="AB131" s="6">
        <v>294.9318</v>
      </c>
      <c r="AC131" s="6">
        <v>0.00060149</v>
      </c>
      <c r="AD131" s="6">
        <v>243.86163</v>
      </c>
      <c r="AE131" s="6">
        <v>0.00060043</v>
      </c>
      <c r="AF131" s="6">
        <v>775</v>
      </c>
      <c r="AG131" s="6">
        <v>-0.00537212</v>
      </c>
      <c r="AH131" s="6">
        <v>-0.00472513</v>
      </c>
      <c r="AI131" s="6">
        <v>-0.00527905</v>
      </c>
      <c r="AJ131" s="6">
        <v>-0.00486834</v>
      </c>
      <c r="AK131" s="6">
        <v>-0.00586804</v>
      </c>
      <c r="AL131" s="6">
        <v>-0.00446069</v>
      </c>
      <c r="AM131" s="6">
        <v>-0.00445393</v>
      </c>
      <c r="AN131" s="6">
        <v>-6.4762184</v>
      </c>
      <c r="AO131" s="6">
        <v>-6.4515561</v>
      </c>
      <c r="AP131" s="6">
        <v>-6.4739881</v>
      </c>
      <c r="AQ131" s="6">
        <v>-6.4253629</v>
      </c>
      <c r="AR131" s="6">
        <v>-6.4020076</v>
      </c>
      <c r="AS131" s="6">
        <v>-6.4618417</v>
      </c>
      <c r="AT131" s="6">
        <v>-6.4506396</v>
      </c>
      <c r="AU131" s="6">
        <v>0.97344833</v>
      </c>
      <c r="AV131" s="6">
        <v>0.96974131</v>
      </c>
      <c r="AW131" s="6">
        <v>0.97311308</v>
      </c>
      <c r="AX131" s="6">
        <v>0.96580418</v>
      </c>
      <c r="AY131" s="6">
        <v>0.96229362</v>
      </c>
      <c r="AZ131" s="6">
        <v>0.97128734</v>
      </c>
      <c r="BA131" s="6">
        <v>0.96960354</v>
      </c>
      <c r="BB131" s="6">
        <v>0.02655167</v>
      </c>
      <c r="BC131" s="6">
        <v>0.03025869</v>
      </c>
      <c r="BD131" s="6">
        <v>0.02688692</v>
      </c>
      <c r="BE131" s="6">
        <v>0.03419582</v>
      </c>
      <c r="BF131" s="6">
        <v>0.03770638</v>
      </c>
      <c r="BG131" s="6">
        <v>0.02871266</v>
      </c>
      <c r="BH131" s="6">
        <v>0.03039646</v>
      </c>
      <c r="BI131" s="6">
        <v>0.21470859</v>
      </c>
      <c r="BJ131" s="6">
        <v>0.12366373</v>
      </c>
      <c r="BK131" s="6">
        <v>0.1409291</v>
      </c>
      <c r="BL131" s="6">
        <v>0.12522516</v>
      </c>
      <c r="BM131" s="6">
        <v>0.1592662</v>
      </c>
      <c r="BN131" s="6">
        <v>0.17561655</v>
      </c>
      <c r="BO131" s="6">
        <v>0.1337285</v>
      </c>
      <c r="BP131" s="6">
        <v>0.14157076</v>
      </c>
      <c r="BQ131" s="6">
        <v>0.02008448</v>
      </c>
      <c r="BR131" s="6">
        <v>0.01540082</v>
      </c>
      <c r="BS131" s="6">
        <v>0.0180458</v>
      </c>
      <c r="BT131" s="6">
        <v>0.01425357</v>
      </c>
      <c r="BU131" s="6">
        <v>0.01958066</v>
      </c>
      <c r="BV131" s="6">
        <v>0.02372312</v>
      </c>
      <c r="BW131" s="6">
        <v>0.02072918</v>
      </c>
      <c r="BX131" s="12">
        <v>10700</v>
      </c>
      <c r="BY131" s="13">
        <v>8090</v>
      </c>
      <c r="BZ131" s="12">
        <v>6379.63</v>
      </c>
      <c r="CA131" s="6">
        <f t="shared" si="10"/>
        <v>1.32262051915946</v>
      </c>
      <c r="CB131" s="6">
        <f t="shared" si="11"/>
        <v>1.67721325531418</v>
      </c>
      <c r="CC131" s="7">
        <v>143578127.7</v>
      </c>
      <c r="CD131" s="7">
        <f t="shared" ref="CD131:CD194" si="12">CC131/10000/BZ131</f>
        <v>2.25057139207133</v>
      </c>
      <c r="CE131" s="8">
        <v>607.8</v>
      </c>
      <c r="CF131" s="8">
        <v>1267.8</v>
      </c>
      <c r="CG131" s="8">
        <v>1260.8</v>
      </c>
      <c r="CH131" s="8">
        <v>7136</v>
      </c>
      <c r="CI131" s="14">
        <v>0</v>
      </c>
      <c r="CJ131" s="14">
        <v>0</v>
      </c>
      <c r="CK131" s="14">
        <f t="shared" ref="CK131:CK194" si="13">CI131*CJ131</f>
        <v>0</v>
      </c>
      <c r="CL131">
        <f t="shared" ref="CL131:CL194" si="14">AVERAGEIF($A:$A,$A131,$CD:$CD)</f>
        <v>3.89549779892895</v>
      </c>
      <c r="CM131">
        <f t="shared" ref="CM131:CM194" si="15">MAX(0,1-CD131/CL131)</f>
        <v>0.422263467151716</v>
      </c>
      <c r="CN131" s="15">
        <v>10699.98</v>
      </c>
      <c r="CO131" s="15">
        <v>8188.68</v>
      </c>
      <c r="CP131" s="15">
        <v>813.32</v>
      </c>
      <c r="CQ131" s="15">
        <v>114.99</v>
      </c>
      <c r="CR131" s="15">
        <v>204.02</v>
      </c>
      <c r="CS131" s="15">
        <v>78.99</v>
      </c>
      <c r="CT131" s="15">
        <v>269.71</v>
      </c>
      <c r="CU131" s="15">
        <v>8.11</v>
      </c>
      <c r="CV131" s="15">
        <v>80.64</v>
      </c>
      <c r="CW131" s="15">
        <v>857.02</v>
      </c>
    </row>
    <row r="132" spans="1:101">
      <c r="A132" s="6">
        <v>2005</v>
      </c>
      <c r="B132" s="6" t="s">
        <v>105</v>
      </c>
      <c r="C132" s="6">
        <v>0.1440872</v>
      </c>
      <c r="D132" s="6">
        <v>0.027249</v>
      </c>
      <c r="E132" s="6">
        <v>0.007073</v>
      </c>
      <c r="F132" s="6">
        <v>0.012232</v>
      </c>
      <c r="G132" s="6">
        <v>0.004111</v>
      </c>
      <c r="H132" s="6">
        <v>0.003834</v>
      </c>
      <c r="I132" s="6">
        <v>0.02902</v>
      </c>
      <c r="J132" s="6">
        <v>0.014733</v>
      </c>
      <c r="K132" s="6">
        <v>0.16217855</v>
      </c>
      <c r="L132" s="6">
        <v>0.1267275</v>
      </c>
      <c r="M132" s="6">
        <v>0.14508213</v>
      </c>
      <c r="N132" s="6">
        <v>0.09302081</v>
      </c>
      <c r="O132" s="6">
        <v>0.08269399</v>
      </c>
      <c r="P132" s="6">
        <v>0.23345102</v>
      </c>
      <c r="Q132" s="6">
        <v>0.19387838</v>
      </c>
      <c r="R132" s="6">
        <v>217.69486</v>
      </c>
      <c r="S132" s="6">
        <v>0.00074498</v>
      </c>
      <c r="T132" s="6">
        <v>169.97573</v>
      </c>
      <c r="U132" s="6">
        <v>0.00074556</v>
      </c>
      <c r="V132" s="6">
        <v>197.11803</v>
      </c>
      <c r="W132" s="6">
        <v>0.00073602</v>
      </c>
      <c r="X132" s="6">
        <v>134.47093</v>
      </c>
      <c r="Y132" s="6">
        <v>0.00069175</v>
      </c>
      <c r="Z132" s="6">
        <v>134.86767</v>
      </c>
      <c r="AA132" s="6">
        <v>0.00061315</v>
      </c>
      <c r="AB132" s="6">
        <v>294.9318</v>
      </c>
      <c r="AC132" s="6">
        <v>0.00079154</v>
      </c>
      <c r="AD132" s="6">
        <v>243.86163</v>
      </c>
      <c r="AE132" s="6">
        <v>0.00079503</v>
      </c>
      <c r="AF132" s="6">
        <v>775</v>
      </c>
      <c r="AG132" s="6">
        <v>-0.00536547</v>
      </c>
      <c r="AH132" s="6">
        <v>-0.00536907</v>
      </c>
      <c r="AI132" s="6">
        <v>-0.00530981</v>
      </c>
      <c r="AJ132" s="6">
        <v>-0.0050334</v>
      </c>
      <c r="AK132" s="6">
        <v>-0.0045354</v>
      </c>
      <c r="AL132" s="6">
        <v>-0.00565282</v>
      </c>
      <c r="AM132" s="6">
        <v>-0.00567426</v>
      </c>
      <c r="AN132" s="6">
        <v>-6.4762184</v>
      </c>
      <c r="AO132" s="6">
        <v>-6.4515561</v>
      </c>
      <c r="AP132" s="6">
        <v>-6.4739881</v>
      </c>
      <c r="AQ132" s="6">
        <v>-6.4253629</v>
      </c>
      <c r="AR132" s="6">
        <v>-6.4020076</v>
      </c>
      <c r="AS132" s="6">
        <v>-6.4618417</v>
      </c>
      <c r="AT132" s="6">
        <v>-6.4506396</v>
      </c>
      <c r="AU132" s="6">
        <v>0.97344833</v>
      </c>
      <c r="AV132" s="6">
        <v>0.96974131</v>
      </c>
      <c r="AW132" s="6">
        <v>0.97311308</v>
      </c>
      <c r="AX132" s="6">
        <v>0.96580418</v>
      </c>
      <c r="AY132" s="6">
        <v>0.96229362</v>
      </c>
      <c r="AZ132" s="6">
        <v>0.97128734</v>
      </c>
      <c r="BA132" s="6">
        <v>0.96960354</v>
      </c>
      <c r="BB132" s="6">
        <v>0.02655167</v>
      </c>
      <c r="BC132" s="6">
        <v>0.03025869</v>
      </c>
      <c r="BD132" s="6">
        <v>0.02688692</v>
      </c>
      <c r="BE132" s="6">
        <v>0.03419582</v>
      </c>
      <c r="BF132" s="6">
        <v>0.03770638</v>
      </c>
      <c r="BG132" s="6">
        <v>0.02871266</v>
      </c>
      <c r="BH132" s="6">
        <v>0.03039646</v>
      </c>
      <c r="BI132" s="6">
        <v>0.21470859</v>
      </c>
      <c r="BJ132" s="6">
        <v>0.12366373</v>
      </c>
      <c r="BK132" s="6">
        <v>0.1409291</v>
      </c>
      <c r="BL132" s="6">
        <v>0.12522516</v>
      </c>
      <c r="BM132" s="6">
        <v>0.1592662</v>
      </c>
      <c r="BN132" s="6">
        <v>0.17561655</v>
      </c>
      <c r="BO132" s="6">
        <v>0.1337285</v>
      </c>
      <c r="BP132" s="6">
        <v>0.14157076</v>
      </c>
      <c r="BQ132" s="6">
        <v>0.02005561</v>
      </c>
      <c r="BR132" s="6">
        <v>0.01785959</v>
      </c>
      <c r="BS132" s="6">
        <v>0.01816793</v>
      </c>
      <c r="BT132" s="6">
        <v>0.01481507</v>
      </c>
      <c r="BU132" s="6">
        <v>0.01452243</v>
      </c>
      <c r="BV132" s="6">
        <v>0.03121905</v>
      </c>
      <c r="BW132" s="6">
        <v>0.02744751</v>
      </c>
      <c r="BX132" s="12">
        <v>11816</v>
      </c>
      <c r="BY132" s="13">
        <v>8212</v>
      </c>
      <c r="BZ132" s="12">
        <v>7385.1</v>
      </c>
      <c r="CA132" s="6">
        <f t="shared" si="10"/>
        <v>1.43886994641987</v>
      </c>
      <c r="CB132" s="6">
        <f t="shared" si="11"/>
        <v>1.59997833475511</v>
      </c>
      <c r="CC132" s="7">
        <v>166915623.6</v>
      </c>
      <c r="CD132" s="7">
        <f t="shared" si="12"/>
        <v>2.26016741276354</v>
      </c>
      <c r="CE132" s="8">
        <v>646.3</v>
      </c>
      <c r="CF132" s="8">
        <v>1387.3</v>
      </c>
      <c r="CG132" s="8">
        <v>1464.1</v>
      </c>
      <c r="CH132" s="8">
        <v>7890</v>
      </c>
      <c r="CI132" s="14">
        <v>0</v>
      </c>
      <c r="CJ132" s="14">
        <v>0</v>
      </c>
      <c r="CK132" s="14">
        <f t="shared" si="13"/>
        <v>0</v>
      </c>
      <c r="CL132">
        <f t="shared" si="14"/>
        <v>3.71995059106252</v>
      </c>
      <c r="CM132">
        <f t="shared" si="15"/>
        <v>0.392420044988293</v>
      </c>
      <c r="CN132" s="15">
        <v>11301.1</v>
      </c>
      <c r="CO132" s="15">
        <v>7791.93</v>
      </c>
      <c r="CP132" s="15">
        <v>894.54</v>
      </c>
      <c r="CQ132" s="15">
        <v>140.81</v>
      </c>
      <c r="CR132" s="15">
        <v>224.44</v>
      </c>
      <c r="CS132" s="15">
        <v>93.56</v>
      </c>
      <c r="CT132" s="15">
        <v>287.43</v>
      </c>
      <c r="CU132" s="15">
        <v>8.08</v>
      </c>
      <c r="CV132" s="15">
        <v>89.52</v>
      </c>
      <c r="CW132" s="15">
        <v>942.59</v>
      </c>
    </row>
    <row r="133" spans="1:101">
      <c r="A133" s="6">
        <v>2006</v>
      </c>
      <c r="B133" s="6" t="s">
        <v>105</v>
      </c>
      <c r="C133" s="6">
        <v>0.14368185</v>
      </c>
      <c r="D133" s="6">
        <v>0.025719</v>
      </c>
      <c r="E133" s="6">
        <v>0.006444</v>
      </c>
      <c r="F133" s="6">
        <v>0.011506</v>
      </c>
      <c r="G133" s="6">
        <v>0.003985</v>
      </c>
      <c r="H133" s="6">
        <v>0.003785</v>
      </c>
      <c r="I133" s="6">
        <v>0.030091</v>
      </c>
      <c r="J133" s="6">
        <v>0.016249</v>
      </c>
      <c r="K133" s="6">
        <v>0.15017749</v>
      </c>
      <c r="L133" s="6">
        <v>0.11185154</v>
      </c>
      <c r="M133" s="6">
        <v>0.13392253</v>
      </c>
      <c r="N133" s="6">
        <v>0.08930749</v>
      </c>
      <c r="O133" s="6">
        <v>0.08120749</v>
      </c>
      <c r="P133" s="6">
        <v>0.2453783</v>
      </c>
      <c r="Q133" s="6">
        <v>0.22093279</v>
      </c>
      <c r="R133" s="6">
        <v>217.69486</v>
      </c>
      <c r="S133" s="6">
        <v>0.00068985</v>
      </c>
      <c r="T133" s="6">
        <v>169.97573</v>
      </c>
      <c r="U133" s="6">
        <v>0.00065804</v>
      </c>
      <c r="V133" s="6">
        <v>197.11803</v>
      </c>
      <c r="W133" s="6">
        <v>0.0006794</v>
      </c>
      <c r="X133" s="6">
        <v>134.47093</v>
      </c>
      <c r="Y133" s="6">
        <v>0.00066414</v>
      </c>
      <c r="Z133" s="6">
        <v>134.86767</v>
      </c>
      <c r="AA133" s="6">
        <v>0.00060213</v>
      </c>
      <c r="AB133" s="6">
        <v>294.9318</v>
      </c>
      <c r="AC133" s="6">
        <v>0.00083198</v>
      </c>
      <c r="AD133" s="6">
        <v>243.86163</v>
      </c>
      <c r="AE133" s="6">
        <v>0.00090598</v>
      </c>
      <c r="AF133" s="6">
        <v>775</v>
      </c>
      <c r="AG133" s="6">
        <v>-0.00502146</v>
      </c>
      <c r="AH133" s="6">
        <v>-0.00482099</v>
      </c>
      <c r="AI133" s="6">
        <v>-0.00495577</v>
      </c>
      <c r="AJ133" s="6">
        <v>-0.00485952</v>
      </c>
      <c r="AK133" s="6">
        <v>-0.0044648</v>
      </c>
      <c r="AL133" s="6">
        <v>-0.00590017</v>
      </c>
      <c r="AM133" s="6">
        <v>-0.00634772</v>
      </c>
      <c r="AN133" s="6">
        <v>-6.4762184</v>
      </c>
      <c r="AO133" s="6">
        <v>-6.4515561</v>
      </c>
      <c r="AP133" s="6">
        <v>-6.4739881</v>
      </c>
      <c r="AQ133" s="6">
        <v>-6.4253629</v>
      </c>
      <c r="AR133" s="6">
        <v>-6.4020076</v>
      </c>
      <c r="AS133" s="6">
        <v>-6.4618417</v>
      </c>
      <c r="AT133" s="6">
        <v>-6.4506396</v>
      </c>
      <c r="AU133" s="6">
        <v>0.97344833</v>
      </c>
      <c r="AV133" s="6">
        <v>0.96974131</v>
      </c>
      <c r="AW133" s="6">
        <v>0.97311308</v>
      </c>
      <c r="AX133" s="6">
        <v>0.96580418</v>
      </c>
      <c r="AY133" s="6">
        <v>0.96229362</v>
      </c>
      <c r="AZ133" s="6">
        <v>0.97128734</v>
      </c>
      <c r="BA133" s="6">
        <v>0.96960354</v>
      </c>
      <c r="BB133" s="6">
        <v>0.02655167</v>
      </c>
      <c r="BC133" s="6">
        <v>0.03025869</v>
      </c>
      <c r="BD133" s="6">
        <v>0.02688692</v>
      </c>
      <c r="BE133" s="6">
        <v>0.03419582</v>
      </c>
      <c r="BF133" s="6">
        <v>0.03770638</v>
      </c>
      <c r="BG133" s="6">
        <v>0.02871266</v>
      </c>
      <c r="BH133" s="6">
        <v>0.03039646</v>
      </c>
      <c r="BI133" s="6">
        <v>0.21470859</v>
      </c>
      <c r="BJ133" s="6">
        <v>0.12366373</v>
      </c>
      <c r="BK133" s="6">
        <v>0.1409291</v>
      </c>
      <c r="BL133" s="6">
        <v>0.12522516</v>
      </c>
      <c r="BM133" s="6">
        <v>0.1592662</v>
      </c>
      <c r="BN133" s="6">
        <v>0.17561655</v>
      </c>
      <c r="BO133" s="6">
        <v>0.1337285</v>
      </c>
      <c r="BP133" s="6">
        <v>0.14157076</v>
      </c>
      <c r="BQ133" s="6">
        <v>0.01857151</v>
      </c>
      <c r="BR133" s="6">
        <v>0.01576314</v>
      </c>
      <c r="BS133" s="6">
        <v>0.01677047</v>
      </c>
      <c r="BT133" s="6">
        <v>0.01422366</v>
      </c>
      <c r="BU133" s="6">
        <v>0.01426138</v>
      </c>
      <c r="BV133" s="6">
        <v>0.03281407</v>
      </c>
      <c r="BW133" s="6">
        <v>0.03127762</v>
      </c>
      <c r="BX133" s="12">
        <v>12986</v>
      </c>
      <c r="BY133" s="13">
        <v>8169</v>
      </c>
      <c r="BZ133" s="12">
        <v>8690.24</v>
      </c>
      <c r="CA133" s="6">
        <f t="shared" si="10"/>
        <v>1.58966825804872</v>
      </c>
      <c r="CB133" s="6">
        <f t="shared" si="11"/>
        <v>1.49432006480834</v>
      </c>
      <c r="CC133" s="7">
        <v>186491284.9</v>
      </c>
      <c r="CD133" s="7">
        <f t="shared" si="12"/>
        <v>2.14598543768642</v>
      </c>
      <c r="CE133" s="8">
        <v>704.5</v>
      </c>
      <c r="CF133" s="8">
        <v>1674.2</v>
      </c>
      <c r="CG133" s="8">
        <v>1712</v>
      </c>
      <c r="CH133" s="8">
        <v>9158</v>
      </c>
      <c r="CI133" s="14">
        <v>0</v>
      </c>
      <c r="CJ133" s="14">
        <v>0</v>
      </c>
      <c r="CK133" s="14">
        <f t="shared" si="13"/>
        <v>0</v>
      </c>
      <c r="CL133">
        <f t="shared" si="14"/>
        <v>3.57740717995078</v>
      </c>
      <c r="CM133">
        <f t="shared" si="15"/>
        <v>0.400128268955969</v>
      </c>
      <c r="CN133" s="15">
        <v>12538.5</v>
      </c>
      <c r="CO133" s="15">
        <v>8532.71</v>
      </c>
      <c r="CP133" s="15">
        <v>1003.67</v>
      </c>
      <c r="CQ133" s="15">
        <v>174.94</v>
      </c>
      <c r="CR133" s="15">
        <v>269.32</v>
      </c>
      <c r="CS133" s="15">
        <v>105.83</v>
      </c>
      <c r="CT133" s="15">
        <v>354.61</v>
      </c>
      <c r="CU133" s="15">
        <v>9.5</v>
      </c>
      <c r="CV133" s="15">
        <v>106.08</v>
      </c>
      <c r="CW133" s="15">
        <v>1059.44</v>
      </c>
    </row>
    <row r="134" spans="1:101">
      <c r="A134" s="6">
        <v>2007</v>
      </c>
      <c r="B134" s="6" t="s">
        <v>105</v>
      </c>
      <c r="C134" s="6">
        <v>0.14122628</v>
      </c>
      <c r="D134" s="6">
        <v>0.027423</v>
      </c>
      <c r="E134" s="6">
        <v>0.006492</v>
      </c>
      <c r="F134" s="6">
        <v>0.012314</v>
      </c>
      <c r="G134" s="6">
        <v>0.004172</v>
      </c>
      <c r="H134" s="6">
        <v>0.004444</v>
      </c>
      <c r="I134" s="6">
        <v>0.027713</v>
      </c>
      <c r="J134" s="6">
        <v>0.013608</v>
      </c>
      <c r="K134" s="6">
        <v>0.16353902</v>
      </c>
      <c r="L134" s="6">
        <v>0.11300038</v>
      </c>
      <c r="M134" s="6">
        <v>0.14635265</v>
      </c>
      <c r="N134" s="6">
        <v>0.09484309</v>
      </c>
      <c r="O134" s="6">
        <v>0.10117181</v>
      </c>
      <c r="P134" s="6">
        <v>0.21889252</v>
      </c>
      <c r="Q134" s="6">
        <v>0.1738032</v>
      </c>
      <c r="R134" s="6">
        <v>217.69486</v>
      </c>
      <c r="S134" s="6">
        <v>0.00075123</v>
      </c>
      <c r="T134" s="6">
        <v>169.97573</v>
      </c>
      <c r="U134" s="6">
        <v>0.0006648</v>
      </c>
      <c r="V134" s="6">
        <v>197.11803</v>
      </c>
      <c r="W134" s="6">
        <v>0.00074246</v>
      </c>
      <c r="X134" s="6">
        <v>134.47093</v>
      </c>
      <c r="Y134" s="6">
        <v>0.00070531</v>
      </c>
      <c r="Z134" s="6">
        <v>134.86767</v>
      </c>
      <c r="AA134" s="6">
        <v>0.00075016</v>
      </c>
      <c r="AB134" s="6">
        <v>294.9318</v>
      </c>
      <c r="AC134" s="6">
        <v>0.00074218</v>
      </c>
      <c r="AD134" s="6">
        <v>243.86163</v>
      </c>
      <c r="AE134" s="6">
        <v>0.00071271</v>
      </c>
      <c r="AF134" s="6">
        <v>775</v>
      </c>
      <c r="AG134" s="6">
        <v>-0.0054042</v>
      </c>
      <c r="AH134" s="6">
        <v>-0.00486371</v>
      </c>
      <c r="AI134" s="6">
        <v>-0.00534984</v>
      </c>
      <c r="AJ134" s="6">
        <v>-0.00511832</v>
      </c>
      <c r="AK134" s="6">
        <v>-0.00539755</v>
      </c>
      <c r="AL134" s="6">
        <v>-0.00534809</v>
      </c>
      <c r="AM134" s="6">
        <v>-0.00516462</v>
      </c>
      <c r="AN134" s="6">
        <v>-6.4762184</v>
      </c>
      <c r="AO134" s="6">
        <v>-6.4515561</v>
      </c>
      <c r="AP134" s="6">
        <v>-6.4739881</v>
      </c>
      <c r="AQ134" s="6">
        <v>-6.4253629</v>
      </c>
      <c r="AR134" s="6">
        <v>-6.4020076</v>
      </c>
      <c r="AS134" s="6">
        <v>-6.4618417</v>
      </c>
      <c r="AT134" s="6">
        <v>-6.4506396</v>
      </c>
      <c r="AU134" s="6">
        <v>0.97344833</v>
      </c>
      <c r="AV134" s="6">
        <v>0.96974131</v>
      </c>
      <c r="AW134" s="6">
        <v>0.97311308</v>
      </c>
      <c r="AX134" s="6">
        <v>0.96580418</v>
      </c>
      <c r="AY134" s="6">
        <v>0.96229362</v>
      </c>
      <c r="AZ134" s="6">
        <v>0.97128734</v>
      </c>
      <c r="BA134" s="6">
        <v>0.96960354</v>
      </c>
      <c r="BB134" s="6">
        <v>0.02655167</v>
      </c>
      <c r="BC134" s="6">
        <v>0.03025869</v>
      </c>
      <c r="BD134" s="6">
        <v>0.02688692</v>
      </c>
      <c r="BE134" s="6">
        <v>0.03419582</v>
      </c>
      <c r="BF134" s="6">
        <v>0.03770638</v>
      </c>
      <c r="BG134" s="6">
        <v>0.02871266</v>
      </c>
      <c r="BH134" s="6">
        <v>0.03039646</v>
      </c>
      <c r="BI134" s="6">
        <v>0.21470859</v>
      </c>
      <c r="BJ134" s="6">
        <v>0.12366373</v>
      </c>
      <c r="BK134" s="6">
        <v>0.1409291</v>
      </c>
      <c r="BL134" s="6">
        <v>0.12522516</v>
      </c>
      <c r="BM134" s="6">
        <v>0.1592662</v>
      </c>
      <c r="BN134" s="6">
        <v>0.17561655</v>
      </c>
      <c r="BO134" s="6">
        <v>0.1337285</v>
      </c>
      <c r="BP134" s="6">
        <v>0.14157076</v>
      </c>
      <c r="BQ134" s="6">
        <v>0.02022385</v>
      </c>
      <c r="BR134" s="6">
        <v>0.01592504</v>
      </c>
      <c r="BS134" s="6">
        <v>0.01832703</v>
      </c>
      <c r="BT134" s="6">
        <v>0.0151053</v>
      </c>
      <c r="BU134" s="6">
        <v>0.01776744</v>
      </c>
      <c r="BV134" s="6">
        <v>0.02927217</v>
      </c>
      <c r="BW134" s="6">
        <v>0.02460545</v>
      </c>
      <c r="BX134" s="12">
        <v>14214</v>
      </c>
      <c r="BY134" s="13">
        <v>8127</v>
      </c>
      <c r="BZ134" s="12">
        <v>10562.39</v>
      </c>
      <c r="CA134" s="6">
        <f t="shared" si="10"/>
        <v>1.74898486526394</v>
      </c>
      <c r="CB134" s="6">
        <f t="shared" si="11"/>
        <v>1.34571815659145</v>
      </c>
      <c r="CC134" s="7">
        <v>208402071.8</v>
      </c>
      <c r="CD134" s="7">
        <f t="shared" si="12"/>
        <v>1.97305791397591</v>
      </c>
      <c r="CE134" s="8">
        <v>849.6</v>
      </c>
      <c r="CF134" s="8">
        <v>2057.4</v>
      </c>
      <c r="CG134" s="8">
        <v>2170.4</v>
      </c>
      <c r="CH134" s="8">
        <v>11287</v>
      </c>
      <c r="CI134" s="14">
        <v>0</v>
      </c>
      <c r="CJ134" s="14">
        <v>0</v>
      </c>
      <c r="CK134" s="14">
        <f t="shared" si="13"/>
        <v>0</v>
      </c>
      <c r="CL134">
        <f t="shared" si="14"/>
        <v>3.23986794305777</v>
      </c>
      <c r="CM134">
        <f t="shared" si="15"/>
        <v>0.391006686490515</v>
      </c>
      <c r="CN134" s="15">
        <v>13685.19</v>
      </c>
      <c r="CO134" s="15">
        <v>9450.11</v>
      </c>
      <c r="CP134" s="15">
        <v>1144.05</v>
      </c>
      <c r="CQ134" s="15">
        <v>239.95</v>
      </c>
      <c r="CR134" s="15">
        <v>330.44</v>
      </c>
      <c r="CS134" s="15">
        <v>128.62</v>
      </c>
      <c r="CT134" s="15">
        <v>394.23</v>
      </c>
      <c r="CU134" s="15">
        <v>7.17</v>
      </c>
      <c r="CV134" s="15">
        <v>112.15</v>
      </c>
      <c r="CW134" s="15">
        <v>1177.5</v>
      </c>
    </row>
    <row r="135" spans="1:101">
      <c r="A135" s="6">
        <v>2008</v>
      </c>
      <c r="B135" s="6" t="s">
        <v>105</v>
      </c>
      <c r="C135" s="6">
        <v>0.13927213</v>
      </c>
      <c r="D135" s="6">
        <v>0.026864</v>
      </c>
      <c r="E135" s="6">
        <v>0.00684</v>
      </c>
      <c r="F135" s="6">
        <v>0.012241</v>
      </c>
      <c r="G135" s="6">
        <v>0.004164</v>
      </c>
      <c r="H135" s="6">
        <v>0.00362</v>
      </c>
      <c r="I135" s="6">
        <v>0.029041</v>
      </c>
      <c r="J135" s="6">
        <v>0.013616</v>
      </c>
      <c r="K135" s="6">
        <v>0.15915472</v>
      </c>
      <c r="L135" s="6">
        <v>0.12121195</v>
      </c>
      <c r="M135" s="6">
        <v>0.14521876</v>
      </c>
      <c r="N135" s="6">
        <v>0.09459919</v>
      </c>
      <c r="O135" s="6">
        <v>0.07619391</v>
      </c>
      <c r="P135" s="6">
        <v>0.23368177</v>
      </c>
      <c r="Q135" s="6">
        <v>0.17394734</v>
      </c>
      <c r="R135" s="6">
        <v>217.69486</v>
      </c>
      <c r="S135" s="6">
        <v>0.00073109</v>
      </c>
      <c r="T135" s="6">
        <v>169.97573</v>
      </c>
      <c r="U135" s="6">
        <v>0.00071311</v>
      </c>
      <c r="V135" s="6">
        <v>197.11803</v>
      </c>
      <c r="W135" s="6">
        <v>0.00073671</v>
      </c>
      <c r="X135" s="6">
        <v>134.47093</v>
      </c>
      <c r="Y135" s="6">
        <v>0.00070349</v>
      </c>
      <c r="Z135" s="6">
        <v>134.86767</v>
      </c>
      <c r="AA135" s="6">
        <v>0.00056495</v>
      </c>
      <c r="AB135" s="6">
        <v>294.9318</v>
      </c>
      <c r="AC135" s="6">
        <v>0.00079232</v>
      </c>
      <c r="AD135" s="6">
        <v>243.86163</v>
      </c>
      <c r="AE135" s="6">
        <v>0.0007133</v>
      </c>
      <c r="AF135" s="6">
        <v>775</v>
      </c>
      <c r="AG135" s="6">
        <v>-0.00527919</v>
      </c>
      <c r="AH135" s="6">
        <v>-0.00516713</v>
      </c>
      <c r="AI135" s="6">
        <v>-0.00531412</v>
      </c>
      <c r="AJ135" s="6">
        <v>-0.00510697</v>
      </c>
      <c r="AK135" s="6">
        <v>-0.00422515</v>
      </c>
      <c r="AL135" s="6">
        <v>-0.00565763</v>
      </c>
      <c r="AM135" s="6">
        <v>-0.00516831</v>
      </c>
      <c r="AN135" s="6">
        <v>-6.4762184</v>
      </c>
      <c r="AO135" s="6">
        <v>-6.4515561</v>
      </c>
      <c r="AP135" s="6">
        <v>-6.4739881</v>
      </c>
      <c r="AQ135" s="6">
        <v>-6.4253629</v>
      </c>
      <c r="AR135" s="6">
        <v>-6.4020076</v>
      </c>
      <c r="AS135" s="6">
        <v>-6.4618417</v>
      </c>
      <c r="AT135" s="6">
        <v>-6.4506396</v>
      </c>
      <c r="AU135" s="6">
        <v>0.97344833</v>
      </c>
      <c r="AV135" s="6">
        <v>0.96974131</v>
      </c>
      <c r="AW135" s="6">
        <v>0.97311308</v>
      </c>
      <c r="AX135" s="6">
        <v>0.96580418</v>
      </c>
      <c r="AY135" s="6">
        <v>0.96229362</v>
      </c>
      <c r="AZ135" s="6">
        <v>0.97128734</v>
      </c>
      <c r="BA135" s="6">
        <v>0.96960354</v>
      </c>
      <c r="BB135" s="6">
        <v>0.02655167</v>
      </c>
      <c r="BC135" s="6">
        <v>0.03025869</v>
      </c>
      <c r="BD135" s="6">
        <v>0.02688692</v>
      </c>
      <c r="BE135" s="6">
        <v>0.03419582</v>
      </c>
      <c r="BF135" s="6">
        <v>0.03770638</v>
      </c>
      <c r="BG135" s="6">
        <v>0.02871266</v>
      </c>
      <c r="BH135" s="6">
        <v>0.03039646</v>
      </c>
      <c r="BI135" s="6">
        <v>0.21470859</v>
      </c>
      <c r="BJ135" s="6">
        <v>0.12366373</v>
      </c>
      <c r="BK135" s="6">
        <v>0.1409291</v>
      </c>
      <c r="BL135" s="6">
        <v>0.12522516</v>
      </c>
      <c r="BM135" s="6">
        <v>0.1592662</v>
      </c>
      <c r="BN135" s="6">
        <v>0.17561655</v>
      </c>
      <c r="BO135" s="6">
        <v>0.1337285</v>
      </c>
      <c r="BP135" s="6">
        <v>0.14157076</v>
      </c>
      <c r="BQ135" s="6">
        <v>0.01968167</v>
      </c>
      <c r="BR135" s="6">
        <v>0.01708229</v>
      </c>
      <c r="BS135" s="6">
        <v>0.01818504</v>
      </c>
      <c r="BT135" s="6">
        <v>0.01506645</v>
      </c>
      <c r="BU135" s="6">
        <v>0.01338091</v>
      </c>
      <c r="BV135" s="6">
        <v>0.03124991</v>
      </c>
      <c r="BW135" s="6">
        <v>0.02462586</v>
      </c>
      <c r="BX135" s="12">
        <v>15145</v>
      </c>
      <c r="BY135" s="13">
        <v>8138</v>
      </c>
      <c r="BZ135" s="12">
        <v>12601.23</v>
      </c>
      <c r="CA135" s="6">
        <f t="shared" si="10"/>
        <v>1.86102236421725</v>
      </c>
      <c r="CB135" s="6">
        <f t="shared" si="11"/>
        <v>1.20186680189156</v>
      </c>
      <c r="CC135" s="7">
        <v>209387634.1</v>
      </c>
      <c r="CD135" s="7">
        <f t="shared" si="12"/>
        <v>1.66164441169632</v>
      </c>
      <c r="CE135" s="8">
        <v>1001.9</v>
      </c>
      <c r="CF135" s="8">
        <v>2476.1</v>
      </c>
      <c r="CG135" s="8">
        <v>2538.6</v>
      </c>
      <c r="CH135" s="8">
        <v>13286</v>
      </c>
      <c r="CI135" s="14">
        <v>0</v>
      </c>
      <c r="CJ135" s="14">
        <v>0</v>
      </c>
      <c r="CK135" s="14">
        <f t="shared" si="13"/>
        <v>0</v>
      </c>
      <c r="CL135">
        <f t="shared" si="14"/>
        <v>2.71728515287532</v>
      </c>
      <c r="CM135">
        <f t="shared" si="15"/>
        <v>0.388490968664795</v>
      </c>
      <c r="CN135" s="15">
        <v>15145</v>
      </c>
      <c r="CO135" s="15">
        <v>10727</v>
      </c>
      <c r="CP135" s="15">
        <v>1119.1</v>
      </c>
      <c r="CQ135" s="15">
        <v>285.49</v>
      </c>
      <c r="CR135" s="15">
        <v>375.92</v>
      </c>
      <c r="CS135" s="15">
        <v>126.61</v>
      </c>
      <c r="CT135" s="15">
        <v>473.94</v>
      </c>
      <c r="CU135" s="15">
        <v>12.6</v>
      </c>
      <c r="CV135" s="15">
        <v>108.94</v>
      </c>
      <c r="CW135" s="15">
        <v>1213.29</v>
      </c>
    </row>
    <row r="136" spans="1:101">
      <c r="A136" s="6">
        <v>2009</v>
      </c>
      <c r="B136" s="6" t="s">
        <v>105</v>
      </c>
      <c r="C136" s="6">
        <v>0.15821499</v>
      </c>
      <c r="D136" s="6">
        <v>0.030341</v>
      </c>
      <c r="E136" s="6">
        <v>0.00782</v>
      </c>
      <c r="F136" s="6">
        <v>0.013997</v>
      </c>
      <c r="G136" s="6">
        <v>0.004394</v>
      </c>
      <c r="H136" s="6">
        <v>0.00413</v>
      </c>
      <c r="I136" s="6">
        <v>0.030734</v>
      </c>
      <c r="J136" s="6">
        <v>0.014646</v>
      </c>
      <c r="K136" s="6">
        <v>0.18642921</v>
      </c>
      <c r="L136" s="6">
        <v>0.14438633</v>
      </c>
      <c r="M136" s="6">
        <v>0.17221569</v>
      </c>
      <c r="N136" s="6">
        <v>0.10139768</v>
      </c>
      <c r="O136" s="6">
        <v>0.09166102</v>
      </c>
      <c r="P136" s="6">
        <v>0.25253841</v>
      </c>
      <c r="Q136" s="6">
        <v>0.19233127</v>
      </c>
      <c r="R136" s="6">
        <v>217.69486</v>
      </c>
      <c r="S136" s="6">
        <v>0.00085638</v>
      </c>
      <c r="T136" s="6">
        <v>169.97573</v>
      </c>
      <c r="U136" s="6">
        <v>0.00084945</v>
      </c>
      <c r="V136" s="6">
        <v>197.11803</v>
      </c>
      <c r="W136" s="6">
        <v>0.00087367</v>
      </c>
      <c r="X136" s="6">
        <v>134.47093</v>
      </c>
      <c r="Y136" s="6">
        <v>0.00075405</v>
      </c>
      <c r="Z136" s="6">
        <v>134.86767</v>
      </c>
      <c r="AA136" s="6">
        <v>0.00067964</v>
      </c>
      <c r="AB136" s="6">
        <v>294.9318</v>
      </c>
      <c r="AC136" s="6">
        <v>0.00085626</v>
      </c>
      <c r="AD136" s="6">
        <v>243.86163</v>
      </c>
      <c r="AE136" s="6">
        <v>0.00078869</v>
      </c>
      <c r="AF136" s="6">
        <v>775</v>
      </c>
      <c r="AG136" s="6">
        <v>-0.00604843</v>
      </c>
      <c r="AH136" s="6">
        <v>-0.00600641</v>
      </c>
      <c r="AI136" s="6">
        <v>-0.00615308</v>
      </c>
      <c r="AJ136" s="6">
        <v>-0.00542165</v>
      </c>
      <c r="AK136" s="6">
        <v>-0.00495724</v>
      </c>
      <c r="AL136" s="6">
        <v>-0.00604771</v>
      </c>
      <c r="AM136" s="6">
        <v>-0.0056353</v>
      </c>
      <c r="AN136" s="6">
        <v>-6.4762184</v>
      </c>
      <c r="AO136" s="6">
        <v>-6.4515561</v>
      </c>
      <c r="AP136" s="6">
        <v>-6.4739881</v>
      </c>
      <c r="AQ136" s="6">
        <v>-6.4253629</v>
      </c>
      <c r="AR136" s="6">
        <v>-6.4020076</v>
      </c>
      <c r="AS136" s="6">
        <v>-6.4618417</v>
      </c>
      <c r="AT136" s="6">
        <v>-6.4506396</v>
      </c>
      <c r="AU136" s="6">
        <v>0.97344833</v>
      </c>
      <c r="AV136" s="6">
        <v>0.96974131</v>
      </c>
      <c r="AW136" s="6">
        <v>0.97311308</v>
      </c>
      <c r="AX136" s="6">
        <v>0.96580418</v>
      </c>
      <c r="AY136" s="6">
        <v>0.96229362</v>
      </c>
      <c r="AZ136" s="6">
        <v>0.97128734</v>
      </c>
      <c r="BA136" s="6">
        <v>0.96960354</v>
      </c>
      <c r="BB136" s="6">
        <v>0.02655167</v>
      </c>
      <c r="BC136" s="6">
        <v>0.03025869</v>
      </c>
      <c r="BD136" s="6">
        <v>0.02688692</v>
      </c>
      <c r="BE136" s="6">
        <v>0.03419582</v>
      </c>
      <c r="BF136" s="6">
        <v>0.03770638</v>
      </c>
      <c r="BG136" s="6">
        <v>0.02871266</v>
      </c>
      <c r="BH136" s="6">
        <v>0.03039646</v>
      </c>
      <c r="BI136" s="6">
        <v>0.21470859</v>
      </c>
      <c r="BJ136" s="6">
        <v>0.12366373</v>
      </c>
      <c r="BK136" s="6">
        <v>0.1409291</v>
      </c>
      <c r="BL136" s="6">
        <v>0.12522516</v>
      </c>
      <c r="BM136" s="6">
        <v>0.1592662</v>
      </c>
      <c r="BN136" s="6">
        <v>0.17561655</v>
      </c>
      <c r="BO136" s="6">
        <v>0.1337285</v>
      </c>
      <c r="BP136" s="6">
        <v>0.14157076</v>
      </c>
      <c r="BQ136" s="6">
        <v>0.02305453</v>
      </c>
      <c r="BR136" s="6">
        <v>0.02034823</v>
      </c>
      <c r="BS136" s="6">
        <v>0.02156574</v>
      </c>
      <c r="BT136" s="6">
        <v>0.01614922</v>
      </c>
      <c r="BU136" s="6">
        <v>0.01609719</v>
      </c>
      <c r="BV136" s="6">
        <v>0.03377158</v>
      </c>
      <c r="BW136" s="6">
        <v>0.02722848</v>
      </c>
      <c r="BX136" s="12">
        <v>16322</v>
      </c>
      <c r="BY136" s="13">
        <v>8185</v>
      </c>
      <c r="BZ136" s="12">
        <v>14151.28</v>
      </c>
      <c r="CA136" s="6">
        <f t="shared" si="10"/>
        <v>1.99413561392792</v>
      </c>
      <c r="CB136" s="6">
        <f t="shared" si="11"/>
        <v>1.15339389793715</v>
      </c>
      <c r="CC136" s="7">
        <v>215846443.7</v>
      </c>
      <c r="CD136" s="7">
        <f t="shared" si="12"/>
        <v>1.52527858752</v>
      </c>
      <c r="CE136" s="8">
        <v>1049.7</v>
      </c>
      <c r="CF136" s="8">
        <v>2605.4</v>
      </c>
      <c r="CG136" s="8">
        <v>2919.3</v>
      </c>
      <c r="CH136" s="8">
        <v>14427</v>
      </c>
      <c r="CI136" s="14">
        <v>0</v>
      </c>
      <c r="CJ136" s="14">
        <v>0</v>
      </c>
      <c r="CK136" s="14">
        <f t="shared" si="13"/>
        <v>0</v>
      </c>
      <c r="CL136">
        <f t="shared" si="14"/>
        <v>2.66960201713366</v>
      </c>
      <c r="CM136">
        <f t="shared" si="15"/>
        <v>0.428649447471692</v>
      </c>
      <c r="CN136" s="15">
        <v>16322</v>
      </c>
      <c r="CO136" s="15">
        <v>12147</v>
      </c>
      <c r="CP136" s="15">
        <v>1121.99</v>
      </c>
      <c r="CQ136" s="15">
        <v>315.68</v>
      </c>
      <c r="CR136" s="15">
        <v>462.92</v>
      </c>
      <c r="CS136" s="15">
        <v>155.07</v>
      </c>
      <c r="CT136" s="15">
        <v>538.46</v>
      </c>
      <c r="CU136" s="15">
        <v>13.34</v>
      </c>
      <c r="CV136" s="15">
        <v>126.99</v>
      </c>
      <c r="CW136" s="15">
        <v>1361.87</v>
      </c>
    </row>
    <row r="137" spans="1:101">
      <c r="A137" s="6">
        <v>2010</v>
      </c>
      <c r="B137" s="6" t="s">
        <v>105</v>
      </c>
      <c r="C137" s="6">
        <v>0.16333483</v>
      </c>
      <c r="D137" s="6">
        <v>0.029283</v>
      </c>
      <c r="E137" s="6">
        <v>0.007384</v>
      </c>
      <c r="F137" s="6">
        <v>0.012815</v>
      </c>
      <c r="G137" s="6">
        <v>0.004218</v>
      </c>
      <c r="H137" s="6">
        <v>0.004866</v>
      </c>
      <c r="I137" s="6">
        <v>0.032567</v>
      </c>
      <c r="J137" s="6">
        <v>0.016252</v>
      </c>
      <c r="K137" s="6">
        <v>0.17812677</v>
      </c>
      <c r="L137" s="6">
        <v>0.13409033</v>
      </c>
      <c r="M137" s="6">
        <v>0.15404097</v>
      </c>
      <c r="N137" s="6">
        <v>0.09618366</v>
      </c>
      <c r="O137" s="6">
        <v>0.11396367</v>
      </c>
      <c r="P137" s="6">
        <v>0.27295149</v>
      </c>
      <c r="Q137" s="6">
        <v>0.22099103</v>
      </c>
      <c r="R137" s="6">
        <v>217.69486</v>
      </c>
      <c r="S137" s="6">
        <v>0.00081824</v>
      </c>
      <c r="T137" s="6">
        <v>169.97573</v>
      </c>
      <c r="U137" s="6">
        <v>0.00078888</v>
      </c>
      <c r="V137" s="6">
        <v>197.11803</v>
      </c>
      <c r="W137" s="6">
        <v>0.00078147</v>
      </c>
      <c r="X137" s="6">
        <v>134.47093</v>
      </c>
      <c r="Y137" s="6">
        <v>0.00071527</v>
      </c>
      <c r="Z137" s="6">
        <v>134.86767</v>
      </c>
      <c r="AA137" s="6">
        <v>0.000845</v>
      </c>
      <c r="AB137" s="6">
        <v>294.9318</v>
      </c>
      <c r="AC137" s="6">
        <v>0.00092547</v>
      </c>
      <c r="AD137" s="6">
        <v>243.86163</v>
      </c>
      <c r="AE137" s="6">
        <v>0.00090621</v>
      </c>
      <c r="AF137" s="6">
        <v>775</v>
      </c>
      <c r="AG137" s="6">
        <v>-0.00581634</v>
      </c>
      <c r="AH137" s="6">
        <v>-0.00563646</v>
      </c>
      <c r="AI137" s="6">
        <v>-0.00559087</v>
      </c>
      <c r="AJ137" s="6">
        <v>-0.00518062</v>
      </c>
      <c r="AK137" s="6">
        <v>-0.00597939</v>
      </c>
      <c r="AL137" s="6">
        <v>-0.00646462</v>
      </c>
      <c r="AM137" s="6">
        <v>-0.00634915</v>
      </c>
      <c r="AN137" s="6">
        <v>-6.4762184</v>
      </c>
      <c r="AO137" s="6">
        <v>-6.4515561</v>
      </c>
      <c r="AP137" s="6">
        <v>-6.4739881</v>
      </c>
      <c r="AQ137" s="6">
        <v>-6.4253629</v>
      </c>
      <c r="AR137" s="6">
        <v>-6.4020076</v>
      </c>
      <c r="AS137" s="6">
        <v>-6.4618417</v>
      </c>
      <c r="AT137" s="6">
        <v>-6.4506396</v>
      </c>
      <c r="AU137" s="6">
        <v>0.97344833</v>
      </c>
      <c r="AV137" s="6">
        <v>0.96974131</v>
      </c>
      <c r="AW137" s="6">
        <v>0.97311308</v>
      </c>
      <c r="AX137" s="6">
        <v>0.96580418</v>
      </c>
      <c r="AY137" s="6">
        <v>0.96229362</v>
      </c>
      <c r="AZ137" s="6">
        <v>0.97128734</v>
      </c>
      <c r="BA137" s="6">
        <v>0.96960354</v>
      </c>
      <c r="BB137" s="6">
        <v>0.02655167</v>
      </c>
      <c r="BC137" s="6">
        <v>0.03025869</v>
      </c>
      <c r="BD137" s="6">
        <v>0.02688692</v>
      </c>
      <c r="BE137" s="6">
        <v>0.03419582</v>
      </c>
      <c r="BF137" s="6">
        <v>0.03770638</v>
      </c>
      <c r="BG137" s="6">
        <v>0.02871266</v>
      </c>
      <c r="BH137" s="6">
        <v>0.03039646</v>
      </c>
      <c r="BI137" s="6">
        <v>0.21470859</v>
      </c>
      <c r="BJ137" s="6">
        <v>0.12366373</v>
      </c>
      <c r="BK137" s="6">
        <v>0.1409291</v>
      </c>
      <c r="BL137" s="6">
        <v>0.12522516</v>
      </c>
      <c r="BM137" s="6">
        <v>0.1592662</v>
      </c>
      <c r="BN137" s="6">
        <v>0.17561655</v>
      </c>
      <c r="BO137" s="6">
        <v>0.1337285</v>
      </c>
      <c r="BP137" s="6">
        <v>0.14157076</v>
      </c>
      <c r="BQ137" s="6">
        <v>0.02202782</v>
      </c>
      <c r="BR137" s="6">
        <v>0.01889723</v>
      </c>
      <c r="BS137" s="6">
        <v>0.01928981</v>
      </c>
      <c r="BT137" s="6">
        <v>0.01531881</v>
      </c>
      <c r="BU137" s="6">
        <v>0.02001391</v>
      </c>
      <c r="BV137" s="6">
        <v>0.03650139</v>
      </c>
      <c r="BW137" s="6">
        <v>0.03128587</v>
      </c>
      <c r="BX137" s="12">
        <v>17892</v>
      </c>
      <c r="BY137" s="13">
        <v>8044.92</v>
      </c>
      <c r="BZ137" s="12">
        <v>17185.48</v>
      </c>
      <c r="CA137" s="6">
        <f t="shared" si="10"/>
        <v>2.22401217165615</v>
      </c>
      <c r="CB137" s="6">
        <f t="shared" si="11"/>
        <v>1.0411114498984</v>
      </c>
      <c r="CC137" s="7">
        <v>226354139.9</v>
      </c>
      <c r="CD137" s="7">
        <f t="shared" si="12"/>
        <v>1.3171243392678</v>
      </c>
      <c r="CE137" s="8">
        <v>1090.3</v>
      </c>
      <c r="CF137" s="8">
        <v>3267.7</v>
      </c>
      <c r="CG137" s="8">
        <v>3377.3</v>
      </c>
      <c r="CH137" s="8">
        <v>16866</v>
      </c>
      <c r="CI137" s="14">
        <v>0</v>
      </c>
      <c r="CJ137" s="14">
        <v>0</v>
      </c>
      <c r="CK137" s="14">
        <f t="shared" si="13"/>
        <v>0</v>
      </c>
      <c r="CL137">
        <f t="shared" si="14"/>
        <v>2.40850270516871</v>
      </c>
      <c r="CM137">
        <f t="shared" si="15"/>
        <v>0.45313561971875</v>
      </c>
      <c r="CN137" s="15">
        <v>17891.83</v>
      </c>
      <c r="CO137" s="15">
        <v>11520.4</v>
      </c>
      <c r="CP137" s="15">
        <v>1353.64</v>
      </c>
      <c r="CQ137" s="15">
        <v>351.76</v>
      </c>
      <c r="CR137" s="15">
        <v>541.82</v>
      </c>
      <c r="CS137" s="15">
        <v>173.31</v>
      </c>
      <c r="CT137" s="15">
        <v>525.1</v>
      </c>
      <c r="CU137" s="15">
        <v>62.82</v>
      </c>
      <c r="CV137" s="15">
        <v>175.26</v>
      </c>
      <c r="CW137" s="15">
        <v>1549.03</v>
      </c>
    </row>
    <row r="138" spans="1:101">
      <c r="A138" s="6">
        <v>2011</v>
      </c>
      <c r="B138" s="6" t="s">
        <v>105</v>
      </c>
      <c r="C138" s="6">
        <v>0.1776285</v>
      </c>
      <c r="D138" s="6">
        <v>0.034703</v>
      </c>
      <c r="E138" s="6">
        <v>0.008487</v>
      </c>
      <c r="F138" s="6">
        <v>0.015681</v>
      </c>
      <c r="G138" s="6">
        <v>0.00498</v>
      </c>
      <c r="H138" s="6">
        <v>0.005555</v>
      </c>
      <c r="I138" s="6">
        <v>0.030308</v>
      </c>
      <c r="J138" s="6">
        <v>0.014649</v>
      </c>
      <c r="K138" s="6">
        <v>0.22064571</v>
      </c>
      <c r="L138" s="6">
        <v>0.16014795</v>
      </c>
      <c r="M138" s="6">
        <v>0.19809407</v>
      </c>
      <c r="N138" s="6">
        <v>0.11872736</v>
      </c>
      <c r="O138" s="6">
        <v>0.13485807</v>
      </c>
      <c r="P138" s="6">
        <v>0.24779543</v>
      </c>
      <c r="Q138" s="6">
        <v>0.19239065</v>
      </c>
      <c r="R138" s="6">
        <v>217.69486</v>
      </c>
      <c r="S138" s="6">
        <v>0.00101355</v>
      </c>
      <c r="T138" s="6">
        <v>169.97573</v>
      </c>
      <c r="U138" s="6">
        <v>0.00094218</v>
      </c>
      <c r="V138" s="6">
        <v>197.11803</v>
      </c>
      <c r="W138" s="6">
        <v>0.00100495</v>
      </c>
      <c r="X138" s="6">
        <v>134.47093</v>
      </c>
      <c r="Y138" s="6">
        <v>0.00088292</v>
      </c>
      <c r="Z138" s="6">
        <v>134.86767</v>
      </c>
      <c r="AA138" s="6">
        <v>0.00099993</v>
      </c>
      <c r="AB138" s="6">
        <v>294.9318</v>
      </c>
      <c r="AC138" s="6">
        <v>0.00084018</v>
      </c>
      <c r="AD138" s="6">
        <v>243.86163</v>
      </c>
      <c r="AE138" s="6">
        <v>0.00078893</v>
      </c>
      <c r="AF138" s="6">
        <v>775</v>
      </c>
      <c r="AG138" s="6">
        <v>-0.00698774</v>
      </c>
      <c r="AH138" s="6">
        <v>-0.00656447</v>
      </c>
      <c r="AI138" s="6">
        <v>-0.006937</v>
      </c>
      <c r="AJ138" s="6">
        <v>-0.00620895</v>
      </c>
      <c r="AK138" s="6">
        <v>-0.00690733</v>
      </c>
      <c r="AL138" s="6">
        <v>-0.00595006</v>
      </c>
      <c r="AM138" s="6">
        <v>-0.0056368</v>
      </c>
      <c r="AN138" s="6">
        <v>-6.4762184</v>
      </c>
      <c r="AO138" s="6">
        <v>-6.4515561</v>
      </c>
      <c r="AP138" s="6">
        <v>-6.4739881</v>
      </c>
      <c r="AQ138" s="6">
        <v>-6.4253629</v>
      </c>
      <c r="AR138" s="6">
        <v>-6.4020076</v>
      </c>
      <c r="AS138" s="6">
        <v>-6.4618417</v>
      </c>
      <c r="AT138" s="6">
        <v>-6.4506396</v>
      </c>
      <c r="AU138" s="6">
        <v>0.97344833</v>
      </c>
      <c r="AV138" s="6">
        <v>0.96974131</v>
      </c>
      <c r="AW138" s="6">
        <v>0.97311308</v>
      </c>
      <c r="AX138" s="6">
        <v>0.96580418</v>
      </c>
      <c r="AY138" s="6">
        <v>0.96229362</v>
      </c>
      <c r="AZ138" s="6">
        <v>0.97128734</v>
      </c>
      <c r="BA138" s="6">
        <v>0.96960354</v>
      </c>
      <c r="BB138" s="6">
        <v>0.02655167</v>
      </c>
      <c r="BC138" s="6">
        <v>0.03025869</v>
      </c>
      <c r="BD138" s="6">
        <v>0.02688692</v>
      </c>
      <c r="BE138" s="6">
        <v>0.03419582</v>
      </c>
      <c r="BF138" s="6">
        <v>0.03770638</v>
      </c>
      <c r="BG138" s="6">
        <v>0.02871266</v>
      </c>
      <c r="BH138" s="6">
        <v>0.03039646</v>
      </c>
      <c r="BI138" s="6">
        <v>0.21470859</v>
      </c>
      <c r="BJ138" s="6">
        <v>0.12366373</v>
      </c>
      <c r="BK138" s="6">
        <v>0.1409291</v>
      </c>
      <c r="BL138" s="6">
        <v>0.12522516</v>
      </c>
      <c r="BM138" s="6">
        <v>0.1592662</v>
      </c>
      <c r="BN138" s="6">
        <v>0.17561655</v>
      </c>
      <c r="BO138" s="6">
        <v>0.1337285</v>
      </c>
      <c r="BP138" s="6">
        <v>0.14157076</v>
      </c>
      <c r="BQ138" s="6">
        <v>0.02728587</v>
      </c>
      <c r="BR138" s="6">
        <v>0.02256951</v>
      </c>
      <c r="BS138" s="6">
        <v>0.02480636</v>
      </c>
      <c r="BT138" s="6">
        <v>0.01890926</v>
      </c>
      <c r="BU138" s="6">
        <v>0.02368331</v>
      </c>
      <c r="BV138" s="6">
        <v>0.03313731</v>
      </c>
      <c r="BW138" s="6">
        <v>0.02723689</v>
      </c>
      <c r="BX138" s="12">
        <v>19696</v>
      </c>
      <c r="BY138" s="13">
        <v>8064</v>
      </c>
      <c r="BZ138" s="12">
        <v>21026.68</v>
      </c>
      <c r="CA138" s="6">
        <f t="shared" si="10"/>
        <v>2.44246031746032</v>
      </c>
      <c r="CB138" s="6">
        <f t="shared" si="11"/>
        <v>0.936714688196139</v>
      </c>
      <c r="CC138" s="7">
        <v>254049391.1</v>
      </c>
      <c r="CD138" s="7">
        <f t="shared" si="12"/>
        <v>1.20822398543184</v>
      </c>
      <c r="CE138" s="8">
        <v>1396.6</v>
      </c>
      <c r="CF138" s="8">
        <v>3811.4</v>
      </c>
      <c r="CG138" s="8">
        <v>4315.1</v>
      </c>
      <c r="CH138" s="8">
        <v>20653</v>
      </c>
      <c r="CI138" s="14">
        <v>0</v>
      </c>
      <c r="CJ138" s="14">
        <v>0</v>
      </c>
      <c r="CK138" s="14">
        <f t="shared" si="13"/>
        <v>0</v>
      </c>
      <c r="CL138">
        <f t="shared" si="14"/>
        <v>2.18035126729488</v>
      </c>
      <c r="CM138">
        <f t="shared" si="15"/>
        <v>0.445858103895864</v>
      </c>
      <c r="CN138" s="15">
        <v>19696</v>
      </c>
      <c r="CO138" s="15">
        <v>11454</v>
      </c>
      <c r="CP138" s="15">
        <v>1438.85</v>
      </c>
      <c r="CQ138" s="15">
        <v>361.75</v>
      </c>
      <c r="CR138" s="15">
        <v>642.08</v>
      </c>
      <c r="CS138" s="15">
        <v>206.24</v>
      </c>
      <c r="CT138" s="15">
        <v>576.52</v>
      </c>
      <c r="CU138" s="15">
        <v>70.45</v>
      </c>
      <c r="CV138" s="15">
        <v>156.08</v>
      </c>
      <c r="CW138" s="15">
        <v>1963</v>
      </c>
    </row>
    <row r="139" spans="1:101">
      <c r="A139" s="6">
        <v>2012</v>
      </c>
      <c r="B139" s="6" t="s">
        <v>105</v>
      </c>
      <c r="C139" s="6">
        <v>0.17528388</v>
      </c>
      <c r="D139" s="6">
        <v>0.033854</v>
      </c>
      <c r="E139" s="6">
        <v>0.008295</v>
      </c>
      <c r="F139" s="6">
        <v>0.015255</v>
      </c>
      <c r="G139" s="6">
        <v>0.005199</v>
      </c>
      <c r="H139" s="6">
        <v>0.005106</v>
      </c>
      <c r="I139" s="6">
        <v>0.03111</v>
      </c>
      <c r="J139" s="6">
        <v>0.014691</v>
      </c>
      <c r="K139" s="6">
        <v>0.21398835</v>
      </c>
      <c r="L139" s="6">
        <v>0.1556254</v>
      </c>
      <c r="M139" s="6">
        <v>0.1915414</v>
      </c>
      <c r="N139" s="6">
        <v>0.12517956</v>
      </c>
      <c r="O139" s="6">
        <v>0.1212402</v>
      </c>
      <c r="P139" s="6">
        <v>0.25672655</v>
      </c>
      <c r="Q139" s="6">
        <v>0.19314032</v>
      </c>
      <c r="R139" s="6">
        <v>217.69486</v>
      </c>
      <c r="S139" s="6">
        <v>0.00098297</v>
      </c>
      <c r="T139" s="6">
        <v>169.97573</v>
      </c>
      <c r="U139" s="6">
        <v>0.00091557</v>
      </c>
      <c r="V139" s="6">
        <v>197.11803</v>
      </c>
      <c r="W139" s="6">
        <v>0.00097171</v>
      </c>
      <c r="X139" s="6">
        <v>134.47093</v>
      </c>
      <c r="Y139" s="6">
        <v>0.0009309</v>
      </c>
      <c r="Z139" s="6">
        <v>134.86767</v>
      </c>
      <c r="AA139" s="6">
        <v>0.00089896</v>
      </c>
      <c r="AB139" s="6">
        <v>294.9318</v>
      </c>
      <c r="AC139" s="6">
        <v>0.00087046</v>
      </c>
      <c r="AD139" s="6">
        <v>243.86163</v>
      </c>
      <c r="AE139" s="6">
        <v>0.00079201</v>
      </c>
      <c r="AF139" s="6">
        <v>775</v>
      </c>
      <c r="AG139" s="6">
        <v>-0.00680702</v>
      </c>
      <c r="AH139" s="6">
        <v>-0.00640532</v>
      </c>
      <c r="AI139" s="6">
        <v>-0.00674022</v>
      </c>
      <c r="AJ139" s="6">
        <v>-0.00649711</v>
      </c>
      <c r="AK139" s="6">
        <v>-0.00630553</v>
      </c>
      <c r="AL139" s="6">
        <v>-0.00613369</v>
      </c>
      <c r="AM139" s="6">
        <v>-0.00565568</v>
      </c>
      <c r="AN139" s="6">
        <v>-6.4762184</v>
      </c>
      <c r="AO139" s="6">
        <v>-6.4515561</v>
      </c>
      <c r="AP139" s="6">
        <v>-6.4739881</v>
      </c>
      <c r="AQ139" s="6">
        <v>-6.4253629</v>
      </c>
      <c r="AR139" s="6">
        <v>-6.4020076</v>
      </c>
      <c r="AS139" s="6">
        <v>-6.4618417</v>
      </c>
      <c r="AT139" s="6">
        <v>-6.4506396</v>
      </c>
      <c r="AU139" s="6">
        <v>0.97344833</v>
      </c>
      <c r="AV139" s="6">
        <v>0.96974131</v>
      </c>
      <c r="AW139" s="6">
        <v>0.97311308</v>
      </c>
      <c r="AX139" s="6">
        <v>0.96580418</v>
      </c>
      <c r="AY139" s="6">
        <v>0.96229362</v>
      </c>
      <c r="AZ139" s="6">
        <v>0.97128734</v>
      </c>
      <c r="BA139" s="6">
        <v>0.96960354</v>
      </c>
      <c r="BB139" s="6">
        <v>0.02655167</v>
      </c>
      <c r="BC139" s="6">
        <v>0.03025869</v>
      </c>
      <c r="BD139" s="6">
        <v>0.02688692</v>
      </c>
      <c r="BE139" s="6">
        <v>0.03419582</v>
      </c>
      <c r="BF139" s="6">
        <v>0.03770638</v>
      </c>
      <c r="BG139" s="6">
        <v>0.02871266</v>
      </c>
      <c r="BH139" s="6">
        <v>0.03039646</v>
      </c>
      <c r="BI139" s="6">
        <v>0.21470859</v>
      </c>
      <c r="BJ139" s="6">
        <v>0.12366373</v>
      </c>
      <c r="BK139" s="6">
        <v>0.1409291</v>
      </c>
      <c r="BL139" s="6">
        <v>0.12522516</v>
      </c>
      <c r="BM139" s="6">
        <v>0.1592662</v>
      </c>
      <c r="BN139" s="6">
        <v>0.17561655</v>
      </c>
      <c r="BO139" s="6">
        <v>0.1337285</v>
      </c>
      <c r="BP139" s="6">
        <v>0.14157076</v>
      </c>
      <c r="BQ139" s="6">
        <v>0.0264626</v>
      </c>
      <c r="BR139" s="6">
        <v>0.02193215</v>
      </c>
      <c r="BS139" s="6">
        <v>0.0239858</v>
      </c>
      <c r="BT139" s="6">
        <v>0.01993687</v>
      </c>
      <c r="BU139" s="6">
        <v>0.02129178</v>
      </c>
      <c r="BV139" s="6">
        <v>0.03433166</v>
      </c>
      <c r="BW139" s="6">
        <v>0.02734302</v>
      </c>
      <c r="BX139" s="12">
        <v>20575</v>
      </c>
      <c r="BY139" s="13">
        <v>8085</v>
      </c>
      <c r="BZ139" s="12">
        <v>23872.8</v>
      </c>
      <c r="CA139" s="6">
        <f t="shared" si="10"/>
        <v>2.54483611626469</v>
      </c>
      <c r="CB139" s="6">
        <f t="shared" si="11"/>
        <v>0.861859522133977</v>
      </c>
      <c r="CC139" s="7">
        <v>258826777.5</v>
      </c>
      <c r="CD139" s="7">
        <f t="shared" si="12"/>
        <v>1.08419111918166</v>
      </c>
      <c r="CE139" s="8">
        <v>1640.4</v>
      </c>
      <c r="CF139" s="8">
        <v>4458.4</v>
      </c>
      <c r="CG139" s="8">
        <v>4998.6</v>
      </c>
      <c r="CH139" s="8">
        <v>23992</v>
      </c>
      <c r="CI139" s="14">
        <v>0</v>
      </c>
      <c r="CJ139" s="14">
        <v>0</v>
      </c>
      <c r="CK139" s="14">
        <f t="shared" si="13"/>
        <v>0</v>
      </c>
      <c r="CL139">
        <f t="shared" si="14"/>
        <v>2.01609935715007</v>
      </c>
      <c r="CM139">
        <f t="shared" si="15"/>
        <v>0.462233289576435</v>
      </c>
      <c r="CN139" s="15">
        <v>20575</v>
      </c>
      <c r="CO139" s="15">
        <v>11872</v>
      </c>
      <c r="CP139" s="15">
        <v>1562.85</v>
      </c>
      <c r="CQ139" s="15">
        <v>351.47</v>
      </c>
      <c r="CR139" s="15">
        <v>700</v>
      </c>
      <c r="CS139" s="15">
        <v>205.44</v>
      </c>
      <c r="CT139" s="15">
        <v>643.4</v>
      </c>
      <c r="CU139" s="15">
        <v>75.21</v>
      </c>
      <c r="CV139" s="15">
        <v>153</v>
      </c>
      <c r="CW139" s="15">
        <v>2009.6</v>
      </c>
    </row>
    <row r="140" spans="1:101">
      <c r="A140" s="6">
        <v>2013</v>
      </c>
      <c r="B140" s="6" t="s">
        <v>105</v>
      </c>
      <c r="C140" s="6">
        <v>0.17749134</v>
      </c>
      <c r="D140" s="6">
        <v>0.032792</v>
      </c>
      <c r="E140" s="6">
        <v>0.008212</v>
      </c>
      <c r="F140" s="6">
        <v>0.014507</v>
      </c>
      <c r="G140" s="6">
        <v>0.005129</v>
      </c>
      <c r="H140" s="6">
        <v>0.004944</v>
      </c>
      <c r="I140" s="6">
        <v>0.034179</v>
      </c>
      <c r="J140" s="6">
        <v>0.015314</v>
      </c>
      <c r="K140" s="6">
        <v>0.20565501</v>
      </c>
      <c r="L140" s="6">
        <v>0.15366295</v>
      </c>
      <c r="M140" s="6">
        <v>0.18005607</v>
      </c>
      <c r="N140" s="6">
        <v>0.12311298</v>
      </c>
      <c r="O140" s="6">
        <v>0.11632534</v>
      </c>
      <c r="P140" s="6">
        <v>0.29091067</v>
      </c>
      <c r="Q140" s="6">
        <v>0.20425616</v>
      </c>
      <c r="R140" s="6">
        <v>217.69486</v>
      </c>
      <c r="S140" s="6">
        <v>0.00094469</v>
      </c>
      <c r="T140" s="6">
        <v>169.97573</v>
      </c>
      <c r="U140" s="6">
        <v>0.00090403</v>
      </c>
      <c r="V140" s="6">
        <v>197.11803</v>
      </c>
      <c r="W140" s="6">
        <v>0.00091344</v>
      </c>
      <c r="X140" s="6">
        <v>134.47093</v>
      </c>
      <c r="Y140" s="6">
        <v>0.00091554</v>
      </c>
      <c r="Z140" s="6">
        <v>134.86767</v>
      </c>
      <c r="AA140" s="6">
        <v>0.00086251</v>
      </c>
      <c r="AB140" s="6">
        <v>294.9318</v>
      </c>
      <c r="AC140" s="6">
        <v>0.00098637</v>
      </c>
      <c r="AD140" s="6">
        <v>243.86163</v>
      </c>
      <c r="AE140" s="6">
        <v>0.00083759</v>
      </c>
      <c r="AF140" s="6">
        <v>775</v>
      </c>
      <c r="AG140" s="6">
        <v>-0.00657946</v>
      </c>
      <c r="AH140" s="6">
        <v>-0.00633602</v>
      </c>
      <c r="AI140" s="6">
        <v>-0.00639254</v>
      </c>
      <c r="AJ140" s="6">
        <v>-0.00640509</v>
      </c>
      <c r="AK140" s="6">
        <v>-0.00608561</v>
      </c>
      <c r="AL140" s="6">
        <v>-0.00682712</v>
      </c>
      <c r="AM140" s="6">
        <v>-0.00593431</v>
      </c>
      <c r="AN140" s="6">
        <v>-6.4762184</v>
      </c>
      <c r="AO140" s="6">
        <v>-6.4515561</v>
      </c>
      <c r="AP140" s="6">
        <v>-6.4739881</v>
      </c>
      <c r="AQ140" s="6">
        <v>-6.4253629</v>
      </c>
      <c r="AR140" s="6">
        <v>-6.4020076</v>
      </c>
      <c r="AS140" s="6">
        <v>-6.4618417</v>
      </c>
      <c r="AT140" s="6">
        <v>-6.4506396</v>
      </c>
      <c r="AU140" s="6">
        <v>0.97344833</v>
      </c>
      <c r="AV140" s="6">
        <v>0.96974131</v>
      </c>
      <c r="AW140" s="6">
        <v>0.97311308</v>
      </c>
      <c r="AX140" s="6">
        <v>0.96580418</v>
      </c>
      <c r="AY140" s="6">
        <v>0.96229362</v>
      </c>
      <c r="AZ140" s="6">
        <v>0.97128734</v>
      </c>
      <c r="BA140" s="6">
        <v>0.96960354</v>
      </c>
      <c r="BB140" s="6">
        <v>0.02655167</v>
      </c>
      <c r="BC140" s="6">
        <v>0.03025869</v>
      </c>
      <c r="BD140" s="6">
        <v>0.02688692</v>
      </c>
      <c r="BE140" s="6">
        <v>0.03419582</v>
      </c>
      <c r="BF140" s="6">
        <v>0.03770638</v>
      </c>
      <c r="BG140" s="6">
        <v>0.02871266</v>
      </c>
      <c r="BH140" s="6">
        <v>0.03039646</v>
      </c>
      <c r="BI140" s="6">
        <v>0.21470859</v>
      </c>
      <c r="BJ140" s="6">
        <v>0.12366373</v>
      </c>
      <c r="BK140" s="6">
        <v>0.1409291</v>
      </c>
      <c r="BL140" s="6">
        <v>0.12522516</v>
      </c>
      <c r="BM140" s="6">
        <v>0.1592662</v>
      </c>
      <c r="BN140" s="6">
        <v>0.17561655</v>
      </c>
      <c r="BO140" s="6">
        <v>0.1337285</v>
      </c>
      <c r="BP140" s="6">
        <v>0.14157076</v>
      </c>
      <c r="BQ140" s="6">
        <v>0.02543207</v>
      </c>
      <c r="BR140" s="6">
        <v>0.02165558</v>
      </c>
      <c r="BS140" s="6">
        <v>0.02254755</v>
      </c>
      <c r="BT140" s="6">
        <v>0.01960774</v>
      </c>
      <c r="BU140" s="6">
        <v>0.02042865</v>
      </c>
      <c r="BV140" s="6">
        <v>0.03890305</v>
      </c>
      <c r="BW140" s="6">
        <v>0.0289167</v>
      </c>
      <c r="BX140" s="12">
        <v>19212</v>
      </c>
      <c r="BY140" s="13">
        <v>8109</v>
      </c>
      <c r="BZ140" s="12">
        <v>26392.07</v>
      </c>
      <c r="CA140" s="6">
        <f t="shared" si="10"/>
        <v>2.36921938586755</v>
      </c>
      <c r="CB140" s="6">
        <f t="shared" si="11"/>
        <v>0.727945932244041</v>
      </c>
      <c r="CC140" s="7">
        <v>265764633.2</v>
      </c>
      <c r="CD140" s="7">
        <f t="shared" si="12"/>
        <v>1.00698669410925</v>
      </c>
      <c r="CE140" s="8">
        <v>1878.5</v>
      </c>
      <c r="CF140" s="8">
        <v>5000.5</v>
      </c>
      <c r="CG140" s="8">
        <v>5946.5</v>
      </c>
      <c r="CH140" s="8">
        <v>27665</v>
      </c>
      <c r="CI140" s="14">
        <v>0</v>
      </c>
      <c r="CJ140" s="14">
        <v>0</v>
      </c>
      <c r="CK140" s="14">
        <f t="shared" si="13"/>
        <v>0</v>
      </c>
      <c r="CL140">
        <f t="shared" si="14"/>
        <v>1.91398219724656</v>
      </c>
      <c r="CM140">
        <f t="shared" si="15"/>
        <v>0.473878756261216</v>
      </c>
      <c r="CN140" s="15">
        <v>19212</v>
      </c>
      <c r="CO140" s="15">
        <v>11678.55</v>
      </c>
      <c r="CP140" s="15">
        <v>1760.13</v>
      </c>
      <c r="CQ140" s="15">
        <v>306.49</v>
      </c>
      <c r="CR140" s="15">
        <v>818.47</v>
      </c>
      <c r="CS140" s="15">
        <v>239.76</v>
      </c>
      <c r="CT140" s="15">
        <v>754.04</v>
      </c>
      <c r="CU140" s="15">
        <v>87.9</v>
      </c>
      <c r="CV140" s="15">
        <v>148.3</v>
      </c>
      <c r="CW140" s="15">
        <v>1948.95</v>
      </c>
    </row>
    <row r="141" spans="1:101">
      <c r="A141" s="6">
        <v>2014</v>
      </c>
      <c r="B141" s="6" t="s">
        <v>105</v>
      </c>
      <c r="C141" s="6">
        <v>0.18563432</v>
      </c>
      <c r="D141" s="6">
        <v>0.034352</v>
      </c>
      <c r="E141" s="6">
        <v>0.008295</v>
      </c>
      <c r="F141" s="6">
        <v>0.015693</v>
      </c>
      <c r="G141" s="6">
        <v>0.005163</v>
      </c>
      <c r="H141" s="6">
        <v>0.005201</v>
      </c>
      <c r="I141" s="6">
        <v>0.033955</v>
      </c>
      <c r="J141" s="6">
        <v>0.016453</v>
      </c>
      <c r="K141" s="6">
        <v>0.21788987</v>
      </c>
      <c r="L141" s="6">
        <v>0.15562259</v>
      </c>
      <c r="M141" s="6">
        <v>0.198281</v>
      </c>
      <c r="N141" s="6">
        <v>0.12411495</v>
      </c>
      <c r="O141" s="6">
        <v>0.12411971</v>
      </c>
      <c r="P141" s="6">
        <v>0.28841497</v>
      </c>
      <c r="Q141" s="6">
        <v>0.22457769</v>
      </c>
      <c r="R141" s="6">
        <v>217.69486</v>
      </c>
      <c r="S141" s="6">
        <v>0.0010009</v>
      </c>
      <c r="T141" s="6">
        <v>169.97573</v>
      </c>
      <c r="U141" s="6">
        <v>0.00091556</v>
      </c>
      <c r="V141" s="6">
        <v>197.11803</v>
      </c>
      <c r="W141" s="6">
        <v>0.0010059</v>
      </c>
      <c r="X141" s="6">
        <v>134.47093</v>
      </c>
      <c r="Y141" s="6">
        <v>0.00092299</v>
      </c>
      <c r="Z141" s="6">
        <v>134.86767</v>
      </c>
      <c r="AA141" s="6">
        <v>0.00092031</v>
      </c>
      <c r="AB141" s="6">
        <v>294.9318</v>
      </c>
      <c r="AC141" s="6">
        <v>0.0009779</v>
      </c>
      <c r="AD141" s="6">
        <v>243.86163</v>
      </c>
      <c r="AE141" s="6">
        <v>0.00092092</v>
      </c>
      <c r="AF141" s="6">
        <v>775</v>
      </c>
      <c r="AG141" s="6">
        <v>-0.00691305</v>
      </c>
      <c r="AH141" s="6">
        <v>-0.00640522</v>
      </c>
      <c r="AI141" s="6">
        <v>-0.00694259</v>
      </c>
      <c r="AJ141" s="6">
        <v>-0.00644974</v>
      </c>
      <c r="AK141" s="6">
        <v>-0.00643369</v>
      </c>
      <c r="AL141" s="6">
        <v>-0.00677697</v>
      </c>
      <c r="AM141" s="6">
        <v>-0.00643737</v>
      </c>
      <c r="AN141" s="6">
        <v>-6.4762184</v>
      </c>
      <c r="AO141" s="6">
        <v>-6.4515561</v>
      </c>
      <c r="AP141" s="6">
        <v>-6.4739881</v>
      </c>
      <c r="AQ141" s="6">
        <v>-6.4253629</v>
      </c>
      <c r="AR141" s="6">
        <v>-6.4020076</v>
      </c>
      <c r="AS141" s="6">
        <v>-6.4618417</v>
      </c>
      <c r="AT141" s="6">
        <v>-6.4506396</v>
      </c>
      <c r="AU141" s="6">
        <v>0.97344833</v>
      </c>
      <c r="AV141" s="6">
        <v>0.96974131</v>
      </c>
      <c r="AW141" s="6">
        <v>0.97311308</v>
      </c>
      <c r="AX141" s="6">
        <v>0.96580418</v>
      </c>
      <c r="AY141" s="6">
        <v>0.96229362</v>
      </c>
      <c r="AZ141" s="6">
        <v>0.97128734</v>
      </c>
      <c r="BA141" s="6">
        <v>0.96960354</v>
      </c>
      <c r="BB141" s="6">
        <v>0.02655167</v>
      </c>
      <c r="BC141" s="6">
        <v>0.03025869</v>
      </c>
      <c r="BD141" s="6">
        <v>0.02688692</v>
      </c>
      <c r="BE141" s="6">
        <v>0.03419582</v>
      </c>
      <c r="BF141" s="6">
        <v>0.03770638</v>
      </c>
      <c r="BG141" s="6">
        <v>0.02871266</v>
      </c>
      <c r="BH141" s="6">
        <v>0.03039646</v>
      </c>
      <c r="BI141" s="6">
        <v>0.21470859</v>
      </c>
      <c r="BJ141" s="6">
        <v>0.12366373</v>
      </c>
      <c r="BK141" s="6">
        <v>0.1409291</v>
      </c>
      <c r="BL141" s="6">
        <v>0.12522516</v>
      </c>
      <c r="BM141" s="6">
        <v>0.1592662</v>
      </c>
      <c r="BN141" s="6">
        <v>0.17561655</v>
      </c>
      <c r="BO141" s="6">
        <v>0.1337285</v>
      </c>
      <c r="BP141" s="6">
        <v>0.14157076</v>
      </c>
      <c r="BQ141" s="6">
        <v>0.02694507</v>
      </c>
      <c r="BR141" s="6">
        <v>0.02193175</v>
      </c>
      <c r="BS141" s="6">
        <v>0.02482977</v>
      </c>
      <c r="BT141" s="6">
        <v>0.01976732</v>
      </c>
      <c r="BU141" s="6">
        <v>0.02179747</v>
      </c>
      <c r="BV141" s="6">
        <v>0.0385693</v>
      </c>
      <c r="BW141" s="6">
        <v>0.03179363</v>
      </c>
      <c r="BX141" s="12">
        <v>19879</v>
      </c>
      <c r="BY141" s="13">
        <v>8139</v>
      </c>
      <c r="BZ141" s="12">
        <v>28536.66</v>
      </c>
      <c r="CA141" s="6">
        <f t="shared" si="10"/>
        <v>2.44243764590244</v>
      </c>
      <c r="CB141" s="6">
        <f t="shared" si="11"/>
        <v>0.69661270800437</v>
      </c>
      <c r="CC141" s="7">
        <v>263170033.9</v>
      </c>
      <c r="CD141" s="7">
        <f t="shared" si="12"/>
        <v>0.922217364961422</v>
      </c>
      <c r="CE141" s="8">
        <v>2007.4</v>
      </c>
      <c r="CF141" s="8">
        <v>5376.5</v>
      </c>
      <c r="CG141" s="8">
        <v>6657.7</v>
      </c>
      <c r="CH141" s="8">
        <v>30217</v>
      </c>
      <c r="CI141" s="14">
        <v>0</v>
      </c>
      <c r="CJ141" s="14">
        <v>0</v>
      </c>
      <c r="CK141" s="14">
        <f t="shared" si="13"/>
        <v>0</v>
      </c>
      <c r="CL141">
        <f t="shared" si="14"/>
        <v>1.79640226266579</v>
      </c>
      <c r="CM141">
        <f t="shared" si="15"/>
        <v>0.48663092664285</v>
      </c>
      <c r="CN141" s="15">
        <v>19878.66</v>
      </c>
      <c r="CO141" s="15">
        <v>11045.39</v>
      </c>
      <c r="CP141" s="15">
        <v>1863.88</v>
      </c>
      <c r="CQ141" s="15">
        <v>865.4</v>
      </c>
      <c r="CR141" s="15">
        <v>829.84</v>
      </c>
      <c r="CS141" s="15">
        <v>250.54</v>
      </c>
      <c r="CT141" s="15">
        <v>748.57</v>
      </c>
      <c r="CU141" s="15">
        <v>125.72</v>
      </c>
      <c r="CV141" s="15">
        <v>165.17</v>
      </c>
      <c r="CW141" s="15">
        <v>2014.79</v>
      </c>
    </row>
    <row r="142" spans="1:101">
      <c r="A142" s="6">
        <v>2015</v>
      </c>
      <c r="B142" s="6" t="s">
        <v>105</v>
      </c>
      <c r="C142" s="6">
        <v>0.19596193</v>
      </c>
      <c r="D142" s="6">
        <v>0.035957</v>
      </c>
      <c r="E142" s="6">
        <v>0.009101</v>
      </c>
      <c r="F142" s="6">
        <v>0.01621</v>
      </c>
      <c r="G142" s="6">
        <v>0.00546</v>
      </c>
      <c r="H142" s="6">
        <v>0.005185</v>
      </c>
      <c r="I142" s="6">
        <v>0.034755</v>
      </c>
      <c r="J142" s="6">
        <v>0.017475</v>
      </c>
      <c r="K142" s="6">
        <v>0.23047897</v>
      </c>
      <c r="L142" s="6">
        <v>0.17467946</v>
      </c>
      <c r="M142" s="6">
        <v>0.20622153</v>
      </c>
      <c r="N142" s="6">
        <v>0.13292105</v>
      </c>
      <c r="O142" s="6">
        <v>0.12364492</v>
      </c>
      <c r="P142" s="6">
        <v>0.29731896</v>
      </c>
      <c r="Q142" s="6">
        <v>0.24280826</v>
      </c>
      <c r="R142" s="6">
        <v>217.69486</v>
      </c>
      <c r="S142" s="6">
        <v>0.00105872</v>
      </c>
      <c r="T142" s="6">
        <v>169.97573</v>
      </c>
      <c r="U142" s="6">
        <v>0.00102767</v>
      </c>
      <c r="V142" s="6">
        <v>197.11803</v>
      </c>
      <c r="W142" s="6">
        <v>0.00104618</v>
      </c>
      <c r="X142" s="6">
        <v>134.47093</v>
      </c>
      <c r="Y142" s="6">
        <v>0.00098847</v>
      </c>
      <c r="Z142" s="6">
        <v>134.86767</v>
      </c>
      <c r="AA142" s="6">
        <v>0.00091679</v>
      </c>
      <c r="AB142" s="6">
        <v>294.9318</v>
      </c>
      <c r="AC142" s="6">
        <v>0.00100809</v>
      </c>
      <c r="AD142" s="6">
        <v>243.86163</v>
      </c>
      <c r="AE142" s="6">
        <v>0.00099568</v>
      </c>
      <c r="AF142" s="6">
        <v>775</v>
      </c>
      <c r="AG142" s="6">
        <v>-0.007253</v>
      </c>
      <c r="AH142" s="6">
        <v>-0.00707086</v>
      </c>
      <c r="AI142" s="6">
        <v>-0.00717954</v>
      </c>
      <c r="AJ142" s="6">
        <v>-0.0068396</v>
      </c>
      <c r="AK142" s="6">
        <v>-0.00641259</v>
      </c>
      <c r="AL142" s="6">
        <v>-0.00695554</v>
      </c>
      <c r="AM142" s="6">
        <v>-0.00688223</v>
      </c>
      <c r="AN142" s="6">
        <v>-6.4762184</v>
      </c>
      <c r="AO142" s="6">
        <v>-6.4515561</v>
      </c>
      <c r="AP142" s="6">
        <v>-6.4739881</v>
      </c>
      <c r="AQ142" s="6">
        <v>-6.4253629</v>
      </c>
      <c r="AR142" s="6">
        <v>-6.4020076</v>
      </c>
      <c r="AS142" s="6">
        <v>-6.4618417</v>
      </c>
      <c r="AT142" s="6">
        <v>-6.4506396</v>
      </c>
      <c r="AU142" s="6">
        <v>0.97344833</v>
      </c>
      <c r="AV142" s="6">
        <v>0.96974131</v>
      </c>
      <c r="AW142" s="6">
        <v>0.97311308</v>
      </c>
      <c r="AX142" s="6">
        <v>0.96580418</v>
      </c>
      <c r="AY142" s="6">
        <v>0.96229362</v>
      </c>
      <c r="AZ142" s="6">
        <v>0.97128734</v>
      </c>
      <c r="BA142" s="6">
        <v>0.96960354</v>
      </c>
      <c r="BB142" s="6">
        <v>0.02655167</v>
      </c>
      <c r="BC142" s="6">
        <v>0.03025869</v>
      </c>
      <c r="BD142" s="6">
        <v>0.02688692</v>
      </c>
      <c r="BE142" s="6">
        <v>0.03419582</v>
      </c>
      <c r="BF142" s="6">
        <v>0.03770638</v>
      </c>
      <c r="BG142" s="6">
        <v>0.02871266</v>
      </c>
      <c r="BH142" s="6">
        <v>0.03039646</v>
      </c>
      <c r="BI142" s="6">
        <v>0.21470859</v>
      </c>
      <c r="BJ142" s="6">
        <v>0.12366373</v>
      </c>
      <c r="BK142" s="6">
        <v>0.1409291</v>
      </c>
      <c r="BL142" s="6">
        <v>0.12522516</v>
      </c>
      <c r="BM142" s="6">
        <v>0.1592662</v>
      </c>
      <c r="BN142" s="6">
        <v>0.17561655</v>
      </c>
      <c r="BO142" s="6">
        <v>0.1337285</v>
      </c>
      <c r="BP142" s="6">
        <v>0.14157076</v>
      </c>
      <c r="BQ142" s="6">
        <v>0.02850189</v>
      </c>
      <c r="BR142" s="6">
        <v>0.02461742</v>
      </c>
      <c r="BS142" s="6">
        <v>0.02582412</v>
      </c>
      <c r="BT142" s="6">
        <v>0.02116983</v>
      </c>
      <c r="BU142" s="6">
        <v>0.02171409</v>
      </c>
      <c r="BV142" s="6">
        <v>0.03976002</v>
      </c>
      <c r="BW142" s="6">
        <v>0.03437455</v>
      </c>
      <c r="BX142" s="12">
        <v>18306</v>
      </c>
      <c r="BY142" s="13">
        <v>8196</v>
      </c>
      <c r="BZ142" s="12">
        <v>30053.1</v>
      </c>
      <c r="CA142" s="6">
        <f t="shared" si="10"/>
        <v>2.23352855051245</v>
      </c>
      <c r="CB142" s="6">
        <f t="shared" si="11"/>
        <v>0.609121854317857</v>
      </c>
      <c r="CC142" s="7">
        <v>256845145.9</v>
      </c>
      <c r="CD142" s="7">
        <f t="shared" si="12"/>
        <v>0.854637777467216</v>
      </c>
      <c r="CE142" s="8">
        <v>2079.3</v>
      </c>
      <c r="CF142" s="8">
        <v>5491.7</v>
      </c>
      <c r="CG142" s="8">
        <v>7389</v>
      </c>
      <c r="CH142" s="8">
        <v>32117</v>
      </c>
      <c r="CI142" s="14">
        <v>0</v>
      </c>
      <c r="CJ142" s="14">
        <v>0</v>
      </c>
      <c r="CK142" s="14">
        <f t="shared" si="13"/>
        <v>0</v>
      </c>
      <c r="CL142">
        <f t="shared" si="14"/>
        <v>1.71577514742415</v>
      </c>
      <c r="CM142">
        <f t="shared" si="15"/>
        <v>0.501894068840976</v>
      </c>
      <c r="CN142" s="15">
        <v>18306</v>
      </c>
      <c r="CO142" s="15">
        <v>8824.34</v>
      </c>
      <c r="CP142" s="15">
        <v>1152.08</v>
      </c>
      <c r="CQ142" s="15">
        <v>989.56</v>
      </c>
      <c r="CR142" s="15">
        <v>767.06</v>
      </c>
      <c r="CS142" s="15">
        <v>194.76</v>
      </c>
      <c r="CT142" s="15">
        <v>842.41</v>
      </c>
      <c r="CU142" s="15">
        <v>24.91</v>
      </c>
      <c r="CV142" s="15">
        <v>196.92</v>
      </c>
      <c r="CW142" s="15">
        <v>1992</v>
      </c>
    </row>
    <row r="143" spans="1:101">
      <c r="A143" s="6">
        <v>2016</v>
      </c>
      <c r="B143" s="6" t="s">
        <v>105</v>
      </c>
      <c r="C143" s="6">
        <v>0.20900404</v>
      </c>
      <c r="D143" s="6">
        <v>0.036803</v>
      </c>
      <c r="E143" s="6">
        <v>0.009363</v>
      </c>
      <c r="F143" s="6">
        <v>0.016159</v>
      </c>
      <c r="G143" s="6">
        <v>0.005611</v>
      </c>
      <c r="H143" s="6">
        <v>0.005669</v>
      </c>
      <c r="I143" s="6">
        <v>0.036974</v>
      </c>
      <c r="J143" s="6">
        <v>0.019397</v>
      </c>
      <c r="K143" s="6">
        <v>0.23711574</v>
      </c>
      <c r="L143" s="6">
        <v>0.18086668</v>
      </c>
      <c r="M143" s="6">
        <v>0.2054444</v>
      </c>
      <c r="N143" s="6">
        <v>0.13738427</v>
      </c>
      <c r="O143" s="6">
        <v>0.13831128</v>
      </c>
      <c r="P143" s="6">
        <v>0.3220395</v>
      </c>
      <c r="Q143" s="6">
        <v>0.27709787</v>
      </c>
      <c r="R143" s="6">
        <v>217.69486</v>
      </c>
      <c r="S143" s="6">
        <v>0.00108921</v>
      </c>
      <c r="T143" s="6">
        <v>169.97573</v>
      </c>
      <c r="U143" s="6">
        <v>0.00106407</v>
      </c>
      <c r="V143" s="6">
        <v>197.11803</v>
      </c>
      <c r="W143" s="6">
        <v>0.00104224</v>
      </c>
      <c r="X143" s="6">
        <v>134.47093</v>
      </c>
      <c r="Y143" s="6">
        <v>0.00102167</v>
      </c>
      <c r="Z143" s="6">
        <v>134.86767</v>
      </c>
      <c r="AA143" s="6">
        <v>0.00102553</v>
      </c>
      <c r="AB143" s="6">
        <v>294.9318</v>
      </c>
      <c r="AC143" s="6">
        <v>0.00109191</v>
      </c>
      <c r="AD143" s="6">
        <v>243.86163</v>
      </c>
      <c r="AE143" s="6">
        <v>0.00113629</v>
      </c>
      <c r="AF143" s="6">
        <v>775</v>
      </c>
      <c r="AG143" s="6">
        <v>-0.00743093</v>
      </c>
      <c r="AH143" s="6">
        <v>-0.00728428</v>
      </c>
      <c r="AI143" s="6">
        <v>-0.00715642</v>
      </c>
      <c r="AJ143" s="6">
        <v>-0.00703552</v>
      </c>
      <c r="AK143" s="6">
        <v>-0.00705828</v>
      </c>
      <c r="AL143" s="6">
        <v>-0.00744665</v>
      </c>
      <c r="AM143" s="6">
        <v>-0.00770404</v>
      </c>
      <c r="AN143" s="6">
        <v>-6.4762184</v>
      </c>
      <c r="AO143" s="6">
        <v>-6.4515561</v>
      </c>
      <c r="AP143" s="6">
        <v>-6.4739881</v>
      </c>
      <c r="AQ143" s="6">
        <v>-6.4253629</v>
      </c>
      <c r="AR143" s="6">
        <v>-6.4020076</v>
      </c>
      <c r="AS143" s="6">
        <v>-6.4618417</v>
      </c>
      <c r="AT143" s="6">
        <v>-6.4506396</v>
      </c>
      <c r="AU143" s="6">
        <v>0.97344833</v>
      </c>
      <c r="AV143" s="6">
        <v>0.96974131</v>
      </c>
      <c r="AW143" s="6">
        <v>0.97311308</v>
      </c>
      <c r="AX143" s="6">
        <v>0.96580418</v>
      </c>
      <c r="AY143" s="6">
        <v>0.96229362</v>
      </c>
      <c r="AZ143" s="6">
        <v>0.97128734</v>
      </c>
      <c r="BA143" s="6">
        <v>0.96960354</v>
      </c>
      <c r="BB143" s="6">
        <v>0.02655167</v>
      </c>
      <c r="BC143" s="6">
        <v>0.03025869</v>
      </c>
      <c r="BD143" s="6">
        <v>0.02688692</v>
      </c>
      <c r="BE143" s="6">
        <v>0.03419582</v>
      </c>
      <c r="BF143" s="6">
        <v>0.03770638</v>
      </c>
      <c r="BG143" s="6">
        <v>0.02871266</v>
      </c>
      <c r="BH143" s="6">
        <v>0.03039646</v>
      </c>
      <c r="BI143" s="6">
        <v>0.21470859</v>
      </c>
      <c r="BJ143" s="6">
        <v>0.12366373</v>
      </c>
      <c r="BK143" s="6">
        <v>0.1409291</v>
      </c>
      <c r="BL143" s="6">
        <v>0.12522516</v>
      </c>
      <c r="BM143" s="6">
        <v>0.1592662</v>
      </c>
      <c r="BN143" s="6">
        <v>0.17561655</v>
      </c>
      <c r="BO143" s="6">
        <v>0.1337285</v>
      </c>
      <c r="BP143" s="6">
        <v>0.14157076</v>
      </c>
      <c r="BQ143" s="6">
        <v>0.02932262</v>
      </c>
      <c r="BR143" s="6">
        <v>0.02548938</v>
      </c>
      <c r="BS143" s="6">
        <v>0.02572681</v>
      </c>
      <c r="BT143" s="6">
        <v>0.02188067</v>
      </c>
      <c r="BU143" s="6">
        <v>0.02428975</v>
      </c>
      <c r="BV143" s="6">
        <v>0.04306586</v>
      </c>
      <c r="BW143" s="6">
        <v>0.03922896</v>
      </c>
      <c r="BX143" s="12">
        <v>18756</v>
      </c>
      <c r="BY143" s="13">
        <v>8251</v>
      </c>
      <c r="BZ143" s="12">
        <v>32934.54</v>
      </c>
      <c r="CA143" s="6">
        <f t="shared" si="10"/>
        <v>2.27317900860502</v>
      </c>
      <c r="CB143" s="6">
        <f t="shared" si="11"/>
        <v>0.569493303990279</v>
      </c>
      <c r="CC143" s="7">
        <v>252149056.3</v>
      </c>
      <c r="CD143" s="7">
        <f t="shared" si="12"/>
        <v>0.765606734753241</v>
      </c>
      <c r="CE143" s="8">
        <v>2225.5</v>
      </c>
      <c r="CF143" s="8">
        <v>5747.4</v>
      </c>
      <c r="CG143" s="8">
        <v>8396.1</v>
      </c>
      <c r="CH143" s="8">
        <v>35051</v>
      </c>
      <c r="CI143" s="14">
        <v>0</v>
      </c>
      <c r="CJ143" s="14">
        <v>0</v>
      </c>
      <c r="CK143" s="14">
        <f t="shared" si="13"/>
        <v>0</v>
      </c>
      <c r="CL143">
        <f t="shared" si="14"/>
        <v>1.62438398605541</v>
      </c>
      <c r="CM143">
        <f t="shared" si="15"/>
        <v>0.528678722933971</v>
      </c>
      <c r="CN143" s="15">
        <v>18756</v>
      </c>
      <c r="CO143" s="15">
        <v>8467.99</v>
      </c>
      <c r="CP143" s="15">
        <v>1129.38</v>
      </c>
      <c r="CQ143" s="15">
        <v>902.77</v>
      </c>
      <c r="CR143" s="15">
        <v>800.62</v>
      </c>
      <c r="CS143" s="15">
        <v>210</v>
      </c>
      <c r="CT143" s="15">
        <v>862.64</v>
      </c>
      <c r="CU143" s="15">
        <v>69.61</v>
      </c>
      <c r="CV143" s="15">
        <v>202.69</v>
      </c>
      <c r="CW143" s="15">
        <v>2101.02</v>
      </c>
    </row>
    <row r="144" spans="1:101">
      <c r="A144" s="6">
        <v>2017</v>
      </c>
      <c r="B144" s="6" t="s">
        <v>105</v>
      </c>
      <c r="C144" s="6">
        <v>0.23955938</v>
      </c>
      <c r="D144" s="6">
        <v>0.04193</v>
      </c>
      <c r="E144" s="6">
        <v>0.010349</v>
      </c>
      <c r="F144" s="6">
        <v>0.018764</v>
      </c>
      <c r="G144" s="6">
        <v>0.006323</v>
      </c>
      <c r="H144" s="6">
        <v>0.006493</v>
      </c>
      <c r="I144" s="6">
        <v>0.041813</v>
      </c>
      <c r="J144" s="6">
        <v>0.020324</v>
      </c>
      <c r="K144" s="6">
        <v>0.27732964</v>
      </c>
      <c r="L144" s="6">
        <v>0.2041906</v>
      </c>
      <c r="M144" s="6">
        <v>0.24548123</v>
      </c>
      <c r="N144" s="6">
        <v>0.15843191</v>
      </c>
      <c r="O144" s="6">
        <v>0.16325715</v>
      </c>
      <c r="P144" s="6">
        <v>0.37593574</v>
      </c>
      <c r="Q144" s="6">
        <v>0.29363483</v>
      </c>
      <c r="R144" s="6">
        <v>217.69486</v>
      </c>
      <c r="S144" s="6">
        <v>0.00127394</v>
      </c>
      <c r="T144" s="6">
        <v>169.97573</v>
      </c>
      <c r="U144" s="6">
        <v>0.00120129</v>
      </c>
      <c r="V144" s="6">
        <v>197.11803</v>
      </c>
      <c r="W144" s="6">
        <v>0.00124535</v>
      </c>
      <c r="X144" s="6">
        <v>134.47093</v>
      </c>
      <c r="Y144" s="6">
        <v>0.00117819</v>
      </c>
      <c r="Z144" s="6">
        <v>134.86767</v>
      </c>
      <c r="AA144" s="6">
        <v>0.0012105</v>
      </c>
      <c r="AB144" s="6">
        <v>294.9318</v>
      </c>
      <c r="AC144" s="6">
        <v>0.00127465</v>
      </c>
      <c r="AD144" s="6">
        <v>243.86163</v>
      </c>
      <c r="AE144" s="6">
        <v>0.0012041</v>
      </c>
      <c r="AF144" s="6">
        <v>775</v>
      </c>
      <c r="AG144" s="6">
        <v>-0.00849161</v>
      </c>
      <c r="AH144" s="6">
        <v>-0.00807792</v>
      </c>
      <c r="AI144" s="6">
        <v>-0.00832933</v>
      </c>
      <c r="AJ144" s="6">
        <v>-0.00794543</v>
      </c>
      <c r="AK144" s="6">
        <v>-0.00813058</v>
      </c>
      <c r="AL144" s="6">
        <v>-0.00849567</v>
      </c>
      <c r="AM144" s="6">
        <v>-0.00809401</v>
      </c>
      <c r="AN144" s="6">
        <v>-6.4762184</v>
      </c>
      <c r="AO144" s="6">
        <v>-6.4515561</v>
      </c>
      <c r="AP144" s="6">
        <v>-6.4739881</v>
      </c>
      <c r="AQ144" s="6">
        <v>-6.4253629</v>
      </c>
      <c r="AR144" s="6">
        <v>-6.4020076</v>
      </c>
      <c r="AS144" s="6">
        <v>-6.4618417</v>
      </c>
      <c r="AT144" s="6">
        <v>-6.4506396</v>
      </c>
      <c r="AU144" s="6">
        <v>0.97344833</v>
      </c>
      <c r="AV144" s="6">
        <v>0.96974131</v>
      </c>
      <c r="AW144" s="6">
        <v>0.97311308</v>
      </c>
      <c r="AX144" s="6">
        <v>0.96580418</v>
      </c>
      <c r="AY144" s="6">
        <v>0.96229362</v>
      </c>
      <c r="AZ144" s="6">
        <v>0.97128734</v>
      </c>
      <c r="BA144" s="6">
        <v>0.96960354</v>
      </c>
      <c r="BB144" s="6">
        <v>0.02655167</v>
      </c>
      <c r="BC144" s="6">
        <v>0.03025869</v>
      </c>
      <c r="BD144" s="6">
        <v>0.02688692</v>
      </c>
      <c r="BE144" s="6">
        <v>0.03419582</v>
      </c>
      <c r="BF144" s="6">
        <v>0.03770638</v>
      </c>
      <c r="BG144" s="6">
        <v>0.02871266</v>
      </c>
      <c r="BH144" s="6">
        <v>0.03039646</v>
      </c>
      <c r="BI144" s="6">
        <v>0.21470859</v>
      </c>
      <c r="BJ144" s="6">
        <v>0.12366373</v>
      </c>
      <c r="BK144" s="6">
        <v>0.1409291</v>
      </c>
      <c r="BL144" s="6">
        <v>0.12522516</v>
      </c>
      <c r="BM144" s="6">
        <v>0.1592662</v>
      </c>
      <c r="BN144" s="6">
        <v>0.17561655</v>
      </c>
      <c r="BO144" s="6">
        <v>0.1337285</v>
      </c>
      <c r="BP144" s="6">
        <v>0.14157076</v>
      </c>
      <c r="BQ144" s="6">
        <v>0.03429562</v>
      </c>
      <c r="BR144" s="6">
        <v>0.0287764</v>
      </c>
      <c r="BS144" s="6">
        <v>0.03074043</v>
      </c>
      <c r="BT144" s="6">
        <v>0.02523285</v>
      </c>
      <c r="BU144" s="6">
        <v>0.02867066</v>
      </c>
      <c r="BV144" s="6">
        <v>0.05027332</v>
      </c>
      <c r="BW144" s="6">
        <v>0.04157011</v>
      </c>
      <c r="BX144" s="12">
        <v>19229</v>
      </c>
      <c r="BY144" s="13">
        <v>8289</v>
      </c>
      <c r="BZ144" s="12">
        <v>36980.22</v>
      </c>
      <c r="CA144" s="6">
        <f t="shared" si="10"/>
        <v>2.31982145011461</v>
      </c>
      <c r="CB144" s="6">
        <f t="shared" si="11"/>
        <v>0.519980681564361</v>
      </c>
      <c r="CC144" s="7">
        <v>251637199.4</v>
      </c>
      <c r="CD144" s="7">
        <f t="shared" si="12"/>
        <v>0.680464311461641</v>
      </c>
      <c r="CE144" s="8">
        <v>2338.4</v>
      </c>
      <c r="CF144" s="8">
        <v>6317.8</v>
      </c>
      <c r="CG144" s="8">
        <v>9829.8</v>
      </c>
      <c r="CH144" s="8">
        <v>39458</v>
      </c>
      <c r="CI144" s="14">
        <v>1</v>
      </c>
      <c r="CJ144" s="14">
        <v>0</v>
      </c>
      <c r="CK144" s="14">
        <f t="shared" si="13"/>
        <v>0</v>
      </c>
      <c r="CL144">
        <f t="shared" si="14"/>
        <v>1.56738551218677</v>
      </c>
      <c r="CM144">
        <f t="shared" si="15"/>
        <v>0.565860277404072</v>
      </c>
      <c r="CN144" s="15">
        <v>19229</v>
      </c>
      <c r="CO144" s="15">
        <v>7815.38</v>
      </c>
      <c r="CP144" s="15">
        <v>1127.09</v>
      </c>
      <c r="CQ144" s="15">
        <v>956.37</v>
      </c>
      <c r="CR144" s="15">
        <v>828.14</v>
      </c>
      <c r="CS144" s="15">
        <v>205.94</v>
      </c>
      <c r="CT144" s="15">
        <v>888.45</v>
      </c>
      <c r="CU144" s="15">
        <v>65.54</v>
      </c>
      <c r="CV144" s="15">
        <v>216.26</v>
      </c>
      <c r="CW144" s="15">
        <v>2205.18</v>
      </c>
    </row>
    <row r="145" spans="1:101">
      <c r="A145" s="6">
        <v>2018</v>
      </c>
      <c r="B145" s="6" t="s">
        <v>105</v>
      </c>
      <c r="C145" s="6">
        <v>0.22514089</v>
      </c>
      <c r="D145" s="6">
        <v>0.03952</v>
      </c>
      <c r="E145" s="6">
        <v>0.009595</v>
      </c>
      <c r="F145" s="6">
        <v>0.018339</v>
      </c>
      <c r="G145" s="6">
        <v>0.006183</v>
      </c>
      <c r="H145" s="6">
        <v>0.005403</v>
      </c>
      <c r="I145" s="6">
        <v>0.040767</v>
      </c>
      <c r="J145" s="6">
        <v>0.020034</v>
      </c>
      <c r="K145" s="6">
        <v>0.25842688</v>
      </c>
      <c r="L145" s="6">
        <v>0.18634841</v>
      </c>
      <c r="M145" s="6">
        <v>0.23894494</v>
      </c>
      <c r="N145" s="6">
        <v>0.15427883</v>
      </c>
      <c r="O145" s="6">
        <v>0.13024368</v>
      </c>
      <c r="P145" s="6">
        <v>0.36428632</v>
      </c>
      <c r="Q145" s="6">
        <v>0.2884721</v>
      </c>
      <c r="R145" s="6">
        <v>217.69486</v>
      </c>
      <c r="S145" s="6">
        <v>0.00118711</v>
      </c>
      <c r="T145" s="6">
        <v>169.97573</v>
      </c>
      <c r="U145" s="6">
        <v>0.00109632</v>
      </c>
      <c r="V145" s="6">
        <v>197.11803</v>
      </c>
      <c r="W145" s="6">
        <v>0.00121219</v>
      </c>
      <c r="X145" s="6">
        <v>134.47093</v>
      </c>
      <c r="Y145" s="6">
        <v>0.0011473</v>
      </c>
      <c r="Z145" s="6">
        <v>134.86767</v>
      </c>
      <c r="AA145" s="6">
        <v>0.00096571</v>
      </c>
      <c r="AB145" s="6">
        <v>294.9318</v>
      </c>
      <c r="AC145" s="6">
        <v>0.00123515</v>
      </c>
      <c r="AD145" s="6">
        <v>243.86163</v>
      </c>
      <c r="AE145" s="6">
        <v>0.00118293</v>
      </c>
      <c r="AF145" s="6">
        <v>775</v>
      </c>
      <c r="AG145" s="6">
        <v>-0.00799663</v>
      </c>
      <c r="AH145" s="6">
        <v>-0.00747231</v>
      </c>
      <c r="AI145" s="6">
        <v>-0.00814026</v>
      </c>
      <c r="AJ145" s="6">
        <v>-0.00776763</v>
      </c>
      <c r="AK145" s="6">
        <v>-0.00670461</v>
      </c>
      <c r="AL145" s="6">
        <v>-0.00827128</v>
      </c>
      <c r="AM145" s="6">
        <v>-0.00797269</v>
      </c>
      <c r="AN145" s="6">
        <v>-6.4762184</v>
      </c>
      <c r="AO145" s="6">
        <v>-6.4515561</v>
      </c>
      <c r="AP145" s="6">
        <v>-6.4739881</v>
      </c>
      <c r="AQ145" s="6">
        <v>-6.4253629</v>
      </c>
      <c r="AR145" s="6">
        <v>-6.4020076</v>
      </c>
      <c r="AS145" s="6">
        <v>-6.4618417</v>
      </c>
      <c r="AT145" s="6">
        <v>-6.4506396</v>
      </c>
      <c r="AU145" s="6">
        <v>0.97344833</v>
      </c>
      <c r="AV145" s="6">
        <v>0.96974131</v>
      </c>
      <c r="AW145" s="6">
        <v>0.97311308</v>
      </c>
      <c r="AX145" s="6">
        <v>0.96580418</v>
      </c>
      <c r="AY145" s="6">
        <v>0.96229362</v>
      </c>
      <c r="AZ145" s="6">
        <v>0.97128734</v>
      </c>
      <c r="BA145" s="6">
        <v>0.96960354</v>
      </c>
      <c r="BB145" s="6">
        <v>0.02655167</v>
      </c>
      <c r="BC145" s="6">
        <v>0.03025869</v>
      </c>
      <c r="BD145" s="6">
        <v>0.02688692</v>
      </c>
      <c r="BE145" s="6">
        <v>0.03419582</v>
      </c>
      <c r="BF145" s="6">
        <v>0.03770638</v>
      </c>
      <c r="BG145" s="6">
        <v>0.02871266</v>
      </c>
      <c r="BH145" s="6">
        <v>0.03039646</v>
      </c>
      <c r="BI145" s="6">
        <v>0.21470859</v>
      </c>
      <c r="BJ145" s="6">
        <v>0.12366373</v>
      </c>
      <c r="BK145" s="6">
        <v>0.1409291</v>
      </c>
      <c r="BL145" s="6">
        <v>0.12522516</v>
      </c>
      <c r="BM145" s="6">
        <v>0.1592662</v>
      </c>
      <c r="BN145" s="6">
        <v>0.17561655</v>
      </c>
      <c r="BO145" s="6">
        <v>0.1337285</v>
      </c>
      <c r="BP145" s="6">
        <v>0.14157076</v>
      </c>
      <c r="BQ145" s="6">
        <v>0.03195803</v>
      </c>
      <c r="BR145" s="6">
        <v>0.02626191</v>
      </c>
      <c r="BS145" s="6">
        <v>0.02992192</v>
      </c>
      <c r="BT145" s="6">
        <v>0.0245714</v>
      </c>
      <c r="BU145" s="6">
        <v>0.02287295</v>
      </c>
      <c r="BV145" s="6">
        <v>0.04871546</v>
      </c>
      <c r="BW145" s="6">
        <v>0.04083922</v>
      </c>
      <c r="BX145" s="12">
        <v>19916</v>
      </c>
      <c r="BY145" s="13">
        <v>8321</v>
      </c>
      <c r="BZ145" s="12">
        <v>40678.13</v>
      </c>
      <c r="CA145" s="6">
        <f t="shared" si="10"/>
        <v>2.39346232423987</v>
      </c>
      <c r="CB145" s="6">
        <f t="shared" si="11"/>
        <v>0.4895996939879</v>
      </c>
      <c r="CC145" s="7">
        <v>255717920.3</v>
      </c>
      <c r="CD145" s="7">
        <f t="shared" si="12"/>
        <v>0.628637354519492</v>
      </c>
      <c r="CE145" s="8">
        <v>2498.7</v>
      </c>
      <c r="CF145" s="8">
        <v>7267.5</v>
      </c>
      <c r="CG145" s="8">
        <v>11114.5</v>
      </c>
      <c r="CH145" s="8">
        <v>44446</v>
      </c>
      <c r="CI145" s="14">
        <v>1</v>
      </c>
      <c r="CJ145" s="14">
        <v>0</v>
      </c>
      <c r="CK145" s="14">
        <f t="shared" si="13"/>
        <v>0</v>
      </c>
      <c r="CL145">
        <f t="shared" si="14"/>
        <v>1.51591455826218</v>
      </c>
      <c r="CM145">
        <f t="shared" si="15"/>
        <v>0.585308188318903</v>
      </c>
      <c r="CN145" s="15">
        <v>19916</v>
      </c>
      <c r="CO145" s="15">
        <v>7495.78</v>
      </c>
      <c r="CP145" s="15">
        <v>1165.88</v>
      </c>
      <c r="CQ145" s="15">
        <v>719.82</v>
      </c>
      <c r="CR145" s="15">
        <v>874.13</v>
      </c>
      <c r="CS145" s="15">
        <v>209.47</v>
      </c>
      <c r="CT145" s="15">
        <v>902.12</v>
      </c>
      <c r="CU145" s="15">
        <v>33.33</v>
      </c>
      <c r="CV145" s="15">
        <v>237</v>
      </c>
      <c r="CW145" s="15">
        <v>2459.49</v>
      </c>
    </row>
    <row r="146" spans="1:101">
      <c r="A146" s="6">
        <v>2019</v>
      </c>
      <c r="B146" s="6" t="s">
        <v>105</v>
      </c>
      <c r="C146" s="6">
        <v>0.21101126</v>
      </c>
      <c r="D146" s="6">
        <v>0.037347</v>
      </c>
      <c r="E146" s="6">
        <v>0.009316</v>
      </c>
      <c r="F146" s="6">
        <v>0.016886</v>
      </c>
      <c r="G146" s="6">
        <v>0.005772</v>
      </c>
      <c r="H146" s="6">
        <v>0.005373</v>
      </c>
      <c r="I146" s="6">
        <v>0.038441</v>
      </c>
      <c r="J146" s="6">
        <v>0.01895</v>
      </c>
      <c r="K146" s="6">
        <v>0.24138746</v>
      </c>
      <c r="L146" s="6">
        <v>0.17976948</v>
      </c>
      <c r="M146" s="6">
        <v>0.21661283</v>
      </c>
      <c r="N146" s="6">
        <v>0.14214225</v>
      </c>
      <c r="O146" s="6">
        <v>0.12932191</v>
      </c>
      <c r="P146" s="6">
        <v>0.33838406</v>
      </c>
      <c r="Q146" s="6">
        <v>0.26911732</v>
      </c>
      <c r="R146" s="6">
        <v>217.69486</v>
      </c>
      <c r="S146" s="6">
        <v>0.00110883</v>
      </c>
      <c r="T146" s="6">
        <v>169.97573</v>
      </c>
      <c r="U146" s="6">
        <v>0.00105762</v>
      </c>
      <c r="V146" s="6">
        <v>197.11803</v>
      </c>
      <c r="W146" s="6">
        <v>0.0010989</v>
      </c>
      <c r="X146" s="6">
        <v>134.47093</v>
      </c>
      <c r="Y146" s="6">
        <v>0.00105705</v>
      </c>
      <c r="Z146" s="6">
        <v>134.86767</v>
      </c>
      <c r="AA146" s="6">
        <v>0.00095888</v>
      </c>
      <c r="AB146" s="6">
        <v>294.9318</v>
      </c>
      <c r="AC146" s="6">
        <v>0.00114733</v>
      </c>
      <c r="AD146" s="6">
        <v>243.86163</v>
      </c>
      <c r="AE146" s="6">
        <v>0.00110357</v>
      </c>
      <c r="AF146" s="6">
        <v>775</v>
      </c>
      <c r="AG146" s="6">
        <v>-0.007545</v>
      </c>
      <c r="AH146" s="6">
        <v>-0.00724652</v>
      </c>
      <c r="AI146" s="6">
        <v>-0.00748729</v>
      </c>
      <c r="AJ146" s="6">
        <v>-0.00724319</v>
      </c>
      <c r="AK146" s="6">
        <v>-0.00666397</v>
      </c>
      <c r="AL146" s="6">
        <v>-0.00776779</v>
      </c>
      <c r="AM146" s="6">
        <v>-0.00751441</v>
      </c>
      <c r="AN146" s="6">
        <v>-6.4762184</v>
      </c>
      <c r="AO146" s="6">
        <v>-6.4515561</v>
      </c>
      <c r="AP146" s="6">
        <v>-6.4739881</v>
      </c>
      <c r="AQ146" s="6">
        <v>-6.4253629</v>
      </c>
      <c r="AR146" s="6">
        <v>-6.4020076</v>
      </c>
      <c r="AS146" s="6">
        <v>-6.4618417</v>
      </c>
      <c r="AT146" s="6">
        <v>-6.4506396</v>
      </c>
      <c r="AU146" s="6">
        <v>0.97344833</v>
      </c>
      <c r="AV146" s="6">
        <v>0.96974131</v>
      </c>
      <c r="AW146" s="6">
        <v>0.97311308</v>
      </c>
      <c r="AX146" s="6">
        <v>0.96580418</v>
      </c>
      <c r="AY146" s="6">
        <v>0.96229362</v>
      </c>
      <c r="AZ146" s="6">
        <v>0.97128734</v>
      </c>
      <c r="BA146" s="6">
        <v>0.96960354</v>
      </c>
      <c r="BB146" s="6">
        <v>0.02655167</v>
      </c>
      <c r="BC146" s="6">
        <v>0.03025869</v>
      </c>
      <c r="BD146" s="6">
        <v>0.02688692</v>
      </c>
      <c r="BE146" s="6">
        <v>0.03419582</v>
      </c>
      <c r="BF146" s="6">
        <v>0.03770638</v>
      </c>
      <c r="BG146" s="6">
        <v>0.02871266</v>
      </c>
      <c r="BH146" s="6">
        <v>0.03039646</v>
      </c>
      <c r="BI146" s="6">
        <v>0.21470859</v>
      </c>
      <c r="BJ146" s="6">
        <v>0.12366373</v>
      </c>
      <c r="BK146" s="6">
        <v>0.1409291</v>
      </c>
      <c r="BL146" s="6">
        <v>0.12522516</v>
      </c>
      <c r="BM146" s="6">
        <v>0.1592662</v>
      </c>
      <c r="BN146" s="6">
        <v>0.17561655</v>
      </c>
      <c r="BO146" s="6">
        <v>0.1337285</v>
      </c>
      <c r="BP146" s="6">
        <v>0.14157076</v>
      </c>
      <c r="BQ146" s="6">
        <v>0.02985087</v>
      </c>
      <c r="BR146" s="6">
        <v>0.02533475</v>
      </c>
      <c r="BS146" s="6">
        <v>0.02712538</v>
      </c>
      <c r="BT146" s="6">
        <v>0.02263846</v>
      </c>
      <c r="BU146" s="6">
        <v>0.02271107</v>
      </c>
      <c r="BV146" s="6">
        <v>0.04525159</v>
      </c>
      <c r="BW146" s="6">
        <v>0.03809914</v>
      </c>
      <c r="BX146" s="12">
        <v>20791</v>
      </c>
      <c r="BY146" s="13">
        <v>8351</v>
      </c>
      <c r="BZ146" s="12">
        <v>46615.82</v>
      </c>
      <c r="CA146" s="6">
        <f t="shared" si="10"/>
        <v>2.48964195904682</v>
      </c>
      <c r="CB146" s="6">
        <f t="shared" si="11"/>
        <v>0.446007385475575</v>
      </c>
      <c r="CC146" s="7">
        <v>251665563</v>
      </c>
      <c r="CD146" s="7">
        <f t="shared" si="12"/>
        <v>0.539871577932127</v>
      </c>
      <c r="CE146" s="8">
        <v>3037.7</v>
      </c>
      <c r="CF146" s="8">
        <v>8060.4</v>
      </c>
      <c r="CG146" s="8">
        <v>12125.7</v>
      </c>
      <c r="CH146" s="8">
        <v>49323</v>
      </c>
      <c r="CI146" s="14">
        <v>1</v>
      </c>
      <c r="CJ146" s="14">
        <v>0</v>
      </c>
      <c r="CK146" s="14">
        <f t="shared" si="13"/>
        <v>0</v>
      </c>
      <c r="CL146">
        <f t="shared" si="14"/>
        <v>1.5000536746505</v>
      </c>
      <c r="CM146">
        <f t="shared" si="15"/>
        <v>0.640098493103646</v>
      </c>
      <c r="CN146" s="15">
        <v>20791</v>
      </c>
      <c r="CO146" s="15">
        <v>7713.47</v>
      </c>
      <c r="CP146" s="15">
        <v>1302.68</v>
      </c>
      <c r="CQ146" s="15">
        <v>1010.17</v>
      </c>
      <c r="CR146" s="15">
        <v>916.97</v>
      </c>
      <c r="CS146" s="15">
        <v>214.2</v>
      </c>
      <c r="CT146" s="15">
        <v>912.92</v>
      </c>
      <c r="CU146" s="15">
        <v>50.06</v>
      </c>
      <c r="CV146" s="15">
        <v>254.38</v>
      </c>
      <c r="CW146" s="15">
        <v>2635.83</v>
      </c>
    </row>
    <row r="147" spans="1:101">
      <c r="A147" s="6">
        <v>2020</v>
      </c>
      <c r="B147" s="6" t="s">
        <v>105</v>
      </c>
      <c r="C147" s="6">
        <v>0.24168768</v>
      </c>
      <c r="D147" s="6">
        <v>0.041492</v>
      </c>
      <c r="E147" s="6">
        <v>0.010243</v>
      </c>
      <c r="F147" s="6">
        <v>0.018706</v>
      </c>
      <c r="G147" s="6">
        <v>0.006815</v>
      </c>
      <c r="H147" s="6">
        <v>0.005728</v>
      </c>
      <c r="I147" s="6">
        <v>0.043281</v>
      </c>
      <c r="J147" s="6">
        <v>0.021348</v>
      </c>
      <c r="K147" s="6">
        <v>0.27389825</v>
      </c>
      <c r="L147" s="6">
        <v>0.20167323</v>
      </c>
      <c r="M147" s="6">
        <v>0.24459121</v>
      </c>
      <c r="N147" s="6">
        <v>0.17297293</v>
      </c>
      <c r="O147" s="6">
        <v>0.14007431</v>
      </c>
      <c r="P147" s="6">
        <v>0.39229246</v>
      </c>
      <c r="Q147" s="6">
        <v>0.31190769</v>
      </c>
      <c r="R147" s="6">
        <v>217.69486</v>
      </c>
      <c r="S147" s="6">
        <v>0.00125818</v>
      </c>
      <c r="T147" s="6">
        <v>169.97573</v>
      </c>
      <c r="U147" s="6">
        <v>0.00118648</v>
      </c>
      <c r="V147" s="6">
        <v>197.11803</v>
      </c>
      <c r="W147" s="6">
        <v>0.00124084</v>
      </c>
      <c r="X147" s="6">
        <v>134.47093</v>
      </c>
      <c r="Y147" s="6">
        <v>0.00128632</v>
      </c>
      <c r="Z147" s="6">
        <v>134.86767</v>
      </c>
      <c r="AA147" s="6">
        <v>0.00103861</v>
      </c>
      <c r="AB147" s="6">
        <v>294.9318</v>
      </c>
      <c r="AC147" s="6">
        <v>0.00133011</v>
      </c>
      <c r="AD147" s="6">
        <v>243.86163</v>
      </c>
      <c r="AE147" s="6">
        <v>0.00127904</v>
      </c>
      <c r="AF147" s="6">
        <v>775</v>
      </c>
      <c r="AG147" s="6">
        <v>-0.00840221</v>
      </c>
      <c r="AH147" s="6">
        <v>-0.00799305</v>
      </c>
      <c r="AI147" s="6">
        <v>-0.00830364</v>
      </c>
      <c r="AJ147" s="6">
        <v>-0.00856172</v>
      </c>
      <c r="AK147" s="6">
        <v>-0.00713509</v>
      </c>
      <c r="AL147" s="6">
        <v>-0.00880866</v>
      </c>
      <c r="AM147" s="6">
        <v>-0.00852049</v>
      </c>
      <c r="AN147" s="6">
        <v>-6.4762184</v>
      </c>
      <c r="AO147" s="6">
        <v>-6.4515561</v>
      </c>
      <c r="AP147" s="6">
        <v>-6.4739881</v>
      </c>
      <c r="AQ147" s="6">
        <v>-6.4253629</v>
      </c>
      <c r="AR147" s="6">
        <v>-6.4020076</v>
      </c>
      <c r="AS147" s="6">
        <v>-6.4618417</v>
      </c>
      <c r="AT147" s="6">
        <v>-6.4506396</v>
      </c>
      <c r="AU147" s="6">
        <v>0.97344833</v>
      </c>
      <c r="AV147" s="6">
        <v>0.96974131</v>
      </c>
      <c r="AW147" s="6">
        <v>0.97311308</v>
      </c>
      <c r="AX147" s="6">
        <v>0.96580418</v>
      </c>
      <c r="AY147" s="6">
        <v>0.96229362</v>
      </c>
      <c r="AZ147" s="6">
        <v>0.97128734</v>
      </c>
      <c r="BA147" s="6">
        <v>0.96960354</v>
      </c>
      <c r="BB147" s="6">
        <v>0.02655167</v>
      </c>
      <c r="BC147" s="6">
        <v>0.03025869</v>
      </c>
      <c r="BD147" s="6">
        <v>0.02688692</v>
      </c>
      <c r="BE147" s="6">
        <v>0.03419582</v>
      </c>
      <c r="BF147" s="6">
        <v>0.03770638</v>
      </c>
      <c r="BG147" s="6">
        <v>0.02871266</v>
      </c>
      <c r="BH147" s="6">
        <v>0.03039646</v>
      </c>
      <c r="BI147" s="6">
        <v>0.21470859</v>
      </c>
      <c r="BJ147" s="6">
        <v>0.12366373</v>
      </c>
      <c r="BK147" s="6">
        <v>0.1409291</v>
      </c>
      <c r="BL147" s="6">
        <v>0.12522516</v>
      </c>
      <c r="BM147" s="6">
        <v>0.1592662</v>
      </c>
      <c r="BN147" s="6">
        <v>0.17561655</v>
      </c>
      <c r="BO147" s="6">
        <v>0.1337285</v>
      </c>
      <c r="BP147" s="6">
        <v>0.14157076</v>
      </c>
      <c r="BQ147" s="6">
        <v>0.03387128</v>
      </c>
      <c r="BR147" s="6">
        <v>0.02842163</v>
      </c>
      <c r="BS147" s="6">
        <v>0.03062897</v>
      </c>
      <c r="BT147" s="6">
        <v>0.02754874</v>
      </c>
      <c r="BU147" s="6">
        <v>0.02459937</v>
      </c>
      <c r="BV147" s="6">
        <v>0.05246068</v>
      </c>
      <c r="BW147" s="6">
        <v>0.04415701</v>
      </c>
      <c r="BX147" s="12">
        <v>16355</v>
      </c>
      <c r="BY147" s="13">
        <v>8370.7</v>
      </c>
      <c r="BZ147" s="12">
        <v>48598.76</v>
      </c>
      <c r="CA147" s="6">
        <f t="shared" si="10"/>
        <v>1.95383898598683</v>
      </c>
      <c r="CB147" s="6">
        <f t="shared" si="11"/>
        <v>0.336531220138127</v>
      </c>
      <c r="CC147" s="7">
        <v>246645703.3</v>
      </c>
      <c r="CD147" s="7">
        <f t="shared" si="12"/>
        <v>0.507514396046319</v>
      </c>
      <c r="CE147" s="8">
        <v>3611.8</v>
      </c>
      <c r="CF147" s="8">
        <v>8387.5</v>
      </c>
      <c r="CG147" s="8">
        <v>12556.5</v>
      </c>
      <c r="CH147" s="8">
        <v>52047</v>
      </c>
      <c r="CI147" s="14">
        <v>1</v>
      </c>
      <c r="CJ147" s="14">
        <v>0</v>
      </c>
      <c r="CK147" s="14">
        <f t="shared" si="13"/>
        <v>0</v>
      </c>
      <c r="CL147">
        <f t="shared" si="14"/>
        <v>1.47141701078949</v>
      </c>
      <c r="CM147">
        <f t="shared" si="15"/>
        <v>0.655084593745446</v>
      </c>
      <c r="CN147" s="15">
        <v>21185.9</v>
      </c>
      <c r="CO147" s="15">
        <v>7501.62</v>
      </c>
      <c r="CP147" s="15">
        <v>1215.66</v>
      </c>
      <c r="CQ147" s="15">
        <v>955.15</v>
      </c>
      <c r="CR147" s="15">
        <v>955.15</v>
      </c>
      <c r="CS147" s="15">
        <v>897.18</v>
      </c>
      <c r="CT147" s="15">
        <v>160.07</v>
      </c>
      <c r="CU147" s="15">
        <v>898.65</v>
      </c>
      <c r="CV147" s="15">
        <v>250.59</v>
      </c>
      <c r="CW147" s="15">
        <v>2865</v>
      </c>
    </row>
    <row r="148" spans="1:101">
      <c r="A148" s="6">
        <v>2021</v>
      </c>
      <c r="B148" s="6" t="s">
        <v>105</v>
      </c>
      <c r="C148" s="6">
        <v>0.22252936</v>
      </c>
      <c r="D148" s="6">
        <v>0.040642</v>
      </c>
      <c r="E148" s="6">
        <v>0.009855</v>
      </c>
      <c r="F148" s="6">
        <v>0.018355</v>
      </c>
      <c r="G148" s="6">
        <v>0.006176</v>
      </c>
      <c r="H148" s="6">
        <v>0.006256</v>
      </c>
      <c r="I148" s="6">
        <v>0.040069</v>
      </c>
      <c r="J148" s="6">
        <v>0.016841</v>
      </c>
      <c r="K148" s="6">
        <v>0.26723279</v>
      </c>
      <c r="L148" s="6">
        <v>0.1925048</v>
      </c>
      <c r="M148" s="6">
        <v>0.23919754</v>
      </c>
      <c r="N148" s="6">
        <v>0.15408155</v>
      </c>
      <c r="O148" s="6">
        <v>0.15607742</v>
      </c>
      <c r="P148" s="6">
        <v>0.35651598</v>
      </c>
      <c r="Q148" s="6">
        <v>0.23149676</v>
      </c>
      <c r="R148" s="6">
        <v>217.69486</v>
      </c>
      <c r="S148" s="6">
        <v>0.00122756</v>
      </c>
      <c r="T148" s="6">
        <v>169.97573</v>
      </c>
      <c r="U148" s="6">
        <v>0.00113254</v>
      </c>
      <c r="V148" s="6">
        <v>197.11803</v>
      </c>
      <c r="W148" s="6">
        <v>0.00121347</v>
      </c>
      <c r="X148" s="6">
        <v>134.47093</v>
      </c>
      <c r="Y148" s="6">
        <v>0.00114584</v>
      </c>
      <c r="Z148" s="6">
        <v>134.86767</v>
      </c>
      <c r="AA148" s="6">
        <v>0.00115726</v>
      </c>
      <c r="AB148" s="6">
        <v>294.9318</v>
      </c>
      <c r="AC148" s="6">
        <v>0.00120881</v>
      </c>
      <c r="AD148" s="6">
        <v>243.86163</v>
      </c>
      <c r="AE148" s="6">
        <v>0.0009493</v>
      </c>
      <c r="AF148" s="6">
        <v>775</v>
      </c>
      <c r="AG148" s="6">
        <v>-0.00822798</v>
      </c>
      <c r="AH148" s="6">
        <v>-0.00768237</v>
      </c>
      <c r="AI148" s="6">
        <v>-0.00814759</v>
      </c>
      <c r="AJ148" s="6">
        <v>-0.00775916</v>
      </c>
      <c r="AK148" s="6">
        <v>-0.00782507</v>
      </c>
      <c r="AL148" s="6">
        <v>-0.00812092</v>
      </c>
      <c r="AM148" s="6">
        <v>-0.0066069</v>
      </c>
      <c r="AN148" s="6">
        <v>-6.4762184</v>
      </c>
      <c r="AO148" s="6">
        <v>-6.4515561</v>
      </c>
      <c r="AP148" s="6">
        <v>-6.4739881</v>
      </c>
      <c r="AQ148" s="6">
        <v>-6.4253629</v>
      </c>
      <c r="AR148" s="6">
        <v>-6.4020076</v>
      </c>
      <c r="AS148" s="6">
        <v>-6.4618417</v>
      </c>
      <c r="AT148" s="6">
        <v>-6.4506396</v>
      </c>
      <c r="AU148" s="6">
        <v>0.97344833</v>
      </c>
      <c r="AV148" s="6">
        <v>0.96974131</v>
      </c>
      <c r="AW148" s="6">
        <v>0.97311308</v>
      </c>
      <c r="AX148" s="6">
        <v>0.96580418</v>
      </c>
      <c r="AY148" s="6">
        <v>0.96229362</v>
      </c>
      <c r="AZ148" s="6">
        <v>0.97128734</v>
      </c>
      <c r="BA148" s="6">
        <v>0.96960354</v>
      </c>
      <c r="BB148" s="6">
        <v>0.02655167</v>
      </c>
      <c r="BC148" s="6">
        <v>0.03025869</v>
      </c>
      <c r="BD148" s="6">
        <v>0.02688692</v>
      </c>
      <c r="BE148" s="6">
        <v>0.03419582</v>
      </c>
      <c r="BF148" s="6">
        <v>0.03770638</v>
      </c>
      <c r="BG148" s="6">
        <v>0.02871266</v>
      </c>
      <c r="BH148" s="6">
        <v>0.03039646</v>
      </c>
      <c r="BI148" s="6">
        <v>0.21470859</v>
      </c>
      <c r="BJ148" s="6">
        <v>0.12366373</v>
      </c>
      <c r="BK148" s="6">
        <v>0.1409291</v>
      </c>
      <c r="BL148" s="6">
        <v>0.12522516</v>
      </c>
      <c r="BM148" s="6">
        <v>0.1592662</v>
      </c>
      <c r="BN148" s="6">
        <v>0.17561655</v>
      </c>
      <c r="BO148" s="6">
        <v>0.1337285</v>
      </c>
      <c r="BP148" s="6">
        <v>0.14157076</v>
      </c>
      <c r="BQ148" s="6">
        <v>0.033047</v>
      </c>
      <c r="BR148" s="6">
        <v>0.02712953</v>
      </c>
      <c r="BS148" s="6">
        <v>0.02995355</v>
      </c>
      <c r="BT148" s="6">
        <v>0.02453998</v>
      </c>
      <c r="BU148" s="6">
        <v>0.02740978</v>
      </c>
      <c r="BV148" s="6">
        <v>0.04767635</v>
      </c>
      <c r="BW148" s="6">
        <v>0.03277317</v>
      </c>
      <c r="BX148" s="12">
        <v>17241.3</v>
      </c>
      <c r="BY148" s="13">
        <v>8372</v>
      </c>
      <c r="BZ148" s="12">
        <v>53850.8</v>
      </c>
      <c r="CA148" s="6">
        <f t="shared" si="10"/>
        <v>2.05940038222647</v>
      </c>
      <c r="CB148" s="6">
        <f t="shared" si="11"/>
        <v>0.320167945508702</v>
      </c>
      <c r="CC148" s="7">
        <v>265188890.3</v>
      </c>
      <c r="CD148" s="7">
        <f t="shared" si="12"/>
        <v>0.492451161914029</v>
      </c>
      <c r="CE148" s="8">
        <v>3831.3</v>
      </c>
      <c r="CF148" s="8">
        <v>9537.2</v>
      </c>
      <c r="CG148" s="8">
        <v>13793.1</v>
      </c>
      <c r="CH148" s="8">
        <v>57717</v>
      </c>
      <c r="CI148" s="14">
        <v>1</v>
      </c>
      <c r="CJ148" s="14">
        <v>0</v>
      </c>
      <c r="CK148" s="14">
        <f t="shared" si="13"/>
        <v>0</v>
      </c>
      <c r="CL148">
        <f t="shared" si="14"/>
        <v>1.36781889095748</v>
      </c>
      <c r="CM148">
        <f t="shared" si="15"/>
        <v>0.639973416678496</v>
      </c>
      <c r="CN148" s="15">
        <v>22569.4</v>
      </c>
      <c r="CO148" s="15">
        <v>7675.75</v>
      </c>
      <c r="CP148" s="15">
        <v>1188.62</v>
      </c>
      <c r="CQ148" s="15">
        <v>1024.84</v>
      </c>
      <c r="CR148" s="15">
        <v>934.8</v>
      </c>
      <c r="CS148" s="15">
        <v>169.26</v>
      </c>
      <c r="CT148" s="15">
        <v>925.67</v>
      </c>
      <c r="CU148" s="15">
        <v>52.36</v>
      </c>
      <c r="CV148" s="15">
        <v>274.38</v>
      </c>
      <c r="CW148" s="15">
        <v>3275</v>
      </c>
    </row>
    <row r="149" spans="1:101">
      <c r="A149" s="6">
        <v>2022</v>
      </c>
      <c r="B149" s="6" t="s">
        <v>105</v>
      </c>
      <c r="C149" s="6">
        <v>0.24886149</v>
      </c>
      <c r="D149" s="6">
        <v>0.043622</v>
      </c>
      <c r="E149" s="6">
        <v>0.010796</v>
      </c>
      <c r="F149" s="6">
        <v>0.019496</v>
      </c>
      <c r="G149" s="6">
        <v>0.00633</v>
      </c>
      <c r="H149" s="6">
        <v>0.006999</v>
      </c>
      <c r="I149" s="6">
        <v>0.043201</v>
      </c>
      <c r="J149" s="6">
        <v>0.020311</v>
      </c>
      <c r="K149" s="6">
        <v>0.29060403</v>
      </c>
      <c r="L149" s="6">
        <v>0.21474858</v>
      </c>
      <c r="M149" s="6">
        <v>0.2567309</v>
      </c>
      <c r="N149" s="6">
        <v>0.15863765</v>
      </c>
      <c r="O149" s="6">
        <v>0.17861611</v>
      </c>
      <c r="P149" s="6">
        <v>0.39139294</v>
      </c>
      <c r="Q149" s="6">
        <v>0.29340005</v>
      </c>
      <c r="R149" s="6">
        <v>217.69486</v>
      </c>
      <c r="S149" s="6">
        <v>0.00133491</v>
      </c>
      <c r="T149" s="6">
        <v>169.97573</v>
      </c>
      <c r="U149" s="6">
        <v>0.00126341</v>
      </c>
      <c r="V149" s="6">
        <v>197.11803</v>
      </c>
      <c r="W149" s="6">
        <v>0.00130242</v>
      </c>
      <c r="X149" s="6">
        <v>134.47093</v>
      </c>
      <c r="Y149" s="6">
        <v>0.00117972</v>
      </c>
      <c r="Z149" s="6">
        <v>134.86767</v>
      </c>
      <c r="AA149" s="6">
        <v>0.00132438</v>
      </c>
      <c r="AB149" s="6">
        <v>294.9318</v>
      </c>
      <c r="AC149" s="6">
        <v>0.00132706</v>
      </c>
      <c r="AD149" s="6">
        <v>243.86163</v>
      </c>
      <c r="AE149" s="6">
        <v>0.00120314</v>
      </c>
      <c r="AF149" s="6">
        <v>775</v>
      </c>
      <c r="AG149" s="6">
        <v>-0.00883565</v>
      </c>
      <c r="AH149" s="6">
        <v>-0.00843191</v>
      </c>
      <c r="AI149" s="6">
        <v>-0.00865268</v>
      </c>
      <c r="AJ149" s="6">
        <v>-0.00795422</v>
      </c>
      <c r="AK149" s="6">
        <v>-0.00877642</v>
      </c>
      <c r="AL149" s="6">
        <v>-0.00879151</v>
      </c>
      <c r="AM149" s="6">
        <v>-0.0080885</v>
      </c>
      <c r="AN149" s="6">
        <v>-6.4762184</v>
      </c>
      <c r="AO149" s="6">
        <v>-6.4515561</v>
      </c>
      <c r="AP149" s="6">
        <v>-6.4739881</v>
      </c>
      <c r="AQ149" s="6">
        <v>-6.4253629</v>
      </c>
      <c r="AR149" s="6">
        <v>-6.4020076</v>
      </c>
      <c r="AS149" s="6">
        <v>-6.4618417</v>
      </c>
      <c r="AT149" s="6">
        <v>-6.4506396</v>
      </c>
      <c r="AU149" s="6">
        <v>0.97344833</v>
      </c>
      <c r="AV149" s="6">
        <v>0.96974131</v>
      </c>
      <c r="AW149" s="6">
        <v>0.97311308</v>
      </c>
      <c r="AX149" s="6">
        <v>0.96580418</v>
      </c>
      <c r="AY149" s="6">
        <v>0.96229362</v>
      </c>
      <c r="AZ149" s="6">
        <v>0.97128734</v>
      </c>
      <c r="BA149" s="6">
        <v>0.96960354</v>
      </c>
      <c r="BB149" s="6">
        <v>0.02655167</v>
      </c>
      <c r="BC149" s="6">
        <v>0.03025869</v>
      </c>
      <c r="BD149" s="6">
        <v>0.02688692</v>
      </c>
      <c r="BE149" s="6">
        <v>0.03419582</v>
      </c>
      <c r="BF149" s="6">
        <v>0.03770638</v>
      </c>
      <c r="BG149" s="6">
        <v>0.02871266</v>
      </c>
      <c r="BH149" s="6">
        <v>0.03039646</v>
      </c>
      <c r="BI149" s="6">
        <v>0.21470859</v>
      </c>
      <c r="BJ149" s="6">
        <v>0.12366373</v>
      </c>
      <c r="BK149" s="6">
        <v>0.1409291</v>
      </c>
      <c r="BL149" s="6">
        <v>0.12522516</v>
      </c>
      <c r="BM149" s="6">
        <v>0.1592662</v>
      </c>
      <c r="BN149" s="6">
        <v>0.17561655</v>
      </c>
      <c r="BO149" s="6">
        <v>0.1337285</v>
      </c>
      <c r="BP149" s="6">
        <v>0.14157076</v>
      </c>
      <c r="BQ149" s="6">
        <v>0.03593718</v>
      </c>
      <c r="BR149" s="6">
        <v>0.03026432</v>
      </c>
      <c r="BS149" s="6">
        <v>0.03214917</v>
      </c>
      <c r="BT149" s="6">
        <v>0.02526562</v>
      </c>
      <c r="BU149" s="6">
        <v>0.03136795</v>
      </c>
      <c r="BV149" s="6">
        <v>0.05234039</v>
      </c>
      <c r="BW149" s="6">
        <v>0.04153687</v>
      </c>
      <c r="BX149" s="12">
        <v>17196.117213</v>
      </c>
      <c r="BY149" s="13">
        <v>8374</v>
      </c>
      <c r="BZ149" s="12">
        <v>56749.8</v>
      </c>
      <c r="CA149" s="6">
        <f t="shared" si="10"/>
        <v>2.05351292249821</v>
      </c>
      <c r="CB149" s="6">
        <f t="shared" si="11"/>
        <v>0.303016349185372</v>
      </c>
      <c r="CC149" s="7">
        <v>259310270.9</v>
      </c>
      <c r="CD149" s="7">
        <f t="shared" si="12"/>
        <v>0.45693600840884</v>
      </c>
      <c r="CE149" s="8">
        <v>4001.9</v>
      </c>
      <c r="CF149" s="8">
        <v>10120.3</v>
      </c>
      <c r="CG149" s="8">
        <v>14433.9</v>
      </c>
      <c r="CH149" s="8">
        <v>60868</v>
      </c>
      <c r="CI149" s="14">
        <v>1</v>
      </c>
      <c r="CJ149" s="14">
        <v>0</v>
      </c>
      <c r="CK149" s="14">
        <f t="shared" si="13"/>
        <v>0</v>
      </c>
      <c r="CL149">
        <f t="shared" si="14"/>
        <v>1.27047633725244</v>
      </c>
      <c r="CM149">
        <f t="shared" si="15"/>
        <v>0.640342763567702</v>
      </c>
      <c r="CN149" s="15">
        <v>22545.0234567858</v>
      </c>
      <c r="CO149" s="15">
        <v>7622.39</v>
      </c>
      <c r="CP149" s="15">
        <v>1117.54</v>
      </c>
      <c r="CQ149" s="15">
        <v>1008.78</v>
      </c>
      <c r="CR149" s="15">
        <v>985.82</v>
      </c>
      <c r="CS149" s="15">
        <v>167.49</v>
      </c>
      <c r="CT149" s="15">
        <v>955.19</v>
      </c>
      <c r="CU149" s="15">
        <v>25.84</v>
      </c>
      <c r="CV149" s="15">
        <v>275.9</v>
      </c>
      <c r="CW149" s="15">
        <v>3447.12</v>
      </c>
    </row>
    <row r="150" spans="1:101">
      <c r="A150" s="6">
        <v>2023</v>
      </c>
      <c r="B150" s="6" t="s">
        <v>105</v>
      </c>
      <c r="C150" s="6">
        <v>0.44042969</v>
      </c>
      <c r="D150" s="6">
        <v>0.054752</v>
      </c>
      <c r="E150" s="6">
        <v>0.019888</v>
      </c>
      <c r="F150" s="6">
        <v>0.028788</v>
      </c>
      <c r="G150" s="6">
        <v>0.014636</v>
      </c>
      <c r="H150" s="6">
        <v>0.015894</v>
      </c>
      <c r="I150" s="6">
        <v>0.054483</v>
      </c>
      <c r="J150" s="6">
        <v>0.031931</v>
      </c>
      <c r="K150" s="6">
        <v>0.37791203</v>
      </c>
      <c r="L150" s="6">
        <v>0.42970316</v>
      </c>
      <c r="M150" s="6">
        <v>0.3995416</v>
      </c>
      <c r="N150" s="6">
        <v>0.4041316</v>
      </c>
      <c r="O150" s="6">
        <v>0.44816737</v>
      </c>
      <c r="P150" s="6">
        <v>0.51705781</v>
      </c>
      <c r="Q150" s="6">
        <v>0.500738</v>
      </c>
      <c r="R150" s="6">
        <v>217.69486</v>
      </c>
      <c r="S150" s="6">
        <v>0.00173597</v>
      </c>
      <c r="T150" s="6">
        <v>169.97573</v>
      </c>
      <c r="U150" s="6">
        <v>0.00252803</v>
      </c>
      <c r="V150" s="6">
        <v>197.11803</v>
      </c>
      <c r="W150" s="6">
        <v>0.00202692</v>
      </c>
      <c r="X150" s="6">
        <v>134.47093</v>
      </c>
      <c r="Y150" s="6">
        <v>0.00300535</v>
      </c>
      <c r="Z150" s="6">
        <v>134.86767</v>
      </c>
      <c r="AA150" s="6">
        <v>0.00332302</v>
      </c>
      <c r="AB150" s="6">
        <v>294.9318</v>
      </c>
      <c r="AC150" s="6">
        <v>0.00175314</v>
      </c>
      <c r="AD150" s="6">
        <v>243.86163</v>
      </c>
      <c r="AE150" s="6">
        <v>0.00205337</v>
      </c>
      <c r="AF150" s="6">
        <v>775</v>
      </c>
      <c r="AG150" s="6">
        <v>-0.01103416</v>
      </c>
      <c r="AH150" s="6">
        <v>-0.0151184</v>
      </c>
      <c r="AI150" s="6">
        <v>-0.01256939</v>
      </c>
      <c r="AJ150" s="6">
        <v>-0.01745313</v>
      </c>
      <c r="AK150" s="6">
        <v>-0.01896406</v>
      </c>
      <c r="AL150" s="6">
        <v>-0.01112605</v>
      </c>
      <c r="AM150" s="6">
        <v>-0.01270681</v>
      </c>
      <c r="AN150" s="6">
        <v>-6.4762184</v>
      </c>
      <c r="AO150" s="6">
        <v>-6.4515561</v>
      </c>
      <c r="AP150" s="6">
        <v>-6.4739881</v>
      </c>
      <c r="AQ150" s="6">
        <v>-6.4253629</v>
      </c>
      <c r="AR150" s="6">
        <v>-6.4020076</v>
      </c>
      <c r="AS150" s="6">
        <v>-6.4618417</v>
      </c>
      <c r="AT150" s="6">
        <v>-6.4506396</v>
      </c>
      <c r="AU150" s="6">
        <v>0.97344833</v>
      </c>
      <c r="AV150" s="6">
        <v>0.96974131</v>
      </c>
      <c r="AW150" s="6">
        <v>0.97311308</v>
      </c>
      <c r="AX150" s="6">
        <v>0.96580418</v>
      </c>
      <c r="AY150" s="6">
        <v>0.96229362</v>
      </c>
      <c r="AZ150" s="6">
        <v>0.97128734</v>
      </c>
      <c r="BA150" s="6">
        <v>0.96960354</v>
      </c>
      <c r="BB150" s="6">
        <v>0.02655167</v>
      </c>
      <c r="BC150" s="6">
        <v>0.03025869</v>
      </c>
      <c r="BD150" s="6">
        <v>0.02688692</v>
      </c>
      <c r="BE150" s="6">
        <v>0.03419582</v>
      </c>
      <c r="BF150" s="6">
        <v>0.03770638</v>
      </c>
      <c r="BG150" s="6">
        <v>0.02871266</v>
      </c>
      <c r="BH150" s="6">
        <v>0.03039646</v>
      </c>
      <c r="BI150" s="6">
        <v>0.21470859</v>
      </c>
      <c r="BJ150" s="6">
        <v>0.12366373</v>
      </c>
      <c r="BK150" s="6">
        <v>0.1409291</v>
      </c>
      <c r="BL150" s="6">
        <v>0.12522516</v>
      </c>
      <c r="BM150" s="6">
        <v>0.1592662</v>
      </c>
      <c r="BN150" s="6">
        <v>0.17561655</v>
      </c>
      <c r="BO150" s="6">
        <v>0.1337285</v>
      </c>
      <c r="BP150" s="6">
        <v>0.14157076</v>
      </c>
      <c r="BQ150" s="6">
        <v>0.04673401</v>
      </c>
      <c r="BR150" s="6">
        <v>0.06055768</v>
      </c>
      <c r="BS150" s="6">
        <v>0.05003266</v>
      </c>
      <c r="BT150" s="6">
        <v>0.06436451</v>
      </c>
      <c r="BU150" s="6">
        <v>0.07870561</v>
      </c>
      <c r="BV150" s="6">
        <v>0.06914536</v>
      </c>
      <c r="BW150" s="6">
        <v>0.07088986</v>
      </c>
      <c r="BX150" s="12">
        <v>17150.934426</v>
      </c>
      <c r="BY150" s="13">
        <v>8368</v>
      </c>
      <c r="BZ150" s="12">
        <v>60132.9</v>
      </c>
      <c r="CA150" s="6">
        <f t="shared" si="10"/>
        <v>2.0495858539675</v>
      </c>
      <c r="CB150" s="6">
        <f t="shared" si="11"/>
        <v>0.285217151110291</v>
      </c>
      <c r="CC150" s="7">
        <v>265536910.5</v>
      </c>
      <c r="CD150" s="7">
        <f t="shared" si="12"/>
        <v>0.441583410246304</v>
      </c>
      <c r="CE150" s="8">
        <v>4206.6</v>
      </c>
      <c r="CF150" s="8">
        <v>10256.3</v>
      </c>
      <c r="CG150" s="8">
        <v>15558.2</v>
      </c>
      <c r="CH150" s="8">
        <v>64107</v>
      </c>
      <c r="CI150" s="14">
        <v>1</v>
      </c>
      <c r="CJ150" s="14">
        <v>0</v>
      </c>
      <c r="CK150" s="14">
        <f t="shared" si="13"/>
        <v>0</v>
      </c>
      <c r="CL150">
        <f t="shared" si="14"/>
        <v>1.2756783895882</v>
      </c>
      <c r="CM150">
        <f t="shared" si="15"/>
        <v>0.653844249577002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</row>
    <row r="151" spans="1:101">
      <c r="A151" s="6">
        <v>2024</v>
      </c>
      <c r="B151" s="6" t="s">
        <v>105</v>
      </c>
      <c r="C151" s="6">
        <v>0.52376571</v>
      </c>
      <c r="D151" s="6">
        <v>0.058738</v>
      </c>
      <c r="E151" s="6">
        <v>0.023747</v>
      </c>
      <c r="F151" s="6">
        <v>0.031946</v>
      </c>
      <c r="G151" s="6">
        <v>0.018609</v>
      </c>
      <c r="H151" s="6">
        <v>0.020797</v>
      </c>
      <c r="I151" s="6">
        <v>0.058122</v>
      </c>
      <c r="J151" s="6">
        <v>0.036015</v>
      </c>
      <c r="K151" s="6">
        <v>0.40917791</v>
      </c>
      <c r="L151" s="6">
        <v>0.52094057</v>
      </c>
      <c r="M151" s="6">
        <v>0.44808458</v>
      </c>
      <c r="N151" s="6">
        <v>0.52157881</v>
      </c>
      <c r="O151" s="6">
        <v>0.59674048</v>
      </c>
      <c r="P151" s="6">
        <v>0.55758937</v>
      </c>
      <c r="Q151" s="6">
        <v>0.57360095</v>
      </c>
      <c r="R151" s="6">
        <v>217.69486</v>
      </c>
      <c r="S151" s="6">
        <v>0.00187959</v>
      </c>
      <c r="T151" s="6">
        <v>169.97573</v>
      </c>
      <c r="U151" s="6">
        <v>0.00306479</v>
      </c>
      <c r="V151" s="6">
        <v>197.11803</v>
      </c>
      <c r="W151" s="6">
        <v>0.00227318</v>
      </c>
      <c r="X151" s="6">
        <v>134.47093</v>
      </c>
      <c r="Y151" s="6">
        <v>0.00387875</v>
      </c>
      <c r="Z151" s="6">
        <v>134.86767</v>
      </c>
      <c r="AA151" s="6">
        <v>0.00442464</v>
      </c>
      <c r="AB151" s="6">
        <v>294.9318</v>
      </c>
      <c r="AC151" s="6">
        <v>0.00189057</v>
      </c>
      <c r="AD151" s="6">
        <v>243.86163</v>
      </c>
      <c r="AE151" s="6">
        <v>0.00235216</v>
      </c>
      <c r="AF151" s="6">
        <v>775</v>
      </c>
      <c r="AG151" s="6">
        <v>-0.01179765</v>
      </c>
      <c r="AH151" s="6">
        <v>-0.01773834</v>
      </c>
      <c r="AI151" s="6">
        <v>-0.01383588</v>
      </c>
      <c r="AJ151" s="6">
        <v>-0.02153575</v>
      </c>
      <c r="AK151" s="6">
        <v>-0.02398404</v>
      </c>
      <c r="AL151" s="6">
        <v>-0.01185553</v>
      </c>
      <c r="AM151" s="6">
        <v>-0.01423625</v>
      </c>
      <c r="AN151" s="6">
        <v>-6.4762184</v>
      </c>
      <c r="AO151" s="6">
        <v>-6.4515561</v>
      </c>
      <c r="AP151" s="6">
        <v>-6.4739881</v>
      </c>
      <c r="AQ151" s="6">
        <v>-6.4253629</v>
      </c>
      <c r="AR151" s="6">
        <v>-6.4020076</v>
      </c>
      <c r="AS151" s="6">
        <v>-6.4618417</v>
      </c>
      <c r="AT151" s="6">
        <v>-6.4506396</v>
      </c>
      <c r="AU151" s="6">
        <v>0.97344833</v>
      </c>
      <c r="AV151" s="6">
        <v>0.96974131</v>
      </c>
      <c r="AW151" s="6">
        <v>0.97311308</v>
      </c>
      <c r="AX151" s="6">
        <v>0.96580418</v>
      </c>
      <c r="AY151" s="6">
        <v>0.96229362</v>
      </c>
      <c r="AZ151" s="6">
        <v>0.97128734</v>
      </c>
      <c r="BA151" s="6">
        <v>0.96960354</v>
      </c>
      <c r="BB151" s="6">
        <v>0.02655167</v>
      </c>
      <c r="BC151" s="6">
        <v>0.03025869</v>
      </c>
      <c r="BD151" s="6">
        <v>0.02688692</v>
      </c>
      <c r="BE151" s="6">
        <v>0.03419582</v>
      </c>
      <c r="BF151" s="6">
        <v>0.03770638</v>
      </c>
      <c r="BG151" s="6">
        <v>0.02871266</v>
      </c>
      <c r="BH151" s="6">
        <v>0.03039646</v>
      </c>
      <c r="BI151" s="6">
        <v>0.21470859</v>
      </c>
      <c r="BJ151" s="6">
        <v>0.12366373</v>
      </c>
      <c r="BK151" s="6">
        <v>0.1409291</v>
      </c>
      <c r="BL151" s="6">
        <v>0.12522516</v>
      </c>
      <c r="BM151" s="6">
        <v>0.1592662</v>
      </c>
      <c r="BN151" s="6">
        <v>0.17561655</v>
      </c>
      <c r="BO151" s="6">
        <v>0.1337285</v>
      </c>
      <c r="BP151" s="6">
        <v>0.14157076</v>
      </c>
      <c r="BQ151" s="6">
        <v>0.05060047</v>
      </c>
      <c r="BR151" s="6">
        <v>0.07341568</v>
      </c>
      <c r="BS151" s="6">
        <v>0.05611146</v>
      </c>
      <c r="BT151" s="6">
        <v>0.08306988</v>
      </c>
      <c r="BU151" s="6">
        <v>0.1047975</v>
      </c>
      <c r="BV151" s="6">
        <v>0.07456559</v>
      </c>
      <c r="BW151" s="6">
        <v>0.08120512</v>
      </c>
      <c r="BX151" s="12">
        <v>17105.751639</v>
      </c>
      <c r="BY151" s="13">
        <v>8364</v>
      </c>
      <c r="BZ151" s="12">
        <v>64697</v>
      </c>
      <c r="CA151" s="6">
        <f t="shared" si="10"/>
        <v>2.04516399318508</v>
      </c>
      <c r="CB151" s="6">
        <f t="shared" si="11"/>
        <v>0.2643979108614</v>
      </c>
      <c r="CC151" s="7">
        <v>270294726</v>
      </c>
      <c r="CD151" s="7">
        <f t="shared" si="12"/>
        <v>0.417785563472804</v>
      </c>
      <c r="CE151" s="8">
        <v>4192.9</v>
      </c>
      <c r="CF151" s="8">
        <v>10330</v>
      </c>
      <c r="CG151" s="8">
        <v>17011.1</v>
      </c>
      <c r="CH151" s="8">
        <v>67612</v>
      </c>
      <c r="CI151" s="14">
        <v>1</v>
      </c>
      <c r="CJ151" s="14">
        <v>0</v>
      </c>
      <c r="CK151" s="14">
        <f t="shared" si="13"/>
        <v>0</v>
      </c>
      <c r="CL151">
        <f t="shared" si="14"/>
        <v>1.21200651315194</v>
      </c>
      <c r="CM151">
        <f t="shared" si="15"/>
        <v>0.655294291788654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</row>
    <row r="152" spans="1:101">
      <c r="A152" s="6">
        <v>2000</v>
      </c>
      <c r="B152" s="6" t="s">
        <v>106</v>
      </c>
      <c r="C152" s="6">
        <v>0.10164596</v>
      </c>
      <c r="D152" s="6">
        <v>0.02174</v>
      </c>
      <c r="E152" s="6">
        <v>0.005368</v>
      </c>
      <c r="F152" s="6">
        <v>0.009959</v>
      </c>
      <c r="G152" s="6">
        <v>0.003353</v>
      </c>
      <c r="H152" s="6">
        <v>0.00306</v>
      </c>
      <c r="I152" s="6">
        <v>0.022048</v>
      </c>
      <c r="J152" s="6">
        <v>0.011182</v>
      </c>
      <c r="K152" s="6">
        <v>0.11896132</v>
      </c>
      <c r="L152" s="6">
        <v>0.08641435</v>
      </c>
      <c r="M152" s="6">
        <v>0.11015185</v>
      </c>
      <c r="N152" s="6">
        <v>0.07063071</v>
      </c>
      <c r="O152" s="6">
        <v>0.05922904</v>
      </c>
      <c r="P152" s="6">
        <v>0.15579271</v>
      </c>
      <c r="Q152" s="6">
        <v>0.13052183</v>
      </c>
      <c r="R152" s="6">
        <v>217.69486</v>
      </c>
      <c r="S152" s="6">
        <v>0.00054646</v>
      </c>
      <c r="T152" s="6">
        <v>169.97573</v>
      </c>
      <c r="U152" s="6">
        <v>0.00050839</v>
      </c>
      <c r="V152" s="6">
        <v>197.11803</v>
      </c>
      <c r="W152" s="6">
        <v>0.00055881</v>
      </c>
      <c r="X152" s="6">
        <v>134.47093</v>
      </c>
      <c r="Y152" s="6">
        <v>0.00052525</v>
      </c>
      <c r="Z152" s="6">
        <v>134.86767</v>
      </c>
      <c r="AA152" s="6">
        <v>0.00043916</v>
      </c>
      <c r="AB152" s="6">
        <v>294.9318</v>
      </c>
      <c r="AC152" s="6">
        <v>0.00052823</v>
      </c>
      <c r="AD152" s="6">
        <v>243.86163</v>
      </c>
      <c r="AE152" s="6">
        <v>0.00053523</v>
      </c>
      <c r="AF152" s="6">
        <v>775</v>
      </c>
      <c r="AG152" s="6">
        <v>-0.00410503</v>
      </c>
      <c r="AH152" s="6">
        <v>-0.00385578</v>
      </c>
      <c r="AI152" s="6">
        <v>-0.00418533</v>
      </c>
      <c r="AJ152" s="6">
        <v>-0.00396649</v>
      </c>
      <c r="AK152" s="6">
        <v>-0.00339502</v>
      </c>
      <c r="AL152" s="6">
        <v>-0.00398603</v>
      </c>
      <c r="AM152" s="6">
        <v>-0.00403178</v>
      </c>
      <c r="AN152" s="6">
        <v>-6.4762184</v>
      </c>
      <c r="AO152" s="6">
        <v>-6.4515561</v>
      </c>
      <c r="AP152" s="6">
        <v>-6.4739881</v>
      </c>
      <c r="AQ152" s="6">
        <v>-6.4253629</v>
      </c>
      <c r="AR152" s="6">
        <v>-6.4020076</v>
      </c>
      <c r="AS152" s="6">
        <v>-6.4618417</v>
      </c>
      <c r="AT152" s="6">
        <v>-6.4506396</v>
      </c>
      <c r="AU152" s="6">
        <v>0.97344833</v>
      </c>
      <c r="AV152" s="6">
        <v>0.96974131</v>
      </c>
      <c r="AW152" s="6">
        <v>0.97311308</v>
      </c>
      <c r="AX152" s="6">
        <v>0.96580418</v>
      </c>
      <c r="AY152" s="6">
        <v>0.96229362</v>
      </c>
      <c r="AZ152" s="6">
        <v>0.97128734</v>
      </c>
      <c r="BA152" s="6">
        <v>0.96960354</v>
      </c>
      <c r="BB152" s="6">
        <v>0.02655167</v>
      </c>
      <c r="BC152" s="6">
        <v>0.03025869</v>
      </c>
      <c r="BD152" s="6">
        <v>0.02688692</v>
      </c>
      <c r="BE152" s="6">
        <v>0.03419582</v>
      </c>
      <c r="BF152" s="6">
        <v>0.03770638</v>
      </c>
      <c r="BG152" s="6">
        <v>0.02871266</v>
      </c>
      <c r="BH152" s="6">
        <v>0.03039646</v>
      </c>
      <c r="BI152" s="6">
        <v>0.21470859</v>
      </c>
      <c r="BJ152" s="6">
        <v>0.12366373</v>
      </c>
      <c r="BK152" s="6">
        <v>0.1409291</v>
      </c>
      <c r="BL152" s="6">
        <v>0.12522516</v>
      </c>
      <c r="BM152" s="6">
        <v>0.1592662</v>
      </c>
      <c r="BN152" s="6">
        <v>0.17561655</v>
      </c>
      <c r="BO152" s="6">
        <v>0.1337285</v>
      </c>
      <c r="BP152" s="6">
        <v>0.14157076</v>
      </c>
      <c r="BQ152" s="6">
        <v>0.0147112</v>
      </c>
      <c r="BR152" s="6">
        <v>0.0121783</v>
      </c>
      <c r="BS152" s="6">
        <v>0.01379378</v>
      </c>
      <c r="BT152" s="6">
        <v>0.01124908</v>
      </c>
      <c r="BU152" s="6">
        <v>0.0104016</v>
      </c>
      <c r="BV152" s="6">
        <v>0.02083393</v>
      </c>
      <c r="BW152" s="6">
        <v>0.01847807</v>
      </c>
      <c r="BX152" s="12">
        <v>2794</v>
      </c>
      <c r="BY152" s="13">
        <v>1001.14</v>
      </c>
      <c r="BZ152" s="12">
        <v>1639.36</v>
      </c>
      <c r="CA152" s="6">
        <f t="shared" si="10"/>
        <v>2.79081846694768</v>
      </c>
      <c r="CB152" s="6">
        <f t="shared" si="11"/>
        <v>1.70432363849307</v>
      </c>
      <c r="CC152" s="7">
        <v>47680363.68</v>
      </c>
      <c r="CD152" s="7">
        <f t="shared" si="12"/>
        <v>2.90847426312707</v>
      </c>
      <c r="CE152" s="8">
        <v>35.4</v>
      </c>
      <c r="CF152" s="8">
        <v>27.1</v>
      </c>
      <c r="CG152" s="8">
        <v>55.3</v>
      </c>
      <c r="CH152" s="8">
        <v>4572</v>
      </c>
      <c r="CI152" s="14">
        <v>0</v>
      </c>
      <c r="CJ152" s="14">
        <v>0</v>
      </c>
      <c r="CK152" s="14">
        <f t="shared" si="13"/>
        <v>0</v>
      </c>
      <c r="CL152">
        <f t="shared" si="14"/>
        <v>4.53658228674969</v>
      </c>
      <c r="CM152">
        <f t="shared" si="15"/>
        <v>0.358884270297036</v>
      </c>
      <c r="CN152" s="15">
        <v>2793.71</v>
      </c>
      <c r="CO152" s="15">
        <v>2472.71</v>
      </c>
      <c r="CP152" s="15">
        <v>143.68</v>
      </c>
      <c r="CQ152" s="15">
        <v>709.76</v>
      </c>
      <c r="CR152" s="15">
        <v>112.43</v>
      </c>
      <c r="CS152" s="15">
        <v>18.82</v>
      </c>
      <c r="CT152" s="15">
        <v>197.6</v>
      </c>
      <c r="CU152" s="15">
        <v>79.51</v>
      </c>
      <c r="CV152" s="15">
        <v>5.4</v>
      </c>
      <c r="CW152" s="15">
        <v>234.05</v>
      </c>
    </row>
    <row r="153" spans="1:101">
      <c r="A153" s="6">
        <v>2001</v>
      </c>
      <c r="B153" s="6" t="s">
        <v>106</v>
      </c>
      <c r="C153" s="6">
        <v>0.11036006</v>
      </c>
      <c r="D153" s="6">
        <v>0.023377</v>
      </c>
      <c r="E153" s="6">
        <v>0.006274</v>
      </c>
      <c r="F153" s="6">
        <v>0.010528</v>
      </c>
      <c r="G153" s="6">
        <v>0.003473</v>
      </c>
      <c r="H153" s="6">
        <v>0.003102</v>
      </c>
      <c r="I153" s="6">
        <v>0.022697</v>
      </c>
      <c r="J153" s="6">
        <v>0.01168</v>
      </c>
      <c r="K153" s="6">
        <v>0.13179903</v>
      </c>
      <c r="L153" s="6">
        <v>0.10784516</v>
      </c>
      <c r="M153" s="6">
        <v>0.11888862</v>
      </c>
      <c r="N153" s="6">
        <v>0.07417162</v>
      </c>
      <c r="O153" s="6">
        <v>0.06049989</v>
      </c>
      <c r="P153" s="6">
        <v>0.16301922</v>
      </c>
      <c r="Q153" s="6">
        <v>0.13941298</v>
      </c>
      <c r="R153" s="6">
        <v>217.69486</v>
      </c>
      <c r="S153" s="6">
        <v>0.00060543</v>
      </c>
      <c r="T153" s="6">
        <v>169.97573</v>
      </c>
      <c r="U153" s="6">
        <v>0.00063447</v>
      </c>
      <c r="V153" s="6">
        <v>197.11803</v>
      </c>
      <c r="W153" s="6">
        <v>0.00060313</v>
      </c>
      <c r="X153" s="6">
        <v>134.47093</v>
      </c>
      <c r="Y153" s="6">
        <v>0.00055158</v>
      </c>
      <c r="Z153" s="6">
        <v>134.86767</v>
      </c>
      <c r="AA153" s="6">
        <v>0.00044859</v>
      </c>
      <c r="AB153" s="6">
        <v>294.9318</v>
      </c>
      <c r="AC153" s="6">
        <v>0.00055274</v>
      </c>
      <c r="AD153" s="6">
        <v>243.86163</v>
      </c>
      <c r="AE153" s="6">
        <v>0.00057169</v>
      </c>
      <c r="AF153" s="6">
        <v>775</v>
      </c>
      <c r="AG153" s="6">
        <v>-0.00448598</v>
      </c>
      <c r="AH153" s="6">
        <v>-0.00467145</v>
      </c>
      <c r="AI153" s="6">
        <v>-0.00447126</v>
      </c>
      <c r="AJ153" s="6">
        <v>-0.00413836</v>
      </c>
      <c r="AK153" s="6">
        <v>-0.00345834</v>
      </c>
      <c r="AL153" s="6">
        <v>-0.00414586</v>
      </c>
      <c r="AM153" s="6">
        <v>-0.00426875</v>
      </c>
      <c r="AN153" s="6">
        <v>-6.4762184</v>
      </c>
      <c r="AO153" s="6">
        <v>-6.4515561</v>
      </c>
      <c r="AP153" s="6">
        <v>-6.4739881</v>
      </c>
      <c r="AQ153" s="6">
        <v>-6.4253629</v>
      </c>
      <c r="AR153" s="6">
        <v>-6.4020076</v>
      </c>
      <c r="AS153" s="6">
        <v>-6.4618417</v>
      </c>
      <c r="AT153" s="6">
        <v>-6.4506396</v>
      </c>
      <c r="AU153" s="6">
        <v>0.97344833</v>
      </c>
      <c r="AV153" s="6">
        <v>0.96974131</v>
      </c>
      <c r="AW153" s="6">
        <v>0.97311308</v>
      </c>
      <c r="AX153" s="6">
        <v>0.96580418</v>
      </c>
      <c r="AY153" s="6">
        <v>0.96229362</v>
      </c>
      <c r="AZ153" s="6">
        <v>0.97128734</v>
      </c>
      <c r="BA153" s="6">
        <v>0.96960354</v>
      </c>
      <c r="BB153" s="6">
        <v>0.02655167</v>
      </c>
      <c r="BC153" s="6">
        <v>0.03025869</v>
      </c>
      <c r="BD153" s="6">
        <v>0.02688692</v>
      </c>
      <c r="BE153" s="6">
        <v>0.03419582</v>
      </c>
      <c r="BF153" s="6">
        <v>0.03770638</v>
      </c>
      <c r="BG153" s="6">
        <v>0.02871266</v>
      </c>
      <c r="BH153" s="6">
        <v>0.03039646</v>
      </c>
      <c r="BI153" s="6">
        <v>0.21470859</v>
      </c>
      <c r="BJ153" s="6">
        <v>0.12366373</v>
      </c>
      <c r="BK153" s="6">
        <v>0.1409291</v>
      </c>
      <c r="BL153" s="6">
        <v>0.12522516</v>
      </c>
      <c r="BM153" s="6">
        <v>0.1592662</v>
      </c>
      <c r="BN153" s="6">
        <v>0.17561655</v>
      </c>
      <c r="BO153" s="6">
        <v>0.1337285</v>
      </c>
      <c r="BP153" s="6">
        <v>0.14157076</v>
      </c>
      <c r="BQ153" s="6">
        <v>0.01629876</v>
      </c>
      <c r="BR153" s="6">
        <v>0.01519852</v>
      </c>
      <c r="BS153" s="6">
        <v>0.01488785</v>
      </c>
      <c r="BT153" s="6">
        <v>0.01181303</v>
      </c>
      <c r="BU153" s="6">
        <v>0.01062478</v>
      </c>
      <c r="BV153" s="6">
        <v>0.02180032</v>
      </c>
      <c r="BW153" s="6">
        <v>0.0197368</v>
      </c>
      <c r="BX153" s="12">
        <v>2918</v>
      </c>
      <c r="BY153" s="13">
        <v>1004.06</v>
      </c>
      <c r="BZ153" s="12">
        <v>1919.09</v>
      </c>
      <c r="CA153" s="6">
        <f t="shared" si="10"/>
        <v>2.90620082465191</v>
      </c>
      <c r="CB153" s="6">
        <f t="shared" si="11"/>
        <v>1.52051232615458</v>
      </c>
      <c r="CC153" s="7">
        <v>51129812.52</v>
      </c>
      <c r="CD153" s="7">
        <f t="shared" si="12"/>
        <v>2.66427382353094</v>
      </c>
      <c r="CE153" s="8">
        <v>36.5</v>
      </c>
      <c r="CF153" s="8">
        <v>32</v>
      </c>
      <c r="CG153" s="8">
        <v>70.7</v>
      </c>
      <c r="CH153" s="8">
        <v>5318</v>
      </c>
      <c r="CI153" s="14">
        <v>0</v>
      </c>
      <c r="CJ153" s="14">
        <v>0</v>
      </c>
      <c r="CK153" s="14">
        <f t="shared" si="13"/>
        <v>0</v>
      </c>
      <c r="CL153">
        <f t="shared" si="14"/>
        <v>4.16809156222866</v>
      </c>
      <c r="CM153">
        <f t="shared" si="15"/>
        <v>0.360792875167464</v>
      </c>
      <c r="CN153" s="15">
        <v>2918</v>
      </c>
      <c r="CO153" s="15">
        <v>2635</v>
      </c>
      <c r="CP153" s="15">
        <v>128.77</v>
      </c>
      <c r="CQ153" s="15">
        <v>749.35</v>
      </c>
      <c r="CR153" s="15">
        <v>116.27</v>
      </c>
      <c r="CS153" s="15">
        <v>11.42</v>
      </c>
      <c r="CT153" s="15">
        <v>183.42</v>
      </c>
      <c r="CU153" s="15">
        <v>87.46</v>
      </c>
      <c r="CV153" s="15">
        <v>7.89</v>
      </c>
      <c r="CW153" s="15">
        <v>250.47</v>
      </c>
    </row>
    <row r="154" spans="1:101">
      <c r="A154" s="6">
        <v>2002</v>
      </c>
      <c r="B154" s="6" t="s">
        <v>106</v>
      </c>
      <c r="C154" s="6">
        <v>0.10683369</v>
      </c>
      <c r="D154" s="6">
        <v>0.0228</v>
      </c>
      <c r="E154" s="6">
        <v>0.005783</v>
      </c>
      <c r="F154" s="6">
        <v>0.010106</v>
      </c>
      <c r="G154" s="6">
        <v>0.003525</v>
      </c>
      <c r="H154" s="6">
        <v>0.003386</v>
      </c>
      <c r="I154" s="6">
        <v>0.022527</v>
      </c>
      <c r="J154" s="6">
        <v>0.010881</v>
      </c>
      <c r="K154" s="6">
        <v>0.12727372</v>
      </c>
      <c r="L154" s="6">
        <v>0.09622853</v>
      </c>
      <c r="M154" s="6">
        <v>0.11241699</v>
      </c>
      <c r="N154" s="6">
        <v>0.07569927</v>
      </c>
      <c r="O154" s="6">
        <v>0.06910094</v>
      </c>
      <c r="P154" s="6">
        <v>0.16112677</v>
      </c>
      <c r="Q154" s="6">
        <v>0.12514499</v>
      </c>
      <c r="R154" s="6">
        <v>217.69486</v>
      </c>
      <c r="S154" s="6">
        <v>0.00058464</v>
      </c>
      <c r="T154" s="6">
        <v>169.97573</v>
      </c>
      <c r="U154" s="6">
        <v>0.00056613</v>
      </c>
      <c r="V154" s="6">
        <v>197.11803</v>
      </c>
      <c r="W154" s="6">
        <v>0.0005703</v>
      </c>
      <c r="X154" s="6">
        <v>134.47093</v>
      </c>
      <c r="Y154" s="6">
        <v>0.00056294</v>
      </c>
      <c r="Z154" s="6">
        <v>134.86767</v>
      </c>
      <c r="AA154" s="6">
        <v>0.00051236</v>
      </c>
      <c r="AB154" s="6">
        <v>294.9318</v>
      </c>
      <c r="AC154" s="6">
        <v>0.00054632</v>
      </c>
      <c r="AD154" s="6">
        <v>243.86163</v>
      </c>
      <c r="AE154" s="6">
        <v>0.00051318</v>
      </c>
      <c r="AF154" s="6">
        <v>775</v>
      </c>
      <c r="AG154" s="6">
        <v>-0.00435238</v>
      </c>
      <c r="AH154" s="6">
        <v>-0.00423278</v>
      </c>
      <c r="AI154" s="6">
        <v>-0.00425979</v>
      </c>
      <c r="AJ154" s="6">
        <v>-0.00421212</v>
      </c>
      <c r="AK154" s="6">
        <v>-0.00388189</v>
      </c>
      <c r="AL154" s="6">
        <v>-0.00410411</v>
      </c>
      <c r="AM154" s="6">
        <v>-0.00388728</v>
      </c>
      <c r="AN154" s="6">
        <v>-6.4762184</v>
      </c>
      <c r="AO154" s="6">
        <v>-6.4515561</v>
      </c>
      <c r="AP154" s="6">
        <v>-6.4739881</v>
      </c>
      <c r="AQ154" s="6">
        <v>-6.4253629</v>
      </c>
      <c r="AR154" s="6">
        <v>-6.4020076</v>
      </c>
      <c r="AS154" s="6">
        <v>-6.4618417</v>
      </c>
      <c r="AT154" s="6">
        <v>-6.4506396</v>
      </c>
      <c r="AU154" s="6">
        <v>0.97344833</v>
      </c>
      <c r="AV154" s="6">
        <v>0.96974131</v>
      </c>
      <c r="AW154" s="6">
        <v>0.97311308</v>
      </c>
      <c r="AX154" s="6">
        <v>0.96580418</v>
      </c>
      <c r="AY154" s="6">
        <v>0.96229362</v>
      </c>
      <c r="AZ154" s="6">
        <v>0.97128734</v>
      </c>
      <c r="BA154" s="6">
        <v>0.96960354</v>
      </c>
      <c r="BB154" s="6">
        <v>0.02655167</v>
      </c>
      <c r="BC154" s="6">
        <v>0.03025869</v>
      </c>
      <c r="BD154" s="6">
        <v>0.02688692</v>
      </c>
      <c r="BE154" s="6">
        <v>0.03419582</v>
      </c>
      <c r="BF154" s="6">
        <v>0.03770638</v>
      </c>
      <c r="BG154" s="6">
        <v>0.02871266</v>
      </c>
      <c r="BH154" s="6">
        <v>0.03039646</v>
      </c>
      <c r="BI154" s="6">
        <v>0.21470859</v>
      </c>
      <c r="BJ154" s="6">
        <v>0.12366373</v>
      </c>
      <c r="BK154" s="6">
        <v>0.1409291</v>
      </c>
      <c r="BL154" s="6">
        <v>0.12522516</v>
      </c>
      <c r="BM154" s="6">
        <v>0.1592662</v>
      </c>
      <c r="BN154" s="6">
        <v>0.17561655</v>
      </c>
      <c r="BO154" s="6">
        <v>0.1337285</v>
      </c>
      <c r="BP154" s="6">
        <v>0.14157076</v>
      </c>
      <c r="BQ154" s="6">
        <v>0.01573914</v>
      </c>
      <c r="BR154" s="6">
        <v>0.0135614</v>
      </c>
      <c r="BS154" s="6">
        <v>0.01407743</v>
      </c>
      <c r="BT154" s="6">
        <v>0.01205634</v>
      </c>
      <c r="BU154" s="6">
        <v>0.01213527</v>
      </c>
      <c r="BV154" s="6">
        <v>0.02154724</v>
      </c>
      <c r="BW154" s="6">
        <v>0.01771687</v>
      </c>
      <c r="BX154" s="12">
        <v>3022</v>
      </c>
      <c r="BY154" s="13">
        <v>1007.18</v>
      </c>
      <c r="BZ154" s="12">
        <v>2150.76337</v>
      </c>
      <c r="CA154" s="6">
        <f t="shared" si="10"/>
        <v>3.00045672074505</v>
      </c>
      <c r="CB154" s="6">
        <f t="shared" si="11"/>
        <v>1.40508251263364</v>
      </c>
      <c r="CC154" s="7">
        <v>53044949.76</v>
      </c>
      <c r="CD154" s="7">
        <f t="shared" si="12"/>
        <v>2.46633128032118</v>
      </c>
      <c r="CE154" s="8">
        <v>38.7</v>
      </c>
      <c r="CF154" s="8">
        <v>32.7</v>
      </c>
      <c r="CG154" s="8">
        <v>90.6</v>
      </c>
      <c r="CH154" s="8">
        <v>6094</v>
      </c>
      <c r="CI154" s="14">
        <v>0</v>
      </c>
      <c r="CJ154" s="14">
        <v>0</v>
      </c>
      <c r="CK154" s="14">
        <f t="shared" si="13"/>
        <v>0</v>
      </c>
      <c r="CL154">
        <f t="shared" si="14"/>
        <v>4.06804884448575</v>
      </c>
      <c r="CM154">
        <f t="shared" si="15"/>
        <v>0.393731153532166</v>
      </c>
      <c r="CN154" s="15">
        <v>3022</v>
      </c>
      <c r="CO154" s="15">
        <v>2929</v>
      </c>
      <c r="CP154" s="15">
        <v>149.49</v>
      </c>
      <c r="CQ154" s="15">
        <v>675.58</v>
      </c>
      <c r="CR154" s="15">
        <v>94.76</v>
      </c>
      <c r="CS154" s="15">
        <v>15.63</v>
      </c>
      <c r="CT154" s="15">
        <v>183.81</v>
      </c>
      <c r="CU154" s="15">
        <v>88.98</v>
      </c>
      <c r="CV154" s="15">
        <v>6.48</v>
      </c>
      <c r="CW154" s="15">
        <v>281</v>
      </c>
    </row>
    <row r="155" spans="1:101">
      <c r="A155" s="6">
        <v>2003</v>
      </c>
      <c r="B155" s="6" t="s">
        <v>106</v>
      </c>
      <c r="C155" s="6">
        <v>0.11946653</v>
      </c>
      <c r="D155" s="6">
        <v>0.025336</v>
      </c>
      <c r="E155" s="6">
        <v>0.006404</v>
      </c>
      <c r="F155" s="6">
        <v>0.011326</v>
      </c>
      <c r="G155" s="6">
        <v>0.003779</v>
      </c>
      <c r="H155" s="6">
        <v>0.003828</v>
      </c>
      <c r="I155" s="6">
        <v>0.02308</v>
      </c>
      <c r="J155" s="6">
        <v>0.011428</v>
      </c>
      <c r="K155" s="6">
        <v>0.14717132</v>
      </c>
      <c r="L155" s="6">
        <v>0.1109194</v>
      </c>
      <c r="M155" s="6">
        <v>0.13115845</v>
      </c>
      <c r="N155" s="6">
        <v>0.08320521</v>
      </c>
      <c r="O155" s="6">
        <v>0.08249447</v>
      </c>
      <c r="P155" s="6">
        <v>0.16728465</v>
      </c>
      <c r="Q155" s="6">
        <v>0.1349203</v>
      </c>
      <c r="R155" s="6">
        <v>217.69486</v>
      </c>
      <c r="S155" s="6">
        <v>0.00067604</v>
      </c>
      <c r="T155" s="6">
        <v>169.97573</v>
      </c>
      <c r="U155" s="6">
        <v>0.00065256</v>
      </c>
      <c r="V155" s="6">
        <v>197.11803</v>
      </c>
      <c r="W155" s="6">
        <v>0.00066538</v>
      </c>
      <c r="X155" s="6">
        <v>134.47093</v>
      </c>
      <c r="Y155" s="6">
        <v>0.00061876</v>
      </c>
      <c r="Z155" s="6">
        <v>134.86767</v>
      </c>
      <c r="AA155" s="6">
        <v>0.00061167</v>
      </c>
      <c r="AB155" s="6">
        <v>294.9318</v>
      </c>
      <c r="AC155" s="6">
        <v>0.0005672</v>
      </c>
      <c r="AD155" s="6">
        <v>243.86163</v>
      </c>
      <c r="AE155" s="6">
        <v>0.00055327</v>
      </c>
      <c r="AF155" s="6">
        <v>775</v>
      </c>
      <c r="AG155" s="6">
        <v>-0.00493462</v>
      </c>
      <c r="AH155" s="6">
        <v>-0.00478627</v>
      </c>
      <c r="AI155" s="6">
        <v>-0.00486736</v>
      </c>
      <c r="AJ155" s="6">
        <v>-0.00457127</v>
      </c>
      <c r="AK155" s="6">
        <v>-0.00452594</v>
      </c>
      <c r="AL155" s="6">
        <v>-0.00423969</v>
      </c>
      <c r="AM155" s="6">
        <v>-0.00414931</v>
      </c>
      <c r="AN155" s="6">
        <v>-6.4762184</v>
      </c>
      <c r="AO155" s="6">
        <v>-6.4515561</v>
      </c>
      <c r="AP155" s="6">
        <v>-6.4739881</v>
      </c>
      <c r="AQ155" s="6">
        <v>-6.4253629</v>
      </c>
      <c r="AR155" s="6">
        <v>-6.4020076</v>
      </c>
      <c r="AS155" s="6">
        <v>-6.4618417</v>
      </c>
      <c r="AT155" s="6">
        <v>-6.4506396</v>
      </c>
      <c r="AU155" s="6">
        <v>0.97344833</v>
      </c>
      <c r="AV155" s="6">
        <v>0.96974131</v>
      </c>
      <c r="AW155" s="6">
        <v>0.97311308</v>
      </c>
      <c r="AX155" s="6">
        <v>0.96580418</v>
      </c>
      <c r="AY155" s="6">
        <v>0.96229362</v>
      </c>
      <c r="AZ155" s="6">
        <v>0.97128734</v>
      </c>
      <c r="BA155" s="6">
        <v>0.96960354</v>
      </c>
      <c r="BB155" s="6">
        <v>0.02655167</v>
      </c>
      <c r="BC155" s="6">
        <v>0.03025869</v>
      </c>
      <c r="BD155" s="6">
        <v>0.02688692</v>
      </c>
      <c r="BE155" s="6">
        <v>0.03419582</v>
      </c>
      <c r="BF155" s="6">
        <v>0.03770638</v>
      </c>
      <c r="BG155" s="6">
        <v>0.02871266</v>
      </c>
      <c r="BH155" s="6">
        <v>0.03039646</v>
      </c>
      <c r="BI155" s="6">
        <v>0.21470859</v>
      </c>
      <c r="BJ155" s="6">
        <v>0.12366373</v>
      </c>
      <c r="BK155" s="6">
        <v>0.1409291</v>
      </c>
      <c r="BL155" s="6">
        <v>0.12522516</v>
      </c>
      <c r="BM155" s="6">
        <v>0.1592662</v>
      </c>
      <c r="BN155" s="6">
        <v>0.17561655</v>
      </c>
      <c r="BO155" s="6">
        <v>0.1337285</v>
      </c>
      <c r="BP155" s="6">
        <v>0.14157076</v>
      </c>
      <c r="BQ155" s="6">
        <v>0.01819975</v>
      </c>
      <c r="BR155" s="6">
        <v>0.01563177</v>
      </c>
      <c r="BS155" s="6">
        <v>0.01642434</v>
      </c>
      <c r="BT155" s="6">
        <v>0.01325178</v>
      </c>
      <c r="BU155" s="6">
        <v>0.01448739</v>
      </c>
      <c r="BV155" s="6">
        <v>0.02237072</v>
      </c>
      <c r="BW155" s="6">
        <v>0.01910077</v>
      </c>
      <c r="BX155" s="12">
        <v>3215</v>
      </c>
      <c r="BY155" s="13">
        <v>1011.3</v>
      </c>
      <c r="BZ155" s="12">
        <v>2578.03</v>
      </c>
      <c r="CA155" s="6">
        <f t="shared" ref="CA155:CA218" si="16">BX155/BY155</f>
        <v>3.17907643627015</v>
      </c>
      <c r="CB155" s="6">
        <f t="shared" ref="CB155:CB218" si="17">BX155/BZ155</f>
        <v>1.24707625590082</v>
      </c>
      <c r="CC155" s="7">
        <v>57326449.79</v>
      </c>
      <c r="CD155" s="7">
        <f t="shared" si="12"/>
        <v>2.22365332404976</v>
      </c>
      <c r="CE155" s="8">
        <v>39.6</v>
      </c>
      <c r="CF155" s="8">
        <v>47.5</v>
      </c>
      <c r="CG155" s="8">
        <v>98.9</v>
      </c>
      <c r="CH155" s="8">
        <v>6883</v>
      </c>
      <c r="CI155" s="14">
        <v>0</v>
      </c>
      <c r="CJ155" s="14">
        <v>0</v>
      </c>
      <c r="CK155" s="14">
        <f t="shared" si="13"/>
        <v>0</v>
      </c>
      <c r="CL155">
        <f t="shared" si="14"/>
        <v>4.08414499624993</v>
      </c>
      <c r="CM155">
        <f t="shared" si="15"/>
        <v>0.455540063809801</v>
      </c>
      <c r="CN155" s="15">
        <v>3214.97</v>
      </c>
      <c r="CO155" s="15">
        <v>3205.34</v>
      </c>
      <c r="CP155" s="15">
        <v>143.15</v>
      </c>
      <c r="CQ155" s="15">
        <v>750.95</v>
      </c>
      <c r="CR155" s="15">
        <v>106.42</v>
      </c>
      <c r="CS155" s="15">
        <v>18.61</v>
      </c>
      <c r="CT155" s="15">
        <v>193.79</v>
      </c>
      <c r="CU155" s="15">
        <v>113.48</v>
      </c>
      <c r="CV155" s="15">
        <v>7.26</v>
      </c>
      <c r="CW155" s="15">
        <v>313</v>
      </c>
    </row>
    <row r="156" spans="1:101">
      <c r="A156" s="6">
        <v>2004</v>
      </c>
      <c r="B156" s="6" t="s">
        <v>106</v>
      </c>
      <c r="C156" s="6">
        <v>0.13748772</v>
      </c>
      <c r="D156" s="6">
        <v>0.026866</v>
      </c>
      <c r="E156" s="6">
        <v>0.006639</v>
      </c>
      <c r="F156" s="6">
        <v>0.011793</v>
      </c>
      <c r="G156" s="6">
        <v>0.004304</v>
      </c>
      <c r="H156" s="6">
        <v>0.00413</v>
      </c>
      <c r="I156" s="6">
        <v>0.025856</v>
      </c>
      <c r="J156" s="6">
        <v>0.014056</v>
      </c>
      <c r="K156" s="6">
        <v>0.15917055</v>
      </c>
      <c r="L156" s="6">
        <v>0.11647314</v>
      </c>
      <c r="M156" s="6">
        <v>0.13833347</v>
      </c>
      <c r="N156" s="6">
        <v>0.09873359</v>
      </c>
      <c r="O156" s="6">
        <v>0.09166636</v>
      </c>
      <c r="P156" s="6">
        <v>0.19820942</v>
      </c>
      <c r="Q156" s="6">
        <v>0.18179959</v>
      </c>
      <c r="R156" s="6">
        <v>217.69486</v>
      </c>
      <c r="S156" s="6">
        <v>0.00073116</v>
      </c>
      <c r="T156" s="6">
        <v>169.97573</v>
      </c>
      <c r="U156" s="6">
        <v>0.00068523</v>
      </c>
      <c r="V156" s="6">
        <v>197.11803</v>
      </c>
      <c r="W156" s="6">
        <v>0.00070178</v>
      </c>
      <c r="X156" s="6">
        <v>134.47093</v>
      </c>
      <c r="Y156" s="6">
        <v>0.00073424</v>
      </c>
      <c r="Z156" s="6">
        <v>134.86767</v>
      </c>
      <c r="AA156" s="6">
        <v>0.00067968</v>
      </c>
      <c r="AB156" s="6">
        <v>294.9318</v>
      </c>
      <c r="AC156" s="6">
        <v>0.00067205</v>
      </c>
      <c r="AD156" s="6">
        <v>243.86163</v>
      </c>
      <c r="AE156" s="6">
        <v>0.0007455</v>
      </c>
      <c r="AF156" s="6">
        <v>775</v>
      </c>
      <c r="AG156" s="6">
        <v>-0.00527964</v>
      </c>
      <c r="AH156" s="6">
        <v>-0.00499244</v>
      </c>
      <c r="AI156" s="6">
        <v>-0.00509625</v>
      </c>
      <c r="AJ156" s="6">
        <v>-0.00529876</v>
      </c>
      <c r="AK156" s="6">
        <v>-0.00495749</v>
      </c>
      <c r="AL156" s="6">
        <v>-0.00490946</v>
      </c>
      <c r="AM156" s="6">
        <v>-0.0053687</v>
      </c>
      <c r="AN156" s="6">
        <v>-6.4762184</v>
      </c>
      <c r="AO156" s="6">
        <v>-6.4515561</v>
      </c>
      <c r="AP156" s="6">
        <v>-6.4739881</v>
      </c>
      <c r="AQ156" s="6">
        <v>-6.4253629</v>
      </c>
      <c r="AR156" s="6">
        <v>-6.4020076</v>
      </c>
      <c r="AS156" s="6">
        <v>-6.4618417</v>
      </c>
      <c r="AT156" s="6">
        <v>-6.4506396</v>
      </c>
      <c r="AU156" s="6">
        <v>0.97344833</v>
      </c>
      <c r="AV156" s="6">
        <v>0.96974131</v>
      </c>
      <c r="AW156" s="6">
        <v>0.97311308</v>
      </c>
      <c r="AX156" s="6">
        <v>0.96580418</v>
      </c>
      <c r="AY156" s="6">
        <v>0.96229362</v>
      </c>
      <c r="AZ156" s="6">
        <v>0.97128734</v>
      </c>
      <c r="BA156" s="6">
        <v>0.96960354</v>
      </c>
      <c r="BB156" s="6">
        <v>0.02655167</v>
      </c>
      <c r="BC156" s="6">
        <v>0.03025869</v>
      </c>
      <c r="BD156" s="6">
        <v>0.02688692</v>
      </c>
      <c r="BE156" s="6">
        <v>0.03419582</v>
      </c>
      <c r="BF156" s="6">
        <v>0.03770638</v>
      </c>
      <c r="BG156" s="6">
        <v>0.02871266</v>
      </c>
      <c r="BH156" s="6">
        <v>0.03039646</v>
      </c>
      <c r="BI156" s="6">
        <v>0.21470859</v>
      </c>
      <c r="BJ156" s="6">
        <v>0.12366373</v>
      </c>
      <c r="BK156" s="6">
        <v>0.1409291</v>
      </c>
      <c r="BL156" s="6">
        <v>0.12522516</v>
      </c>
      <c r="BM156" s="6">
        <v>0.1592662</v>
      </c>
      <c r="BN156" s="6">
        <v>0.17561655</v>
      </c>
      <c r="BO156" s="6">
        <v>0.1337285</v>
      </c>
      <c r="BP156" s="6">
        <v>0.14157076</v>
      </c>
      <c r="BQ156" s="6">
        <v>0.01968362</v>
      </c>
      <c r="BR156" s="6">
        <v>0.01641446</v>
      </c>
      <c r="BS156" s="6">
        <v>0.01732283</v>
      </c>
      <c r="BT156" s="6">
        <v>0.01572492</v>
      </c>
      <c r="BU156" s="6">
        <v>0.01609813</v>
      </c>
      <c r="BV156" s="6">
        <v>0.02650625</v>
      </c>
      <c r="BW156" s="6">
        <v>0.02573751</v>
      </c>
      <c r="BX156" s="12">
        <v>3697</v>
      </c>
      <c r="BY156" s="13">
        <v>1023.67</v>
      </c>
      <c r="BZ156" s="12">
        <v>3110.97</v>
      </c>
      <c r="CA156" s="6">
        <f t="shared" si="16"/>
        <v>3.61151542977717</v>
      </c>
      <c r="CB156" s="6">
        <f t="shared" si="17"/>
        <v>1.18837532988103</v>
      </c>
      <c r="CC156" s="7">
        <v>62247092.5</v>
      </c>
      <c r="CD156" s="7">
        <f t="shared" si="12"/>
        <v>2.00089015644638</v>
      </c>
      <c r="CE156" s="8">
        <v>42.1</v>
      </c>
      <c r="CF156" s="8">
        <v>51.3</v>
      </c>
      <c r="CG156" s="8">
        <v>124.5</v>
      </c>
      <c r="CH156" s="8">
        <v>7946</v>
      </c>
      <c r="CI156" s="14">
        <v>0</v>
      </c>
      <c r="CJ156" s="14">
        <v>0</v>
      </c>
      <c r="CK156" s="14">
        <f t="shared" si="13"/>
        <v>0</v>
      </c>
      <c r="CL156">
        <f t="shared" si="14"/>
        <v>3.89549779892895</v>
      </c>
      <c r="CM156">
        <f t="shared" si="15"/>
        <v>0.48635828853593</v>
      </c>
      <c r="CN156" s="15">
        <v>3696.68</v>
      </c>
      <c r="CO156" s="15">
        <v>3508.57</v>
      </c>
      <c r="CP156" s="15">
        <v>328.04</v>
      </c>
      <c r="CQ156" s="15">
        <v>786.57</v>
      </c>
      <c r="CR156" s="15">
        <v>118.71</v>
      </c>
      <c r="CS156" s="15">
        <v>15.02</v>
      </c>
      <c r="CT156" s="15">
        <v>226.03</v>
      </c>
      <c r="CU156" s="15">
        <v>113.9</v>
      </c>
      <c r="CV156" s="15">
        <v>8.55</v>
      </c>
      <c r="CW156" s="15">
        <v>350.97</v>
      </c>
    </row>
    <row r="157" spans="1:101">
      <c r="A157" s="6">
        <v>2005</v>
      </c>
      <c r="B157" s="6" t="s">
        <v>106</v>
      </c>
      <c r="C157" s="6">
        <v>0.11774743</v>
      </c>
      <c r="D157" s="6">
        <v>0.024432</v>
      </c>
      <c r="E157" s="6">
        <v>0.005649</v>
      </c>
      <c r="F157" s="6">
        <v>0.010941</v>
      </c>
      <c r="G157" s="6">
        <v>0.003695</v>
      </c>
      <c r="H157" s="6">
        <v>0.004146</v>
      </c>
      <c r="I157" s="6">
        <v>0.023602</v>
      </c>
      <c r="J157" s="6">
        <v>0.011561</v>
      </c>
      <c r="K157" s="6">
        <v>0.14007522</v>
      </c>
      <c r="L157" s="6">
        <v>0.09305908</v>
      </c>
      <c r="M157" s="6">
        <v>0.12524984</v>
      </c>
      <c r="N157" s="6">
        <v>0.08073393</v>
      </c>
      <c r="O157" s="6">
        <v>0.0921562</v>
      </c>
      <c r="P157" s="6">
        <v>0.1731041</v>
      </c>
      <c r="Q157" s="6">
        <v>0.13727943</v>
      </c>
      <c r="R157" s="6">
        <v>217.69486</v>
      </c>
      <c r="S157" s="6">
        <v>0.00064345</v>
      </c>
      <c r="T157" s="6">
        <v>169.97573</v>
      </c>
      <c r="U157" s="6">
        <v>0.00054748</v>
      </c>
      <c r="V157" s="6">
        <v>197.11803</v>
      </c>
      <c r="W157" s="6">
        <v>0.00063541</v>
      </c>
      <c r="X157" s="6">
        <v>134.47093</v>
      </c>
      <c r="Y157" s="6">
        <v>0.00060038</v>
      </c>
      <c r="Z157" s="6">
        <v>134.86767</v>
      </c>
      <c r="AA157" s="6">
        <v>0.00068331</v>
      </c>
      <c r="AB157" s="6">
        <v>294.9318</v>
      </c>
      <c r="AC157" s="6">
        <v>0.00058693</v>
      </c>
      <c r="AD157" s="6">
        <v>243.86163</v>
      </c>
      <c r="AE157" s="6">
        <v>0.00056294</v>
      </c>
      <c r="AF157" s="6">
        <v>775</v>
      </c>
      <c r="AG157" s="6">
        <v>-0.00472848</v>
      </c>
      <c r="AH157" s="6">
        <v>-0.00411171</v>
      </c>
      <c r="AI157" s="6">
        <v>-0.00467738</v>
      </c>
      <c r="AJ157" s="6">
        <v>-0.0044536</v>
      </c>
      <c r="AK157" s="6">
        <v>-0.00498034</v>
      </c>
      <c r="AL157" s="6">
        <v>-0.00436711</v>
      </c>
      <c r="AM157" s="6">
        <v>-0.00421211</v>
      </c>
      <c r="AN157" s="6">
        <v>-6.4762184</v>
      </c>
      <c r="AO157" s="6">
        <v>-6.4515561</v>
      </c>
      <c r="AP157" s="6">
        <v>-6.4739881</v>
      </c>
      <c r="AQ157" s="6">
        <v>-6.4253629</v>
      </c>
      <c r="AR157" s="6">
        <v>-6.4020076</v>
      </c>
      <c r="AS157" s="6">
        <v>-6.4618417</v>
      </c>
      <c r="AT157" s="6">
        <v>-6.4506396</v>
      </c>
      <c r="AU157" s="6">
        <v>0.97344833</v>
      </c>
      <c r="AV157" s="6">
        <v>0.96974131</v>
      </c>
      <c r="AW157" s="6">
        <v>0.97311308</v>
      </c>
      <c r="AX157" s="6">
        <v>0.96580418</v>
      </c>
      <c r="AY157" s="6">
        <v>0.96229362</v>
      </c>
      <c r="AZ157" s="6">
        <v>0.97128734</v>
      </c>
      <c r="BA157" s="6">
        <v>0.96960354</v>
      </c>
      <c r="BB157" s="6">
        <v>0.02655167</v>
      </c>
      <c r="BC157" s="6">
        <v>0.03025869</v>
      </c>
      <c r="BD157" s="6">
        <v>0.02688692</v>
      </c>
      <c r="BE157" s="6">
        <v>0.03419582</v>
      </c>
      <c r="BF157" s="6">
        <v>0.03770638</v>
      </c>
      <c r="BG157" s="6">
        <v>0.02871266</v>
      </c>
      <c r="BH157" s="6">
        <v>0.03039646</v>
      </c>
      <c r="BI157" s="6">
        <v>0.21470859</v>
      </c>
      <c r="BJ157" s="6">
        <v>0.12366373</v>
      </c>
      <c r="BK157" s="6">
        <v>0.1409291</v>
      </c>
      <c r="BL157" s="6">
        <v>0.12522516</v>
      </c>
      <c r="BM157" s="6">
        <v>0.1592662</v>
      </c>
      <c r="BN157" s="6">
        <v>0.17561655</v>
      </c>
      <c r="BO157" s="6">
        <v>0.1337285</v>
      </c>
      <c r="BP157" s="6">
        <v>0.14157076</v>
      </c>
      <c r="BQ157" s="6">
        <v>0.01732222</v>
      </c>
      <c r="BR157" s="6">
        <v>0.01311473</v>
      </c>
      <c r="BS157" s="6">
        <v>0.01568443</v>
      </c>
      <c r="BT157" s="6">
        <v>0.01285819</v>
      </c>
      <c r="BU157" s="6">
        <v>0.01618415</v>
      </c>
      <c r="BV157" s="6">
        <v>0.02314895</v>
      </c>
      <c r="BW157" s="6">
        <v>0.01943475</v>
      </c>
      <c r="BX157" s="12">
        <v>4085</v>
      </c>
      <c r="BY157" s="13">
        <v>1043</v>
      </c>
      <c r="BZ157" s="12">
        <v>3905.64</v>
      </c>
      <c r="CA157" s="6">
        <f t="shared" si="16"/>
        <v>3.91658676893576</v>
      </c>
      <c r="CB157" s="6">
        <f t="shared" si="17"/>
        <v>1.04592333138743</v>
      </c>
      <c r="CC157" s="7">
        <v>81893459.46</v>
      </c>
      <c r="CD157" s="7">
        <f t="shared" si="12"/>
        <v>2.09679999846376</v>
      </c>
      <c r="CE157" s="8">
        <v>44.9</v>
      </c>
      <c r="CF157" s="8">
        <v>60.5</v>
      </c>
      <c r="CG157" s="8">
        <v>137.7</v>
      </c>
      <c r="CH157" s="8">
        <v>8733</v>
      </c>
      <c r="CI157" s="14">
        <v>0</v>
      </c>
      <c r="CJ157" s="14">
        <v>0</v>
      </c>
      <c r="CK157" s="14">
        <f t="shared" si="13"/>
        <v>0</v>
      </c>
      <c r="CL157">
        <f t="shared" si="14"/>
        <v>3.71995059106252</v>
      </c>
      <c r="CM157">
        <f t="shared" si="15"/>
        <v>0.436336599872727</v>
      </c>
      <c r="CN157" s="15">
        <v>4115.2</v>
      </c>
      <c r="CO157" s="15">
        <v>3801.45</v>
      </c>
      <c r="CP157" s="15">
        <v>329.75</v>
      </c>
      <c r="CQ157" s="15">
        <v>863.14</v>
      </c>
      <c r="CR157" s="15">
        <v>118.96</v>
      </c>
      <c r="CS157" s="15">
        <v>15.12</v>
      </c>
      <c r="CT157" s="15">
        <v>243.14</v>
      </c>
      <c r="CU157" s="15">
        <v>112.69</v>
      </c>
      <c r="CV157" s="15">
        <v>9.04</v>
      </c>
      <c r="CW157" s="15">
        <v>384.84</v>
      </c>
    </row>
    <row r="158" spans="1:101">
      <c r="A158" s="6">
        <v>2006</v>
      </c>
      <c r="B158" s="6" t="s">
        <v>106</v>
      </c>
      <c r="C158" s="6">
        <v>0.12876925</v>
      </c>
      <c r="D158" s="6">
        <v>0.025584</v>
      </c>
      <c r="E158" s="6">
        <v>0.006285</v>
      </c>
      <c r="F158" s="6">
        <v>0.011486</v>
      </c>
      <c r="G158" s="6">
        <v>0.003921</v>
      </c>
      <c r="H158" s="6">
        <v>0.003893</v>
      </c>
      <c r="I158" s="6">
        <v>0.025661</v>
      </c>
      <c r="J158" s="6">
        <v>0.013128</v>
      </c>
      <c r="K158" s="6">
        <v>0.14911313</v>
      </c>
      <c r="L158" s="6">
        <v>0.10810137</v>
      </c>
      <c r="M158" s="6">
        <v>0.13361242</v>
      </c>
      <c r="N158" s="6">
        <v>0.08740434</v>
      </c>
      <c r="O158" s="6">
        <v>0.08446493</v>
      </c>
      <c r="P158" s="6">
        <v>0.19603045</v>
      </c>
      <c r="Q158" s="6">
        <v>0.16524772</v>
      </c>
      <c r="R158" s="6">
        <v>217.69486</v>
      </c>
      <c r="S158" s="6">
        <v>0.00068496</v>
      </c>
      <c r="T158" s="6">
        <v>169.97573</v>
      </c>
      <c r="U158" s="6">
        <v>0.00063598</v>
      </c>
      <c r="V158" s="6">
        <v>197.11803</v>
      </c>
      <c r="W158" s="6">
        <v>0.00067783</v>
      </c>
      <c r="X158" s="6">
        <v>134.47093</v>
      </c>
      <c r="Y158" s="6">
        <v>0.00064999</v>
      </c>
      <c r="Z158" s="6">
        <v>134.86767</v>
      </c>
      <c r="AA158" s="6">
        <v>0.00062628</v>
      </c>
      <c r="AB158" s="6">
        <v>294.9318</v>
      </c>
      <c r="AC158" s="6">
        <v>0.00066466</v>
      </c>
      <c r="AD158" s="6">
        <v>243.86163</v>
      </c>
      <c r="AE158" s="6">
        <v>0.00067763</v>
      </c>
      <c r="AF158" s="6">
        <v>775</v>
      </c>
      <c r="AG158" s="6">
        <v>-0.00499075</v>
      </c>
      <c r="AH158" s="6">
        <v>-0.00468104</v>
      </c>
      <c r="AI158" s="6">
        <v>-0.00494586</v>
      </c>
      <c r="AJ158" s="6">
        <v>-0.00476997</v>
      </c>
      <c r="AK158" s="6">
        <v>-0.00461926</v>
      </c>
      <c r="AL158" s="6">
        <v>-0.00486283</v>
      </c>
      <c r="AM158" s="6">
        <v>-0.0049446</v>
      </c>
      <c r="AN158" s="6">
        <v>-6.4762184</v>
      </c>
      <c r="AO158" s="6">
        <v>-6.4515561</v>
      </c>
      <c r="AP158" s="6">
        <v>-6.4739881</v>
      </c>
      <c r="AQ158" s="6">
        <v>-6.4253629</v>
      </c>
      <c r="AR158" s="6">
        <v>-6.4020076</v>
      </c>
      <c r="AS158" s="6">
        <v>-6.4618417</v>
      </c>
      <c r="AT158" s="6">
        <v>-6.4506396</v>
      </c>
      <c r="AU158" s="6">
        <v>0.97344833</v>
      </c>
      <c r="AV158" s="6">
        <v>0.96974131</v>
      </c>
      <c r="AW158" s="6">
        <v>0.97311308</v>
      </c>
      <c r="AX158" s="6">
        <v>0.96580418</v>
      </c>
      <c r="AY158" s="6">
        <v>0.96229362</v>
      </c>
      <c r="AZ158" s="6">
        <v>0.97128734</v>
      </c>
      <c r="BA158" s="6">
        <v>0.96960354</v>
      </c>
      <c r="BB158" s="6">
        <v>0.02655167</v>
      </c>
      <c r="BC158" s="6">
        <v>0.03025869</v>
      </c>
      <c r="BD158" s="6">
        <v>0.02688692</v>
      </c>
      <c r="BE158" s="6">
        <v>0.03419582</v>
      </c>
      <c r="BF158" s="6">
        <v>0.03770638</v>
      </c>
      <c r="BG158" s="6">
        <v>0.02871266</v>
      </c>
      <c r="BH158" s="6">
        <v>0.03039646</v>
      </c>
      <c r="BI158" s="6">
        <v>0.21470859</v>
      </c>
      <c r="BJ158" s="6">
        <v>0.12366373</v>
      </c>
      <c r="BK158" s="6">
        <v>0.1409291</v>
      </c>
      <c r="BL158" s="6">
        <v>0.12522516</v>
      </c>
      <c r="BM158" s="6">
        <v>0.1592662</v>
      </c>
      <c r="BN158" s="6">
        <v>0.17561655</v>
      </c>
      <c r="BO158" s="6">
        <v>0.1337285</v>
      </c>
      <c r="BP158" s="6">
        <v>0.14157076</v>
      </c>
      <c r="BQ158" s="6">
        <v>0.01843989</v>
      </c>
      <c r="BR158" s="6">
        <v>0.01523463</v>
      </c>
      <c r="BS158" s="6">
        <v>0.01673164</v>
      </c>
      <c r="BT158" s="6">
        <v>0.01392056</v>
      </c>
      <c r="BU158" s="6">
        <v>0.01483344</v>
      </c>
      <c r="BV158" s="6">
        <v>0.02621486</v>
      </c>
      <c r="BW158" s="6">
        <v>0.02339425</v>
      </c>
      <c r="BX158" s="12">
        <v>4500</v>
      </c>
      <c r="BY158" s="13">
        <v>1075</v>
      </c>
      <c r="BZ158" s="12">
        <v>4462.74</v>
      </c>
      <c r="CA158" s="6">
        <f t="shared" si="16"/>
        <v>4.18604651162791</v>
      </c>
      <c r="CB158" s="6">
        <f t="shared" si="17"/>
        <v>1.00834913080305</v>
      </c>
      <c r="CC158" s="7">
        <v>83745506.55</v>
      </c>
      <c r="CD158" s="7">
        <f t="shared" si="12"/>
        <v>1.87654908307452</v>
      </c>
      <c r="CE158" s="8">
        <v>47.6</v>
      </c>
      <c r="CF158" s="8">
        <v>76.1</v>
      </c>
      <c r="CG158" s="8">
        <v>162.2</v>
      </c>
      <c r="CH158" s="8">
        <v>10112</v>
      </c>
      <c r="CI158" s="14">
        <v>0</v>
      </c>
      <c r="CJ158" s="14">
        <v>0</v>
      </c>
      <c r="CK158" s="14">
        <f t="shared" si="13"/>
        <v>0</v>
      </c>
      <c r="CL158">
        <f t="shared" si="14"/>
        <v>3.57740717995078</v>
      </c>
      <c r="CM158">
        <f t="shared" si="15"/>
        <v>0.475444368314725</v>
      </c>
      <c r="CN158" s="15">
        <v>4525.14</v>
      </c>
      <c r="CO158" s="15">
        <v>3809.31</v>
      </c>
      <c r="CP158" s="15">
        <v>541.1</v>
      </c>
      <c r="CQ158" s="15">
        <v>900.49</v>
      </c>
      <c r="CR158" s="15">
        <v>127.84</v>
      </c>
      <c r="CS158" s="15">
        <v>16.36</v>
      </c>
      <c r="CT158" s="15">
        <v>247.03</v>
      </c>
      <c r="CU158" s="15">
        <v>107.12</v>
      </c>
      <c r="CV158" s="15">
        <v>11.22</v>
      </c>
      <c r="CW158" s="15">
        <v>445.73</v>
      </c>
    </row>
    <row r="159" spans="1:101">
      <c r="A159" s="6">
        <v>2007</v>
      </c>
      <c r="B159" s="6" t="s">
        <v>106</v>
      </c>
      <c r="C159" s="6">
        <v>0.14090325</v>
      </c>
      <c r="D159" s="6">
        <v>0.028737</v>
      </c>
      <c r="E159" s="6">
        <v>0.007082</v>
      </c>
      <c r="F159" s="6">
        <v>0.012915</v>
      </c>
      <c r="G159" s="6">
        <v>0.004</v>
      </c>
      <c r="H159" s="6">
        <v>0.00474</v>
      </c>
      <c r="I159" s="6">
        <v>0.027384</v>
      </c>
      <c r="J159" s="6">
        <v>0.011631</v>
      </c>
      <c r="K159" s="6">
        <v>0.17384407</v>
      </c>
      <c r="L159" s="6">
        <v>0.12693305</v>
      </c>
      <c r="M159" s="6">
        <v>0.15558</v>
      </c>
      <c r="N159" s="6">
        <v>0.08976441</v>
      </c>
      <c r="O159" s="6">
        <v>0.11013851</v>
      </c>
      <c r="P159" s="6">
        <v>0.21522635</v>
      </c>
      <c r="Q159" s="6">
        <v>0.13854182</v>
      </c>
      <c r="R159" s="6">
        <v>217.69486</v>
      </c>
      <c r="S159" s="6">
        <v>0.00079857</v>
      </c>
      <c r="T159" s="6">
        <v>169.97573</v>
      </c>
      <c r="U159" s="6">
        <v>0.00074677</v>
      </c>
      <c r="V159" s="6">
        <v>197.11803</v>
      </c>
      <c r="W159" s="6">
        <v>0.00078927</v>
      </c>
      <c r="X159" s="6">
        <v>134.47093</v>
      </c>
      <c r="Y159" s="6">
        <v>0.00066754</v>
      </c>
      <c r="Z159" s="6">
        <v>134.86767</v>
      </c>
      <c r="AA159" s="6">
        <v>0.00081664</v>
      </c>
      <c r="AB159" s="6">
        <v>294.9318</v>
      </c>
      <c r="AC159" s="6">
        <v>0.00072975</v>
      </c>
      <c r="AD159" s="6">
        <v>243.86163</v>
      </c>
      <c r="AE159" s="6">
        <v>0.00056812</v>
      </c>
      <c r="AF159" s="6">
        <v>775</v>
      </c>
      <c r="AG159" s="6">
        <v>-0.00569594</v>
      </c>
      <c r="AH159" s="6">
        <v>-0.00537657</v>
      </c>
      <c r="AI159" s="6">
        <v>-0.00563888</v>
      </c>
      <c r="AJ159" s="6">
        <v>-0.00488098</v>
      </c>
      <c r="AK159" s="6">
        <v>-0.00580657</v>
      </c>
      <c r="AL159" s="6">
        <v>-0.00527084</v>
      </c>
      <c r="AM159" s="6">
        <v>-0.00424564</v>
      </c>
      <c r="AN159" s="6">
        <v>-6.4762184</v>
      </c>
      <c r="AO159" s="6">
        <v>-6.4515561</v>
      </c>
      <c r="AP159" s="6">
        <v>-6.4739881</v>
      </c>
      <c r="AQ159" s="6">
        <v>-6.4253629</v>
      </c>
      <c r="AR159" s="6">
        <v>-6.4020076</v>
      </c>
      <c r="AS159" s="6">
        <v>-6.4618417</v>
      </c>
      <c r="AT159" s="6">
        <v>-6.4506396</v>
      </c>
      <c r="AU159" s="6">
        <v>0.97344833</v>
      </c>
      <c r="AV159" s="6">
        <v>0.96974131</v>
      </c>
      <c r="AW159" s="6">
        <v>0.97311308</v>
      </c>
      <c r="AX159" s="6">
        <v>0.96580418</v>
      </c>
      <c r="AY159" s="6">
        <v>0.96229362</v>
      </c>
      <c r="AZ159" s="6">
        <v>0.97128734</v>
      </c>
      <c r="BA159" s="6">
        <v>0.96960354</v>
      </c>
      <c r="BB159" s="6">
        <v>0.02655167</v>
      </c>
      <c r="BC159" s="6">
        <v>0.03025869</v>
      </c>
      <c r="BD159" s="6">
        <v>0.02688692</v>
      </c>
      <c r="BE159" s="6">
        <v>0.03419582</v>
      </c>
      <c r="BF159" s="6">
        <v>0.03770638</v>
      </c>
      <c r="BG159" s="6">
        <v>0.02871266</v>
      </c>
      <c r="BH159" s="6">
        <v>0.03039646</v>
      </c>
      <c r="BI159" s="6">
        <v>0.21470859</v>
      </c>
      <c r="BJ159" s="6">
        <v>0.12366373</v>
      </c>
      <c r="BK159" s="6">
        <v>0.1409291</v>
      </c>
      <c r="BL159" s="6">
        <v>0.12522516</v>
      </c>
      <c r="BM159" s="6">
        <v>0.1592662</v>
      </c>
      <c r="BN159" s="6">
        <v>0.17561655</v>
      </c>
      <c r="BO159" s="6">
        <v>0.1337285</v>
      </c>
      <c r="BP159" s="6">
        <v>0.14157076</v>
      </c>
      <c r="BQ159" s="6">
        <v>0.02149821</v>
      </c>
      <c r="BR159" s="6">
        <v>0.01788856</v>
      </c>
      <c r="BS159" s="6">
        <v>0.01948253</v>
      </c>
      <c r="BT159" s="6">
        <v>0.01429644</v>
      </c>
      <c r="BU159" s="6">
        <v>0.01934214</v>
      </c>
      <c r="BV159" s="6">
        <v>0.0287819</v>
      </c>
      <c r="BW159" s="6">
        <v>0.01961347</v>
      </c>
      <c r="BX159" s="12">
        <v>4943</v>
      </c>
      <c r="BY159" s="13">
        <v>1115</v>
      </c>
      <c r="BZ159" s="12">
        <v>5252.76</v>
      </c>
      <c r="CA159" s="6">
        <f t="shared" si="16"/>
        <v>4.43318385650224</v>
      </c>
      <c r="CB159" s="6">
        <f t="shared" si="17"/>
        <v>0.941029097084199</v>
      </c>
      <c r="CC159" s="7">
        <v>85546770.04</v>
      </c>
      <c r="CD159" s="7">
        <f t="shared" si="12"/>
        <v>1.628606104981</v>
      </c>
      <c r="CE159" s="8">
        <v>52.3</v>
      </c>
      <c r="CF159" s="8">
        <v>95.2</v>
      </c>
      <c r="CG159" s="8">
        <v>196.6</v>
      </c>
      <c r="CH159" s="8">
        <v>11991</v>
      </c>
      <c r="CI159" s="14">
        <v>0</v>
      </c>
      <c r="CJ159" s="14">
        <v>0</v>
      </c>
      <c r="CK159" s="14">
        <f t="shared" si="13"/>
        <v>0</v>
      </c>
      <c r="CL159">
        <f t="shared" si="14"/>
        <v>3.23986794305777</v>
      </c>
      <c r="CM159">
        <f t="shared" si="15"/>
        <v>0.497323306503681</v>
      </c>
      <c r="CN159" s="15">
        <v>4944.49</v>
      </c>
      <c r="CO159" s="15">
        <v>3926.7</v>
      </c>
      <c r="CP159" s="15">
        <v>667.75</v>
      </c>
      <c r="CQ159" s="15">
        <v>950.14</v>
      </c>
      <c r="CR159" s="15">
        <v>140.15</v>
      </c>
      <c r="CS159" s="15">
        <v>19.38</v>
      </c>
      <c r="CT159" s="15">
        <v>260.84</v>
      </c>
      <c r="CU159" s="15">
        <v>89.63</v>
      </c>
      <c r="CV159" s="15">
        <v>14.27</v>
      </c>
      <c r="CW159" s="15">
        <v>510.68</v>
      </c>
    </row>
    <row r="160" spans="1:101">
      <c r="A160" s="6">
        <v>2008</v>
      </c>
      <c r="B160" s="6" t="s">
        <v>106</v>
      </c>
      <c r="C160" s="6">
        <v>0.1409482</v>
      </c>
      <c r="D160" s="6">
        <v>0.027196</v>
      </c>
      <c r="E160" s="6">
        <v>0.006378</v>
      </c>
      <c r="F160" s="6">
        <v>0.012125</v>
      </c>
      <c r="G160" s="6">
        <v>0.003828</v>
      </c>
      <c r="H160" s="6">
        <v>0.004864</v>
      </c>
      <c r="I160" s="6">
        <v>0.027254</v>
      </c>
      <c r="J160" s="6">
        <v>0.013905</v>
      </c>
      <c r="K160" s="6">
        <v>0.16176135</v>
      </c>
      <c r="L160" s="6">
        <v>0.11030744</v>
      </c>
      <c r="M160" s="6">
        <v>0.14344668</v>
      </c>
      <c r="N160" s="6">
        <v>0.08467463</v>
      </c>
      <c r="O160" s="6">
        <v>0.11391034</v>
      </c>
      <c r="P160" s="6">
        <v>0.21377422</v>
      </c>
      <c r="Q160" s="6">
        <v>0.17911518</v>
      </c>
      <c r="R160" s="6">
        <v>217.69486</v>
      </c>
      <c r="S160" s="6">
        <v>0.00074306</v>
      </c>
      <c r="T160" s="6">
        <v>169.97573</v>
      </c>
      <c r="U160" s="6">
        <v>0.00064896</v>
      </c>
      <c r="V160" s="6">
        <v>197.11803</v>
      </c>
      <c r="W160" s="6">
        <v>0.00072772</v>
      </c>
      <c r="X160" s="6">
        <v>134.47093</v>
      </c>
      <c r="Y160" s="6">
        <v>0.00062969</v>
      </c>
      <c r="Z160" s="6">
        <v>134.86767</v>
      </c>
      <c r="AA160" s="6">
        <v>0.00084461</v>
      </c>
      <c r="AB160" s="6">
        <v>294.9318</v>
      </c>
      <c r="AC160" s="6">
        <v>0.00072483</v>
      </c>
      <c r="AD160" s="6">
        <v>243.86163</v>
      </c>
      <c r="AE160" s="6">
        <v>0.0007345</v>
      </c>
      <c r="AF160" s="6">
        <v>775</v>
      </c>
      <c r="AG160" s="6">
        <v>-0.00535358</v>
      </c>
      <c r="AH160" s="6">
        <v>-0.00476346</v>
      </c>
      <c r="AI160" s="6">
        <v>-0.00525821</v>
      </c>
      <c r="AJ160" s="6">
        <v>-0.00464098</v>
      </c>
      <c r="AK160" s="6">
        <v>-0.00597699</v>
      </c>
      <c r="AL160" s="6">
        <v>-0.00524019</v>
      </c>
      <c r="AM160" s="6">
        <v>-0.00530036</v>
      </c>
      <c r="AN160" s="6">
        <v>-6.4762184</v>
      </c>
      <c r="AO160" s="6">
        <v>-6.4515561</v>
      </c>
      <c r="AP160" s="6">
        <v>-6.4739881</v>
      </c>
      <c r="AQ160" s="6">
        <v>-6.4253629</v>
      </c>
      <c r="AR160" s="6">
        <v>-6.4020076</v>
      </c>
      <c r="AS160" s="6">
        <v>-6.4618417</v>
      </c>
      <c r="AT160" s="6">
        <v>-6.4506396</v>
      </c>
      <c r="AU160" s="6">
        <v>0.97344833</v>
      </c>
      <c r="AV160" s="6">
        <v>0.96974131</v>
      </c>
      <c r="AW160" s="6">
        <v>0.97311308</v>
      </c>
      <c r="AX160" s="6">
        <v>0.96580418</v>
      </c>
      <c r="AY160" s="6">
        <v>0.96229362</v>
      </c>
      <c r="AZ160" s="6">
        <v>0.97128734</v>
      </c>
      <c r="BA160" s="6">
        <v>0.96960354</v>
      </c>
      <c r="BB160" s="6">
        <v>0.02655167</v>
      </c>
      <c r="BC160" s="6">
        <v>0.03025869</v>
      </c>
      <c r="BD160" s="6">
        <v>0.02688692</v>
      </c>
      <c r="BE160" s="6">
        <v>0.03419582</v>
      </c>
      <c r="BF160" s="6">
        <v>0.03770638</v>
      </c>
      <c r="BG160" s="6">
        <v>0.02871266</v>
      </c>
      <c r="BH160" s="6">
        <v>0.03039646</v>
      </c>
      <c r="BI160" s="6">
        <v>0.21470859</v>
      </c>
      <c r="BJ160" s="6">
        <v>0.12366373</v>
      </c>
      <c r="BK160" s="6">
        <v>0.1409291</v>
      </c>
      <c r="BL160" s="6">
        <v>0.12522516</v>
      </c>
      <c r="BM160" s="6">
        <v>0.1592662</v>
      </c>
      <c r="BN160" s="6">
        <v>0.17561655</v>
      </c>
      <c r="BO160" s="6">
        <v>0.1337285</v>
      </c>
      <c r="BP160" s="6">
        <v>0.14157076</v>
      </c>
      <c r="BQ160" s="6">
        <v>0.02000401</v>
      </c>
      <c r="BR160" s="6">
        <v>0.01554553</v>
      </c>
      <c r="BS160" s="6">
        <v>0.01796313</v>
      </c>
      <c r="BT160" s="6">
        <v>0.01348581</v>
      </c>
      <c r="BU160" s="6">
        <v>0.02000454</v>
      </c>
      <c r="BV160" s="6">
        <v>0.0285877</v>
      </c>
      <c r="BW160" s="6">
        <v>0.02535747</v>
      </c>
      <c r="BX160" s="12">
        <v>5364</v>
      </c>
      <c r="BY160" s="13">
        <v>1176</v>
      </c>
      <c r="BZ160" s="12">
        <v>6719.01</v>
      </c>
      <c r="CA160" s="6">
        <f t="shared" si="16"/>
        <v>4.56122448979592</v>
      </c>
      <c r="CB160" s="6">
        <f t="shared" si="17"/>
        <v>0.798331897109842</v>
      </c>
      <c r="CC160" s="7">
        <v>87992904.18</v>
      </c>
      <c r="CD160" s="7">
        <f t="shared" si="12"/>
        <v>1.30961115074989</v>
      </c>
      <c r="CE160" s="8">
        <v>57.6</v>
      </c>
      <c r="CF160" s="8">
        <v>110.8</v>
      </c>
      <c r="CG160" s="8">
        <v>229.8</v>
      </c>
      <c r="CH160" s="8">
        <v>13703</v>
      </c>
      <c r="CI160" s="14">
        <v>0</v>
      </c>
      <c r="CJ160" s="14">
        <v>0</v>
      </c>
      <c r="CK160" s="14">
        <f t="shared" si="13"/>
        <v>0</v>
      </c>
      <c r="CL160">
        <f t="shared" si="14"/>
        <v>2.71728515287532</v>
      </c>
      <c r="CM160">
        <f t="shared" si="15"/>
        <v>0.518044269529786</v>
      </c>
      <c r="CN160" s="15">
        <v>5364</v>
      </c>
      <c r="CO160" s="15">
        <v>3973</v>
      </c>
      <c r="CP160" s="15">
        <v>719.23</v>
      </c>
      <c r="CQ160" s="15">
        <v>790.33</v>
      </c>
      <c r="CR160" s="15">
        <v>148.76</v>
      </c>
      <c r="CS160" s="15">
        <v>18.13</v>
      </c>
      <c r="CT160" s="15">
        <v>289.76</v>
      </c>
      <c r="CU160" s="15">
        <v>92.49</v>
      </c>
      <c r="CV160" s="15">
        <v>16.84</v>
      </c>
      <c r="CW160" s="15">
        <v>535.26</v>
      </c>
    </row>
    <row r="161" spans="1:101">
      <c r="A161" s="6">
        <v>2009</v>
      </c>
      <c r="B161" s="6" t="s">
        <v>106</v>
      </c>
      <c r="C161" s="6">
        <v>0.15564408</v>
      </c>
      <c r="D161" s="6">
        <v>0.029767</v>
      </c>
      <c r="E161" s="6">
        <v>0.007569</v>
      </c>
      <c r="F161" s="6">
        <v>0.013491</v>
      </c>
      <c r="G161" s="6">
        <v>0.004368</v>
      </c>
      <c r="H161" s="6">
        <v>0.004339</v>
      </c>
      <c r="I161" s="6">
        <v>0.030224</v>
      </c>
      <c r="J161" s="6">
        <v>0.014473</v>
      </c>
      <c r="K161" s="6">
        <v>0.18192976</v>
      </c>
      <c r="L161" s="6">
        <v>0.13844837</v>
      </c>
      <c r="M161" s="6">
        <v>0.16443885</v>
      </c>
      <c r="N161" s="6">
        <v>0.10063432</v>
      </c>
      <c r="O161" s="6">
        <v>0.09800538</v>
      </c>
      <c r="P161" s="6">
        <v>0.24685432</v>
      </c>
      <c r="Q161" s="6">
        <v>0.18924963</v>
      </c>
      <c r="R161" s="6">
        <v>217.69486</v>
      </c>
      <c r="S161" s="6">
        <v>0.00083571</v>
      </c>
      <c r="T161" s="6">
        <v>169.97573</v>
      </c>
      <c r="U161" s="6">
        <v>0.00081452</v>
      </c>
      <c r="V161" s="6">
        <v>197.11803</v>
      </c>
      <c r="W161" s="6">
        <v>0.00083422</v>
      </c>
      <c r="X161" s="6">
        <v>134.47093</v>
      </c>
      <c r="Y161" s="6">
        <v>0.00074837</v>
      </c>
      <c r="Z161" s="6">
        <v>134.86767</v>
      </c>
      <c r="AA161" s="6">
        <v>0.00072668</v>
      </c>
      <c r="AB161" s="6">
        <v>294.9318</v>
      </c>
      <c r="AC161" s="6">
        <v>0.00083699</v>
      </c>
      <c r="AD161" s="6">
        <v>243.86163</v>
      </c>
      <c r="AE161" s="6">
        <v>0.00077605</v>
      </c>
      <c r="AF161" s="6">
        <v>775</v>
      </c>
      <c r="AG161" s="6">
        <v>-0.00592287</v>
      </c>
      <c r="AH161" s="6">
        <v>-0.0057936</v>
      </c>
      <c r="AI161" s="6">
        <v>-0.00591377</v>
      </c>
      <c r="AJ161" s="6">
        <v>-0.00538649</v>
      </c>
      <c r="AK161" s="6">
        <v>-0.00525172</v>
      </c>
      <c r="AL161" s="6">
        <v>-0.00593065</v>
      </c>
      <c r="AM161" s="6">
        <v>-0.00555754</v>
      </c>
      <c r="AN161" s="6">
        <v>-6.4762184</v>
      </c>
      <c r="AO161" s="6">
        <v>-6.4515561</v>
      </c>
      <c r="AP161" s="6">
        <v>-6.4739881</v>
      </c>
      <c r="AQ161" s="6">
        <v>-6.4253629</v>
      </c>
      <c r="AR161" s="6">
        <v>-6.4020076</v>
      </c>
      <c r="AS161" s="6">
        <v>-6.4618417</v>
      </c>
      <c r="AT161" s="6">
        <v>-6.4506396</v>
      </c>
      <c r="AU161" s="6">
        <v>0.97344833</v>
      </c>
      <c r="AV161" s="6">
        <v>0.96974131</v>
      </c>
      <c r="AW161" s="6">
        <v>0.97311308</v>
      </c>
      <c r="AX161" s="6">
        <v>0.96580418</v>
      </c>
      <c r="AY161" s="6">
        <v>0.96229362</v>
      </c>
      <c r="AZ161" s="6">
        <v>0.97128734</v>
      </c>
      <c r="BA161" s="6">
        <v>0.96960354</v>
      </c>
      <c r="BB161" s="6">
        <v>0.02655167</v>
      </c>
      <c r="BC161" s="6">
        <v>0.03025869</v>
      </c>
      <c r="BD161" s="6">
        <v>0.02688692</v>
      </c>
      <c r="BE161" s="6">
        <v>0.03419582</v>
      </c>
      <c r="BF161" s="6">
        <v>0.03770638</v>
      </c>
      <c r="BG161" s="6">
        <v>0.02871266</v>
      </c>
      <c r="BH161" s="6">
        <v>0.03039646</v>
      </c>
      <c r="BI161" s="6">
        <v>0.21470859</v>
      </c>
      <c r="BJ161" s="6">
        <v>0.12366373</v>
      </c>
      <c r="BK161" s="6">
        <v>0.1409291</v>
      </c>
      <c r="BL161" s="6">
        <v>0.12522516</v>
      </c>
      <c r="BM161" s="6">
        <v>0.1592662</v>
      </c>
      <c r="BN161" s="6">
        <v>0.17561655</v>
      </c>
      <c r="BO161" s="6">
        <v>0.1337285</v>
      </c>
      <c r="BP161" s="6">
        <v>0.14157076</v>
      </c>
      <c r="BQ161" s="6">
        <v>0.02249811</v>
      </c>
      <c r="BR161" s="6">
        <v>0.0195114</v>
      </c>
      <c r="BS161" s="6">
        <v>0.02059188</v>
      </c>
      <c r="BT161" s="6">
        <v>0.01602765</v>
      </c>
      <c r="BU161" s="6">
        <v>0.01721137</v>
      </c>
      <c r="BV161" s="6">
        <v>0.03301146</v>
      </c>
      <c r="BW161" s="6">
        <v>0.02679221</v>
      </c>
      <c r="BX161" s="12">
        <v>5874</v>
      </c>
      <c r="BY161" s="13">
        <v>1228.16</v>
      </c>
      <c r="BZ161" s="12">
        <v>7521.85</v>
      </c>
      <c r="CA161" s="6">
        <f t="shared" si="16"/>
        <v>4.78276446065659</v>
      </c>
      <c r="CB161" s="6">
        <f t="shared" si="17"/>
        <v>0.780924905442145</v>
      </c>
      <c r="CC161" s="7">
        <v>106890568.5</v>
      </c>
      <c r="CD161" s="7">
        <f t="shared" si="12"/>
        <v>1.42106753657677</v>
      </c>
      <c r="CE161" s="8">
        <v>60.5</v>
      </c>
      <c r="CF161" s="8">
        <v>130.1</v>
      </c>
      <c r="CG161" s="8">
        <v>255.1</v>
      </c>
      <c r="CH161" s="8">
        <v>15154</v>
      </c>
      <c r="CI161" s="14">
        <v>0</v>
      </c>
      <c r="CJ161" s="14">
        <v>0</v>
      </c>
      <c r="CK161" s="14">
        <f t="shared" si="13"/>
        <v>0</v>
      </c>
      <c r="CL161">
        <f t="shared" si="14"/>
        <v>2.66960201713366</v>
      </c>
      <c r="CM161">
        <f t="shared" si="15"/>
        <v>0.467685622255198</v>
      </c>
      <c r="CN161" s="15">
        <v>5874</v>
      </c>
      <c r="CO161" s="15">
        <v>4120</v>
      </c>
      <c r="CP161" s="15">
        <v>868.65</v>
      </c>
      <c r="CQ161" s="15">
        <v>844.64</v>
      </c>
      <c r="CR161" s="15">
        <v>181.03</v>
      </c>
      <c r="CS161" s="15">
        <v>20.73</v>
      </c>
      <c r="CT161" s="15">
        <v>303.57</v>
      </c>
      <c r="CU161" s="15">
        <v>94.65</v>
      </c>
      <c r="CV161" s="15">
        <v>18.12</v>
      </c>
      <c r="CW161" s="15">
        <v>576.92</v>
      </c>
    </row>
    <row r="162" spans="1:101">
      <c r="A162" s="6">
        <v>2010</v>
      </c>
      <c r="B162" s="6" t="s">
        <v>106</v>
      </c>
      <c r="C162" s="6">
        <v>0.17882825</v>
      </c>
      <c r="D162" s="6">
        <v>0.033374</v>
      </c>
      <c r="E162" s="6">
        <v>0.008572</v>
      </c>
      <c r="F162" s="6">
        <v>0.015045</v>
      </c>
      <c r="G162" s="6">
        <v>0.0051</v>
      </c>
      <c r="H162" s="6">
        <v>0.004656</v>
      </c>
      <c r="I162" s="6">
        <v>0.032866</v>
      </c>
      <c r="J162" s="6">
        <v>0.01617</v>
      </c>
      <c r="K162" s="6">
        <v>0.21021707</v>
      </c>
      <c r="L162" s="6">
        <v>0.16217849</v>
      </c>
      <c r="M162" s="6">
        <v>0.18832507</v>
      </c>
      <c r="N162" s="6">
        <v>0.12227028</v>
      </c>
      <c r="O162" s="6">
        <v>0.10759505</v>
      </c>
      <c r="P162" s="6">
        <v>0.27628021</v>
      </c>
      <c r="Q162" s="6">
        <v>0.21952125</v>
      </c>
      <c r="R162" s="6">
        <v>217.69486</v>
      </c>
      <c r="S162" s="6">
        <v>0.00096565</v>
      </c>
      <c r="T162" s="6">
        <v>169.97573</v>
      </c>
      <c r="U162" s="6">
        <v>0.00095413</v>
      </c>
      <c r="V162" s="6">
        <v>197.11803</v>
      </c>
      <c r="W162" s="6">
        <v>0.00095539</v>
      </c>
      <c r="X162" s="6">
        <v>134.47093</v>
      </c>
      <c r="Y162" s="6">
        <v>0.00090927</v>
      </c>
      <c r="Z162" s="6">
        <v>134.86767</v>
      </c>
      <c r="AA162" s="6">
        <v>0.00079778</v>
      </c>
      <c r="AB162" s="6">
        <v>294.9318</v>
      </c>
      <c r="AC162" s="6">
        <v>0.00093676</v>
      </c>
      <c r="AD162" s="6">
        <v>243.86163</v>
      </c>
      <c r="AE162" s="6">
        <v>0.00090019</v>
      </c>
      <c r="AF162" s="6">
        <v>775</v>
      </c>
      <c r="AG162" s="6">
        <v>-0.00670423</v>
      </c>
      <c r="AH162" s="6">
        <v>-0.00663568</v>
      </c>
      <c r="AI162" s="6">
        <v>-0.00664321</v>
      </c>
      <c r="AJ162" s="6">
        <v>-0.00636749</v>
      </c>
      <c r="AK162" s="6">
        <v>-0.00569112</v>
      </c>
      <c r="AL162" s="6">
        <v>-0.0065321</v>
      </c>
      <c r="AM162" s="6">
        <v>-0.00631293</v>
      </c>
      <c r="AN162" s="6">
        <v>-6.4762184</v>
      </c>
      <c r="AO162" s="6">
        <v>-6.4515561</v>
      </c>
      <c r="AP162" s="6">
        <v>-6.4739881</v>
      </c>
      <c r="AQ162" s="6">
        <v>-6.4253629</v>
      </c>
      <c r="AR162" s="6">
        <v>-6.4020076</v>
      </c>
      <c r="AS162" s="6">
        <v>-6.4618417</v>
      </c>
      <c r="AT162" s="6">
        <v>-6.4506396</v>
      </c>
      <c r="AU162" s="6">
        <v>0.97344833</v>
      </c>
      <c r="AV162" s="6">
        <v>0.96974131</v>
      </c>
      <c r="AW162" s="6">
        <v>0.97311308</v>
      </c>
      <c r="AX162" s="6">
        <v>0.96580418</v>
      </c>
      <c r="AY162" s="6">
        <v>0.96229362</v>
      </c>
      <c r="AZ162" s="6">
        <v>0.97128734</v>
      </c>
      <c r="BA162" s="6">
        <v>0.96960354</v>
      </c>
      <c r="BB162" s="6">
        <v>0.02655167</v>
      </c>
      <c r="BC162" s="6">
        <v>0.03025869</v>
      </c>
      <c r="BD162" s="6">
        <v>0.02688692</v>
      </c>
      <c r="BE162" s="6">
        <v>0.03419582</v>
      </c>
      <c r="BF162" s="6">
        <v>0.03770638</v>
      </c>
      <c r="BG162" s="6">
        <v>0.02871266</v>
      </c>
      <c r="BH162" s="6">
        <v>0.03039646</v>
      </c>
      <c r="BI162" s="6">
        <v>0.21470859</v>
      </c>
      <c r="BJ162" s="6">
        <v>0.12366373</v>
      </c>
      <c r="BK162" s="6">
        <v>0.1409291</v>
      </c>
      <c r="BL162" s="6">
        <v>0.12522516</v>
      </c>
      <c r="BM162" s="6">
        <v>0.1592662</v>
      </c>
      <c r="BN162" s="6">
        <v>0.17561655</v>
      </c>
      <c r="BO162" s="6">
        <v>0.1337285</v>
      </c>
      <c r="BP162" s="6">
        <v>0.14157076</v>
      </c>
      <c r="BQ162" s="6">
        <v>0.02599623</v>
      </c>
      <c r="BR162" s="6">
        <v>0.02285567</v>
      </c>
      <c r="BS162" s="6">
        <v>0.02358304</v>
      </c>
      <c r="BT162" s="6">
        <v>0.01947352</v>
      </c>
      <c r="BU162" s="6">
        <v>0.01889547</v>
      </c>
      <c r="BV162" s="6">
        <v>0.03694654</v>
      </c>
      <c r="BW162" s="6">
        <v>0.03107779</v>
      </c>
      <c r="BX162" s="12">
        <v>6818</v>
      </c>
      <c r="BY162" s="13">
        <v>1299.29</v>
      </c>
      <c r="BZ162" s="12">
        <v>9224.46</v>
      </c>
      <c r="CA162" s="6">
        <f t="shared" si="16"/>
        <v>5.24748131671913</v>
      </c>
      <c r="CB162" s="6">
        <f t="shared" si="17"/>
        <v>0.739121856455554</v>
      </c>
      <c r="CC162" s="7">
        <v>118617239.5</v>
      </c>
      <c r="CD162" s="7">
        <f t="shared" si="12"/>
        <v>1.28589900655431</v>
      </c>
      <c r="CE162" s="8">
        <v>64.8</v>
      </c>
      <c r="CF162" s="8">
        <v>155</v>
      </c>
      <c r="CG162" s="8">
        <v>293.1</v>
      </c>
      <c r="CH162" s="8">
        <v>17209</v>
      </c>
      <c r="CI162" s="14">
        <v>0</v>
      </c>
      <c r="CJ162" s="14">
        <v>0</v>
      </c>
      <c r="CK162" s="14">
        <f t="shared" si="13"/>
        <v>0</v>
      </c>
      <c r="CL162">
        <f t="shared" si="14"/>
        <v>2.40850270516871</v>
      </c>
      <c r="CM162">
        <f t="shared" si="15"/>
        <v>0.466100244025162</v>
      </c>
      <c r="CN162" s="15">
        <v>6818.08</v>
      </c>
      <c r="CO162" s="15">
        <v>4806.79</v>
      </c>
      <c r="CP162" s="15">
        <v>663.91</v>
      </c>
      <c r="CQ162" s="15">
        <v>1566.79</v>
      </c>
      <c r="CR162" s="15">
        <v>205.12</v>
      </c>
      <c r="CS162" s="15">
        <v>21.4</v>
      </c>
      <c r="CT162" s="15">
        <v>333.54</v>
      </c>
      <c r="CU162" s="15">
        <v>143.69</v>
      </c>
      <c r="CV162" s="15">
        <v>22.93</v>
      </c>
      <c r="CW162" s="15">
        <v>645.74</v>
      </c>
    </row>
    <row r="163" spans="1:101">
      <c r="A163" s="6">
        <v>2011</v>
      </c>
      <c r="B163" s="6" t="s">
        <v>106</v>
      </c>
      <c r="C163" s="6">
        <v>0.17050266</v>
      </c>
      <c r="D163" s="6">
        <v>0.032471</v>
      </c>
      <c r="E163" s="6">
        <v>0.008576</v>
      </c>
      <c r="F163" s="6">
        <v>0.014724</v>
      </c>
      <c r="G163" s="6">
        <v>0.004789</v>
      </c>
      <c r="H163" s="6">
        <v>0.004382</v>
      </c>
      <c r="I163" s="6">
        <v>0.030922</v>
      </c>
      <c r="J163" s="6">
        <v>0.015765</v>
      </c>
      <c r="K163" s="6">
        <v>0.20313472</v>
      </c>
      <c r="L163" s="6">
        <v>0.16225973</v>
      </c>
      <c r="M163" s="6">
        <v>0.18339084</v>
      </c>
      <c r="N163" s="6">
        <v>0.11307225</v>
      </c>
      <c r="O163" s="6">
        <v>0.0992879</v>
      </c>
      <c r="P163" s="6">
        <v>0.25462822</v>
      </c>
      <c r="Q163" s="6">
        <v>0.21228791</v>
      </c>
      <c r="R163" s="6">
        <v>217.69486</v>
      </c>
      <c r="S163" s="6">
        <v>0.00093312</v>
      </c>
      <c r="T163" s="6">
        <v>169.97573</v>
      </c>
      <c r="U163" s="6">
        <v>0.00095461</v>
      </c>
      <c r="V163" s="6">
        <v>197.11803</v>
      </c>
      <c r="W163" s="6">
        <v>0.00093036</v>
      </c>
      <c r="X163" s="6">
        <v>134.47093</v>
      </c>
      <c r="Y163" s="6">
        <v>0.00084087</v>
      </c>
      <c r="Z163" s="6">
        <v>134.86767</v>
      </c>
      <c r="AA163" s="6">
        <v>0.00073619</v>
      </c>
      <c r="AB163" s="6">
        <v>294.9318</v>
      </c>
      <c r="AC163" s="6">
        <v>0.00086335</v>
      </c>
      <c r="AD163" s="6">
        <v>243.86163</v>
      </c>
      <c r="AE163" s="6">
        <v>0.00087053</v>
      </c>
      <c r="AF163" s="6">
        <v>775</v>
      </c>
      <c r="AG163" s="6">
        <v>-0.00651034</v>
      </c>
      <c r="AH163" s="6">
        <v>-0.00663853</v>
      </c>
      <c r="AI163" s="6">
        <v>-0.00649386</v>
      </c>
      <c r="AJ163" s="6">
        <v>-0.00595425</v>
      </c>
      <c r="AK163" s="6">
        <v>-0.00531088</v>
      </c>
      <c r="AL163" s="6">
        <v>-0.00609064</v>
      </c>
      <c r="AM163" s="6">
        <v>-0.00613409</v>
      </c>
      <c r="AN163" s="6">
        <v>-6.4762184</v>
      </c>
      <c r="AO163" s="6">
        <v>-6.4515561</v>
      </c>
      <c r="AP163" s="6">
        <v>-6.4739881</v>
      </c>
      <c r="AQ163" s="6">
        <v>-6.4253629</v>
      </c>
      <c r="AR163" s="6">
        <v>-6.4020076</v>
      </c>
      <c r="AS163" s="6">
        <v>-6.4618417</v>
      </c>
      <c r="AT163" s="6">
        <v>-6.4506396</v>
      </c>
      <c r="AU163" s="6">
        <v>0.97344833</v>
      </c>
      <c r="AV163" s="6">
        <v>0.96974131</v>
      </c>
      <c r="AW163" s="6">
        <v>0.97311308</v>
      </c>
      <c r="AX163" s="6">
        <v>0.96580418</v>
      </c>
      <c r="AY163" s="6">
        <v>0.96229362</v>
      </c>
      <c r="AZ163" s="6">
        <v>0.97128734</v>
      </c>
      <c r="BA163" s="6">
        <v>0.96960354</v>
      </c>
      <c r="BB163" s="6">
        <v>0.02655167</v>
      </c>
      <c r="BC163" s="6">
        <v>0.03025869</v>
      </c>
      <c r="BD163" s="6">
        <v>0.02688692</v>
      </c>
      <c r="BE163" s="6">
        <v>0.03419582</v>
      </c>
      <c r="BF163" s="6">
        <v>0.03770638</v>
      </c>
      <c r="BG163" s="6">
        <v>0.02871266</v>
      </c>
      <c r="BH163" s="6">
        <v>0.03039646</v>
      </c>
      <c r="BI163" s="6">
        <v>0.21470859</v>
      </c>
      <c r="BJ163" s="6">
        <v>0.12366373</v>
      </c>
      <c r="BK163" s="6">
        <v>0.1409291</v>
      </c>
      <c r="BL163" s="6">
        <v>0.12522516</v>
      </c>
      <c r="BM163" s="6">
        <v>0.1592662</v>
      </c>
      <c r="BN163" s="6">
        <v>0.17561655</v>
      </c>
      <c r="BO163" s="6">
        <v>0.1337285</v>
      </c>
      <c r="BP163" s="6">
        <v>0.14157076</v>
      </c>
      <c r="BQ163" s="6">
        <v>0.0251204</v>
      </c>
      <c r="BR163" s="6">
        <v>0.02286712</v>
      </c>
      <c r="BS163" s="6">
        <v>0.02296515</v>
      </c>
      <c r="BT163" s="6">
        <v>0.01800859</v>
      </c>
      <c r="BU163" s="6">
        <v>0.0174366</v>
      </c>
      <c r="BV163" s="6">
        <v>0.03405105</v>
      </c>
      <c r="BW163" s="6">
        <v>0.03005376</v>
      </c>
      <c r="BX163" s="12">
        <v>7598</v>
      </c>
      <c r="BY163" s="13">
        <v>1341</v>
      </c>
      <c r="BZ163" s="12">
        <v>11307.28</v>
      </c>
      <c r="CA163" s="6">
        <f t="shared" si="16"/>
        <v>5.66592095451156</v>
      </c>
      <c r="CB163" s="6">
        <f t="shared" si="17"/>
        <v>0.67195647405919</v>
      </c>
      <c r="CC163" s="7">
        <v>123694165.5</v>
      </c>
      <c r="CD163" s="7">
        <f t="shared" si="12"/>
        <v>1.09393386826894</v>
      </c>
      <c r="CE163" s="8">
        <v>69.8</v>
      </c>
      <c r="CF163" s="8">
        <v>195.6</v>
      </c>
      <c r="CG163" s="8">
        <v>346.1</v>
      </c>
      <c r="CH163" s="8">
        <v>20083</v>
      </c>
      <c r="CI163" s="14">
        <v>0</v>
      </c>
      <c r="CJ163" s="14">
        <v>0</v>
      </c>
      <c r="CK163" s="14">
        <f t="shared" si="13"/>
        <v>0</v>
      </c>
      <c r="CL163">
        <f t="shared" si="14"/>
        <v>2.18035126729488</v>
      </c>
      <c r="CM163">
        <f t="shared" si="15"/>
        <v>0.498276316904586</v>
      </c>
      <c r="CN163" s="15">
        <v>7598</v>
      </c>
      <c r="CO163" s="15">
        <v>5262</v>
      </c>
      <c r="CP163" s="15">
        <v>709.48</v>
      </c>
      <c r="CQ163" s="15">
        <v>1754.02</v>
      </c>
      <c r="CR163" s="15">
        <v>222.57</v>
      </c>
      <c r="CS163" s="15">
        <v>24.53</v>
      </c>
      <c r="CT163" s="15">
        <v>360.66</v>
      </c>
      <c r="CU163" s="15">
        <v>149.96</v>
      </c>
      <c r="CV163" s="15">
        <v>26.02</v>
      </c>
      <c r="CW163" s="15">
        <v>727</v>
      </c>
    </row>
    <row r="164" spans="1:101">
      <c r="A164" s="6">
        <v>2012</v>
      </c>
      <c r="B164" s="6" t="s">
        <v>106</v>
      </c>
      <c r="C164" s="6">
        <v>0.18321026</v>
      </c>
      <c r="D164" s="6">
        <v>0.033549</v>
      </c>
      <c r="E164" s="6">
        <v>0.008446</v>
      </c>
      <c r="F164" s="6">
        <v>0.015316</v>
      </c>
      <c r="G164" s="6">
        <v>0.005009</v>
      </c>
      <c r="H164" s="6">
        <v>0.004778</v>
      </c>
      <c r="I164" s="6">
        <v>0.034243</v>
      </c>
      <c r="J164" s="6">
        <v>0.016898</v>
      </c>
      <c r="K164" s="6">
        <v>0.2115906</v>
      </c>
      <c r="L164" s="6">
        <v>0.15919394</v>
      </c>
      <c r="M164" s="6">
        <v>0.19247914</v>
      </c>
      <c r="N164" s="6">
        <v>0.11957571</v>
      </c>
      <c r="O164" s="6">
        <v>0.11129884</v>
      </c>
      <c r="P164" s="6">
        <v>0.2916217</v>
      </c>
      <c r="Q164" s="6">
        <v>0.23251598</v>
      </c>
      <c r="R164" s="6">
        <v>217.69486</v>
      </c>
      <c r="S164" s="6">
        <v>0.00097196</v>
      </c>
      <c r="T164" s="6">
        <v>169.97573</v>
      </c>
      <c r="U164" s="6">
        <v>0.00093657</v>
      </c>
      <c r="V164" s="6">
        <v>197.11803</v>
      </c>
      <c r="W164" s="6">
        <v>0.00097647</v>
      </c>
      <c r="X164" s="6">
        <v>134.47093</v>
      </c>
      <c r="Y164" s="6">
        <v>0.00088923</v>
      </c>
      <c r="Z164" s="6">
        <v>134.86767</v>
      </c>
      <c r="AA164" s="6">
        <v>0.00082524</v>
      </c>
      <c r="AB164" s="6">
        <v>294.9318</v>
      </c>
      <c r="AC164" s="6">
        <v>0.00098878</v>
      </c>
      <c r="AD164" s="6">
        <v>243.86163</v>
      </c>
      <c r="AE164" s="6">
        <v>0.00095348</v>
      </c>
      <c r="AF164" s="6">
        <v>775</v>
      </c>
      <c r="AG164" s="6">
        <v>-0.0067417</v>
      </c>
      <c r="AH164" s="6">
        <v>-0.00653096</v>
      </c>
      <c r="AI164" s="6">
        <v>-0.00676845</v>
      </c>
      <c r="AJ164" s="6">
        <v>-0.00624698</v>
      </c>
      <c r="AK164" s="6">
        <v>-0.0058591</v>
      </c>
      <c r="AL164" s="6">
        <v>-0.00684139</v>
      </c>
      <c r="AM164" s="6">
        <v>-0.0066318</v>
      </c>
      <c r="AN164" s="6">
        <v>-6.4762184</v>
      </c>
      <c r="AO164" s="6">
        <v>-6.4515561</v>
      </c>
      <c r="AP164" s="6">
        <v>-6.4739881</v>
      </c>
      <c r="AQ164" s="6">
        <v>-6.4253629</v>
      </c>
      <c r="AR164" s="6">
        <v>-6.4020076</v>
      </c>
      <c r="AS164" s="6">
        <v>-6.4618417</v>
      </c>
      <c r="AT164" s="6">
        <v>-6.4506396</v>
      </c>
      <c r="AU164" s="6">
        <v>0.97344833</v>
      </c>
      <c r="AV164" s="6">
        <v>0.96974131</v>
      </c>
      <c r="AW164" s="6">
        <v>0.97311308</v>
      </c>
      <c r="AX164" s="6">
        <v>0.96580418</v>
      </c>
      <c r="AY164" s="6">
        <v>0.96229362</v>
      </c>
      <c r="AZ164" s="6">
        <v>0.97128734</v>
      </c>
      <c r="BA164" s="6">
        <v>0.96960354</v>
      </c>
      <c r="BB164" s="6">
        <v>0.02655167</v>
      </c>
      <c r="BC164" s="6">
        <v>0.03025869</v>
      </c>
      <c r="BD164" s="6">
        <v>0.02688692</v>
      </c>
      <c r="BE164" s="6">
        <v>0.03419582</v>
      </c>
      <c r="BF164" s="6">
        <v>0.03770638</v>
      </c>
      <c r="BG164" s="6">
        <v>0.02871266</v>
      </c>
      <c r="BH164" s="6">
        <v>0.03039646</v>
      </c>
      <c r="BI164" s="6">
        <v>0.21470859</v>
      </c>
      <c r="BJ164" s="6">
        <v>0.12366373</v>
      </c>
      <c r="BK164" s="6">
        <v>0.1409291</v>
      </c>
      <c r="BL164" s="6">
        <v>0.12522516</v>
      </c>
      <c r="BM164" s="6">
        <v>0.1592662</v>
      </c>
      <c r="BN164" s="6">
        <v>0.17561655</v>
      </c>
      <c r="BO164" s="6">
        <v>0.1337285</v>
      </c>
      <c r="BP164" s="6">
        <v>0.14157076</v>
      </c>
      <c r="BQ164" s="6">
        <v>0.02616608</v>
      </c>
      <c r="BR164" s="6">
        <v>0.02243506</v>
      </c>
      <c r="BS164" s="6">
        <v>0.02410323</v>
      </c>
      <c r="BT164" s="6">
        <v>0.01904437</v>
      </c>
      <c r="BU164" s="6">
        <v>0.01954592</v>
      </c>
      <c r="BV164" s="6">
        <v>0.03899813</v>
      </c>
      <c r="BW164" s="6">
        <v>0.03291747</v>
      </c>
      <c r="BX164" s="12">
        <v>8208</v>
      </c>
      <c r="BY164" s="13">
        <v>1378</v>
      </c>
      <c r="BZ164" s="12">
        <v>12893.88</v>
      </c>
      <c r="CA164" s="6">
        <f t="shared" si="16"/>
        <v>5.95645863570392</v>
      </c>
      <c r="CB164" s="6">
        <f t="shared" si="17"/>
        <v>0.63658107567311</v>
      </c>
      <c r="CC164" s="7">
        <v>125802821.2</v>
      </c>
      <c r="CD164" s="7">
        <f t="shared" si="12"/>
        <v>0.975678548272514</v>
      </c>
      <c r="CE164" s="8">
        <v>75.3</v>
      </c>
      <c r="CF164" s="8">
        <v>226.1</v>
      </c>
      <c r="CG164" s="8">
        <v>408.8</v>
      </c>
      <c r="CH164" s="8">
        <v>22762</v>
      </c>
      <c r="CI164" s="14">
        <v>0</v>
      </c>
      <c r="CJ164" s="14">
        <v>0</v>
      </c>
      <c r="CK164" s="14">
        <f t="shared" si="13"/>
        <v>0</v>
      </c>
      <c r="CL164">
        <f t="shared" si="14"/>
        <v>2.01609935715007</v>
      </c>
      <c r="CM164">
        <f t="shared" si="15"/>
        <v>0.516056316960629</v>
      </c>
      <c r="CN164" s="15">
        <v>8208.01</v>
      </c>
      <c r="CO164" s="15">
        <v>5298</v>
      </c>
      <c r="CP164" s="15">
        <v>882.72</v>
      </c>
      <c r="CQ164" s="15">
        <v>1544.62</v>
      </c>
      <c r="CR164" s="15">
        <v>253.75</v>
      </c>
      <c r="CS164" s="15">
        <v>29.41</v>
      </c>
      <c r="CT164" s="15">
        <v>378.17</v>
      </c>
      <c r="CU164" s="15">
        <v>122.33</v>
      </c>
      <c r="CV164" s="15">
        <v>32.58</v>
      </c>
      <c r="CW164" s="15">
        <v>767.13</v>
      </c>
    </row>
    <row r="165" spans="1:101">
      <c r="A165" s="6">
        <v>2013</v>
      </c>
      <c r="B165" s="6" t="s">
        <v>106</v>
      </c>
      <c r="C165" s="6">
        <v>0.19382457</v>
      </c>
      <c r="D165" s="6">
        <v>0.035551</v>
      </c>
      <c r="E165" s="6">
        <v>0.008739</v>
      </c>
      <c r="F165" s="6">
        <v>0.015852</v>
      </c>
      <c r="G165" s="6">
        <v>0.005303</v>
      </c>
      <c r="H165" s="6">
        <v>0.005658</v>
      </c>
      <c r="I165" s="6">
        <v>0.03522</v>
      </c>
      <c r="J165" s="6">
        <v>0.016559</v>
      </c>
      <c r="K165" s="6">
        <v>0.22729895</v>
      </c>
      <c r="L165" s="6">
        <v>0.1661216</v>
      </c>
      <c r="M165" s="6">
        <v>0.200717</v>
      </c>
      <c r="N165" s="6">
        <v>0.12825677</v>
      </c>
      <c r="O165" s="6">
        <v>0.13796389</v>
      </c>
      <c r="P165" s="6">
        <v>0.3025073</v>
      </c>
      <c r="Q165" s="6">
        <v>0.22646054</v>
      </c>
      <c r="R165" s="6">
        <v>217.69486</v>
      </c>
      <c r="S165" s="6">
        <v>0.00104412</v>
      </c>
      <c r="T165" s="6">
        <v>169.97573</v>
      </c>
      <c r="U165" s="6">
        <v>0.00097733</v>
      </c>
      <c r="V165" s="6">
        <v>197.11803</v>
      </c>
      <c r="W165" s="6">
        <v>0.00101826</v>
      </c>
      <c r="X165" s="6">
        <v>134.47093</v>
      </c>
      <c r="Y165" s="6">
        <v>0.00095379</v>
      </c>
      <c r="Z165" s="6">
        <v>134.86767</v>
      </c>
      <c r="AA165" s="6">
        <v>0.00102296</v>
      </c>
      <c r="AB165" s="6">
        <v>294.9318</v>
      </c>
      <c r="AC165" s="6">
        <v>0.00102569</v>
      </c>
      <c r="AD165" s="6">
        <v>243.86163</v>
      </c>
      <c r="AE165" s="6">
        <v>0.00092864</v>
      </c>
      <c r="AF165" s="6">
        <v>775</v>
      </c>
      <c r="AG165" s="6">
        <v>-0.00716743</v>
      </c>
      <c r="AH165" s="6">
        <v>-0.00677354</v>
      </c>
      <c r="AI165" s="6">
        <v>-0.00701545</v>
      </c>
      <c r="AJ165" s="6">
        <v>-0.00663366</v>
      </c>
      <c r="AK165" s="6">
        <v>-0.00704312</v>
      </c>
      <c r="AL165" s="6">
        <v>-0.00705917</v>
      </c>
      <c r="AM165" s="6">
        <v>-0.00648359</v>
      </c>
      <c r="AN165" s="6">
        <v>-6.4762184</v>
      </c>
      <c r="AO165" s="6">
        <v>-6.4515561</v>
      </c>
      <c r="AP165" s="6">
        <v>-6.4739881</v>
      </c>
      <c r="AQ165" s="6">
        <v>-6.4253629</v>
      </c>
      <c r="AR165" s="6">
        <v>-6.4020076</v>
      </c>
      <c r="AS165" s="6">
        <v>-6.4618417</v>
      </c>
      <c r="AT165" s="6">
        <v>-6.4506396</v>
      </c>
      <c r="AU165" s="6">
        <v>0.97344833</v>
      </c>
      <c r="AV165" s="6">
        <v>0.96974131</v>
      </c>
      <c r="AW165" s="6">
        <v>0.97311308</v>
      </c>
      <c r="AX165" s="6">
        <v>0.96580418</v>
      </c>
      <c r="AY165" s="6">
        <v>0.96229362</v>
      </c>
      <c r="AZ165" s="6">
        <v>0.97128734</v>
      </c>
      <c r="BA165" s="6">
        <v>0.96960354</v>
      </c>
      <c r="BB165" s="6">
        <v>0.02655167</v>
      </c>
      <c r="BC165" s="6">
        <v>0.03025869</v>
      </c>
      <c r="BD165" s="6">
        <v>0.02688692</v>
      </c>
      <c r="BE165" s="6">
        <v>0.03419582</v>
      </c>
      <c r="BF165" s="6">
        <v>0.03770638</v>
      </c>
      <c r="BG165" s="6">
        <v>0.02871266</v>
      </c>
      <c r="BH165" s="6">
        <v>0.03039646</v>
      </c>
      <c r="BI165" s="6">
        <v>0.21470859</v>
      </c>
      <c r="BJ165" s="6">
        <v>0.12366373</v>
      </c>
      <c r="BK165" s="6">
        <v>0.1409291</v>
      </c>
      <c r="BL165" s="6">
        <v>0.12522516</v>
      </c>
      <c r="BM165" s="6">
        <v>0.1592662</v>
      </c>
      <c r="BN165" s="6">
        <v>0.17561655</v>
      </c>
      <c r="BO165" s="6">
        <v>0.1337285</v>
      </c>
      <c r="BP165" s="6">
        <v>0.14157076</v>
      </c>
      <c r="BQ165" s="6">
        <v>0.02810864</v>
      </c>
      <c r="BR165" s="6">
        <v>0.02341137</v>
      </c>
      <c r="BS165" s="6">
        <v>0.02513482</v>
      </c>
      <c r="BT165" s="6">
        <v>0.02042697</v>
      </c>
      <c r="BU165" s="6">
        <v>0.02422874</v>
      </c>
      <c r="BV165" s="6">
        <v>0.04045385</v>
      </c>
      <c r="BW165" s="6">
        <v>0.03206019</v>
      </c>
      <c r="BX165" s="12">
        <v>7882</v>
      </c>
      <c r="BY165" s="13">
        <v>1410</v>
      </c>
      <c r="BZ165" s="12">
        <v>14442.01</v>
      </c>
      <c r="CA165" s="6">
        <f t="shared" si="16"/>
        <v>5.59007092198582</v>
      </c>
      <c r="CB165" s="6">
        <f t="shared" si="17"/>
        <v>0.545768906128718</v>
      </c>
      <c r="CC165" s="7">
        <v>129211063.8</v>
      </c>
      <c r="CD165" s="7">
        <f t="shared" si="12"/>
        <v>0.894688923494721</v>
      </c>
      <c r="CE165" s="8">
        <v>81.2</v>
      </c>
      <c r="CF165" s="8">
        <v>270.8</v>
      </c>
      <c r="CG165" s="8">
        <v>476.2</v>
      </c>
      <c r="CH165" s="8">
        <v>26209</v>
      </c>
      <c r="CI165" s="14">
        <v>0</v>
      </c>
      <c r="CJ165" s="14">
        <v>0</v>
      </c>
      <c r="CK165" s="14">
        <f t="shared" si="13"/>
        <v>0</v>
      </c>
      <c r="CL165">
        <f t="shared" si="14"/>
        <v>1.91398219724656</v>
      </c>
      <c r="CM165">
        <f t="shared" si="15"/>
        <v>0.532551073472985</v>
      </c>
      <c r="CN165" s="15">
        <v>7882</v>
      </c>
      <c r="CO165" s="15">
        <v>5278.67</v>
      </c>
      <c r="CP165" s="15">
        <v>955.48</v>
      </c>
      <c r="CQ165" s="15">
        <v>1759.15</v>
      </c>
      <c r="CR165" s="15">
        <v>212.24</v>
      </c>
      <c r="CS165" s="15">
        <v>56.12</v>
      </c>
      <c r="CT165" s="15">
        <v>324.65</v>
      </c>
      <c r="CU165" s="15">
        <v>86.93</v>
      </c>
      <c r="CV165" s="15">
        <v>37.79</v>
      </c>
      <c r="CW165" s="15">
        <v>774.49</v>
      </c>
    </row>
    <row r="166" spans="1:101">
      <c r="A166" s="6">
        <v>2014</v>
      </c>
      <c r="B166" s="6" t="s">
        <v>106</v>
      </c>
      <c r="C166" s="6">
        <v>0.18348397</v>
      </c>
      <c r="D166" s="6">
        <v>0.034307</v>
      </c>
      <c r="E166" s="6">
        <v>0.008641</v>
      </c>
      <c r="F166" s="6">
        <v>0.015014</v>
      </c>
      <c r="G166" s="6">
        <v>0.005218</v>
      </c>
      <c r="H166" s="6">
        <v>0.005435</v>
      </c>
      <c r="I166" s="6">
        <v>0.032696</v>
      </c>
      <c r="J166" s="6">
        <v>0.015828</v>
      </c>
      <c r="K166" s="6">
        <v>0.21754174</v>
      </c>
      <c r="L166" s="6">
        <v>0.1637959</v>
      </c>
      <c r="M166" s="6">
        <v>0.18784672</v>
      </c>
      <c r="N166" s="6">
        <v>0.12574819</v>
      </c>
      <c r="O166" s="6">
        <v>0.13119749</v>
      </c>
      <c r="P166" s="6">
        <v>0.27438758</v>
      </c>
      <c r="Q166" s="6">
        <v>0.21341886</v>
      </c>
      <c r="R166" s="6">
        <v>217.69486</v>
      </c>
      <c r="S166" s="6">
        <v>0.0009993</v>
      </c>
      <c r="T166" s="6">
        <v>169.97573</v>
      </c>
      <c r="U166" s="6">
        <v>0.00096364</v>
      </c>
      <c r="V166" s="6">
        <v>197.11803</v>
      </c>
      <c r="W166" s="6">
        <v>0.00095297</v>
      </c>
      <c r="X166" s="6">
        <v>134.47093</v>
      </c>
      <c r="Y166" s="6">
        <v>0.00093513</v>
      </c>
      <c r="Z166" s="6">
        <v>134.86767</v>
      </c>
      <c r="AA166" s="6">
        <v>0.00097279</v>
      </c>
      <c r="AB166" s="6">
        <v>294.9318</v>
      </c>
      <c r="AC166" s="6">
        <v>0.00093034</v>
      </c>
      <c r="AD166" s="6">
        <v>243.86163</v>
      </c>
      <c r="AE166" s="6">
        <v>0.00087516</v>
      </c>
      <c r="AF166" s="6">
        <v>775</v>
      </c>
      <c r="AG166" s="6">
        <v>-0.0069036</v>
      </c>
      <c r="AH166" s="6">
        <v>-0.0066923</v>
      </c>
      <c r="AI166" s="6">
        <v>-0.00662876</v>
      </c>
      <c r="AJ166" s="6">
        <v>-0.00652239</v>
      </c>
      <c r="AK166" s="6">
        <v>-0.00674661</v>
      </c>
      <c r="AL166" s="6">
        <v>-0.00649375</v>
      </c>
      <c r="AM166" s="6">
        <v>-0.00616212</v>
      </c>
      <c r="AN166" s="6">
        <v>-6.4762184</v>
      </c>
      <c r="AO166" s="6">
        <v>-6.4515561</v>
      </c>
      <c r="AP166" s="6">
        <v>-6.4739881</v>
      </c>
      <c r="AQ166" s="6">
        <v>-6.4253629</v>
      </c>
      <c r="AR166" s="6">
        <v>-6.4020076</v>
      </c>
      <c r="AS166" s="6">
        <v>-6.4618417</v>
      </c>
      <c r="AT166" s="6">
        <v>-6.4506396</v>
      </c>
      <c r="AU166" s="6">
        <v>0.97344833</v>
      </c>
      <c r="AV166" s="6">
        <v>0.96974131</v>
      </c>
      <c r="AW166" s="6">
        <v>0.97311308</v>
      </c>
      <c r="AX166" s="6">
        <v>0.96580418</v>
      </c>
      <c r="AY166" s="6">
        <v>0.96229362</v>
      </c>
      <c r="AZ166" s="6">
        <v>0.97128734</v>
      </c>
      <c r="BA166" s="6">
        <v>0.96960354</v>
      </c>
      <c r="BB166" s="6">
        <v>0.02655167</v>
      </c>
      <c r="BC166" s="6">
        <v>0.03025869</v>
      </c>
      <c r="BD166" s="6">
        <v>0.02688692</v>
      </c>
      <c r="BE166" s="6">
        <v>0.03419582</v>
      </c>
      <c r="BF166" s="6">
        <v>0.03770638</v>
      </c>
      <c r="BG166" s="6">
        <v>0.02871266</v>
      </c>
      <c r="BH166" s="6">
        <v>0.03039646</v>
      </c>
      <c r="BI166" s="6">
        <v>0.21470859</v>
      </c>
      <c r="BJ166" s="6">
        <v>0.12366373</v>
      </c>
      <c r="BK166" s="6">
        <v>0.1409291</v>
      </c>
      <c r="BL166" s="6">
        <v>0.12522516</v>
      </c>
      <c r="BM166" s="6">
        <v>0.1592662</v>
      </c>
      <c r="BN166" s="6">
        <v>0.17561655</v>
      </c>
      <c r="BO166" s="6">
        <v>0.1337285</v>
      </c>
      <c r="BP166" s="6">
        <v>0.14157076</v>
      </c>
      <c r="BQ166" s="6">
        <v>0.02690202</v>
      </c>
      <c r="BR166" s="6">
        <v>0.02308361</v>
      </c>
      <c r="BS166" s="6">
        <v>0.02352314</v>
      </c>
      <c r="BT166" s="6">
        <v>0.02002744</v>
      </c>
      <c r="BU166" s="6">
        <v>0.02304045</v>
      </c>
      <c r="BV166" s="6">
        <v>0.03669344</v>
      </c>
      <c r="BW166" s="6">
        <v>0.03021387</v>
      </c>
      <c r="BX166" s="12">
        <v>8145</v>
      </c>
      <c r="BY166" s="13">
        <v>1429</v>
      </c>
      <c r="BZ166" s="12">
        <v>15726.93</v>
      </c>
      <c r="CA166" s="6">
        <f t="shared" si="16"/>
        <v>5.69979006298111</v>
      </c>
      <c r="CB166" s="6">
        <f t="shared" si="17"/>
        <v>0.517901459471111</v>
      </c>
      <c r="CC166" s="7">
        <v>133566584.8</v>
      </c>
      <c r="CD166" s="7">
        <f t="shared" si="12"/>
        <v>0.849285809754351</v>
      </c>
      <c r="CE166" s="8">
        <v>88.1</v>
      </c>
      <c r="CF166" s="8">
        <v>310.3</v>
      </c>
      <c r="CG166" s="8">
        <v>541.3</v>
      </c>
      <c r="CH166" s="8">
        <v>29275</v>
      </c>
      <c r="CI166" s="14">
        <v>0</v>
      </c>
      <c r="CJ166" s="14">
        <v>0</v>
      </c>
      <c r="CK166" s="14">
        <f t="shared" si="13"/>
        <v>0</v>
      </c>
      <c r="CL166">
        <f t="shared" si="14"/>
        <v>1.79640226266579</v>
      </c>
      <c r="CM166">
        <f t="shared" si="15"/>
        <v>0.527229603633406</v>
      </c>
      <c r="CN166" s="15">
        <v>8145.06</v>
      </c>
      <c r="CO166" s="15">
        <v>5027.28</v>
      </c>
      <c r="CP166" s="15">
        <v>954.39</v>
      </c>
      <c r="CQ166" s="15">
        <v>1603.17</v>
      </c>
      <c r="CR166" s="15">
        <v>226.82</v>
      </c>
      <c r="CS166" s="15">
        <v>59.85</v>
      </c>
      <c r="CT166" s="15">
        <v>334.43</v>
      </c>
      <c r="CU166" s="15">
        <v>78.2</v>
      </c>
      <c r="CV166" s="15">
        <v>45.49</v>
      </c>
      <c r="CW166" s="15">
        <v>794.36</v>
      </c>
    </row>
    <row r="167" spans="1:101">
      <c r="A167" s="6">
        <v>2015</v>
      </c>
      <c r="B167" s="6" t="s">
        <v>106</v>
      </c>
      <c r="C167" s="6">
        <v>0.19861336</v>
      </c>
      <c r="D167" s="6">
        <v>0.037034</v>
      </c>
      <c r="E167" s="6">
        <v>0.009446</v>
      </c>
      <c r="F167" s="6">
        <v>0.016652</v>
      </c>
      <c r="G167" s="6">
        <v>0.005681</v>
      </c>
      <c r="H167" s="6">
        <v>0.005255</v>
      </c>
      <c r="I167" s="6">
        <v>0.035287</v>
      </c>
      <c r="J167" s="6">
        <v>0.016448</v>
      </c>
      <c r="K167" s="6">
        <v>0.23892699</v>
      </c>
      <c r="L167" s="6">
        <v>0.18283321</v>
      </c>
      <c r="M167" s="6">
        <v>0.21301265</v>
      </c>
      <c r="N167" s="6">
        <v>0.13944656</v>
      </c>
      <c r="O167" s="6">
        <v>0.12575136</v>
      </c>
      <c r="P167" s="6">
        <v>0.30324856</v>
      </c>
      <c r="Q167" s="6">
        <v>0.22447836</v>
      </c>
      <c r="R167" s="6">
        <v>217.69486</v>
      </c>
      <c r="S167" s="6">
        <v>0.00109753</v>
      </c>
      <c r="T167" s="6">
        <v>169.97573</v>
      </c>
      <c r="U167" s="6">
        <v>0.00107564</v>
      </c>
      <c r="V167" s="6">
        <v>197.11803</v>
      </c>
      <c r="W167" s="6">
        <v>0.00108064</v>
      </c>
      <c r="X167" s="6">
        <v>134.47093</v>
      </c>
      <c r="Y167" s="6">
        <v>0.001037</v>
      </c>
      <c r="Z167" s="6">
        <v>134.86767</v>
      </c>
      <c r="AA167" s="6">
        <v>0.00093241</v>
      </c>
      <c r="AB167" s="6">
        <v>294.9318</v>
      </c>
      <c r="AC167" s="6">
        <v>0.0010282</v>
      </c>
      <c r="AD167" s="6">
        <v>243.86163</v>
      </c>
      <c r="AE167" s="6">
        <v>0.00092052</v>
      </c>
      <c r="AF167" s="6">
        <v>775</v>
      </c>
      <c r="AG167" s="6">
        <v>-0.00747934</v>
      </c>
      <c r="AH167" s="6">
        <v>-0.00735184</v>
      </c>
      <c r="AI167" s="6">
        <v>-0.00738096</v>
      </c>
      <c r="AJ167" s="6">
        <v>-0.00712568</v>
      </c>
      <c r="AK167" s="6">
        <v>-0.00650609</v>
      </c>
      <c r="AL167" s="6">
        <v>-0.00707395</v>
      </c>
      <c r="AM167" s="6">
        <v>-0.00643493</v>
      </c>
      <c r="AN167" s="6">
        <v>-6.4762184</v>
      </c>
      <c r="AO167" s="6">
        <v>-6.4515561</v>
      </c>
      <c r="AP167" s="6">
        <v>-6.4739881</v>
      </c>
      <c r="AQ167" s="6">
        <v>-6.4253629</v>
      </c>
      <c r="AR167" s="6">
        <v>-6.4020076</v>
      </c>
      <c r="AS167" s="6">
        <v>-6.4618417</v>
      </c>
      <c r="AT167" s="6">
        <v>-6.4506396</v>
      </c>
      <c r="AU167" s="6">
        <v>0.97344833</v>
      </c>
      <c r="AV167" s="6">
        <v>0.96974131</v>
      </c>
      <c r="AW167" s="6">
        <v>0.97311308</v>
      </c>
      <c r="AX167" s="6">
        <v>0.96580418</v>
      </c>
      <c r="AY167" s="6">
        <v>0.96229362</v>
      </c>
      <c r="AZ167" s="6">
        <v>0.97128734</v>
      </c>
      <c r="BA167" s="6">
        <v>0.96960354</v>
      </c>
      <c r="BB167" s="6">
        <v>0.02655167</v>
      </c>
      <c r="BC167" s="6">
        <v>0.03025869</v>
      </c>
      <c r="BD167" s="6">
        <v>0.02688692</v>
      </c>
      <c r="BE167" s="6">
        <v>0.03419582</v>
      </c>
      <c r="BF167" s="6">
        <v>0.03770638</v>
      </c>
      <c r="BG167" s="6">
        <v>0.02871266</v>
      </c>
      <c r="BH167" s="6">
        <v>0.03039646</v>
      </c>
      <c r="BI167" s="6">
        <v>0.21470859</v>
      </c>
      <c r="BJ167" s="6">
        <v>0.12366373</v>
      </c>
      <c r="BK167" s="6">
        <v>0.1409291</v>
      </c>
      <c r="BL167" s="6">
        <v>0.12522516</v>
      </c>
      <c r="BM167" s="6">
        <v>0.1592662</v>
      </c>
      <c r="BN167" s="6">
        <v>0.17561655</v>
      </c>
      <c r="BO167" s="6">
        <v>0.1337285</v>
      </c>
      <c r="BP167" s="6">
        <v>0.14157076</v>
      </c>
      <c r="BQ167" s="6">
        <v>0.0295466</v>
      </c>
      <c r="BR167" s="6">
        <v>0.02576652</v>
      </c>
      <c r="BS167" s="6">
        <v>0.02667454</v>
      </c>
      <c r="BT167" s="6">
        <v>0.02220912</v>
      </c>
      <c r="BU167" s="6">
        <v>0.02208402</v>
      </c>
      <c r="BV167" s="6">
        <v>0.04055297</v>
      </c>
      <c r="BW167" s="6">
        <v>0.03177957</v>
      </c>
      <c r="BX167" s="12">
        <v>8319</v>
      </c>
      <c r="BY167" s="13">
        <v>1439</v>
      </c>
      <c r="BZ167" s="12">
        <v>16538.19</v>
      </c>
      <c r="CA167" s="6">
        <f t="shared" si="16"/>
        <v>5.78109798471161</v>
      </c>
      <c r="CB167" s="6">
        <f t="shared" si="17"/>
        <v>0.503017561172051</v>
      </c>
      <c r="CC167" s="7">
        <v>128589778.8</v>
      </c>
      <c r="CD167" s="7">
        <f t="shared" si="12"/>
        <v>0.777532358740588</v>
      </c>
      <c r="CE167" s="8">
        <v>93.6</v>
      </c>
      <c r="CF167" s="8">
        <v>341.8</v>
      </c>
      <c r="CG167" s="8">
        <v>607.6</v>
      </c>
      <c r="CH167" s="8">
        <v>31847</v>
      </c>
      <c r="CI167" s="14">
        <v>0</v>
      </c>
      <c r="CJ167" s="14">
        <v>0</v>
      </c>
      <c r="CK167" s="14">
        <f t="shared" si="13"/>
        <v>0</v>
      </c>
      <c r="CL167">
        <f t="shared" si="14"/>
        <v>1.71577514742415</v>
      </c>
      <c r="CM167">
        <f t="shared" si="15"/>
        <v>0.546833185042994</v>
      </c>
      <c r="CN167" s="15">
        <v>8319</v>
      </c>
      <c r="CO167" s="15">
        <v>4538.83</v>
      </c>
      <c r="CP167" s="15">
        <v>904.69</v>
      </c>
      <c r="CQ167" s="15">
        <v>1616.72</v>
      </c>
      <c r="CR167" s="15">
        <v>267.22</v>
      </c>
      <c r="CS167" s="15">
        <v>65.78</v>
      </c>
      <c r="CT167" s="15">
        <v>390.57</v>
      </c>
      <c r="CU167" s="15">
        <v>94.14</v>
      </c>
      <c r="CV167" s="15">
        <v>63.98</v>
      </c>
      <c r="CW167" s="15">
        <v>801</v>
      </c>
    </row>
    <row r="168" spans="1:101">
      <c r="A168" s="6">
        <v>2016</v>
      </c>
      <c r="B168" s="6" t="s">
        <v>106</v>
      </c>
      <c r="C168" s="6">
        <v>0.21586185</v>
      </c>
      <c r="D168" s="6">
        <v>0.037517</v>
      </c>
      <c r="E168" s="6">
        <v>0.009652</v>
      </c>
      <c r="F168" s="6">
        <v>0.01671</v>
      </c>
      <c r="G168" s="6">
        <v>0.005705</v>
      </c>
      <c r="H168" s="6">
        <v>0.005449</v>
      </c>
      <c r="I168" s="6">
        <v>0.03848</v>
      </c>
      <c r="J168" s="6">
        <v>0.020437</v>
      </c>
      <c r="K168" s="6">
        <v>0.24271422</v>
      </c>
      <c r="L168" s="6">
        <v>0.18770923</v>
      </c>
      <c r="M168" s="6">
        <v>0.21390881</v>
      </c>
      <c r="N168" s="6">
        <v>0.14014948</v>
      </c>
      <c r="O168" s="6">
        <v>0.13164527</v>
      </c>
      <c r="P168" s="6">
        <v>0.33881321</v>
      </c>
      <c r="Q168" s="6">
        <v>0.29566345</v>
      </c>
      <c r="R168" s="6">
        <v>217.69486</v>
      </c>
      <c r="S168" s="6">
        <v>0.00111493</v>
      </c>
      <c r="T168" s="6">
        <v>169.97573</v>
      </c>
      <c r="U168" s="6">
        <v>0.00110433</v>
      </c>
      <c r="V168" s="6">
        <v>197.11803</v>
      </c>
      <c r="W168" s="6">
        <v>0.00108518</v>
      </c>
      <c r="X168" s="6">
        <v>134.47093</v>
      </c>
      <c r="Y168" s="6">
        <v>0.00104223</v>
      </c>
      <c r="Z168" s="6">
        <v>134.86767</v>
      </c>
      <c r="AA168" s="6">
        <v>0.00097611</v>
      </c>
      <c r="AB168" s="6">
        <v>294.9318</v>
      </c>
      <c r="AC168" s="6">
        <v>0.00114878</v>
      </c>
      <c r="AD168" s="6">
        <v>243.86163</v>
      </c>
      <c r="AE168" s="6">
        <v>0.00121242</v>
      </c>
      <c r="AF168" s="6">
        <v>775</v>
      </c>
      <c r="AG168" s="6">
        <v>-0.00758036</v>
      </c>
      <c r="AH168" s="6">
        <v>-0.00751885</v>
      </c>
      <c r="AI168" s="6">
        <v>-0.00740746</v>
      </c>
      <c r="AJ168" s="6">
        <v>-0.00715635</v>
      </c>
      <c r="AK168" s="6">
        <v>-0.00676631</v>
      </c>
      <c r="AL168" s="6">
        <v>-0.00777618</v>
      </c>
      <c r="AM168" s="6">
        <v>-0.00814158</v>
      </c>
      <c r="AN168" s="6">
        <v>-6.4762184</v>
      </c>
      <c r="AO168" s="6">
        <v>-6.4515561</v>
      </c>
      <c r="AP168" s="6">
        <v>-6.4739881</v>
      </c>
      <c r="AQ168" s="6">
        <v>-6.4253629</v>
      </c>
      <c r="AR168" s="6">
        <v>-6.4020076</v>
      </c>
      <c r="AS168" s="6">
        <v>-6.4618417</v>
      </c>
      <c r="AT168" s="6">
        <v>-6.4506396</v>
      </c>
      <c r="AU168" s="6">
        <v>0.97344833</v>
      </c>
      <c r="AV168" s="6">
        <v>0.96974131</v>
      </c>
      <c r="AW168" s="6">
        <v>0.97311308</v>
      </c>
      <c r="AX168" s="6">
        <v>0.96580418</v>
      </c>
      <c r="AY168" s="6">
        <v>0.96229362</v>
      </c>
      <c r="AZ168" s="6">
        <v>0.97128734</v>
      </c>
      <c r="BA168" s="6">
        <v>0.96960354</v>
      </c>
      <c r="BB168" s="6">
        <v>0.02655167</v>
      </c>
      <c r="BC168" s="6">
        <v>0.03025869</v>
      </c>
      <c r="BD168" s="6">
        <v>0.02688692</v>
      </c>
      <c r="BE168" s="6">
        <v>0.03419582</v>
      </c>
      <c r="BF168" s="6">
        <v>0.03770638</v>
      </c>
      <c r="BG168" s="6">
        <v>0.02871266</v>
      </c>
      <c r="BH168" s="6">
        <v>0.03039646</v>
      </c>
      <c r="BI168" s="6">
        <v>0.21470859</v>
      </c>
      <c r="BJ168" s="6">
        <v>0.12366373</v>
      </c>
      <c r="BK168" s="6">
        <v>0.1409291</v>
      </c>
      <c r="BL168" s="6">
        <v>0.12522516</v>
      </c>
      <c r="BM168" s="6">
        <v>0.1592662</v>
      </c>
      <c r="BN168" s="6">
        <v>0.17561655</v>
      </c>
      <c r="BO168" s="6">
        <v>0.1337285</v>
      </c>
      <c r="BP168" s="6">
        <v>0.14157076</v>
      </c>
      <c r="BQ168" s="6">
        <v>0.03001495</v>
      </c>
      <c r="BR168" s="6">
        <v>0.02645369</v>
      </c>
      <c r="BS168" s="6">
        <v>0.02678676</v>
      </c>
      <c r="BT168" s="6">
        <v>0.02232108</v>
      </c>
      <c r="BU168" s="6">
        <v>0.02311909</v>
      </c>
      <c r="BV168" s="6">
        <v>0.04530898</v>
      </c>
      <c r="BW168" s="6">
        <v>0.0418573</v>
      </c>
      <c r="BX168" s="12">
        <v>8078</v>
      </c>
      <c r="BY168" s="13">
        <v>1443</v>
      </c>
      <c r="BZ168" s="12">
        <v>17885.39</v>
      </c>
      <c r="CA168" s="6">
        <f t="shared" si="16"/>
        <v>5.5980595980596</v>
      </c>
      <c r="CB168" s="6">
        <f t="shared" si="17"/>
        <v>0.451653556338442</v>
      </c>
      <c r="CC168" s="7">
        <v>124786068.7</v>
      </c>
      <c r="CD168" s="7">
        <f t="shared" si="12"/>
        <v>0.69769833758168</v>
      </c>
      <c r="CE168" s="8">
        <v>110.5</v>
      </c>
      <c r="CF168" s="8">
        <v>390.4</v>
      </c>
      <c r="CG168" s="8">
        <v>672.1</v>
      </c>
      <c r="CH168" s="8">
        <v>35015</v>
      </c>
      <c r="CI168" s="14">
        <v>0</v>
      </c>
      <c r="CJ168" s="14">
        <v>0</v>
      </c>
      <c r="CK168" s="14">
        <f t="shared" si="13"/>
        <v>0</v>
      </c>
      <c r="CL168">
        <f t="shared" si="14"/>
        <v>1.62438398605541</v>
      </c>
      <c r="CM168">
        <f t="shared" si="15"/>
        <v>0.570484353717409</v>
      </c>
      <c r="CN168" s="15">
        <v>8078</v>
      </c>
      <c r="CO168" s="15">
        <v>4230.16</v>
      </c>
      <c r="CP168" s="15">
        <v>887.29</v>
      </c>
      <c r="CQ168" s="15">
        <v>1433.6</v>
      </c>
      <c r="CR168" s="15">
        <v>274.79</v>
      </c>
      <c r="CS168" s="15">
        <v>82.02</v>
      </c>
      <c r="CT168" s="15">
        <v>371.76</v>
      </c>
      <c r="CU168" s="15">
        <v>45.33</v>
      </c>
      <c r="CV168" s="15">
        <v>74.53</v>
      </c>
      <c r="CW168" s="15">
        <v>807.93</v>
      </c>
    </row>
    <row r="169" spans="1:101">
      <c r="A169" s="6">
        <v>2017</v>
      </c>
      <c r="B169" s="6" t="s">
        <v>106</v>
      </c>
      <c r="C169" s="6">
        <v>0.21217997</v>
      </c>
      <c r="D169" s="6">
        <v>0.037866</v>
      </c>
      <c r="E169" s="6">
        <v>0.0095</v>
      </c>
      <c r="F169" s="6">
        <v>0.016927</v>
      </c>
      <c r="G169" s="6">
        <v>0.005304</v>
      </c>
      <c r="H169" s="6">
        <v>0.006135</v>
      </c>
      <c r="I169" s="6">
        <v>0.038704</v>
      </c>
      <c r="J169" s="6">
        <v>0.018052</v>
      </c>
      <c r="K169" s="6">
        <v>0.24545675</v>
      </c>
      <c r="L169" s="6">
        <v>0.18411544</v>
      </c>
      <c r="M169" s="6">
        <v>0.21724531</v>
      </c>
      <c r="N169" s="6">
        <v>0.12830294</v>
      </c>
      <c r="O169" s="6">
        <v>0.15241381</v>
      </c>
      <c r="P169" s="6">
        <v>0.34130399</v>
      </c>
      <c r="Q169" s="6">
        <v>0.25309808</v>
      </c>
      <c r="R169" s="6">
        <v>217.69486</v>
      </c>
      <c r="S169" s="6">
        <v>0.00112753</v>
      </c>
      <c r="T169" s="6">
        <v>169.97573</v>
      </c>
      <c r="U169" s="6">
        <v>0.00108319</v>
      </c>
      <c r="V169" s="6">
        <v>197.11803</v>
      </c>
      <c r="W169" s="6">
        <v>0.00110211</v>
      </c>
      <c r="X169" s="6">
        <v>134.47093</v>
      </c>
      <c r="Y169" s="6">
        <v>0.00095413</v>
      </c>
      <c r="Z169" s="6">
        <v>134.86767</v>
      </c>
      <c r="AA169" s="6">
        <v>0.0011301</v>
      </c>
      <c r="AB169" s="6">
        <v>294.9318</v>
      </c>
      <c r="AC169" s="6">
        <v>0.00115723</v>
      </c>
      <c r="AD169" s="6">
        <v>243.86163</v>
      </c>
      <c r="AE169" s="6">
        <v>0.00103788</v>
      </c>
      <c r="AF169" s="6">
        <v>775</v>
      </c>
      <c r="AG169" s="6">
        <v>-0.00765335</v>
      </c>
      <c r="AH169" s="6">
        <v>-0.00739583</v>
      </c>
      <c r="AI169" s="6">
        <v>-0.00750594</v>
      </c>
      <c r="AJ169" s="6">
        <v>-0.00663571</v>
      </c>
      <c r="AK169" s="6">
        <v>-0.00766823</v>
      </c>
      <c r="AL169" s="6">
        <v>-0.00782487</v>
      </c>
      <c r="AM169" s="6">
        <v>-0.00713081</v>
      </c>
      <c r="AN169" s="6">
        <v>-6.4762184</v>
      </c>
      <c r="AO169" s="6">
        <v>-6.4515561</v>
      </c>
      <c r="AP169" s="6">
        <v>-6.4739881</v>
      </c>
      <c r="AQ169" s="6">
        <v>-6.4253629</v>
      </c>
      <c r="AR169" s="6">
        <v>-6.4020076</v>
      </c>
      <c r="AS169" s="6">
        <v>-6.4618417</v>
      </c>
      <c r="AT169" s="6">
        <v>-6.4506396</v>
      </c>
      <c r="AU169" s="6">
        <v>0.97344833</v>
      </c>
      <c r="AV169" s="6">
        <v>0.96974131</v>
      </c>
      <c r="AW169" s="6">
        <v>0.97311308</v>
      </c>
      <c r="AX169" s="6">
        <v>0.96580418</v>
      </c>
      <c r="AY169" s="6">
        <v>0.96229362</v>
      </c>
      <c r="AZ169" s="6">
        <v>0.97128734</v>
      </c>
      <c r="BA169" s="6">
        <v>0.96960354</v>
      </c>
      <c r="BB169" s="6">
        <v>0.02655167</v>
      </c>
      <c r="BC169" s="6">
        <v>0.03025869</v>
      </c>
      <c r="BD169" s="6">
        <v>0.02688692</v>
      </c>
      <c r="BE169" s="6">
        <v>0.03419582</v>
      </c>
      <c r="BF169" s="6">
        <v>0.03770638</v>
      </c>
      <c r="BG169" s="6">
        <v>0.02871266</v>
      </c>
      <c r="BH169" s="6">
        <v>0.03039646</v>
      </c>
      <c r="BI169" s="6">
        <v>0.21470859</v>
      </c>
      <c r="BJ169" s="6">
        <v>0.12366373</v>
      </c>
      <c r="BK169" s="6">
        <v>0.1409291</v>
      </c>
      <c r="BL169" s="6">
        <v>0.12522516</v>
      </c>
      <c r="BM169" s="6">
        <v>0.1592662</v>
      </c>
      <c r="BN169" s="6">
        <v>0.17561655</v>
      </c>
      <c r="BO169" s="6">
        <v>0.1337285</v>
      </c>
      <c r="BP169" s="6">
        <v>0.14157076</v>
      </c>
      <c r="BQ169" s="6">
        <v>0.0303541</v>
      </c>
      <c r="BR169" s="6">
        <v>0.02594722</v>
      </c>
      <c r="BS169" s="6">
        <v>0.02720458</v>
      </c>
      <c r="BT169" s="6">
        <v>0.02043432</v>
      </c>
      <c r="BU169" s="6">
        <v>0.02676639</v>
      </c>
      <c r="BV169" s="6">
        <v>0.04564207</v>
      </c>
      <c r="BW169" s="6">
        <v>0.03583129</v>
      </c>
      <c r="BX169" s="12">
        <v>7832</v>
      </c>
      <c r="BY169" s="13">
        <v>1410</v>
      </c>
      <c r="BZ169" s="12">
        <v>18549.19</v>
      </c>
      <c r="CA169" s="6">
        <f t="shared" si="16"/>
        <v>5.55460992907801</v>
      </c>
      <c r="CB169" s="6">
        <f t="shared" si="17"/>
        <v>0.422228679527246</v>
      </c>
      <c r="CC169" s="7">
        <v>125899974.7</v>
      </c>
      <c r="CD169" s="7">
        <f t="shared" si="12"/>
        <v>0.678735700588543</v>
      </c>
      <c r="CE169" s="8">
        <v>118.2</v>
      </c>
      <c r="CF169" s="8">
        <v>469.6</v>
      </c>
      <c r="CG169" s="8">
        <v>761.2</v>
      </c>
      <c r="CH169" s="8">
        <v>39158</v>
      </c>
      <c r="CI169" s="14">
        <v>1</v>
      </c>
      <c r="CJ169" s="14">
        <v>0</v>
      </c>
      <c r="CK169" s="14">
        <f t="shared" si="13"/>
        <v>0</v>
      </c>
      <c r="CL169">
        <f t="shared" si="14"/>
        <v>1.56738551218677</v>
      </c>
      <c r="CM169">
        <f t="shared" si="15"/>
        <v>0.56696314001168</v>
      </c>
      <c r="CN169" s="15">
        <v>7832</v>
      </c>
      <c r="CO169" s="15">
        <v>3875.61</v>
      </c>
      <c r="CP169" s="15">
        <v>808.7</v>
      </c>
      <c r="CQ169" s="15">
        <v>1624.85</v>
      </c>
      <c r="CR169" s="15">
        <v>274.16</v>
      </c>
      <c r="CS169" s="15">
        <v>101.5</v>
      </c>
      <c r="CT169" s="15">
        <v>349.11</v>
      </c>
      <c r="CU169" s="15">
        <v>40.68</v>
      </c>
      <c r="CV169" s="15">
        <v>83.31</v>
      </c>
      <c r="CW169" s="15">
        <v>805.59</v>
      </c>
    </row>
    <row r="170" spans="1:101">
      <c r="A170" s="6">
        <v>2018</v>
      </c>
      <c r="B170" s="6" t="s">
        <v>106</v>
      </c>
      <c r="C170" s="6">
        <v>0.20457732</v>
      </c>
      <c r="D170" s="6">
        <v>0.035163</v>
      </c>
      <c r="E170" s="6">
        <v>0.008738</v>
      </c>
      <c r="F170" s="6">
        <v>0.015727</v>
      </c>
      <c r="G170" s="6">
        <v>0.005123</v>
      </c>
      <c r="H170" s="6">
        <v>0.005576</v>
      </c>
      <c r="I170" s="6">
        <v>0.038014</v>
      </c>
      <c r="J170" s="6">
        <v>0.019922</v>
      </c>
      <c r="K170" s="6">
        <v>0.22425526</v>
      </c>
      <c r="L170" s="6">
        <v>0.16608257</v>
      </c>
      <c r="M170" s="6">
        <v>0.19879914</v>
      </c>
      <c r="N170" s="6">
        <v>0.12295333</v>
      </c>
      <c r="O170" s="6">
        <v>0.13547362</v>
      </c>
      <c r="P170" s="6">
        <v>0.33362206</v>
      </c>
      <c r="Q170" s="6">
        <v>0.28647199</v>
      </c>
      <c r="R170" s="6">
        <v>217.69486</v>
      </c>
      <c r="S170" s="6">
        <v>0.00103014</v>
      </c>
      <c r="T170" s="6">
        <v>169.97573</v>
      </c>
      <c r="U170" s="6">
        <v>0.0009771</v>
      </c>
      <c r="V170" s="6">
        <v>197.11803</v>
      </c>
      <c r="W170" s="6">
        <v>0.00100853</v>
      </c>
      <c r="X170" s="6">
        <v>134.47093</v>
      </c>
      <c r="Y170" s="6">
        <v>0.00091435</v>
      </c>
      <c r="Z170" s="6">
        <v>134.86767</v>
      </c>
      <c r="AA170" s="6">
        <v>0.00100449</v>
      </c>
      <c r="AB170" s="6">
        <v>294.9318</v>
      </c>
      <c r="AC170" s="6">
        <v>0.00113118</v>
      </c>
      <c r="AD170" s="6">
        <v>243.86163</v>
      </c>
      <c r="AE170" s="6">
        <v>0.00117473</v>
      </c>
      <c r="AF170" s="6">
        <v>775</v>
      </c>
      <c r="AG170" s="6">
        <v>-0.00708534</v>
      </c>
      <c r="AH170" s="6">
        <v>-0.00677218</v>
      </c>
      <c r="AI170" s="6">
        <v>-0.0069581</v>
      </c>
      <c r="AJ170" s="6">
        <v>-0.00639797</v>
      </c>
      <c r="AK170" s="6">
        <v>-0.00693429</v>
      </c>
      <c r="AL170" s="6">
        <v>-0.00767451</v>
      </c>
      <c r="AM170" s="6">
        <v>-0.00792558</v>
      </c>
      <c r="AN170" s="6">
        <v>-6.4762184</v>
      </c>
      <c r="AO170" s="6">
        <v>-6.4515561</v>
      </c>
      <c r="AP170" s="6">
        <v>-6.4739881</v>
      </c>
      <c r="AQ170" s="6">
        <v>-6.4253629</v>
      </c>
      <c r="AR170" s="6">
        <v>-6.4020076</v>
      </c>
      <c r="AS170" s="6">
        <v>-6.4618417</v>
      </c>
      <c r="AT170" s="6">
        <v>-6.4506396</v>
      </c>
      <c r="AU170" s="6">
        <v>0.97344833</v>
      </c>
      <c r="AV170" s="6">
        <v>0.96974131</v>
      </c>
      <c r="AW170" s="6">
        <v>0.97311308</v>
      </c>
      <c r="AX170" s="6">
        <v>0.96580418</v>
      </c>
      <c r="AY170" s="6">
        <v>0.96229362</v>
      </c>
      <c r="AZ170" s="6">
        <v>0.97128734</v>
      </c>
      <c r="BA170" s="6">
        <v>0.96960354</v>
      </c>
      <c r="BB170" s="6">
        <v>0.02655167</v>
      </c>
      <c r="BC170" s="6">
        <v>0.03025869</v>
      </c>
      <c r="BD170" s="6">
        <v>0.02688692</v>
      </c>
      <c r="BE170" s="6">
        <v>0.03419582</v>
      </c>
      <c r="BF170" s="6">
        <v>0.03770638</v>
      </c>
      <c r="BG170" s="6">
        <v>0.02871266</v>
      </c>
      <c r="BH170" s="6">
        <v>0.03039646</v>
      </c>
      <c r="BI170" s="6">
        <v>0.21470859</v>
      </c>
      <c r="BJ170" s="6">
        <v>0.12366373</v>
      </c>
      <c r="BK170" s="6">
        <v>0.1409291</v>
      </c>
      <c r="BL170" s="6">
        <v>0.12522516</v>
      </c>
      <c r="BM170" s="6">
        <v>0.1592662</v>
      </c>
      <c r="BN170" s="6">
        <v>0.17561655</v>
      </c>
      <c r="BO170" s="6">
        <v>0.1337285</v>
      </c>
      <c r="BP170" s="6">
        <v>0.14157076</v>
      </c>
      <c r="BQ170" s="6">
        <v>0.02773224</v>
      </c>
      <c r="BR170" s="6">
        <v>0.02340587</v>
      </c>
      <c r="BS170" s="6">
        <v>0.02489465</v>
      </c>
      <c r="BT170" s="6">
        <v>0.01958231</v>
      </c>
      <c r="BU170" s="6">
        <v>0.02379141</v>
      </c>
      <c r="BV170" s="6">
        <v>0.04461478</v>
      </c>
      <c r="BW170" s="6">
        <v>0.04055606</v>
      </c>
      <c r="BX170" s="12">
        <v>7973</v>
      </c>
      <c r="BY170" s="13">
        <v>1383</v>
      </c>
      <c r="BZ170" s="12">
        <v>18809.64</v>
      </c>
      <c r="CA170" s="6">
        <f t="shared" si="16"/>
        <v>5.76500361532899</v>
      </c>
      <c r="CB170" s="6">
        <f t="shared" si="17"/>
        <v>0.423878394270172</v>
      </c>
      <c r="CC170" s="7">
        <v>136199726</v>
      </c>
      <c r="CD170" s="7">
        <f t="shared" si="12"/>
        <v>0.724095336221214</v>
      </c>
      <c r="CE170" s="8">
        <v>128.3</v>
      </c>
      <c r="CF170" s="8">
        <v>582.7</v>
      </c>
      <c r="CG170" s="8">
        <v>837.3</v>
      </c>
      <c r="CH170" s="8">
        <v>44051</v>
      </c>
      <c r="CI170" s="14">
        <v>1</v>
      </c>
      <c r="CJ170" s="14">
        <v>0</v>
      </c>
      <c r="CK170" s="14">
        <f t="shared" si="13"/>
        <v>0</v>
      </c>
      <c r="CL170">
        <f t="shared" si="14"/>
        <v>1.51591455826218</v>
      </c>
      <c r="CM170">
        <f t="shared" si="15"/>
        <v>0.522337632899768</v>
      </c>
      <c r="CN170" s="15">
        <v>7973</v>
      </c>
      <c r="CO170" s="15">
        <v>3832.89</v>
      </c>
      <c r="CP170" s="15">
        <v>867.23</v>
      </c>
      <c r="CQ170" s="15">
        <v>1688.23</v>
      </c>
      <c r="CR170" s="15">
        <v>273.65</v>
      </c>
      <c r="CS170" s="15">
        <v>108.92</v>
      </c>
      <c r="CT170" s="15">
        <v>326.06</v>
      </c>
      <c r="CU170" s="15">
        <v>46.99</v>
      </c>
      <c r="CV170" s="15">
        <v>104.03</v>
      </c>
      <c r="CW170" s="15">
        <v>861.44</v>
      </c>
    </row>
    <row r="171" spans="1:101">
      <c r="A171" s="6">
        <v>2019</v>
      </c>
      <c r="B171" s="6" t="s">
        <v>106</v>
      </c>
      <c r="C171" s="6">
        <v>0.22071847</v>
      </c>
      <c r="D171" s="6">
        <v>0.040011</v>
      </c>
      <c r="E171" s="6">
        <v>0.010172</v>
      </c>
      <c r="F171" s="6">
        <v>0.018334</v>
      </c>
      <c r="G171" s="6">
        <v>0.006146</v>
      </c>
      <c r="H171" s="6">
        <v>0.005359</v>
      </c>
      <c r="I171" s="6">
        <v>0.038094</v>
      </c>
      <c r="J171" s="6">
        <v>0.019074</v>
      </c>
      <c r="K171" s="6">
        <v>0.26228388</v>
      </c>
      <c r="L171" s="6">
        <v>0.20000835</v>
      </c>
      <c r="M171" s="6">
        <v>0.23886408</v>
      </c>
      <c r="N171" s="6">
        <v>0.15319696</v>
      </c>
      <c r="O171" s="6">
        <v>0.1289044</v>
      </c>
      <c r="P171" s="6">
        <v>0.33451416</v>
      </c>
      <c r="Q171" s="6">
        <v>0.27133964</v>
      </c>
      <c r="R171" s="6">
        <v>217.69486</v>
      </c>
      <c r="S171" s="6">
        <v>0.00120482</v>
      </c>
      <c r="T171" s="6">
        <v>169.97573</v>
      </c>
      <c r="U171" s="6">
        <v>0.00117669</v>
      </c>
      <c r="V171" s="6">
        <v>197.11803</v>
      </c>
      <c r="W171" s="6">
        <v>0.00121178</v>
      </c>
      <c r="X171" s="6">
        <v>134.47093</v>
      </c>
      <c r="Y171" s="6">
        <v>0.00113926</v>
      </c>
      <c r="Z171" s="6">
        <v>134.86767</v>
      </c>
      <c r="AA171" s="6">
        <v>0.00095578</v>
      </c>
      <c r="AB171" s="6">
        <v>294.9318</v>
      </c>
      <c r="AC171" s="6">
        <v>0.00113421</v>
      </c>
      <c r="AD171" s="6">
        <v>243.86163</v>
      </c>
      <c r="AE171" s="6">
        <v>0.00111268</v>
      </c>
      <c r="AF171" s="6">
        <v>775</v>
      </c>
      <c r="AG171" s="6">
        <v>-0.00809813</v>
      </c>
      <c r="AH171" s="6">
        <v>-0.00793682</v>
      </c>
      <c r="AI171" s="6">
        <v>-0.00813792</v>
      </c>
      <c r="AJ171" s="6">
        <v>-0.00772118</v>
      </c>
      <c r="AK171" s="6">
        <v>-0.00664555</v>
      </c>
      <c r="AL171" s="6">
        <v>-0.007692</v>
      </c>
      <c r="AM171" s="6">
        <v>-0.00756731</v>
      </c>
      <c r="AN171" s="6">
        <v>-6.4762184</v>
      </c>
      <c r="AO171" s="6">
        <v>-6.4515561</v>
      </c>
      <c r="AP171" s="6">
        <v>-6.4739881</v>
      </c>
      <c r="AQ171" s="6">
        <v>-6.4253629</v>
      </c>
      <c r="AR171" s="6">
        <v>-6.4020076</v>
      </c>
      <c r="AS171" s="6">
        <v>-6.4618417</v>
      </c>
      <c r="AT171" s="6">
        <v>-6.4506396</v>
      </c>
      <c r="AU171" s="6">
        <v>0.97344833</v>
      </c>
      <c r="AV171" s="6">
        <v>0.96974131</v>
      </c>
      <c r="AW171" s="6">
        <v>0.97311308</v>
      </c>
      <c r="AX171" s="6">
        <v>0.96580418</v>
      </c>
      <c r="AY171" s="6">
        <v>0.96229362</v>
      </c>
      <c r="AZ171" s="6">
        <v>0.97128734</v>
      </c>
      <c r="BA171" s="6">
        <v>0.96960354</v>
      </c>
      <c r="BB171" s="6">
        <v>0.02655167</v>
      </c>
      <c r="BC171" s="6">
        <v>0.03025869</v>
      </c>
      <c r="BD171" s="6">
        <v>0.02688692</v>
      </c>
      <c r="BE171" s="6">
        <v>0.03419582</v>
      </c>
      <c r="BF171" s="6">
        <v>0.03770638</v>
      </c>
      <c r="BG171" s="6">
        <v>0.02871266</v>
      </c>
      <c r="BH171" s="6">
        <v>0.03039646</v>
      </c>
      <c r="BI171" s="6">
        <v>0.21470859</v>
      </c>
      <c r="BJ171" s="6">
        <v>0.12366373</v>
      </c>
      <c r="BK171" s="6">
        <v>0.1409291</v>
      </c>
      <c r="BL171" s="6">
        <v>0.12522516</v>
      </c>
      <c r="BM171" s="6">
        <v>0.1592662</v>
      </c>
      <c r="BN171" s="6">
        <v>0.17561655</v>
      </c>
      <c r="BO171" s="6">
        <v>0.1337285</v>
      </c>
      <c r="BP171" s="6">
        <v>0.14157076</v>
      </c>
      <c r="BQ171" s="6">
        <v>0.032435</v>
      </c>
      <c r="BR171" s="6">
        <v>0.028187</v>
      </c>
      <c r="BS171" s="6">
        <v>0.02991179</v>
      </c>
      <c r="BT171" s="6">
        <v>0.0243991</v>
      </c>
      <c r="BU171" s="6">
        <v>0.02263775</v>
      </c>
      <c r="BV171" s="6">
        <v>0.04473407</v>
      </c>
      <c r="BW171" s="6">
        <v>0.03841376</v>
      </c>
      <c r="BX171" s="12">
        <v>8241</v>
      </c>
      <c r="BY171" s="13">
        <v>1385</v>
      </c>
      <c r="BZ171" s="12">
        <v>14104.28</v>
      </c>
      <c r="CA171" s="6">
        <f t="shared" si="16"/>
        <v>5.95018050541516</v>
      </c>
      <c r="CB171" s="6">
        <f t="shared" si="17"/>
        <v>0.584290725935673</v>
      </c>
      <c r="CC171" s="7">
        <v>142123146.6</v>
      </c>
      <c r="CD171" s="7">
        <f t="shared" si="12"/>
        <v>1.00765970754977</v>
      </c>
      <c r="CE171" s="8">
        <v>138.2</v>
      </c>
      <c r="CF171" s="8">
        <v>635.6</v>
      </c>
      <c r="CG171" s="8">
        <v>924</v>
      </c>
      <c r="CH171" s="8">
        <v>47491</v>
      </c>
      <c r="CI171" s="14">
        <v>1</v>
      </c>
      <c r="CJ171" s="14">
        <v>0</v>
      </c>
      <c r="CK171" s="14">
        <f t="shared" si="13"/>
        <v>0</v>
      </c>
      <c r="CL171">
        <f t="shared" si="14"/>
        <v>1.5000536746505</v>
      </c>
      <c r="CM171">
        <f t="shared" si="15"/>
        <v>0.32825089889897</v>
      </c>
      <c r="CN171" s="15">
        <v>8241</v>
      </c>
      <c r="CO171" s="15">
        <v>3766.11</v>
      </c>
      <c r="CP171" s="15">
        <v>903.99</v>
      </c>
      <c r="CQ171" s="15">
        <v>1693.35</v>
      </c>
      <c r="CR171" s="15">
        <v>284.46</v>
      </c>
      <c r="CS171" s="15">
        <v>110.58</v>
      </c>
      <c r="CT171" s="15">
        <v>316.92</v>
      </c>
      <c r="CU171" s="15">
        <v>50</v>
      </c>
      <c r="CV171" s="15">
        <v>110.61</v>
      </c>
      <c r="CW171" s="15">
        <v>878.43</v>
      </c>
    </row>
    <row r="172" spans="1:101">
      <c r="A172" s="6">
        <v>2020</v>
      </c>
      <c r="B172" s="6" t="s">
        <v>106</v>
      </c>
      <c r="C172" s="6">
        <v>0.25151895</v>
      </c>
      <c r="D172" s="6">
        <v>0.044127</v>
      </c>
      <c r="E172" s="6">
        <v>0.010533</v>
      </c>
      <c r="F172" s="6">
        <v>0.020151</v>
      </c>
      <c r="G172" s="6">
        <v>0.006298</v>
      </c>
      <c r="H172" s="6">
        <v>0.007145</v>
      </c>
      <c r="I172" s="6">
        <v>0.04425</v>
      </c>
      <c r="J172" s="6">
        <v>0.020151</v>
      </c>
      <c r="K172" s="6">
        <v>0.29456627</v>
      </c>
      <c r="L172" s="6">
        <v>0.20853777</v>
      </c>
      <c r="M172" s="6">
        <v>0.26679395</v>
      </c>
      <c r="N172" s="6">
        <v>0.15766429</v>
      </c>
      <c r="O172" s="6">
        <v>0.18304104</v>
      </c>
      <c r="P172" s="6">
        <v>0.40308114</v>
      </c>
      <c r="Q172" s="6">
        <v>0.29055698</v>
      </c>
      <c r="R172" s="6">
        <v>217.69486</v>
      </c>
      <c r="S172" s="6">
        <v>0.00135312</v>
      </c>
      <c r="T172" s="6">
        <v>169.97573</v>
      </c>
      <c r="U172" s="6">
        <v>0.00122687</v>
      </c>
      <c r="V172" s="6">
        <v>197.11803</v>
      </c>
      <c r="W172" s="6">
        <v>0.00135347</v>
      </c>
      <c r="X172" s="6">
        <v>134.47093</v>
      </c>
      <c r="Y172" s="6">
        <v>0.00117248</v>
      </c>
      <c r="Z172" s="6">
        <v>134.86767</v>
      </c>
      <c r="AA172" s="6">
        <v>0.00135719</v>
      </c>
      <c r="AB172" s="6">
        <v>294.9318</v>
      </c>
      <c r="AC172" s="6">
        <v>0.00136669</v>
      </c>
      <c r="AD172" s="6">
        <v>243.86163</v>
      </c>
      <c r="AE172" s="6">
        <v>0.00119148</v>
      </c>
      <c r="AF172" s="6">
        <v>775</v>
      </c>
      <c r="AG172" s="6">
        <v>-0.0089378</v>
      </c>
      <c r="AH172" s="6">
        <v>-0.00822405</v>
      </c>
      <c r="AI172" s="6">
        <v>-0.0089398</v>
      </c>
      <c r="AJ172" s="6">
        <v>-0.00791263</v>
      </c>
      <c r="AK172" s="6">
        <v>-0.00896063</v>
      </c>
      <c r="AL172" s="6">
        <v>-0.00901383</v>
      </c>
      <c r="AM172" s="6">
        <v>-0.00802173</v>
      </c>
      <c r="AN172" s="6">
        <v>-6.4762184</v>
      </c>
      <c r="AO172" s="6">
        <v>-6.4515561</v>
      </c>
      <c r="AP172" s="6">
        <v>-6.4739881</v>
      </c>
      <c r="AQ172" s="6">
        <v>-6.4253629</v>
      </c>
      <c r="AR172" s="6">
        <v>-6.4020076</v>
      </c>
      <c r="AS172" s="6">
        <v>-6.4618417</v>
      </c>
      <c r="AT172" s="6">
        <v>-6.4506396</v>
      </c>
      <c r="AU172" s="6">
        <v>0.97344833</v>
      </c>
      <c r="AV172" s="6">
        <v>0.96974131</v>
      </c>
      <c r="AW172" s="6">
        <v>0.97311308</v>
      </c>
      <c r="AX172" s="6">
        <v>0.96580418</v>
      </c>
      <c r="AY172" s="6">
        <v>0.96229362</v>
      </c>
      <c r="AZ172" s="6">
        <v>0.97128734</v>
      </c>
      <c r="BA172" s="6">
        <v>0.96960354</v>
      </c>
      <c r="BB172" s="6">
        <v>0.02655167</v>
      </c>
      <c r="BC172" s="6">
        <v>0.03025869</v>
      </c>
      <c r="BD172" s="6">
        <v>0.02688692</v>
      </c>
      <c r="BE172" s="6">
        <v>0.03419582</v>
      </c>
      <c r="BF172" s="6">
        <v>0.03770638</v>
      </c>
      <c r="BG172" s="6">
        <v>0.02871266</v>
      </c>
      <c r="BH172" s="6">
        <v>0.03039646</v>
      </c>
      <c r="BI172" s="6">
        <v>0.21470859</v>
      </c>
      <c r="BJ172" s="6">
        <v>0.12366373</v>
      </c>
      <c r="BK172" s="6">
        <v>0.1409291</v>
      </c>
      <c r="BL172" s="6">
        <v>0.12522516</v>
      </c>
      <c r="BM172" s="6">
        <v>0.1592662</v>
      </c>
      <c r="BN172" s="6">
        <v>0.17561655</v>
      </c>
      <c r="BO172" s="6">
        <v>0.1337285</v>
      </c>
      <c r="BP172" s="6">
        <v>0.14157076</v>
      </c>
      <c r="BQ172" s="6">
        <v>0.03642717</v>
      </c>
      <c r="BR172" s="6">
        <v>0.02938904</v>
      </c>
      <c r="BS172" s="6">
        <v>0.03340932</v>
      </c>
      <c r="BT172" s="6">
        <v>0.02511059</v>
      </c>
      <c r="BU172" s="6">
        <v>0.03214503</v>
      </c>
      <c r="BV172" s="6">
        <v>0.05390343</v>
      </c>
      <c r="BW172" s="6">
        <v>0.04113437</v>
      </c>
      <c r="BX172" s="12">
        <v>8104.6</v>
      </c>
      <c r="BY172" s="13">
        <v>1386.6</v>
      </c>
      <c r="BZ172" s="12">
        <v>14083.73</v>
      </c>
      <c r="CA172" s="6">
        <f t="shared" si="16"/>
        <v>5.84494446848406</v>
      </c>
      <c r="CB172" s="6">
        <f t="shared" si="17"/>
        <v>0.575458348037061</v>
      </c>
      <c r="CC172" s="7">
        <v>139913364.4</v>
      </c>
      <c r="CD172" s="7">
        <f t="shared" si="12"/>
        <v>0.99343969530799</v>
      </c>
      <c r="CE172" s="8">
        <v>150.3</v>
      </c>
      <c r="CF172" s="8">
        <v>714.9</v>
      </c>
      <c r="CG172" s="8">
        <v>1037.5</v>
      </c>
      <c r="CH172" s="8">
        <v>52280</v>
      </c>
      <c r="CI172" s="14">
        <v>1</v>
      </c>
      <c r="CJ172" s="14">
        <v>0</v>
      </c>
      <c r="CK172" s="14">
        <f t="shared" si="13"/>
        <v>0</v>
      </c>
      <c r="CL172">
        <f t="shared" si="14"/>
        <v>1.47141701078949</v>
      </c>
      <c r="CM172">
        <f t="shared" si="15"/>
        <v>0.324841504465849</v>
      </c>
      <c r="CN172" s="15">
        <v>8104.6</v>
      </c>
      <c r="CO172" s="15">
        <v>3745.28</v>
      </c>
      <c r="CP172" s="15">
        <v>929.37</v>
      </c>
      <c r="CQ172" s="15">
        <v>1394.16</v>
      </c>
      <c r="CR172" s="15">
        <v>284.73</v>
      </c>
      <c r="CS172" s="15">
        <v>85.32</v>
      </c>
      <c r="CT172" s="15">
        <v>325.05</v>
      </c>
      <c r="CU172" s="15">
        <v>52.61</v>
      </c>
      <c r="CV172" s="15">
        <v>117.03</v>
      </c>
      <c r="CW172" s="15">
        <v>875</v>
      </c>
    </row>
    <row r="173" spans="1:101">
      <c r="A173" s="6">
        <v>2021</v>
      </c>
      <c r="B173" s="6" t="s">
        <v>106</v>
      </c>
      <c r="C173" s="6">
        <v>0.24575624</v>
      </c>
      <c r="D173" s="6">
        <v>0.041247</v>
      </c>
      <c r="E173" s="6">
        <v>0.010403</v>
      </c>
      <c r="F173" s="6">
        <v>0.018254</v>
      </c>
      <c r="G173" s="6">
        <v>0.005786</v>
      </c>
      <c r="H173" s="6">
        <v>0.006804</v>
      </c>
      <c r="I173" s="6">
        <v>0.044486</v>
      </c>
      <c r="J173" s="6">
        <v>0.022127</v>
      </c>
      <c r="K173" s="6">
        <v>0.2719725</v>
      </c>
      <c r="L173" s="6">
        <v>0.20544914</v>
      </c>
      <c r="M173" s="6">
        <v>0.23763487</v>
      </c>
      <c r="N173" s="6">
        <v>0.14254379</v>
      </c>
      <c r="O173" s="6">
        <v>0.17270684</v>
      </c>
      <c r="P173" s="6">
        <v>0.40570724</v>
      </c>
      <c r="Q173" s="6">
        <v>0.32580366</v>
      </c>
      <c r="R173" s="6">
        <v>217.69486</v>
      </c>
      <c r="S173" s="6">
        <v>0.00124933</v>
      </c>
      <c r="T173" s="6">
        <v>169.97573</v>
      </c>
      <c r="U173" s="6">
        <v>0.0012087</v>
      </c>
      <c r="V173" s="6">
        <v>197.11803</v>
      </c>
      <c r="W173" s="6">
        <v>0.00120555</v>
      </c>
      <c r="X173" s="6">
        <v>134.47093</v>
      </c>
      <c r="Y173" s="6">
        <v>0.00106003</v>
      </c>
      <c r="Z173" s="6">
        <v>134.86767</v>
      </c>
      <c r="AA173" s="6">
        <v>0.00128057</v>
      </c>
      <c r="AB173" s="6">
        <v>294.9318</v>
      </c>
      <c r="AC173" s="6">
        <v>0.0013756</v>
      </c>
      <c r="AD173" s="6">
        <v>243.86163</v>
      </c>
      <c r="AE173" s="6">
        <v>0.00133602</v>
      </c>
      <c r="AF173" s="6">
        <v>775</v>
      </c>
      <c r="AG173" s="6">
        <v>-0.00835195</v>
      </c>
      <c r="AH173" s="6">
        <v>-0.00812028</v>
      </c>
      <c r="AI173" s="6">
        <v>-0.00810226</v>
      </c>
      <c r="AJ173" s="6">
        <v>-0.00726066</v>
      </c>
      <c r="AK173" s="6">
        <v>-0.00852915</v>
      </c>
      <c r="AL173" s="6">
        <v>-0.00906363</v>
      </c>
      <c r="AM173" s="6">
        <v>-0.00884185</v>
      </c>
      <c r="AN173" s="6">
        <v>-6.4762184</v>
      </c>
      <c r="AO173" s="6">
        <v>-6.4515561</v>
      </c>
      <c r="AP173" s="6">
        <v>-6.4739881</v>
      </c>
      <c r="AQ173" s="6">
        <v>-6.4253629</v>
      </c>
      <c r="AR173" s="6">
        <v>-6.4020076</v>
      </c>
      <c r="AS173" s="6">
        <v>-6.4618417</v>
      </c>
      <c r="AT173" s="6">
        <v>-6.4506396</v>
      </c>
      <c r="AU173" s="6">
        <v>0.97344833</v>
      </c>
      <c r="AV173" s="6">
        <v>0.96974131</v>
      </c>
      <c r="AW173" s="6">
        <v>0.97311308</v>
      </c>
      <c r="AX173" s="6">
        <v>0.96580418</v>
      </c>
      <c r="AY173" s="6">
        <v>0.96229362</v>
      </c>
      <c r="AZ173" s="6">
        <v>0.97128734</v>
      </c>
      <c r="BA173" s="6">
        <v>0.96960354</v>
      </c>
      <c r="BB173" s="6">
        <v>0.02655167</v>
      </c>
      <c r="BC173" s="6">
        <v>0.03025869</v>
      </c>
      <c r="BD173" s="6">
        <v>0.02688692</v>
      </c>
      <c r="BE173" s="6">
        <v>0.03419582</v>
      </c>
      <c r="BF173" s="6">
        <v>0.03770638</v>
      </c>
      <c r="BG173" s="6">
        <v>0.02871266</v>
      </c>
      <c r="BH173" s="6">
        <v>0.03039646</v>
      </c>
      <c r="BI173" s="6">
        <v>0.21470859</v>
      </c>
      <c r="BJ173" s="6">
        <v>0.12366373</v>
      </c>
      <c r="BK173" s="6">
        <v>0.1409291</v>
      </c>
      <c r="BL173" s="6">
        <v>0.12522516</v>
      </c>
      <c r="BM173" s="6">
        <v>0.1592662</v>
      </c>
      <c r="BN173" s="6">
        <v>0.17561655</v>
      </c>
      <c r="BO173" s="6">
        <v>0.1337285</v>
      </c>
      <c r="BP173" s="6">
        <v>0.14157076</v>
      </c>
      <c r="BQ173" s="6">
        <v>0.03363313</v>
      </c>
      <c r="BR173" s="6">
        <v>0.02895376</v>
      </c>
      <c r="BS173" s="6">
        <v>0.02975786</v>
      </c>
      <c r="BT173" s="6">
        <v>0.02270241</v>
      </c>
      <c r="BU173" s="6">
        <v>0.03033018</v>
      </c>
      <c r="BV173" s="6">
        <v>0.05425462</v>
      </c>
      <c r="BW173" s="6">
        <v>0.04612427</v>
      </c>
      <c r="BX173" s="12">
        <v>8205.69</v>
      </c>
      <c r="BY173" s="13">
        <v>1373</v>
      </c>
      <c r="BZ173" s="12">
        <v>15695</v>
      </c>
      <c r="CA173" s="6">
        <f t="shared" si="16"/>
        <v>5.97646758922069</v>
      </c>
      <c r="CB173" s="6">
        <f t="shared" si="17"/>
        <v>0.522821917808219</v>
      </c>
      <c r="CC173" s="7">
        <v>144733441.7</v>
      </c>
      <c r="CD173" s="7">
        <f t="shared" si="12"/>
        <v>0.922162737814591</v>
      </c>
      <c r="CE173" s="8">
        <v>164.1</v>
      </c>
      <c r="CF173" s="8">
        <v>757.3</v>
      </c>
      <c r="CG173" s="8">
        <v>1158.8</v>
      </c>
      <c r="CH173" s="8">
        <v>56831</v>
      </c>
      <c r="CI173" s="14">
        <v>1</v>
      </c>
      <c r="CJ173" s="14">
        <v>0</v>
      </c>
      <c r="CK173" s="14">
        <f t="shared" si="13"/>
        <v>0</v>
      </c>
      <c r="CL173">
        <f t="shared" si="14"/>
        <v>1.36781889095748</v>
      </c>
      <c r="CM173">
        <f t="shared" si="15"/>
        <v>0.325815176328589</v>
      </c>
      <c r="CN173" s="15">
        <v>8205.69</v>
      </c>
      <c r="CO173" s="15">
        <v>3723.27</v>
      </c>
      <c r="CP173" s="15">
        <v>752.06</v>
      </c>
      <c r="CQ173" s="15">
        <v>1722.47</v>
      </c>
      <c r="CR173" s="15">
        <v>291.12</v>
      </c>
      <c r="CS173" s="15">
        <v>93.83</v>
      </c>
      <c r="CT173" s="15">
        <v>338.18</v>
      </c>
      <c r="CU173" s="15">
        <v>47.23</v>
      </c>
      <c r="CV173" s="15">
        <v>123.45</v>
      </c>
      <c r="CW173" s="15">
        <v>982</v>
      </c>
    </row>
    <row r="174" spans="1:101">
      <c r="A174" s="6">
        <v>2022</v>
      </c>
      <c r="B174" s="6" t="s">
        <v>106</v>
      </c>
      <c r="C174" s="6">
        <v>0.29955411</v>
      </c>
      <c r="D174" s="6">
        <v>0.050651</v>
      </c>
      <c r="E174" s="6">
        <v>0.012215</v>
      </c>
      <c r="F174" s="6">
        <v>0.022241</v>
      </c>
      <c r="G174" s="6">
        <v>0.007364</v>
      </c>
      <c r="H174" s="6">
        <v>0.00883</v>
      </c>
      <c r="I174" s="6">
        <v>0.048059</v>
      </c>
      <c r="J174" s="6">
        <v>0.025067</v>
      </c>
      <c r="K174" s="6">
        <v>0.34574159</v>
      </c>
      <c r="L174" s="6">
        <v>0.24829759</v>
      </c>
      <c r="M174" s="6">
        <v>0.29892571</v>
      </c>
      <c r="N174" s="6">
        <v>0.18919552</v>
      </c>
      <c r="O174" s="6">
        <v>0.23410666</v>
      </c>
      <c r="P174" s="6">
        <v>0.44550611</v>
      </c>
      <c r="Q174" s="6">
        <v>0.37826113</v>
      </c>
      <c r="R174" s="6">
        <v>217.69486</v>
      </c>
      <c r="S174" s="6">
        <v>0.00158819</v>
      </c>
      <c r="T174" s="6">
        <v>169.97573</v>
      </c>
      <c r="U174" s="6">
        <v>0.00146078</v>
      </c>
      <c r="V174" s="6">
        <v>197.11803</v>
      </c>
      <c r="W174" s="6">
        <v>0.00151648</v>
      </c>
      <c r="X174" s="6">
        <v>134.47093</v>
      </c>
      <c r="Y174" s="6">
        <v>0.00140696</v>
      </c>
      <c r="Z174" s="6">
        <v>134.86767</v>
      </c>
      <c r="AA174" s="6">
        <v>0.00173582</v>
      </c>
      <c r="AB174" s="6">
        <v>294.9318</v>
      </c>
      <c r="AC174" s="6">
        <v>0.00151054</v>
      </c>
      <c r="AD174" s="6">
        <v>243.86163</v>
      </c>
      <c r="AE174" s="6">
        <v>0.00155113</v>
      </c>
      <c r="AF174" s="6">
        <v>775</v>
      </c>
      <c r="AG174" s="6">
        <v>-0.01023616</v>
      </c>
      <c r="AH174" s="6">
        <v>-0.00953713</v>
      </c>
      <c r="AI174" s="6">
        <v>-0.00984403</v>
      </c>
      <c r="AJ174" s="6">
        <v>-0.00923857</v>
      </c>
      <c r="AK174" s="6">
        <v>-0.01103338</v>
      </c>
      <c r="AL174" s="6">
        <v>-0.00981139</v>
      </c>
      <c r="AM174" s="6">
        <v>-0.01003391</v>
      </c>
      <c r="AN174" s="6">
        <v>-6.4762184</v>
      </c>
      <c r="AO174" s="6">
        <v>-6.4515561</v>
      </c>
      <c r="AP174" s="6">
        <v>-6.4739881</v>
      </c>
      <c r="AQ174" s="6">
        <v>-6.4253629</v>
      </c>
      <c r="AR174" s="6">
        <v>-6.4020076</v>
      </c>
      <c r="AS174" s="6">
        <v>-6.4618417</v>
      </c>
      <c r="AT174" s="6">
        <v>-6.4506396</v>
      </c>
      <c r="AU174" s="6">
        <v>0.97344833</v>
      </c>
      <c r="AV174" s="6">
        <v>0.96974131</v>
      </c>
      <c r="AW174" s="6">
        <v>0.97311308</v>
      </c>
      <c r="AX174" s="6">
        <v>0.96580418</v>
      </c>
      <c r="AY174" s="6">
        <v>0.96229362</v>
      </c>
      <c r="AZ174" s="6">
        <v>0.97128734</v>
      </c>
      <c r="BA174" s="6">
        <v>0.96960354</v>
      </c>
      <c r="BB174" s="6">
        <v>0.02655167</v>
      </c>
      <c r="BC174" s="6">
        <v>0.03025869</v>
      </c>
      <c r="BD174" s="6">
        <v>0.02688692</v>
      </c>
      <c r="BE174" s="6">
        <v>0.03419582</v>
      </c>
      <c r="BF174" s="6">
        <v>0.03770638</v>
      </c>
      <c r="BG174" s="6">
        <v>0.02871266</v>
      </c>
      <c r="BH174" s="6">
        <v>0.03039646</v>
      </c>
      <c r="BI174" s="6">
        <v>0.21470859</v>
      </c>
      <c r="BJ174" s="6">
        <v>0.12366373</v>
      </c>
      <c r="BK174" s="6">
        <v>0.1409291</v>
      </c>
      <c r="BL174" s="6">
        <v>0.12522516</v>
      </c>
      <c r="BM174" s="6">
        <v>0.1592662</v>
      </c>
      <c r="BN174" s="6">
        <v>0.17561655</v>
      </c>
      <c r="BO174" s="6">
        <v>0.1337285</v>
      </c>
      <c r="BP174" s="6">
        <v>0.14157076</v>
      </c>
      <c r="BQ174" s="6">
        <v>0.0427557</v>
      </c>
      <c r="BR174" s="6">
        <v>0.03499236</v>
      </c>
      <c r="BS174" s="6">
        <v>0.03743302</v>
      </c>
      <c r="BT174" s="6">
        <v>0.03013245</v>
      </c>
      <c r="BU174" s="6">
        <v>0.041113</v>
      </c>
      <c r="BV174" s="6">
        <v>0.05957686</v>
      </c>
      <c r="BW174" s="6">
        <v>0.05355072</v>
      </c>
      <c r="BX174" s="12">
        <v>8121.77</v>
      </c>
      <c r="BY174" s="13">
        <v>1363</v>
      </c>
      <c r="BZ174" s="12">
        <v>16311.3</v>
      </c>
      <c r="CA174" s="6">
        <f t="shared" si="16"/>
        <v>5.95874541452678</v>
      </c>
      <c r="CB174" s="6">
        <f t="shared" si="17"/>
        <v>0.497922912336846</v>
      </c>
      <c r="CC174" s="7">
        <v>144468457.1</v>
      </c>
      <c r="CD174" s="7">
        <f t="shared" si="12"/>
        <v>0.885695542967145</v>
      </c>
      <c r="CE174" s="8">
        <v>186.2</v>
      </c>
      <c r="CF174" s="8">
        <v>787.1</v>
      </c>
      <c r="CG174" s="8">
        <v>1176.8</v>
      </c>
      <c r="CH174" s="8">
        <v>58908</v>
      </c>
      <c r="CI174" s="14">
        <v>1</v>
      </c>
      <c r="CJ174" s="14">
        <v>0</v>
      </c>
      <c r="CK174" s="14">
        <f t="shared" si="13"/>
        <v>0</v>
      </c>
      <c r="CL174">
        <f t="shared" si="14"/>
        <v>1.27047633725244</v>
      </c>
      <c r="CM174">
        <f t="shared" si="15"/>
        <v>0.302863408788414</v>
      </c>
      <c r="CN174" s="15">
        <v>8121.77</v>
      </c>
      <c r="CO174" s="15">
        <v>3314.72</v>
      </c>
      <c r="CP174" s="15">
        <v>704.72</v>
      </c>
      <c r="CQ174" s="15">
        <v>1660.88</v>
      </c>
      <c r="CR174" s="15">
        <v>269.19</v>
      </c>
      <c r="CS174" s="15">
        <v>75.62</v>
      </c>
      <c r="CT174" s="15">
        <v>340.15</v>
      </c>
      <c r="CU174" s="15">
        <v>52.08</v>
      </c>
      <c r="CV174" s="15">
        <v>127.52</v>
      </c>
      <c r="CW174" s="15">
        <v>1057.17</v>
      </c>
    </row>
    <row r="175" spans="1:101">
      <c r="A175" s="6">
        <v>2023</v>
      </c>
      <c r="B175" s="6" t="s">
        <v>106</v>
      </c>
      <c r="C175" s="6">
        <v>0.49322792</v>
      </c>
      <c r="D175" s="6">
        <v>0.066956</v>
      </c>
      <c r="E175" s="6">
        <v>0.020927</v>
      </c>
      <c r="F175" s="6">
        <v>0.033129</v>
      </c>
      <c r="G175" s="6">
        <v>0.015842</v>
      </c>
      <c r="H175" s="6">
        <v>0.017757</v>
      </c>
      <c r="I175" s="6">
        <v>0.058532</v>
      </c>
      <c r="J175" s="6">
        <v>0.034907</v>
      </c>
      <c r="K175" s="6">
        <v>0.47363456</v>
      </c>
      <c r="L175" s="6">
        <v>0.45427995</v>
      </c>
      <c r="M175" s="6">
        <v>0.46626657</v>
      </c>
      <c r="N175" s="6">
        <v>0.43980643</v>
      </c>
      <c r="O175" s="6">
        <v>0.50460803</v>
      </c>
      <c r="P175" s="6">
        <v>0.56215894</v>
      </c>
      <c r="Q175" s="6">
        <v>0.55383221</v>
      </c>
      <c r="R175" s="6">
        <v>217.69486</v>
      </c>
      <c r="S175" s="6">
        <v>0.00217568</v>
      </c>
      <c r="T175" s="6">
        <v>169.97573</v>
      </c>
      <c r="U175" s="6">
        <v>0.00267262</v>
      </c>
      <c r="V175" s="6">
        <v>197.11803</v>
      </c>
      <c r="W175" s="6">
        <v>0.00236542</v>
      </c>
      <c r="X175" s="6">
        <v>134.47093</v>
      </c>
      <c r="Y175" s="6">
        <v>0.00327064</v>
      </c>
      <c r="Z175" s="6">
        <v>134.86767</v>
      </c>
      <c r="AA175" s="6">
        <v>0.0037415</v>
      </c>
      <c r="AB175" s="6">
        <v>294.9318</v>
      </c>
      <c r="AC175" s="6">
        <v>0.00190606</v>
      </c>
      <c r="AD175" s="6">
        <v>243.86163</v>
      </c>
      <c r="AE175" s="6">
        <v>0.00227109</v>
      </c>
      <c r="AF175" s="6">
        <v>775</v>
      </c>
      <c r="AG175" s="6">
        <v>-0.01333782</v>
      </c>
      <c r="AH175" s="6">
        <v>-0.01583444</v>
      </c>
      <c r="AI175" s="6">
        <v>-0.01430321</v>
      </c>
      <c r="AJ175" s="6">
        <v>-0.01871713</v>
      </c>
      <c r="AK175" s="6">
        <v>-0.02090853</v>
      </c>
      <c r="AL175" s="6">
        <v>-0.01193714</v>
      </c>
      <c r="AM175" s="6">
        <v>-0.01382526</v>
      </c>
      <c r="AN175" s="6">
        <v>-6.4762184</v>
      </c>
      <c r="AO175" s="6">
        <v>-6.4515561</v>
      </c>
      <c r="AP175" s="6">
        <v>-6.4739881</v>
      </c>
      <c r="AQ175" s="6">
        <v>-6.4253629</v>
      </c>
      <c r="AR175" s="6">
        <v>-6.4020076</v>
      </c>
      <c r="AS175" s="6">
        <v>-6.4618417</v>
      </c>
      <c r="AT175" s="6">
        <v>-6.4506396</v>
      </c>
      <c r="AU175" s="6">
        <v>0.97344833</v>
      </c>
      <c r="AV175" s="6">
        <v>0.96974131</v>
      </c>
      <c r="AW175" s="6">
        <v>0.97311308</v>
      </c>
      <c r="AX175" s="6">
        <v>0.96580418</v>
      </c>
      <c r="AY175" s="6">
        <v>0.96229362</v>
      </c>
      <c r="AZ175" s="6">
        <v>0.97128734</v>
      </c>
      <c r="BA175" s="6">
        <v>0.96960354</v>
      </c>
      <c r="BB175" s="6">
        <v>0.02655167</v>
      </c>
      <c r="BC175" s="6">
        <v>0.03025869</v>
      </c>
      <c r="BD175" s="6">
        <v>0.02688692</v>
      </c>
      <c r="BE175" s="6">
        <v>0.03419582</v>
      </c>
      <c r="BF175" s="6">
        <v>0.03770638</v>
      </c>
      <c r="BG175" s="6">
        <v>0.02871266</v>
      </c>
      <c r="BH175" s="6">
        <v>0.03039646</v>
      </c>
      <c r="BI175" s="6">
        <v>0.21470859</v>
      </c>
      <c r="BJ175" s="6">
        <v>0.12366373</v>
      </c>
      <c r="BK175" s="6">
        <v>0.1409291</v>
      </c>
      <c r="BL175" s="6">
        <v>0.12522516</v>
      </c>
      <c r="BM175" s="6">
        <v>0.1592662</v>
      </c>
      <c r="BN175" s="6">
        <v>0.17561655</v>
      </c>
      <c r="BO175" s="6">
        <v>0.1337285</v>
      </c>
      <c r="BP175" s="6">
        <v>0.14157076</v>
      </c>
      <c r="BQ175" s="6">
        <v>0.05857142</v>
      </c>
      <c r="BR175" s="6">
        <v>0.06402126</v>
      </c>
      <c r="BS175" s="6">
        <v>0.05838831</v>
      </c>
      <c r="BT175" s="6">
        <v>0.0700463</v>
      </c>
      <c r="BU175" s="6">
        <v>0.08861752</v>
      </c>
      <c r="BV175" s="6">
        <v>0.07517667</v>
      </c>
      <c r="BW175" s="6">
        <v>0.07840645</v>
      </c>
      <c r="BX175" s="12">
        <v>8493.12</v>
      </c>
      <c r="BY175" s="13">
        <v>1364</v>
      </c>
      <c r="BZ175" s="12">
        <v>16737.3</v>
      </c>
      <c r="CA175" s="6">
        <f t="shared" si="16"/>
        <v>6.22662756598241</v>
      </c>
      <c r="CB175" s="6">
        <f t="shared" si="17"/>
        <v>0.507436683336022</v>
      </c>
      <c r="CC175" s="7">
        <v>149619508.8</v>
      </c>
      <c r="CD175" s="7">
        <f t="shared" si="12"/>
        <v>0.893928583463283</v>
      </c>
      <c r="CE175" s="8">
        <v>215</v>
      </c>
      <c r="CF175" s="8">
        <v>883</v>
      </c>
      <c r="CG175" s="8">
        <v>1294.7</v>
      </c>
      <c r="CH175" s="8">
        <v>65642</v>
      </c>
      <c r="CI175" s="14">
        <v>1</v>
      </c>
      <c r="CJ175" s="14">
        <v>0</v>
      </c>
      <c r="CK175" s="14">
        <f t="shared" si="13"/>
        <v>0</v>
      </c>
      <c r="CL175">
        <f t="shared" si="14"/>
        <v>1.2756783895882</v>
      </c>
      <c r="CM175">
        <f t="shared" si="15"/>
        <v>0.299252389348813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</row>
    <row r="176" spans="1:101">
      <c r="A176" s="6">
        <v>2024</v>
      </c>
      <c r="B176" s="6" t="s">
        <v>106</v>
      </c>
      <c r="C176" s="6">
        <v>0.60100363</v>
      </c>
      <c r="D176" s="6">
        <v>0.076669</v>
      </c>
      <c r="E176" s="6">
        <v>0.025426</v>
      </c>
      <c r="F176" s="6">
        <v>0.038951</v>
      </c>
      <c r="G176" s="6">
        <v>0.020808</v>
      </c>
      <c r="H176" s="6">
        <v>0.02328</v>
      </c>
      <c r="I176" s="6">
        <v>0.064002</v>
      </c>
      <c r="J176" s="6">
        <v>0.039356</v>
      </c>
      <c r="K176" s="6">
        <v>0.54982686</v>
      </c>
      <c r="L176" s="6">
        <v>0.5606331</v>
      </c>
      <c r="M176" s="6">
        <v>0.55575206</v>
      </c>
      <c r="N176" s="6">
        <v>0.58657987</v>
      </c>
      <c r="O176" s="6">
        <v>0.67199512</v>
      </c>
      <c r="P176" s="6">
        <v>0.6230872</v>
      </c>
      <c r="Q176" s="6">
        <v>0.63322399</v>
      </c>
      <c r="R176" s="6">
        <v>217.69486</v>
      </c>
      <c r="S176" s="6">
        <v>0.00252568</v>
      </c>
      <c r="T176" s="6">
        <v>169.97573</v>
      </c>
      <c r="U176" s="6">
        <v>0.00329831</v>
      </c>
      <c r="V176" s="6">
        <v>197.11803</v>
      </c>
      <c r="W176" s="6">
        <v>0.00281939</v>
      </c>
      <c r="X176" s="6">
        <v>134.47093</v>
      </c>
      <c r="Y176" s="6">
        <v>0.00436213</v>
      </c>
      <c r="Z176" s="6">
        <v>134.86767</v>
      </c>
      <c r="AA176" s="6">
        <v>0.00498263</v>
      </c>
      <c r="AB176" s="6">
        <v>294.9318</v>
      </c>
      <c r="AC176" s="6">
        <v>0.00211265</v>
      </c>
      <c r="AD176" s="6">
        <v>243.86163</v>
      </c>
      <c r="AE176" s="6">
        <v>0.00259665</v>
      </c>
      <c r="AF176" s="6">
        <v>775</v>
      </c>
      <c r="AG176" s="6">
        <v>-0.01510669</v>
      </c>
      <c r="AH176" s="6">
        <v>-0.01884769</v>
      </c>
      <c r="AI176" s="6">
        <v>-0.01655329</v>
      </c>
      <c r="AJ176" s="6">
        <v>-0.02370729</v>
      </c>
      <c r="AK176" s="6">
        <v>-0.02641688</v>
      </c>
      <c r="AL176" s="6">
        <v>-0.01301352</v>
      </c>
      <c r="AM176" s="6">
        <v>-0.01545926</v>
      </c>
      <c r="AN176" s="6">
        <v>-6.4762184</v>
      </c>
      <c r="AO176" s="6">
        <v>-6.4515561</v>
      </c>
      <c r="AP176" s="6">
        <v>-6.4739881</v>
      </c>
      <c r="AQ176" s="6">
        <v>-6.4253629</v>
      </c>
      <c r="AR176" s="6">
        <v>-6.4020076</v>
      </c>
      <c r="AS176" s="6">
        <v>-6.4618417</v>
      </c>
      <c r="AT176" s="6">
        <v>-6.4506396</v>
      </c>
      <c r="AU176" s="6">
        <v>0.97344833</v>
      </c>
      <c r="AV176" s="6">
        <v>0.96974131</v>
      </c>
      <c r="AW176" s="6">
        <v>0.97311308</v>
      </c>
      <c r="AX176" s="6">
        <v>0.96580418</v>
      </c>
      <c r="AY176" s="6">
        <v>0.96229362</v>
      </c>
      <c r="AZ176" s="6">
        <v>0.97128734</v>
      </c>
      <c r="BA176" s="6">
        <v>0.96960354</v>
      </c>
      <c r="BB176" s="6">
        <v>0.02655167</v>
      </c>
      <c r="BC176" s="6">
        <v>0.03025869</v>
      </c>
      <c r="BD176" s="6">
        <v>0.02688692</v>
      </c>
      <c r="BE176" s="6">
        <v>0.03419582</v>
      </c>
      <c r="BF176" s="6">
        <v>0.03770638</v>
      </c>
      <c r="BG176" s="6">
        <v>0.02871266</v>
      </c>
      <c r="BH176" s="6">
        <v>0.03039646</v>
      </c>
      <c r="BI176" s="6">
        <v>0.21470859</v>
      </c>
      <c r="BJ176" s="6">
        <v>0.12366373</v>
      </c>
      <c r="BK176" s="6">
        <v>0.1409291</v>
      </c>
      <c r="BL176" s="6">
        <v>0.12522516</v>
      </c>
      <c r="BM176" s="6">
        <v>0.1592662</v>
      </c>
      <c r="BN176" s="6">
        <v>0.17561655</v>
      </c>
      <c r="BO176" s="6">
        <v>0.1337285</v>
      </c>
      <c r="BP176" s="6">
        <v>0.14157076</v>
      </c>
      <c r="BQ176" s="6">
        <v>0.06799364</v>
      </c>
      <c r="BR176" s="6">
        <v>0.07900952</v>
      </c>
      <c r="BS176" s="6">
        <v>0.06959414</v>
      </c>
      <c r="BT176" s="6">
        <v>0.09342235</v>
      </c>
      <c r="BU176" s="6">
        <v>0.11801346</v>
      </c>
      <c r="BV176" s="6">
        <v>0.08332451</v>
      </c>
      <c r="BW176" s="6">
        <v>0.089646</v>
      </c>
      <c r="BX176" s="12">
        <v>8706</v>
      </c>
      <c r="BY176" s="13">
        <v>1364</v>
      </c>
      <c r="BZ176" s="12">
        <v>18024.3</v>
      </c>
      <c r="CA176" s="6">
        <f t="shared" si="16"/>
        <v>6.38269794721408</v>
      </c>
      <c r="CB176" s="6">
        <f t="shared" si="17"/>
        <v>0.48301459696077</v>
      </c>
      <c r="CC176" s="7">
        <v>149048395.6</v>
      </c>
      <c r="CD176" s="7">
        <f t="shared" si="12"/>
        <v>0.826930286335669</v>
      </c>
      <c r="CE176" s="8">
        <v>247.5</v>
      </c>
      <c r="CF176" s="8">
        <v>1016.1</v>
      </c>
      <c r="CG176" s="8">
        <v>1501.4</v>
      </c>
      <c r="CH176" s="8">
        <v>75237</v>
      </c>
      <c r="CI176" s="14">
        <v>1</v>
      </c>
      <c r="CJ176" s="14">
        <v>0</v>
      </c>
      <c r="CK176" s="14">
        <f t="shared" si="13"/>
        <v>0</v>
      </c>
      <c r="CL176">
        <f t="shared" si="14"/>
        <v>1.21200651315194</v>
      </c>
      <c r="CM176">
        <f t="shared" si="15"/>
        <v>0.317717951708727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</row>
    <row r="177" spans="1:101">
      <c r="A177" s="6">
        <v>2000</v>
      </c>
      <c r="B177" s="6" t="s">
        <v>107</v>
      </c>
      <c r="C177" s="6">
        <v>0.0013746</v>
      </c>
      <c r="D177" s="6">
        <v>0.006574</v>
      </c>
      <c r="E177" s="6">
        <v>0.001713</v>
      </c>
      <c r="F177" s="6">
        <v>0.002792</v>
      </c>
      <c r="G177" s="6">
        <v>0.000964</v>
      </c>
      <c r="H177" s="6">
        <v>0.001105</v>
      </c>
      <c r="I177" s="6">
        <v>0.008978</v>
      </c>
      <c r="J177" s="6">
        <v>0.003867</v>
      </c>
      <c r="K177" s="6">
        <v>1e-5</v>
      </c>
      <c r="L177" s="6">
        <v>1e-5</v>
      </c>
      <c r="M177" s="6">
        <v>1e-5</v>
      </c>
      <c r="N177" s="6">
        <v>1e-5</v>
      </c>
      <c r="O177" s="6">
        <v>1e-5</v>
      </c>
      <c r="P177" s="6">
        <v>0.01021425</v>
      </c>
      <c r="Q177" s="6">
        <v>1e-5</v>
      </c>
      <c r="R177" s="6">
        <v>217.69486</v>
      </c>
      <c r="S177" s="16">
        <v>4.594e-8</v>
      </c>
      <c r="T177" s="6">
        <v>169.97573</v>
      </c>
      <c r="U177" s="16">
        <v>5.883e-8</v>
      </c>
      <c r="V177" s="6">
        <v>197.11803</v>
      </c>
      <c r="W177" s="16">
        <v>5.073e-8</v>
      </c>
      <c r="X177" s="6">
        <v>134.47093</v>
      </c>
      <c r="Y177" s="16">
        <v>7.437e-8</v>
      </c>
      <c r="Z177" s="6">
        <v>134.86767</v>
      </c>
      <c r="AA177" s="16">
        <v>7.415e-8</v>
      </c>
      <c r="AB177" s="6">
        <v>294.9318</v>
      </c>
      <c r="AC177" s="6">
        <v>3.463e-5</v>
      </c>
      <c r="AD177" s="6">
        <v>243.86163</v>
      </c>
      <c r="AE177" s="16">
        <v>4.101e-8</v>
      </c>
      <c r="AF177" s="6">
        <v>775</v>
      </c>
      <c r="AG177" s="16">
        <v>-7.761e-7</v>
      </c>
      <c r="AH177" s="16">
        <v>-9.795e-7</v>
      </c>
      <c r="AI177" s="16">
        <v>-8.521e-7</v>
      </c>
      <c r="AJ177" s="16">
        <v>-1.221e-6</v>
      </c>
      <c r="AK177" s="16">
        <v>-1.217e-6</v>
      </c>
      <c r="AL177" s="6">
        <v>-0.0003557</v>
      </c>
      <c r="AM177" s="16">
        <v>-6.975e-7</v>
      </c>
      <c r="AN177" s="6">
        <v>-6.4762184</v>
      </c>
      <c r="AO177" s="6">
        <v>-6.4515561</v>
      </c>
      <c r="AP177" s="6">
        <v>-6.4739881</v>
      </c>
      <c r="AQ177" s="6">
        <v>-6.4253629</v>
      </c>
      <c r="AR177" s="6">
        <v>-6.4020076</v>
      </c>
      <c r="AS177" s="6">
        <v>-6.4618417</v>
      </c>
      <c r="AT177" s="6">
        <v>-6.4506396</v>
      </c>
      <c r="AU177" s="6">
        <v>0.97344833</v>
      </c>
      <c r="AV177" s="6">
        <v>0.96974131</v>
      </c>
      <c r="AW177" s="6">
        <v>0.97311308</v>
      </c>
      <c r="AX177" s="6">
        <v>0.96580418</v>
      </c>
      <c r="AY177" s="6">
        <v>0.96229362</v>
      </c>
      <c r="AZ177" s="6">
        <v>0.97128734</v>
      </c>
      <c r="BA177" s="6">
        <v>0.96960354</v>
      </c>
      <c r="BB177" s="6">
        <v>0.02655167</v>
      </c>
      <c r="BC177" s="6">
        <v>0.03025869</v>
      </c>
      <c r="BD177" s="6">
        <v>0.02688692</v>
      </c>
      <c r="BE177" s="6">
        <v>0.03419582</v>
      </c>
      <c r="BF177" s="6">
        <v>0.03770638</v>
      </c>
      <c r="BG177" s="6">
        <v>0.02871266</v>
      </c>
      <c r="BH177" s="6">
        <v>0.03039646</v>
      </c>
      <c r="BI177" s="6">
        <v>0.21470859</v>
      </c>
      <c r="BJ177" s="6">
        <v>0.12366373</v>
      </c>
      <c r="BK177" s="6">
        <v>0.1409291</v>
      </c>
      <c r="BL177" s="6">
        <v>0.12522516</v>
      </c>
      <c r="BM177" s="6">
        <v>0.1592662</v>
      </c>
      <c r="BN177" s="6">
        <v>0.17561655</v>
      </c>
      <c r="BO177" s="6">
        <v>0.1337285</v>
      </c>
      <c r="BP177" s="6">
        <v>0.14157076</v>
      </c>
      <c r="BQ177" s="16">
        <v>1.237e-6</v>
      </c>
      <c r="BR177" s="16">
        <v>1.409e-6</v>
      </c>
      <c r="BS177" s="16">
        <v>1.252e-6</v>
      </c>
      <c r="BT177" s="16">
        <v>1.593e-6</v>
      </c>
      <c r="BU177" s="16">
        <v>1.756e-6</v>
      </c>
      <c r="BV177" s="6">
        <v>0.00136594</v>
      </c>
      <c r="BW177" s="16">
        <v>1.416e-6</v>
      </c>
      <c r="BX177" s="12">
        <v>1179</v>
      </c>
      <c r="BY177" s="13">
        <v>554</v>
      </c>
      <c r="BZ177" s="12">
        <v>265.57</v>
      </c>
      <c r="CA177" s="6">
        <f t="shared" si="16"/>
        <v>2.12815884476534</v>
      </c>
      <c r="CB177" s="6">
        <f t="shared" si="17"/>
        <v>4.43950747448884</v>
      </c>
      <c r="CC177" s="7">
        <v>31352590.61</v>
      </c>
      <c r="CD177" s="7">
        <f t="shared" si="12"/>
        <v>11.8057727190571</v>
      </c>
      <c r="CE177" s="8">
        <v>986.3</v>
      </c>
      <c r="CF177" s="8">
        <v>5042.8</v>
      </c>
      <c r="CG177" s="8">
        <v>4781.2</v>
      </c>
      <c r="CH177" s="8">
        <v>12817</v>
      </c>
      <c r="CI177" s="14">
        <v>0</v>
      </c>
      <c r="CJ177" s="14">
        <v>0</v>
      </c>
      <c r="CK177" s="14">
        <f t="shared" si="13"/>
        <v>0</v>
      </c>
      <c r="CL177">
        <f t="shared" si="14"/>
        <v>4.53658228674969</v>
      </c>
      <c r="CM177">
        <f t="shared" si="15"/>
        <v>0</v>
      </c>
      <c r="CN177" s="15">
        <v>1179.43</v>
      </c>
      <c r="CO177" s="15">
        <v>1041.89</v>
      </c>
      <c r="CP177" s="15">
        <v>28.91</v>
      </c>
      <c r="CQ177" s="15">
        <v>92.62</v>
      </c>
      <c r="CR177" s="15">
        <v>10.5</v>
      </c>
      <c r="CS177" s="15">
        <v>0.04</v>
      </c>
      <c r="CT177" s="15">
        <v>11.22</v>
      </c>
      <c r="CU177" s="15">
        <v>33.13</v>
      </c>
      <c r="CV177" s="15">
        <v>0.12</v>
      </c>
      <c r="CW177" s="15">
        <v>136.17</v>
      </c>
    </row>
    <row r="178" spans="1:101">
      <c r="A178" s="6">
        <v>2001</v>
      </c>
      <c r="B178" s="6" t="s">
        <v>107</v>
      </c>
      <c r="C178" s="6">
        <v>0.01183629</v>
      </c>
      <c r="D178" s="6">
        <v>0.008552</v>
      </c>
      <c r="E178" s="6">
        <v>0.00223</v>
      </c>
      <c r="F178" s="6">
        <v>0.003682</v>
      </c>
      <c r="G178" s="6">
        <v>0.001311</v>
      </c>
      <c r="H178" s="6">
        <v>0.00133</v>
      </c>
      <c r="I178" s="6">
        <v>0.008604</v>
      </c>
      <c r="J178" s="6">
        <v>0.004993</v>
      </c>
      <c r="K178" s="6">
        <v>0.01551701</v>
      </c>
      <c r="L178" s="6">
        <v>0.01223287</v>
      </c>
      <c r="M178" s="6">
        <v>0.01367029</v>
      </c>
      <c r="N178" s="6">
        <v>0.01025592</v>
      </c>
      <c r="O178" s="6">
        <v>0.00679983</v>
      </c>
      <c r="P178" s="6">
        <v>0.00604588</v>
      </c>
      <c r="Q178" s="6">
        <v>0.0200993</v>
      </c>
      <c r="R178" s="6">
        <v>217.69486</v>
      </c>
      <c r="S178" s="6">
        <v>7.128e-5</v>
      </c>
      <c r="T178" s="6">
        <v>169.97573</v>
      </c>
      <c r="U178" s="6">
        <v>7.197e-5</v>
      </c>
      <c r="V178" s="6">
        <v>197.11803</v>
      </c>
      <c r="W178" s="6">
        <v>6.935e-5</v>
      </c>
      <c r="X178" s="6">
        <v>134.47093</v>
      </c>
      <c r="Y178" s="6">
        <v>7.627e-5</v>
      </c>
      <c r="Z178" s="6">
        <v>134.86767</v>
      </c>
      <c r="AA178" s="6">
        <v>5.042e-5</v>
      </c>
      <c r="AB178" s="6">
        <v>294.9318</v>
      </c>
      <c r="AC178" s="6">
        <v>2.05e-5</v>
      </c>
      <c r="AD178" s="6">
        <v>243.86163</v>
      </c>
      <c r="AE178" s="6">
        <v>8.242e-5</v>
      </c>
      <c r="AF178" s="6">
        <v>775</v>
      </c>
      <c r="AG178" s="6">
        <v>-0.00068063</v>
      </c>
      <c r="AH178" s="6">
        <v>-0.00068653</v>
      </c>
      <c r="AI178" s="6">
        <v>-0.00066413</v>
      </c>
      <c r="AJ178" s="6">
        <v>-0.00072312</v>
      </c>
      <c r="AK178" s="6">
        <v>-0.0004989</v>
      </c>
      <c r="AL178" s="6">
        <v>-0.00022129</v>
      </c>
      <c r="AM178" s="6">
        <v>-0.00077506</v>
      </c>
      <c r="AN178" s="6">
        <v>-6.4762184</v>
      </c>
      <c r="AO178" s="6">
        <v>-6.4515561</v>
      </c>
      <c r="AP178" s="6">
        <v>-6.4739881</v>
      </c>
      <c r="AQ178" s="6">
        <v>-6.4253629</v>
      </c>
      <c r="AR178" s="6">
        <v>-6.4020076</v>
      </c>
      <c r="AS178" s="6">
        <v>-6.4618417</v>
      </c>
      <c r="AT178" s="6">
        <v>-6.4506396</v>
      </c>
      <c r="AU178" s="6">
        <v>0.97344833</v>
      </c>
      <c r="AV178" s="6">
        <v>0.96974131</v>
      </c>
      <c r="AW178" s="6">
        <v>0.97311308</v>
      </c>
      <c r="AX178" s="6">
        <v>0.96580418</v>
      </c>
      <c r="AY178" s="6">
        <v>0.96229362</v>
      </c>
      <c r="AZ178" s="6">
        <v>0.97128734</v>
      </c>
      <c r="BA178" s="6">
        <v>0.96960354</v>
      </c>
      <c r="BB178" s="6">
        <v>0.02655167</v>
      </c>
      <c r="BC178" s="6">
        <v>0.03025869</v>
      </c>
      <c r="BD178" s="6">
        <v>0.02688692</v>
      </c>
      <c r="BE178" s="6">
        <v>0.03419582</v>
      </c>
      <c r="BF178" s="6">
        <v>0.03770638</v>
      </c>
      <c r="BG178" s="6">
        <v>0.02871266</v>
      </c>
      <c r="BH178" s="6">
        <v>0.03039646</v>
      </c>
      <c r="BI178" s="6">
        <v>0.21470859</v>
      </c>
      <c r="BJ178" s="6">
        <v>0.12366373</v>
      </c>
      <c r="BK178" s="6">
        <v>0.1409291</v>
      </c>
      <c r="BL178" s="6">
        <v>0.12522516</v>
      </c>
      <c r="BM178" s="6">
        <v>0.1592662</v>
      </c>
      <c r="BN178" s="6">
        <v>0.17561655</v>
      </c>
      <c r="BO178" s="6">
        <v>0.1337285</v>
      </c>
      <c r="BP178" s="6">
        <v>0.14157076</v>
      </c>
      <c r="BQ178" s="6">
        <v>0.00191889</v>
      </c>
      <c r="BR178" s="6">
        <v>0.00172397</v>
      </c>
      <c r="BS178" s="6">
        <v>0.00171186</v>
      </c>
      <c r="BT178" s="6">
        <v>0.00163342</v>
      </c>
      <c r="BU178" s="6">
        <v>0.00119416</v>
      </c>
      <c r="BV178" s="6">
        <v>0.00080851</v>
      </c>
      <c r="BW178" s="6">
        <v>0.00284547</v>
      </c>
      <c r="BX178" s="12">
        <v>1278.5</v>
      </c>
      <c r="BY178" s="13">
        <v>563.22</v>
      </c>
      <c r="BZ178" s="12">
        <v>337.44467</v>
      </c>
      <c r="CA178" s="6">
        <f t="shared" si="16"/>
        <v>2.26998331025177</v>
      </c>
      <c r="CB178" s="6">
        <f t="shared" si="17"/>
        <v>3.7887692817907</v>
      </c>
      <c r="CC178" s="7">
        <v>32504740.92</v>
      </c>
      <c r="CD178" s="7">
        <f t="shared" si="12"/>
        <v>9.63261352446314</v>
      </c>
      <c r="CE178" s="8">
        <v>988.8</v>
      </c>
      <c r="CF178" s="8">
        <v>5564.7</v>
      </c>
      <c r="CG178" s="8">
        <v>5573.1</v>
      </c>
      <c r="CH178" s="8">
        <v>13952</v>
      </c>
      <c r="CI178" s="14">
        <v>0</v>
      </c>
      <c r="CJ178" s="14">
        <v>0</v>
      </c>
      <c r="CK178" s="14">
        <f t="shared" si="13"/>
        <v>0</v>
      </c>
      <c r="CL178">
        <f t="shared" si="14"/>
        <v>4.16809156222866</v>
      </c>
      <c r="CM178">
        <f t="shared" si="15"/>
        <v>0</v>
      </c>
      <c r="CN178" s="15">
        <v>1228.4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 s="15">
        <v>151.81</v>
      </c>
    </row>
    <row r="179" spans="1:101">
      <c r="A179" s="6">
        <v>2002</v>
      </c>
      <c r="B179" s="6" t="s">
        <v>107</v>
      </c>
      <c r="C179" s="6">
        <v>0.01739103</v>
      </c>
      <c r="D179" s="6">
        <v>0.009319</v>
      </c>
      <c r="E179" s="6">
        <v>0.002342</v>
      </c>
      <c r="F179" s="6">
        <v>0.004031</v>
      </c>
      <c r="G179" s="6">
        <v>0.001353</v>
      </c>
      <c r="H179" s="6">
        <v>0.001593</v>
      </c>
      <c r="I179" s="6">
        <v>0.010047</v>
      </c>
      <c r="J179" s="6">
        <v>0.004999</v>
      </c>
      <c r="K179" s="6">
        <v>0.02153484</v>
      </c>
      <c r="L179" s="6">
        <v>0.01488353</v>
      </c>
      <c r="M179" s="6">
        <v>0.01904256</v>
      </c>
      <c r="N179" s="6">
        <v>0.01150951</v>
      </c>
      <c r="O179" s="6">
        <v>0.01477369</v>
      </c>
      <c r="P179" s="6">
        <v>0.02212423</v>
      </c>
      <c r="Q179" s="6">
        <v>0.02019907</v>
      </c>
      <c r="R179" s="6">
        <v>217.69486</v>
      </c>
      <c r="S179" s="6">
        <v>9.892e-5</v>
      </c>
      <c r="T179" s="6">
        <v>169.97573</v>
      </c>
      <c r="U179" s="6">
        <v>8.756e-5</v>
      </c>
      <c r="V179" s="6">
        <v>197.11803</v>
      </c>
      <c r="W179" s="6">
        <v>9.66e-5</v>
      </c>
      <c r="X179" s="6">
        <v>134.47093</v>
      </c>
      <c r="Y179" s="6">
        <v>8.559e-5</v>
      </c>
      <c r="Z179" s="6">
        <v>134.86767</v>
      </c>
      <c r="AA179" s="6">
        <v>0.00010954</v>
      </c>
      <c r="AB179" s="6">
        <v>294.9318</v>
      </c>
      <c r="AC179" s="6">
        <v>7.501e-5</v>
      </c>
      <c r="AD179" s="6">
        <v>243.86163</v>
      </c>
      <c r="AE179" s="6">
        <v>8.283e-5</v>
      </c>
      <c r="AF179" s="6">
        <v>775</v>
      </c>
      <c r="AG179" s="6">
        <v>-0.00091218</v>
      </c>
      <c r="AH179" s="6">
        <v>-0.00081811</v>
      </c>
      <c r="AI179" s="6">
        <v>-0.0008931</v>
      </c>
      <c r="AJ179" s="6">
        <v>-0.00080164</v>
      </c>
      <c r="AK179" s="6">
        <v>-0.00099894</v>
      </c>
      <c r="AL179" s="6">
        <v>-0.00071248</v>
      </c>
      <c r="AM179" s="6">
        <v>-0.0007785</v>
      </c>
      <c r="AN179" s="6">
        <v>-6.4762184</v>
      </c>
      <c r="AO179" s="6">
        <v>-6.4515561</v>
      </c>
      <c r="AP179" s="6">
        <v>-6.4739881</v>
      </c>
      <c r="AQ179" s="6">
        <v>-6.4253629</v>
      </c>
      <c r="AR179" s="6">
        <v>-6.4020076</v>
      </c>
      <c r="AS179" s="6">
        <v>-6.4618417</v>
      </c>
      <c r="AT179" s="6">
        <v>-6.4506396</v>
      </c>
      <c r="AU179" s="6">
        <v>0.97344833</v>
      </c>
      <c r="AV179" s="6">
        <v>0.96974131</v>
      </c>
      <c r="AW179" s="6">
        <v>0.97311308</v>
      </c>
      <c r="AX179" s="6">
        <v>0.96580418</v>
      </c>
      <c r="AY179" s="6">
        <v>0.96229362</v>
      </c>
      <c r="AZ179" s="6">
        <v>0.97128734</v>
      </c>
      <c r="BA179" s="6">
        <v>0.96960354</v>
      </c>
      <c r="BB179" s="6">
        <v>0.02655167</v>
      </c>
      <c r="BC179" s="6">
        <v>0.03025869</v>
      </c>
      <c r="BD179" s="6">
        <v>0.02688692</v>
      </c>
      <c r="BE179" s="6">
        <v>0.03419582</v>
      </c>
      <c r="BF179" s="6">
        <v>0.03770638</v>
      </c>
      <c r="BG179" s="6">
        <v>0.02871266</v>
      </c>
      <c r="BH179" s="6">
        <v>0.03039646</v>
      </c>
      <c r="BI179" s="6">
        <v>0.21470859</v>
      </c>
      <c r="BJ179" s="6">
        <v>0.12366373</v>
      </c>
      <c r="BK179" s="6">
        <v>0.1409291</v>
      </c>
      <c r="BL179" s="6">
        <v>0.12522516</v>
      </c>
      <c r="BM179" s="6">
        <v>0.1592662</v>
      </c>
      <c r="BN179" s="6">
        <v>0.17561655</v>
      </c>
      <c r="BO179" s="6">
        <v>0.1337285</v>
      </c>
      <c r="BP179" s="6">
        <v>0.14157076</v>
      </c>
      <c r="BQ179" s="6">
        <v>0.00266308</v>
      </c>
      <c r="BR179" s="6">
        <v>0.00209752</v>
      </c>
      <c r="BS179" s="6">
        <v>0.00238461</v>
      </c>
      <c r="BT179" s="6">
        <v>0.00183308</v>
      </c>
      <c r="BU179" s="6">
        <v>0.0025945</v>
      </c>
      <c r="BV179" s="6">
        <v>0.00295864</v>
      </c>
      <c r="BW179" s="6">
        <v>0.0028596</v>
      </c>
      <c r="BX179" s="12">
        <v>1378</v>
      </c>
      <c r="BY179" s="13">
        <v>571.54</v>
      </c>
      <c r="BZ179" s="12">
        <v>377.15519</v>
      </c>
      <c r="CA179" s="6">
        <f t="shared" si="16"/>
        <v>2.41102984917941</v>
      </c>
      <c r="CB179" s="6">
        <f t="shared" si="17"/>
        <v>3.65366840106323</v>
      </c>
      <c r="CC179" s="7">
        <v>36865678.12</v>
      </c>
      <c r="CD179" s="7">
        <f t="shared" si="12"/>
        <v>9.77467077146678</v>
      </c>
      <c r="CE179" s="8">
        <v>1015.1</v>
      </c>
      <c r="CF179" s="8">
        <v>6209.1</v>
      </c>
      <c r="CG179" s="8">
        <v>6377.8</v>
      </c>
      <c r="CH179" s="8">
        <v>15478</v>
      </c>
      <c r="CI179" s="14">
        <v>0</v>
      </c>
      <c r="CJ179" s="14">
        <v>0</v>
      </c>
      <c r="CK179" s="14">
        <f t="shared" si="13"/>
        <v>0</v>
      </c>
      <c r="CL179">
        <f t="shared" si="14"/>
        <v>4.06804884448575</v>
      </c>
      <c r="CM179">
        <f t="shared" si="15"/>
        <v>0</v>
      </c>
      <c r="CN179" s="15">
        <v>1378</v>
      </c>
      <c r="CO179" s="15">
        <v>0</v>
      </c>
      <c r="CP179">
        <v>0</v>
      </c>
      <c r="CQ179" s="15">
        <v>200.4</v>
      </c>
      <c r="CR179">
        <v>0</v>
      </c>
      <c r="CS179">
        <v>0</v>
      </c>
      <c r="CT179">
        <v>0</v>
      </c>
      <c r="CU179">
        <v>0</v>
      </c>
      <c r="CV179">
        <v>0</v>
      </c>
      <c r="CW179" s="15">
        <v>178.76</v>
      </c>
    </row>
    <row r="180" spans="1:101">
      <c r="A180" s="6">
        <v>2003</v>
      </c>
      <c r="B180" s="6" t="s">
        <v>107</v>
      </c>
      <c r="C180" s="6">
        <v>0.02814423</v>
      </c>
      <c r="D180" s="6">
        <v>0.010539</v>
      </c>
      <c r="E180" s="6">
        <v>0.002811</v>
      </c>
      <c r="F180" s="6">
        <v>0.004801</v>
      </c>
      <c r="G180" s="6">
        <v>0.001455</v>
      </c>
      <c r="H180" s="6">
        <v>0.001472</v>
      </c>
      <c r="I180" s="6">
        <v>0.012082</v>
      </c>
      <c r="J180" s="6">
        <v>0.006448</v>
      </c>
      <c r="K180" s="6">
        <v>0.03110173</v>
      </c>
      <c r="L180" s="6">
        <v>0.02596406</v>
      </c>
      <c r="M180" s="6">
        <v>0.03088077</v>
      </c>
      <c r="N180" s="6">
        <v>0.01451353</v>
      </c>
      <c r="O180" s="6">
        <v>0.01111005</v>
      </c>
      <c r="P180" s="6">
        <v>0.04478834</v>
      </c>
      <c r="Q180" s="6">
        <v>0.04605356</v>
      </c>
      <c r="R180" s="6">
        <v>217.69486</v>
      </c>
      <c r="S180" s="6">
        <v>0.00014287</v>
      </c>
      <c r="T180" s="6">
        <v>169.97573</v>
      </c>
      <c r="U180" s="6">
        <v>0.00015275</v>
      </c>
      <c r="V180" s="6">
        <v>197.11803</v>
      </c>
      <c r="W180" s="6">
        <v>0.00015666</v>
      </c>
      <c r="X180" s="6">
        <v>134.47093</v>
      </c>
      <c r="Y180" s="6">
        <v>0.00010793</v>
      </c>
      <c r="Z180" s="6">
        <v>134.86767</v>
      </c>
      <c r="AA180" s="6">
        <v>8.238e-5</v>
      </c>
      <c r="AB180" s="6">
        <v>294.9318</v>
      </c>
      <c r="AC180" s="6">
        <v>0.00015186</v>
      </c>
      <c r="AD180" s="6">
        <v>243.86163</v>
      </c>
      <c r="AE180" s="6">
        <v>0.00018885</v>
      </c>
      <c r="AF180" s="6">
        <v>775</v>
      </c>
      <c r="AG180" s="6">
        <v>-0.0012649</v>
      </c>
      <c r="AH180" s="6">
        <v>-0.00134218</v>
      </c>
      <c r="AI180" s="6">
        <v>-0.00137258</v>
      </c>
      <c r="AJ180" s="6">
        <v>-0.00098584</v>
      </c>
      <c r="AK180" s="6">
        <v>-0.00077469</v>
      </c>
      <c r="AL180" s="6">
        <v>-0.00133524</v>
      </c>
      <c r="AM180" s="6">
        <v>-0.00161931</v>
      </c>
      <c r="AN180" s="6">
        <v>-6.4762184</v>
      </c>
      <c r="AO180" s="6">
        <v>-6.4515561</v>
      </c>
      <c r="AP180" s="6">
        <v>-6.4739881</v>
      </c>
      <c r="AQ180" s="6">
        <v>-6.4253629</v>
      </c>
      <c r="AR180" s="6">
        <v>-6.4020076</v>
      </c>
      <c r="AS180" s="6">
        <v>-6.4618417</v>
      </c>
      <c r="AT180" s="6">
        <v>-6.4506396</v>
      </c>
      <c r="AU180" s="6">
        <v>0.97344833</v>
      </c>
      <c r="AV180" s="6">
        <v>0.96974131</v>
      </c>
      <c r="AW180" s="6">
        <v>0.97311308</v>
      </c>
      <c r="AX180" s="6">
        <v>0.96580418</v>
      </c>
      <c r="AY180" s="6">
        <v>0.96229362</v>
      </c>
      <c r="AZ180" s="6">
        <v>0.97128734</v>
      </c>
      <c r="BA180" s="6">
        <v>0.96960354</v>
      </c>
      <c r="BB180" s="6">
        <v>0.02655167</v>
      </c>
      <c r="BC180" s="6">
        <v>0.03025869</v>
      </c>
      <c r="BD180" s="6">
        <v>0.02688692</v>
      </c>
      <c r="BE180" s="6">
        <v>0.03419582</v>
      </c>
      <c r="BF180" s="6">
        <v>0.03770638</v>
      </c>
      <c r="BG180" s="6">
        <v>0.02871266</v>
      </c>
      <c r="BH180" s="6">
        <v>0.03039646</v>
      </c>
      <c r="BI180" s="6">
        <v>0.21470859</v>
      </c>
      <c r="BJ180" s="6">
        <v>0.12366373</v>
      </c>
      <c r="BK180" s="6">
        <v>0.1409291</v>
      </c>
      <c r="BL180" s="6">
        <v>0.12522516</v>
      </c>
      <c r="BM180" s="6">
        <v>0.1592662</v>
      </c>
      <c r="BN180" s="6">
        <v>0.17561655</v>
      </c>
      <c r="BO180" s="6">
        <v>0.1337285</v>
      </c>
      <c r="BP180" s="6">
        <v>0.14157076</v>
      </c>
      <c r="BQ180" s="6">
        <v>0.00384616</v>
      </c>
      <c r="BR180" s="6">
        <v>0.00365909</v>
      </c>
      <c r="BS180" s="6">
        <v>0.00386705</v>
      </c>
      <c r="BT180" s="6">
        <v>0.00231151</v>
      </c>
      <c r="BU180" s="6">
        <v>0.00195111</v>
      </c>
      <c r="BV180" s="6">
        <v>0.00598948</v>
      </c>
      <c r="BW180" s="6">
        <v>0.00651984</v>
      </c>
      <c r="BX180" s="12">
        <v>2015</v>
      </c>
      <c r="BY180" s="13">
        <v>580.19</v>
      </c>
      <c r="BZ180" s="12">
        <v>445.36</v>
      </c>
      <c r="CA180" s="6">
        <f t="shared" si="16"/>
        <v>3.47300022406453</v>
      </c>
      <c r="CB180" s="6">
        <f t="shared" si="17"/>
        <v>4.52442967486977</v>
      </c>
      <c r="CC180" s="7">
        <v>44539173.33</v>
      </c>
      <c r="CD180" s="7">
        <f t="shared" si="12"/>
        <v>10.0007125314352</v>
      </c>
      <c r="CE180" s="8">
        <v>1072.9</v>
      </c>
      <c r="CF180" s="8">
        <v>7684.4</v>
      </c>
      <c r="CG180" s="8">
        <v>7222.4</v>
      </c>
      <c r="CH180" s="8">
        <v>17950</v>
      </c>
      <c r="CI180" s="14">
        <v>0</v>
      </c>
      <c r="CJ180" s="14">
        <v>0</v>
      </c>
      <c r="CK180" s="14">
        <f t="shared" si="13"/>
        <v>0</v>
      </c>
      <c r="CL180">
        <f t="shared" si="14"/>
        <v>4.08414499624993</v>
      </c>
      <c r="CM180">
        <f t="shared" si="15"/>
        <v>0</v>
      </c>
      <c r="CN180" s="15">
        <v>2014.82</v>
      </c>
      <c r="CO180" s="15">
        <v>2965.1</v>
      </c>
      <c r="CP180" s="15">
        <v>52</v>
      </c>
      <c r="CQ180" s="15">
        <v>200.4</v>
      </c>
      <c r="CR180" s="15">
        <v>22.6</v>
      </c>
      <c r="CS180">
        <v>0</v>
      </c>
      <c r="CT180" s="15">
        <v>53.04</v>
      </c>
      <c r="CU180" s="15">
        <v>12</v>
      </c>
      <c r="CV180" s="15">
        <v>10.1</v>
      </c>
      <c r="CW180" s="15">
        <v>212</v>
      </c>
    </row>
    <row r="181" spans="1:101">
      <c r="A181" s="6">
        <v>2004</v>
      </c>
      <c r="B181" s="6" t="s">
        <v>107</v>
      </c>
      <c r="C181" s="6">
        <v>0.02143858</v>
      </c>
      <c r="D181" s="6">
        <v>0.011034</v>
      </c>
      <c r="E181" s="6">
        <v>0.002899</v>
      </c>
      <c r="F181" s="6">
        <v>0.004864</v>
      </c>
      <c r="G181" s="6">
        <v>0.001885</v>
      </c>
      <c r="H181" s="6">
        <v>0.001387</v>
      </c>
      <c r="I181" s="6">
        <v>0.009462</v>
      </c>
      <c r="J181" s="6">
        <v>0.004362</v>
      </c>
      <c r="K181" s="6">
        <v>0.03498581</v>
      </c>
      <c r="L181" s="6">
        <v>0.02804024</v>
      </c>
      <c r="M181" s="6">
        <v>0.03184029</v>
      </c>
      <c r="N181" s="6">
        <v>0.02722051</v>
      </c>
      <c r="O181" s="6">
        <v>0.00853531</v>
      </c>
      <c r="P181" s="6">
        <v>0.01560595</v>
      </c>
      <c r="Q181" s="6">
        <v>0.00884364</v>
      </c>
      <c r="R181" s="6">
        <v>217.69486</v>
      </c>
      <c r="S181" s="6">
        <v>0.00016071</v>
      </c>
      <c r="T181" s="6">
        <v>169.97573</v>
      </c>
      <c r="U181" s="6">
        <v>0.00016497</v>
      </c>
      <c r="V181" s="6">
        <v>197.11803</v>
      </c>
      <c r="W181" s="6">
        <v>0.00016153</v>
      </c>
      <c r="X181" s="6">
        <v>134.47093</v>
      </c>
      <c r="Y181" s="6">
        <v>0.00020243</v>
      </c>
      <c r="Z181" s="6">
        <v>134.86767</v>
      </c>
      <c r="AA181" s="6">
        <v>6.329e-5</v>
      </c>
      <c r="AB181" s="6">
        <v>294.9318</v>
      </c>
      <c r="AC181" s="6">
        <v>5.291e-5</v>
      </c>
      <c r="AD181" s="6">
        <v>243.86163</v>
      </c>
      <c r="AE181" s="6">
        <v>3.627e-5</v>
      </c>
      <c r="AF181" s="6">
        <v>775</v>
      </c>
      <c r="AG181" s="6">
        <v>-0.00140395</v>
      </c>
      <c r="AH181" s="6">
        <v>-0.00143682</v>
      </c>
      <c r="AI181" s="6">
        <v>-0.00141028</v>
      </c>
      <c r="AJ181" s="6">
        <v>-0.00172167</v>
      </c>
      <c r="AK181" s="6">
        <v>-0.00061184</v>
      </c>
      <c r="AL181" s="6">
        <v>-0.00052103</v>
      </c>
      <c r="AM181" s="6">
        <v>-0.0003708</v>
      </c>
      <c r="AN181" s="6">
        <v>-6.4762184</v>
      </c>
      <c r="AO181" s="6">
        <v>-6.4515561</v>
      </c>
      <c r="AP181" s="6">
        <v>-6.4739881</v>
      </c>
      <c r="AQ181" s="6">
        <v>-6.4253629</v>
      </c>
      <c r="AR181" s="6">
        <v>-6.4020076</v>
      </c>
      <c r="AS181" s="6">
        <v>-6.4618417</v>
      </c>
      <c r="AT181" s="6">
        <v>-6.4506396</v>
      </c>
      <c r="AU181" s="6">
        <v>0.97344833</v>
      </c>
      <c r="AV181" s="6">
        <v>0.96974131</v>
      </c>
      <c r="AW181" s="6">
        <v>0.97311308</v>
      </c>
      <c r="AX181" s="6">
        <v>0.96580418</v>
      </c>
      <c r="AY181" s="6">
        <v>0.96229362</v>
      </c>
      <c r="AZ181" s="6">
        <v>0.97128734</v>
      </c>
      <c r="BA181" s="6">
        <v>0.96960354</v>
      </c>
      <c r="BB181" s="6">
        <v>0.02655167</v>
      </c>
      <c r="BC181" s="6">
        <v>0.03025869</v>
      </c>
      <c r="BD181" s="6">
        <v>0.02688692</v>
      </c>
      <c r="BE181" s="6">
        <v>0.03419582</v>
      </c>
      <c r="BF181" s="6">
        <v>0.03770638</v>
      </c>
      <c r="BG181" s="6">
        <v>0.02871266</v>
      </c>
      <c r="BH181" s="6">
        <v>0.03039646</v>
      </c>
      <c r="BI181" s="6">
        <v>0.21470859</v>
      </c>
      <c r="BJ181" s="6">
        <v>0.12366373</v>
      </c>
      <c r="BK181" s="6">
        <v>0.1409291</v>
      </c>
      <c r="BL181" s="6">
        <v>0.12522516</v>
      </c>
      <c r="BM181" s="6">
        <v>0.1592662</v>
      </c>
      <c r="BN181" s="6">
        <v>0.17561655</v>
      </c>
      <c r="BO181" s="6">
        <v>0.1337285</v>
      </c>
      <c r="BP181" s="6">
        <v>0.14157076</v>
      </c>
      <c r="BQ181" s="6">
        <v>0.00432648</v>
      </c>
      <c r="BR181" s="6">
        <v>0.00395169</v>
      </c>
      <c r="BS181" s="6">
        <v>0.00398721</v>
      </c>
      <c r="BT181" s="6">
        <v>0.00433531</v>
      </c>
      <c r="BU181" s="6">
        <v>0.00149894</v>
      </c>
      <c r="BV181" s="6">
        <v>0.00208696</v>
      </c>
      <c r="BW181" s="6">
        <v>0.001252</v>
      </c>
      <c r="BX181" s="12">
        <v>2322</v>
      </c>
      <c r="BY181" s="13">
        <v>587.71</v>
      </c>
      <c r="BZ181" s="12">
        <v>537.16</v>
      </c>
      <c r="CA181" s="6">
        <f t="shared" si="16"/>
        <v>3.95092817886372</v>
      </c>
      <c r="CB181" s="6">
        <f t="shared" si="17"/>
        <v>4.32273438081763</v>
      </c>
      <c r="CC181" s="7">
        <v>50556796.14</v>
      </c>
      <c r="CD181" s="7">
        <f t="shared" si="12"/>
        <v>9.41186911534738</v>
      </c>
      <c r="CE181" s="8">
        <v>1219.8</v>
      </c>
      <c r="CF181" s="8">
        <v>9191.7</v>
      </c>
      <c r="CG181" s="8">
        <v>8246.8</v>
      </c>
      <c r="CH181" s="8">
        <v>20647</v>
      </c>
      <c r="CI181" s="14">
        <v>0</v>
      </c>
      <c r="CJ181" s="14">
        <v>0</v>
      </c>
      <c r="CK181" s="14">
        <f t="shared" si="13"/>
        <v>0</v>
      </c>
      <c r="CL181">
        <f t="shared" si="14"/>
        <v>3.89549779892895</v>
      </c>
      <c r="CM181">
        <f t="shared" si="15"/>
        <v>0</v>
      </c>
      <c r="CN181" s="15">
        <v>2322.23</v>
      </c>
      <c r="CO181" s="15">
        <v>2761.19</v>
      </c>
      <c r="CP181" s="15">
        <v>114.83</v>
      </c>
      <c r="CQ181" s="15">
        <v>159.1</v>
      </c>
      <c r="CR181" s="15">
        <v>35.49</v>
      </c>
      <c r="CS181" s="15">
        <v>4.13</v>
      </c>
      <c r="CT181" s="15">
        <v>68.94</v>
      </c>
      <c r="CU181" s="15">
        <v>3.98</v>
      </c>
      <c r="CV181" s="15">
        <v>6.77</v>
      </c>
      <c r="CW181" s="15">
        <v>272.83</v>
      </c>
    </row>
    <row r="182" spans="1:101">
      <c r="A182" s="6">
        <v>2005</v>
      </c>
      <c r="B182" s="6" t="s">
        <v>107</v>
      </c>
      <c r="C182" s="6">
        <v>0.02779348</v>
      </c>
      <c r="D182" s="6">
        <v>0.010726</v>
      </c>
      <c r="E182" s="6">
        <v>0.00295</v>
      </c>
      <c r="F182" s="6">
        <v>0.004756</v>
      </c>
      <c r="G182" s="6">
        <v>0.001585</v>
      </c>
      <c r="H182" s="6">
        <v>0.001435</v>
      </c>
      <c r="I182" s="6">
        <v>0.012599</v>
      </c>
      <c r="J182" s="6">
        <v>0.005618</v>
      </c>
      <c r="K182" s="6">
        <v>0.03256929</v>
      </c>
      <c r="L182" s="6">
        <v>0.02925918</v>
      </c>
      <c r="M182" s="6">
        <v>0.0301809</v>
      </c>
      <c r="N182" s="6">
        <v>0.0183537</v>
      </c>
      <c r="O182" s="6">
        <v>0.00999914</v>
      </c>
      <c r="P182" s="6">
        <v>0.05054251</v>
      </c>
      <c r="Q182" s="6">
        <v>0.03125542</v>
      </c>
      <c r="R182" s="6">
        <v>217.69486</v>
      </c>
      <c r="S182" s="6">
        <v>0.00014961</v>
      </c>
      <c r="T182" s="6">
        <v>169.97573</v>
      </c>
      <c r="U182" s="6">
        <v>0.00017214</v>
      </c>
      <c r="V182" s="6">
        <v>197.11803</v>
      </c>
      <c r="W182" s="6">
        <v>0.00015311</v>
      </c>
      <c r="X182" s="6">
        <v>134.47093</v>
      </c>
      <c r="Y182" s="6">
        <v>0.00013649</v>
      </c>
      <c r="Z182" s="6">
        <v>134.86767</v>
      </c>
      <c r="AA182" s="6">
        <v>7.414e-5</v>
      </c>
      <c r="AB182" s="6">
        <v>294.9318</v>
      </c>
      <c r="AC182" s="6">
        <v>0.00017137</v>
      </c>
      <c r="AD182" s="6">
        <v>243.86163</v>
      </c>
      <c r="AE182" s="6">
        <v>0.00012817</v>
      </c>
      <c r="AF182" s="6">
        <v>775</v>
      </c>
      <c r="AG182" s="6">
        <v>-0.00131769</v>
      </c>
      <c r="AH182" s="6">
        <v>-0.00149195</v>
      </c>
      <c r="AI182" s="6">
        <v>-0.00134498</v>
      </c>
      <c r="AJ182" s="6">
        <v>-0.00121465</v>
      </c>
      <c r="AK182" s="6">
        <v>-0.00070504</v>
      </c>
      <c r="AL182" s="6">
        <v>-0.00148607</v>
      </c>
      <c r="AM182" s="6">
        <v>-0.00114867</v>
      </c>
      <c r="AN182" s="6">
        <v>-6.4762184</v>
      </c>
      <c r="AO182" s="6">
        <v>-6.4515561</v>
      </c>
      <c r="AP182" s="6">
        <v>-6.4739881</v>
      </c>
      <c r="AQ182" s="6">
        <v>-6.4253629</v>
      </c>
      <c r="AR182" s="6">
        <v>-6.4020076</v>
      </c>
      <c r="AS182" s="6">
        <v>-6.4618417</v>
      </c>
      <c r="AT182" s="6">
        <v>-6.4506396</v>
      </c>
      <c r="AU182" s="6">
        <v>0.97344833</v>
      </c>
      <c r="AV182" s="6">
        <v>0.96974131</v>
      </c>
      <c r="AW182" s="6">
        <v>0.97311308</v>
      </c>
      <c r="AX182" s="6">
        <v>0.96580418</v>
      </c>
      <c r="AY182" s="6">
        <v>0.96229362</v>
      </c>
      <c r="AZ182" s="6">
        <v>0.97128734</v>
      </c>
      <c r="BA182" s="6">
        <v>0.96960354</v>
      </c>
      <c r="BB182" s="6">
        <v>0.02655167</v>
      </c>
      <c r="BC182" s="6">
        <v>0.03025869</v>
      </c>
      <c r="BD182" s="6">
        <v>0.02688692</v>
      </c>
      <c r="BE182" s="6">
        <v>0.03419582</v>
      </c>
      <c r="BF182" s="6">
        <v>0.03770638</v>
      </c>
      <c r="BG182" s="6">
        <v>0.02871266</v>
      </c>
      <c r="BH182" s="6">
        <v>0.03039646</v>
      </c>
      <c r="BI182" s="6">
        <v>0.21470859</v>
      </c>
      <c r="BJ182" s="6">
        <v>0.12366373</v>
      </c>
      <c r="BK182" s="6">
        <v>0.1409291</v>
      </c>
      <c r="BL182" s="6">
        <v>0.12522516</v>
      </c>
      <c r="BM182" s="6">
        <v>0.1592662</v>
      </c>
      <c r="BN182" s="6">
        <v>0.17561655</v>
      </c>
      <c r="BO182" s="6">
        <v>0.1337285</v>
      </c>
      <c r="BP182" s="6">
        <v>0.14157076</v>
      </c>
      <c r="BQ182" s="6">
        <v>0.00402764</v>
      </c>
      <c r="BR182" s="6">
        <v>0.00412347</v>
      </c>
      <c r="BS182" s="6">
        <v>0.00377941</v>
      </c>
      <c r="BT182" s="6">
        <v>0.00292312</v>
      </c>
      <c r="BU182" s="6">
        <v>0.00175602</v>
      </c>
      <c r="BV182" s="6">
        <v>0.00675897</v>
      </c>
      <c r="BW182" s="6">
        <v>0.00442485</v>
      </c>
      <c r="BX182" s="12">
        <v>2536</v>
      </c>
      <c r="BY182" s="13">
        <v>596.2</v>
      </c>
      <c r="BZ182" s="12">
        <v>612.61</v>
      </c>
      <c r="CA182" s="6">
        <f t="shared" si="16"/>
        <v>4.25360617242536</v>
      </c>
      <c r="CB182" s="6">
        <f t="shared" si="17"/>
        <v>4.13966471327598</v>
      </c>
      <c r="CC182" s="7">
        <v>55448966.45</v>
      </c>
      <c r="CD182" s="7">
        <f t="shared" si="12"/>
        <v>9.05126694797669</v>
      </c>
      <c r="CE182" s="8">
        <v>1395.2</v>
      </c>
      <c r="CF182" s="8">
        <v>11049.2</v>
      </c>
      <c r="CG182" s="8">
        <v>9518.6</v>
      </c>
      <c r="CH182" s="8">
        <v>23997</v>
      </c>
      <c r="CI182" s="14">
        <v>0</v>
      </c>
      <c r="CJ182" s="14">
        <v>0</v>
      </c>
      <c r="CK182" s="14">
        <f t="shared" si="13"/>
        <v>0</v>
      </c>
      <c r="CL182">
        <f t="shared" si="14"/>
        <v>3.71995059106252</v>
      </c>
      <c r="CM182">
        <f t="shared" si="15"/>
        <v>0</v>
      </c>
      <c r="CN182" s="15">
        <v>2509.6</v>
      </c>
      <c r="CO182" s="15">
        <v>3248.93</v>
      </c>
      <c r="CP182" s="15">
        <v>69.72</v>
      </c>
      <c r="CQ182" s="15">
        <v>167.05</v>
      </c>
      <c r="CR182" s="15">
        <v>24.89</v>
      </c>
      <c r="CS182" s="15">
        <v>2.01</v>
      </c>
      <c r="CT182" s="15">
        <v>63.04</v>
      </c>
      <c r="CU182" s="15">
        <v>1.8</v>
      </c>
      <c r="CV182" s="15">
        <v>6.63</v>
      </c>
      <c r="CW182" s="15">
        <v>302.88</v>
      </c>
    </row>
    <row r="183" spans="1:101">
      <c r="A183" s="6">
        <v>2006</v>
      </c>
      <c r="B183" s="6" t="s">
        <v>107</v>
      </c>
      <c r="C183" s="6">
        <v>0.02824514</v>
      </c>
      <c r="D183" s="6">
        <v>0.011966</v>
      </c>
      <c r="E183" s="6">
        <v>0.003198</v>
      </c>
      <c r="F183" s="6">
        <v>0.005334</v>
      </c>
      <c r="G183" s="6">
        <v>0.001695</v>
      </c>
      <c r="H183" s="6">
        <v>0.001738</v>
      </c>
      <c r="I183" s="6">
        <v>0.010281</v>
      </c>
      <c r="J183" s="6">
        <v>0.005075</v>
      </c>
      <c r="K183" s="6">
        <v>0.04229694</v>
      </c>
      <c r="L183" s="6">
        <v>0.03511632</v>
      </c>
      <c r="M183" s="6">
        <v>0.03907379</v>
      </c>
      <c r="N183" s="6">
        <v>0.02162538</v>
      </c>
      <c r="O183" s="6">
        <v>0.01918476</v>
      </c>
      <c r="P183" s="6">
        <v>0.02472201</v>
      </c>
      <c r="Q183" s="6">
        <v>0.0215667</v>
      </c>
      <c r="R183" s="6">
        <v>217.69486</v>
      </c>
      <c r="S183" s="6">
        <v>0.00019429</v>
      </c>
      <c r="T183" s="6">
        <v>169.97573</v>
      </c>
      <c r="U183" s="6">
        <v>0.0002066</v>
      </c>
      <c r="V183" s="6">
        <v>197.11803</v>
      </c>
      <c r="W183" s="6">
        <v>0.00019823</v>
      </c>
      <c r="X183" s="6">
        <v>134.47093</v>
      </c>
      <c r="Y183" s="6">
        <v>0.00016082</v>
      </c>
      <c r="Z183" s="6">
        <v>134.86767</v>
      </c>
      <c r="AA183" s="6">
        <v>0.00014225</v>
      </c>
      <c r="AB183" s="6">
        <v>294.9318</v>
      </c>
      <c r="AC183" s="6">
        <v>8.382e-5</v>
      </c>
      <c r="AD183" s="6">
        <v>243.86163</v>
      </c>
      <c r="AE183" s="6">
        <v>8.844e-5</v>
      </c>
      <c r="AF183" s="6">
        <v>775</v>
      </c>
      <c r="AG183" s="6">
        <v>-0.00166047</v>
      </c>
      <c r="AH183" s="6">
        <v>-0.00175292</v>
      </c>
      <c r="AI183" s="6">
        <v>-0.00169009</v>
      </c>
      <c r="AJ183" s="6">
        <v>-0.00140479</v>
      </c>
      <c r="AK183" s="6">
        <v>-0.00126003</v>
      </c>
      <c r="AL183" s="6">
        <v>-0.00078683</v>
      </c>
      <c r="AM183" s="6">
        <v>-0.00082541</v>
      </c>
      <c r="AN183" s="6">
        <v>-6.4762184</v>
      </c>
      <c r="AO183" s="6">
        <v>-6.4515561</v>
      </c>
      <c r="AP183" s="6">
        <v>-6.4739881</v>
      </c>
      <c r="AQ183" s="6">
        <v>-6.4253629</v>
      </c>
      <c r="AR183" s="6">
        <v>-6.4020076</v>
      </c>
      <c r="AS183" s="6">
        <v>-6.4618417</v>
      </c>
      <c r="AT183" s="6">
        <v>-6.4506396</v>
      </c>
      <c r="AU183" s="6">
        <v>0.97344833</v>
      </c>
      <c r="AV183" s="6">
        <v>0.96974131</v>
      </c>
      <c r="AW183" s="6">
        <v>0.97311308</v>
      </c>
      <c r="AX183" s="6">
        <v>0.96580418</v>
      </c>
      <c r="AY183" s="6">
        <v>0.96229362</v>
      </c>
      <c r="AZ183" s="6">
        <v>0.97128734</v>
      </c>
      <c r="BA183" s="6">
        <v>0.96960354</v>
      </c>
      <c r="BB183" s="6">
        <v>0.02655167</v>
      </c>
      <c r="BC183" s="6">
        <v>0.03025869</v>
      </c>
      <c r="BD183" s="6">
        <v>0.02688692</v>
      </c>
      <c r="BE183" s="6">
        <v>0.03419582</v>
      </c>
      <c r="BF183" s="6">
        <v>0.03770638</v>
      </c>
      <c r="BG183" s="6">
        <v>0.02871266</v>
      </c>
      <c r="BH183" s="6">
        <v>0.03039646</v>
      </c>
      <c r="BI183" s="6">
        <v>0.21470859</v>
      </c>
      <c r="BJ183" s="6">
        <v>0.12366373</v>
      </c>
      <c r="BK183" s="6">
        <v>0.1409291</v>
      </c>
      <c r="BL183" s="6">
        <v>0.12522516</v>
      </c>
      <c r="BM183" s="6">
        <v>0.1592662</v>
      </c>
      <c r="BN183" s="6">
        <v>0.17561655</v>
      </c>
      <c r="BO183" s="6">
        <v>0.1337285</v>
      </c>
      <c r="BP183" s="6">
        <v>0.14157076</v>
      </c>
      <c r="BQ183" s="6">
        <v>0.0052306</v>
      </c>
      <c r="BR183" s="6">
        <v>0.00494891</v>
      </c>
      <c r="BS183" s="6">
        <v>0.00489302</v>
      </c>
      <c r="BT183" s="6">
        <v>0.00344419</v>
      </c>
      <c r="BU183" s="6">
        <v>0.00336916</v>
      </c>
      <c r="BV183" s="6">
        <v>0.00330604</v>
      </c>
      <c r="BW183" s="6">
        <v>0.00305321</v>
      </c>
      <c r="BX183" s="12">
        <v>2830</v>
      </c>
      <c r="BY183" s="13">
        <v>603.73</v>
      </c>
      <c r="BZ183" s="12">
        <v>725.9</v>
      </c>
      <c r="CA183" s="6">
        <f t="shared" si="16"/>
        <v>4.68752588077452</v>
      </c>
      <c r="CB183" s="6">
        <f t="shared" si="17"/>
        <v>3.89860862377738</v>
      </c>
      <c r="CC183" s="7">
        <v>69573678.63</v>
      </c>
      <c r="CD183" s="7">
        <f t="shared" si="12"/>
        <v>9.58447150158424</v>
      </c>
      <c r="CE183" s="8">
        <v>1494.7</v>
      </c>
      <c r="CF183" s="8">
        <v>13158</v>
      </c>
      <c r="CG183" s="8">
        <v>11308.5</v>
      </c>
      <c r="CH183" s="8">
        <v>27861</v>
      </c>
      <c r="CI183" s="14">
        <v>0</v>
      </c>
      <c r="CJ183" s="14">
        <v>0</v>
      </c>
      <c r="CK183" s="14">
        <f t="shared" si="13"/>
        <v>0</v>
      </c>
      <c r="CL183">
        <f t="shared" si="14"/>
        <v>3.57740717995078</v>
      </c>
      <c r="CM183">
        <f t="shared" si="15"/>
        <v>0</v>
      </c>
      <c r="CN183" s="15">
        <v>2801.53</v>
      </c>
      <c r="CO183" s="15">
        <v>3489.61</v>
      </c>
      <c r="CP183" s="15">
        <v>126.16</v>
      </c>
      <c r="CQ183" s="15">
        <v>174.42</v>
      </c>
      <c r="CR183" s="15">
        <v>18.97</v>
      </c>
      <c r="CS183" s="15">
        <v>2.25</v>
      </c>
      <c r="CT183" s="15">
        <v>78.14</v>
      </c>
      <c r="CU183" s="15">
        <v>0.98</v>
      </c>
      <c r="CV183" s="15">
        <v>7.94</v>
      </c>
      <c r="CW183" s="15">
        <v>377.85</v>
      </c>
    </row>
    <row r="184" spans="1:101">
      <c r="A184" s="6">
        <v>2007</v>
      </c>
      <c r="B184" s="6" t="s">
        <v>107</v>
      </c>
      <c r="C184" s="6">
        <v>0.03254358</v>
      </c>
      <c r="D184" s="6">
        <v>0.012364</v>
      </c>
      <c r="E184" s="6">
        <v>0.002978</v>
      </c>
      <c r="F184" s="6">
        <v>0.005562</v>
      </c>
      <c r="G184" s="6">
        <v>0.001901</v>
      </c>
      <c r="H184" s="6">
        <v>0.001922</v>
      </c>
      <c r="I184" s="6">
        <v>0.011275</v>
      </c>
      <c r="J184" s="6">
        <v>0.005385</v>
      </c>
      <c r="K184" s="6">
        <v>0.04541278</v>
      </c>
      <c r="L184" s="6">
        <v>0.02992127</v>
      </c>
      <c r="M184" s="6">
        <v>0.04257771</v>
      </c>
      <c r="N184" s="6">
        <v>0.0276968</v>
      </c>
      <c r="O184" s="6">
        <v>0.02474811</v>
      </c>
      <c r="P184" s="6">
        <v>0.03579989</v>
      </c>
      <c r="Q184" s="6">
        <v>0.02708389</v>
      </c>
      <c r="R184" s="6">
        <v>217.69486</v>
      </c>
      <c r="S184" s="6">
        <v>0.00020861</v>
      </c>
      <c r="T184" s="6">
        <v>169.97573</v>
      </c>
      <c r="U184" s="6">
        <v>0.00017603</v>
      </c>
      <c r="V184" s="6">
        <v>197.11803</v>
      </c>
      <c r="W184" s="6">
        <v>0.000216</v>
      </c>
      <c r="X184" s="6">
        <v>134.47093</v>
      </c>
      <c r="Y184" s="6">
        <v>0.00020597</v>
      </c>
      <c r="Z184" s="6">
        <v>134.86767</v>
      </c>
      <c r="AA184" s="6">
        <v>0.0001835</v>
      </c>
      <c r="AB184" s="6">
        <v>294.9318</v>
      </c>
      <c r="AC184" s="6">
        <v>0.00012138</v>
      </c>
      <c r="AD184" s="6">
        <v>243.86163</v>
      </c>
      <c r="AE184" s="6">
        <v>0.00011106</v>
      </c>
      <c r="AF184" s="6">
        <v>775</v>
      </c>
      <c r="AG184" s="6">
        <v>-0.00176796</v>
      </c>
      <c r="AH184" s="6">
        <v>-0.00152177</v>
      </c>
      <c r="AI184" s="6">
        <v>-0.0018231</v>
      </c>
      <c r="AJ184" s="6">
        <v>-0.00174822</v>
      </c>
      <c r="AK184" s="6">
        <v>-0.0015787</v>
      </c>
      <c r="AL184" s="6">
        <v>-0.00109446</v>
      </c>
      <c r="AM184" s="6">
        <v>-0.00101127</v>
      </c>
      <c r="AN184" s="6">
        <v>-6.4762184</v>
      </c>
      <c r="AO184" s="6">
        <v>-6.4515561</v>
      </c>
      <c r="AP184" s="6">
        <v>-6.4739881</v>
      </c>
      <c r="AQ184" s="6">
        <v>-6.4253629</v>
      </c>
      <c r="AR184" s="6">
        <v>-6.4020076</v>
      </c>
      <c r="AS184" s="6">
        <v>-6.4618417</v>
      </c>
      <c r="AT184" s="6">
        <v>-6.4506396</v>
      </c>
      <c r="AU184" s="6">
        <v>0.97344833</v>
      </c>
      <c r="AV184" s="6">
        <v>0.96974131</v>
      </c>
      <c r="AW184" s="6">
        <v>0.97311308</v>
      </c>
      <c r="AX184" s="6">
        <v>0.96580418</v>
      </c>
      <c r="AY184" s="6">
        <v>0.96229362</v>
      </c>
      <c r="AZ184" s="6">
        <v>0.97128734</v>
      </c>
      <c r="BA184" s="6">
        <v>0.96960354</v>
      </c>
      <c r="BB184" s="6">
        <v>0.02655167</v>
      </c>
      <c r="BC184" s="6">
        <v>0.03025869</v>
      </c>
      <c r="BD184" s="6">
        <v>0.02688692</v>
      </c>
      <c r="BE184" s="6">
        <v>0.03419582</v>
      </c>
      <c r="BF184" s="6">
        <v>0.03770638</v>
      </c>
      <c r="BG184" s="6">
        <v>0.02871266</v>
      </c>
      <c r="BH184" s="6">
        <v>0.03039646</v>
      </c>
      <c r="BI184" s="6">
        <v>0.21470859</v>
      </c>
      <c r="BJ184" s="6">
        <v>0.12366373</v>
      </c>
      <c r="BK184" s="6">
        <v>0.1409291</v>
      </c>
      <c r="BL184" s="6">
        <v>0.12522516</v>
      </c>
      <c r="BM184" s="6">
        <v>0.1592662</v>
      </c>
      <c r="BN184" s="6">
        <v>0.17561655</v>
      </c>
      <c r="BO184" s="6">
        <v>0.1337285</v>
      </c>
      <c r="BP184" s="6">
        <v>0.14157076</v>
      </c>
      <c r="BQ184" s="6">
        <v>0.00561591</v>
      </c>
      <c r="BR184" s="6">
        <v>0.00421678</v>
      </c>
      <c r="BS184" s="6">
        <v>0.0053318</v>
      </c>
      <c r="BT184" s="6">
        <v>0.00441116</v>
      </c>
      <c r="BU184" s="6">
        <v>0.00434618</v>
      </c>
      <c r="BV184" s="6">
        <v>0.00478746</v>
      </c>
      <c r="BW184" s="6">
        <v>0.00383429</v>
      </c>
      <c r="BX184" s="12">
        <v>3077</v>
      </c>
      <c r="BY184" s="13">
        <v>610.25</v>
      </c>
      <c r="BZ184" s="12">
        <v>919.11</v>
      </c>
      <c r="CA184" s="6">
        <f t="shared" si="16"/>
        <v>5.04219582138468</v>
      </c>
      <c r="CB184" s="6">
        <f t="shared" si="17"/>
        <v>3.34780385372806</v>
      </c>
      <c r="CC184" s="7">
        <v>75580440.56</v>
      </c>
      <c r="CD184" s="7">
        <f t="shared" si="12"/>
        <v>8.22322035012131</v>
      </c>
      <c r="CE184" s="8">
        <v>1663.5</v>
      </c>
      <c r="CF184" s="8">
        <v>16022.6</v>
      </c>
      <c r="CG184" s="8">
        <v>14056.6</v>
      </c>
      <c r="CH184" s="8">
        <v>33236</v>
      </c>
      <c r="CI184" s="14">
        <v>0</v>
      </c>
      <c r="CJ184" s="14">
        <v>0</v>
      </c>
      <c r="CK184" s="14">
        <f t="shared" si="13"/>
        <v>0</v>
      </c>
      <c r="CL184">
        <f t="shared" si="14"/>
        <v>3.23986794305777</v>
      </c>
      <c r="CM184">
        <f t="shared" si="15"/>
        <v>0</v>
      </c>
      <c r="CN184" s="15">
        <v>3047</v>
      </c>
      <c r="CO184" s="15">
        <v>4135</v>
      </c>
      <c r="CP184" s="15">
        <v>65.08</v>
      </c>
      <c r="CQ184" s="15">
        <v>156.78</v>
      </c>
      <c r="CR184" s="15">
        <v>19.16</v>
      </c>
      <c r="CS184" s="15">
        <v>2.79</v>
      </c>
      <c r="CT184" s="15">
        <v>86.7</v>
      </c>
      <c r="CU184" s="15">
        <v>0.53</v>
      </c>
      <c r="CV184" s="15">
        <v>8.99</v>
      </c>
      <c r="CW184" s="15">
        <v>439.78</v>
      </c>
    </row>
    <row r="185" spans="1:101">
      <c r="A185" s="6">
        <v>2008</v>
      </c>
      <c r="B185" s="6" t="s">
        <v>107</v>
      </c>
      <c r="C185" s="6">
        <v>0.04189234</v>
      </c>
      <c r="D185" s="6">
        <v>0.013558</v>
      </c>
      <c r="E185" s="6">
        <v>0.003549</v>
      </c>
      <c r="F185" s="6">
        <v>0.006014</v>
      </c>
      <c r="G185" s="6">
        <v>0.002158</v>
      </c>
      <c r="H185" s="6">
        <v>0.001837</v>
      </c>
      <c r="I185" s="6">
        <v>0.012261</v>
      </c>
      <c r="J185" s="6">
        <v>0.006647</v>
      </c>
      <c r="K185" s="6">
        <v>0.05478489</v>
      </c>
      <c r="L185" s="6">
        <v>0.04341024</v>
      </c>
      <c r="M185" s="6">
        <v>0.04951392</v>
      </c>
      <c r="N185" s="6">
        <v>0.03531689</v>
      </c>
      <c r="O185" s="6">
        <v>0.02217782</v>
      </c>
      <c r="P185" s="6">
        <v>0.04677753</v>
      </c>
      <c r="Q185" s="6">
        <v>0.04961625</v>
      </c>
      <c r="R185" s="6">
        <v>217.69486</v>
      </c>
      <c r="S185" s="6">
        <v>0.00025166</v>
      </c>
      <c r="T185" s="6">
        <v>169.97573</v>
      </c>
      <c r="U185" s="6">
        <v>0.00025539</v>
      </c>
      <c r="V185" s="6">
        <v>197.11803</v>
      </c>
      <c r="W185" s="6">
        <v>0.00025119</v>
      </c>
      <c r="X185" s="6">
        <v>134.47093</v>
      </c>
      <c r="Y185" s="6">
        <v>0.00026264</v>
      </c>
      <c r="Z185" s="6">
        <v>134.86767</v>
      </c>
      <c r="AA185" s="6">
        <v>0.00016444</v>
      </c>
      <c r="AB185" s="6">
        <v>294.9318</v>
      </c>
      <c r="AC185" s="6">
        <v>0.0001586</v>
      </c>
      <c r="AD185" s="6">
        <v>243.86163</v>
      </c>
      <c r="AE185" s="6">
        <v>0.00020346</v>
      </c>
      <c r="AF185" s="6">
        <v>775</v>
      </c>
      <c r="AG185" s="6">
        <v>-0.00208561</v>
      </c>
      <c r="AH185" s="6">
        <v>-0.00211278</v>
      </c>
      <c r="AI185" s="6">
        <v>-0.00208218</v>
      </c>
      <c r="AJ185" s="6">
        <v>-0.00216537</v>
      </c>
      <c r="AK185" s="6">
        <v>-0.00143277</v>
      </c>
      <c r="AL185" s="6">
        <v>-0.00138765</v>
      </c>
      <c r="AM185" s="6">
        <v>-0.00172942</v>
      </c>
      <c r="AN185" s="6">
        <v>-6.4762184</v>
      </c>
      <c r="AO185" s="6">
        <v>-6.4515561</v>
      </c>
      <c r="AP185" s="6">
        <v>-6.4739881</v>
      </c>
      <c r="AQ185" s="6">
        <v>-6.4253629</v>
      </c>
      <c r="AR185" s="6">
        <v>-6.4020076</v>
      </c>
      <c r="AS185" s="6">
        <v>-6.4618417</v>
      </c>
      <c r="AT185" s="6">
        <v>-6.4506396</v>
      </c>
      <c r="AU185" s="6">
        <v>0.97344833</v>
      </c>
      <c r="AV185" s="6">
        <v>0.96974131</v>
      </c>
      <c r="AW185" s="6">
        <v>0.97311308</v>
      </c>
      <c r="AX185" s="6">
        <v>0.96580418</v>
      </c>
      <c r="AY185" s="6">
        <v>0.96229362</v>
      </c>
      <c r="AZ185" s="6">
        <v>0.97128734</v>
      </c>
      <c r="BA185" s="6">
        <v>0.96960354</v>
      </c>
      <c r="BB185" s="6">
        <v>0.02655167</v>
      </c>
      <c r="BC185" s="6">
        <v>0.03025869</v>
      </c>
      <c r="BD185" s="6">
        <v>0.02688692</v>
      </c>
      <c r="BE185" s="6">
        <v>0.03419582</v>
      </c>
      <c r="BF185" s="6">
        <v>0.03770638</v>
      </c>
      <c r="BG185" s="6">
        <v>0.02871266</v>
      </c>
      <c r="BH185" s="6">
        <v>0.03039646</v>
      </c>
      <c r="BI185" s="6">
        <v>0.21470859</v>
      </c>
      <c r="BJ185" s="6">
        <v>0.12366373</v>
      </c>
      <c r="BK185" s="6">
        <v>0.1409291</v>
      </c>
      <c r="BL185" s="6">
        <v>0.12522516</v>
      </c>
      <c r="BM185" s="6">
        <v>0.1592662</v>
      </c>
      <c r="BN185" s="6">
        <v>0.17561655</v>
      </c>
      <c r="BO185" s="6">
        <v>0.1337285</v>
      </c>
      <c r="BP185" s="6">
        <v>0.14157076</v>
      </c>
      <c r="BQ185" s="6">
        <v>0.0067749</v>
      </c>
      <c r="BR185" s="6">
        <v>0.00611777</v>
      </c>
      <c r="BS185" s="6">
        <v>0.00620039</v>
      </c>
      <c r="BT185" s="6">
        <v>0.00562479</v>
      </c>
      <c r="BU185" s="6">
        <v>0.00389479</v>
      </c>
      <c r="BV185" s="6">
        <v>0.00625549</v>
      </c>
      <c r="BW185" s="6">
        <v>0.00702421</v>
      </c>
      <c r="BX185" s="12">
        <v>3229</v>
      </c>
      <c r="BY185" s="13">
        <v>617.69</v>
      </c>
      <c r="BZ185" s="12">
        <v>1203.92</v>
      </c>
      <c r="CA185" s="6">
        <f t="shared" si="16"/>
        <v>5.22754132331752</v>
      </c>
      <c r="CB185" s="6">
        <f t="shared" si="17"/>
        <v>2.68207189846501</v>
      </c>
      <c r="CC185" s="7">
        <v>74729353.28</v>
      </c>
      <c r="CD185" s="7">
        <f t="shared" si="12"/>
        <v>6.20716935344541</v>
      </c>
      <c r="CE185" s="8">
        <v>1920.8</v>
      </c>
      <c r="CF185" s="8">
        <v>18519.4</v>
      </c>
      <c r="CG185" s="8">
        <v>16264</v>
      </c>
      <c r="CH185" s="8">
        <v>37543</v>
      </c>
      <c r="CI185" s="14">
        <v>0</v>
      </c>
      <c r="CJ185" s="14">
        <v>0</v>
      </c>
      <c r="CK185" s="14">
        <f t="shared" si="13"/>
        <v>0</v>
      </c>
      <c r="CL185">
        <f t="shared" si="14"/>
        <v>2.71728515287532</v>
      </c>
      <c r="CM185">
        <f t="shared" si="15"/>
        <v>0</v>
      </c>
      <c r="CN185" s="15">
        <v>3229</v>
      </c>
      <c r="CO185" s="15">
        <v>4287</v>
      </c>
      <c r="CP185" s="15">
        <v>237.98</v>
      </c>
      <c r="CQ185" s="15">
        <v>183.75</v>
      </c>
      <c r="CR185" s="15">
        <v>20.66</v>
      </c>
      <c r="CS185" s="15">
        <v>3.72</v>
      </c>
      <c r="CT185" s="15">
        <v>96.51</v>
      </c>
      <c r="CU185" s="15">
        <v>1.98</v>
      </c>
      <c r="CV185" s="15">
        <v>11</v>
      </c>
      <c r="CW185" s="15">
        <v>439.62</v>
      </c>
    </row>
    <row r="186" spans="1:101">
      <c r="A186" s="6">
        <v>2009</v>
      </c>
      <c r="B186" s="6" t="s">
        <v>107</v>
      </c>
      <c r="C186" s="6">
        <v>0.0377164</v>
      </c>
      <c r="D186" s="6">
        <v>0.011682</v>
      </c>
      <c r="E186" s="6">
        <v>0.002745</v>
      </c>
      <c r="F186" s="6">
        <v>0.005382</v>
      </c>
      <c r="G186" s="6">
        <v>0.001681</v>
      </c>
      <c r="H186" s="6">
        <v>0.001875</v>
      </c>
      <c r="I186" s="6">
        <v>0.01403</v>
      </c>
      <c r="J186" s="6">
        <v>0.007025</v>
      </c>
      <c r="K186" s="6">
        <v>0.0400664</v>
      </c>
      <c r="L186" s="6">
        <v>0.02439601</v>
      </c>
      <c r="M186" s="6">
        <v>0.03980179</v>
      </c>
      <c r="N186" s="6">
        <v>0.0211981</v>
      </c>
      <c r="O186" s="6">
        <v>0.02331103</v>
      </c>
      <c r="P186" s="6">
        <v>0.06648523</v>
      </c>
      <c r="Q186" s="6">
        <v>0.05635652</v>
      </c>
      <c r="R186" s="6">
        <v>217.69486</v>
      </c>
      <c r="S186" s="6">
        <v>0.00018405</v>
      </c>
      <c r="T186" s="6">
        <v>169.97573</v>
      </c>
      <c r="U186" s="6">
        <v>0.00014353</v>
      </c>
      <c r="V186" s="6">
        <v>197.11803</v>
      </c>
      <c r="W186" s="6">
        <v>0.00020192</v>
      </c>
      <c r="X186" s="6">
        <v>134.47093</v>
      </c>
      <c r="Y186" s="6">
        <v>0.00015764</v>
      </c>
      <c r="Z186" s="6">
        <v>134.86767</v>
      </c>
      <c r="AA186" s="6">
        <v>0.00017284</v>
      </c>
      <c r="AB186" s="6">
        <v>294.9318</v>
      </c>
      <c r="AC186" s="6">
        <v>0.00022543</v>
      </c>
      <c r="AD186" s="6">
        <v>243.86163</v>
      </c>
      <c r="AE186" s="6">
        <v>0.0002311</v>
      </c>
      <c r="AF186" s="6">
        <v>775</v>
      </c>
      <c r="AG186" s="6">
        <v>-0.00158287</v>
      </c>
      <c r="AH186" s="6">
        <v>-0.00127006</v>
      </c>
      <c r="AI186" s="6">
        <v>-0.00171785</v>
      </c>
      <c r="AJ186" s="6">
        <v>-0.00138018</v>
      </c>
      <c r="AK186" s="6">
        <v>-0.00149737</v>
      </c>
      <c r="AL186" s="6">
        <v>-0.00189302</v>
      </c>
      <c r="AM186" s="6">
        <v>-0.00193492</v>
      </c>
      <c r="AN186" s="6">
        <v>-6.4762184</v>
      </c>
      <c r="AO186" s="6">
        <v>-6.4515561</v>
      </c>
      <c r="AP186" s="6">
        <v>-6.4739881</v>
      </c>
      <c r="AQ186" s="6">
        <v>-6.4253629</v>
      </c>
      <c r="AR186" s="6">
        <v>-6.4020076</v>
      </c>
      <c r="AS186" s="6">
        <v>-6.4618417</v>
      </c>
      <c r="AT186" s="6">
        <v>-6.4506396</v>
      </c>
      <c r="AU186" s="6">
        <v>0.97344833</v>
      </c>
      <c r="AV186" s="6">
        <v>0.96974131</v>
      </c>
      <c r="AW186" s="6">
        <v>0.97311308</v>
      </c>
      <c r="AX186" s="6">
        <v>0.96580418</v>
      </c>
      <c r="AY186" s="6">
        <v>0.96229362</v>
      </c>
      <c r="AZ186" s="6">
        <v>0.97128734</v>
      </c>
      <c r="BA186" s="6">
        <v>0.96960354</v>
      </c>
      <c r="BB186" s="6">
        <v>0.02655167</v>
      </c>
      <c r="BC186" s="6">
        <v>0.03025869</v>
      </c>
      <c r="BD186" s="6">
        <v>0.02688692</v>
      </c>
      <c r="BE186" s="6">
        <v>0.03419582</v>
      </c>
      <c r="BF186" s="6">
        <v>0.03770638</v>
      </c>
      <c r="BG186" s="6">
        <v>0.02871266</v>
      </c>
      <c r="BH186" s="6">
        <v>0.03039646</v>
      </c>
      <c r="BI186" s="6">
        <v>0.21470859</v>
      </c>
      <c r="BJ186" s="6">
        <v>0.12366373</v>
      </c>
      <c r="BK186" s="6">
        <v>0.1409291</v>
      </c>
      <c r="BL186" s="6">
        <v>0.12522516</v>
      </c>
      <c r="BM186" s="6">
        <v>0.1592662</v>
      </c>
      <c r="BN186" s="6">
        <v>0.17561655</v>
      </c>
      <c r="BO186" s="6">
        <v>0.1337285</v>
      </c>
      <c r="BP186" s="6">
        <v>0.14157076</v>
      </c>
      <c r="BQ186" s="6">
        <v>0.00495476</v>
      </c>
      <c r="BR186" s="6">
        <v>0.00343811</v>
      </c>
      <c r="BS186" s="6">
        <v>0.00498419</v>
      </c>
      <c r="BT186" s="6">
        <v>0.00337614</v>
      </c>
      <c r="BU186" s="6">
        <v>0.0040938</v>
      </c>
      <c r="BV186" s="6">
        <v>0.00889097</v>
      </c>
      <c r="BW186" s="6">
        <v>0.00797844</v>
      </c>
      <c r="BX186" s="12">
        <v>3388</v>
      </c>
      <c r="BY186" s="13">
        <v>625.2</v>
      </c>
      <c r="BZ186" s="12">
        <v>1353.31</v>
      </c>
      <c r="CA186" s="6">
        <f t="shared" si="16"/>
        <v>5.41906589891235</v>
      </c>
      <c r="CB186" s="6">
        <f t="shared" si="17"/>
        <v>2.50349143950758</v>
      </c>
      <c r="CC186" s="7">
        <v>81341102.58</v>
      </c>
      <c r="CD186" s="7">
        <f t="shared" si="12"/>
        <v>6.01052992884114</v>
      </c>
      <c r="CE186" s="8">
        <v>1946</v>
      </c>
      <c r="CF186" s="8">
        <v>19439.7</v>
      </c>
      <c r="CG186" s="8">
        <v>18079</v>
      </c>
      <c r="CH186" s="8">
        <v>39418</v>
      </c>
      <c r="CI186" s="14">
        <v>0</v>
      </c>
      <c r="CJ186" s="14">
        <v>0</v>
      </c>
      <c r="CK186" s="14">
        <f t="shared" si="13"/>
        <v>0</v>
      </c>
      <c r="CL186">
        <f t="shared" si="14"/>
        <v>2.66960201713366</v>
      </c>
      <c r="CM186">
        <f t="shared" si="15"/>
        <v>0</v>
      </c>
      <c r="CN186" s="15">
        <v>3388</v>
      </c>
      <c r="CO186" s="15">
        <v>4781</v>
      </c>
      <c r="CP186" s="15">
        <v>251</v>
      </c>
      <c r="CQ186" s="15">
        <v>182.65</v>
      </c>
      <c r="CR186" s="15">
        <v>20.95</v>
      </c>
      <c r="CS186" s="15">
        <v>4.23</v>
      </c>
      <c r="CT186" s="15">
        <v>98.57</v>
      </c>
      <c r="CU186" s="15">
        <v>0.52</v>
      </c>
      <c r="CV186" s="15">
        <v>11.98</v>
      </c>
      <c r="CW186" s="15">
        <v>470.32</v>
      </c>
    </row>
    <row r="187" spans="1:101">
      <c r="A187" s="6">
        <v>2010</v>
      </c>
      <c r="B187" s="6" t="s">
        <v>107</v>
      </c>
      <c r="C187" s="6">
        <v>0.04468532</v>
      </c>
      <c r="D187" s="6">
        <v>0.014865</v>
      </c>
      <c r="E187" s="6">
        <v>0.003428</v>
      </c>
      <c r="F187" s="6">
        <v>0.006574</v>
      </c>
      <c r="G187" s="6">
        <v>0.002326</v>
      </c>
      <c r="H187" s="6">
        <v>0.002537</v>
      </c>
      <c r="I187" s="6">
        <v>0.011293</v>
      </c>
      <c r="J187" s="6">
        <v>0.005769</v>
      </c>
      <c r="K187" s="6">
        <v>0.06503214</v>
      </c>
      <c r="L187" s="6">
        <v>0.0405401</v>
      </c>
      <c r="M187" s="6">
        <v>0.05812726</v>
      </c>
      <c r="N187" s="6">
        <v>0.04027254</v>
      </c>
      <c r="O187" s="6">
        <v>0.04338212</v>
      </c>
      <c r="P187" s="6">
        <v>0.03599639</v>
      </c>
      <c r="Q187" s="6">
        <v>0.03393721</v>
      </c>
      <c r="R187" s="6">
        <v>217.69486</v>
      </c>
      <c r="S187" s="6">
        <v>0.00029873</v>
      </c>
      <c r="T187" s="6">
        <v>169.97573</v>
      </c>
      <c r="U187" s="6">
        <v>0.00023851</v>
      </c>
      <c r="V187" s="6">
        <v>197.11803</v>
      </c>
      <c r="W187" s="6">
        <v>0.00029489</v>
      </c>
      <c r="X187" s="6">
        <v>134.47093</v>
      </c>
      <c r="Y187" s="6">
        <v>0.00029949</v>
      </c>
      <c r="Z187" s="6">
        <v>134.86767</v>
      </c>
      <c r="AA187" s="6">
        <v>0.00032166</v>
      </c>
      <c r="AB187" s="6">
        <v>294.9318</v>
      </c>
      <c r="AC187" s="6">
        <v>0.00012205</v>
      </c>
      <c r="AD187" s="6">
        <v>243.86163</v>
      </c>
      <c r="AE187" s="6">
        <v>0.00013917</v>
      </c>
      <c r="AF187" s="6">
        <v>775</v>
      </c>
      <c r="AG187" s="6">
        <v>-0.00242449</v>
      </c>
      <c r="AH187" s="6">
        <v>-0.0019894</v>
      </c>
      <c r="AI187" s="6">
        <v>-0.0023971</v>
      </c>
      <c r="AJ187" s="6">
        <v>-0.00242988</v>
      </c>
      <c r="AK187" s="6">
        <v>-0.00258683</v>
      </c>
      <c r="AL187" s="6">
        <v>-0.0010998</v>
      </c>
      <c r="AM187" s="6">
        <v>-0.00123577</v>
      </c>
      <c r="AN187" s="6">
        <v>-6.4762184</v>
      </c>
      <c r="AO187" s="6">
        <v>-6.4515561</v>
      </c>
      <c r="AP187" s="6">
        <v>-6.4739881</v>
      </c>
      <c r="AQ187" s="6">
        <v>-6.4253629</v>
      </c>
      <c r="AR187" s="6">
        <v>-6.4020076</v>
      </c>
      <c r="AS187" s="6">
        <v>-6.4618417</v>
      </c>
      <c r="AT187" s="6">
        <v>-6.4506396</v>
      </c>
      <c r="AU187" s="6">
        <v>0.97344833</v>
      </c>
      <c r="AV187" s="6">
        <v>0.96974131</v>
      </c>
      <c r="AW187" s="6">
        <v>0.97311308</v>
      </c>
      <c r="AX187" s="6">
        <v>0.96580418</v>
      </c>
      <c r="AY187" s="6">
        <v>0.96229362</v>
      </c>
      <c r="AZ187" s="6">
        <v>0.97128734</v>
      </c>
      <c r="BA187" s="6">
        <v>0.96960354</v>
      </c>
      <c r="BB187" s="6">
        <v>0.02655167</v>
      </c>
      <c r="BC187" s="6">
        <v>0.03025869</v>
      </c>
      <c r="BD187" s="6">
        <v>0.02688692</v>
      </c>
      <c r="BE187" s="6">
        <v>0.03419582</v>
      </c>
      <c r="BF187" s="6">
        <v>0.03770638</v>
      </c>
      <c r="BG187" s="6">
        <v>0.02871266</v>
      </c>
      <c r="BH187" s="6">
        <v>0.03039646</v>
      </c>
      <c r="BI187" s="6">
        <v>0.21470859</v>
      </c>
      <c r="BJ187" s="6">
        <v>0.12366373</v>
      </c>
      <c r="BK187" s="6">
        <v>0.1409291</v>
      </c>
      <c r="BL187" s="6">
        <v>0.12522516</v>
      </c>
      <c r="BM187" s="6">
        <v>0.1592662</v>
      </c>
      <c r="BN187" s="6">
        <v>0.17561655</v>
      </c>
      <c r="BO187" s="6">
        <v>0.1337285</v>
      </c>
      <c r="BP187" s="6">
        <v>0.14157076</v>
      </c>
      <c r="BQ187" s="6">
        <v>0.00804212</v>
      </c>
      <c r="BR187" s="6">
        <v>0.00571328</v>
      </c>
      <c r="BS187" s="6">
        <v>0.007279</v>
      </c>
      <c r="BT187" s="6">
        <v>0.00641405</v>
      </c>
      <c r="BU187" s="6">
        <v>0.00761862</v>
      </c>
      <c r="BV187" s="6">
        <v>0.00481374</v>
      </c>
      <c r="BW187" s="6">
        <v>0.00480452</v>
      </c>
      <c r="BX187" s="12">
        <v>3681</v>
      </c>
      <c r="BY187" s="13">
        <v>632.96</v>
      </c>
      <c r="BZ187" s="12">
        <v>1689.65</v>
      </c>
      <c r="CA187" s="6">
        <f t="shared" si="16"/>
        <v>5.81553336703741</v>
      </c>
      <c r="CB187" s="6">
        <f t="shared" si="17"/>
        <v>2.17855768946231</v>
      </c>
      <c r="CC187" s="7">
        <v>106389397.5</v>
      </c>
      <c r="CD187" s="7">
        <f t="shared" si="12"/>
        <v>6.29653463735093</v>
      </c>
      <c r="CE187" s="8">
        <v>2199.6</v>
      </c>
      <c r="CF187" s="8">
        <v>22917.4</v>
      </c>
      <c r="CG187" s="8">
        <v>20827.6</v>
      </c>
      <c r="CH187" s="8">
        <v>44669</v>
      </c>
      <c r="CI187" s="14">
        <v>0</v>
      </c>
      <c r="CJ187" s="14">
        <v>0</v>
      </c>
      <c r="CK187" s="14">
        <f t="shared" si="13"/>
        <v>0</v>
      </c>
      <c r="CL187">
        <f t="shared" si="14"/>
        <v>2.40850270516871</v>
      </c>
      <c r="CM187">
        <f t="shared" si="15"/>
        <v>0</v>
      </c>
      <c r="CN187" s="15">
        <v>3681.1</v>
      </c>
      <c r="CO187" s="15">
        <v>5764.92</v>
      </c>
      <c r="CP187" s="15">
        <v>228.9</v>
      </c>
      <c r="CQ187" s="15">
        <v>175.77</v>
      </c>
      <c r="CR187" s="15">
        <v>22.68</v>
      </c>
      <c r="CS187" s="15">
        <v>5.16</v>
      </c>
      <c r="CT187" s="15">
        <v>105.82</v>
      </c>
      <c r="CU187" s="15">
        <v>39.76</v>
      </c>
      <c r="CV187" s="15">
        <v>15.48</v>
      </c>
      <c r="CW187" s="15">
        <v>546.77</v>
      </c>
    </row>
    <row r="188" spans="1:101">
      <c r="A188" s="6">
        <v>2011</v>
      </c>
      <c r="B188" s="6" t="s">
        <v>107</v>
      </c>
      <c r="C188" s="6">
        <v>0.04451429</v>
      </c>
      <c r="D188" s="6">
        <v>0.014855</v>
      </c>
      <c r="E188" s="6">
        <v>0.003593</v>
      </c>
      <c r="F188" s="6">
        <v>0.007174</v>
      </c>
      <c r="G188" s="6">
        <v>0.002155</v>
      </c>
      <c r="H188" s="6">
        <v>0.001932</v>
      </c>
      <c r="I188" s="6">
        <v>0.012688</v>
      </c>
      <c r="J188" s="6">
        <v>0.005799</v>
      </c>
      <c r="K188" s="6">
        <v>0.06495339</v>
      </c>
      <c r="L188" s="6">
        <v>0.04444851</v>
      </c>
      <c r="M188" s="6">
        <v>0.06735175</v>
      </c>
      <c r="N188" s="6">
        <v>0.03521997</v>
      </c>
      <c r="O188" s="6">
        <v>0.02505994</v>
      </c>
      <c r="P188" s="6">
        <v>0.0515356</v>
      </c>
      <c r="Q188" s="6">
        <v>0.03448186</v>
      </c>
      <c r="R188" s="6">
        <v>217.69486</v>
      </c>
      <c r="S188" s="6">
        <v>0.00029837</v>
      </c>
      <c r="T188" s="6">
        <v>169.97573</v>
      </c>
      <c r="U188" s="6">
        <v>0.0002615</v>
      </c>
      <c r="V188" s="6">
        <v>197.11803</v>
      </c>
      <c r="W188" s="6">
        <v>0.00034168</v>
      </c>
      <c r="X188" s="6">
        <v>134.47093</v>
      </c>
      <c r="Y188" s="6">
        <v>0.00026192</v>
      </c>
      <c r="Z188" s="6">
        <v>134.86767</v>
      </c>
      <c r="AA188" s="6">
        <v>0.00018581</v>
      </c>
      <c r="AB188" s="6">
        <v>294.9318</v>
      </c>
      <c r="AC188" s="6">
        <v>0.00017474</v>
      </c>
      <c r="AD188" s="6">
        <v>243.86163</v>
      </c>
      <c r="AE188" s="6">
        <v>0.0001414</v>
      </c>
      <c r="AF188" s="6">
        <v>775</v>
      </c>
      <c r="AG188" s="6">
        <v>-0.00242191</v>
      </c>
      <c r="AH188" s="6">
        <v>-0.00215713</v>
      </c>
      <c r="AI188" s="6">
        <v>-0.00272718</v>
      </c>
      <c r="AJ188" s="6">
        <v>-0.00216014</v>
      </c>
      <c r="AK188" s="6">
        <v>-0.00159626</v>
      </c>
      <c r="AL188" s="6">
        <v>-0.00151187</v>
      </c>
      <c r="AM188" s="6">
        <v>-0.00125335</v>
      </c>
      <c r="AN188" s="6">
        <v>-6.4762184</v>
      </c>
      <c r="AO188" s="6">
        <v>-6.4515561</v>
      </c>
      <c r="AP188" s="6">
        <v>-6.4739881</v>
      </c>
      <c r="AQ188" s="6">
        <v>-6.4253629</v>
      </c>
      <c r="AR188" s="6">
        <v>-6.4020076</v>
      </c>
      <c r="AS188" s="6">
        <v>-6.4618417</v>
      </c>
      <c r="AT188" s="6">
        <v>-6.4506396</v>
      </c>
      <c r="AU188" s="6">
        <v>0.97344833</v>
      </c>
      <c r="AV188" s="6">
        <v>0.96974131</v>
      </c>
      <c r="AW188" s="6">
        <v>0.97311308</v>
      </c>
      <c r="AX188" s="6">
        <v>0.96580418</v>
      </c>
      <c r="AY188" s="6">
        <v>0.96229362</v>
      </c>
      <c r="AZ188" s="6">
        <v>0.97128734</v>
      </c>
      <c r="BA188" s="6">
        <v>0.96960354</v>
      </c>
      <c r="BB188" s="6">
        <v>0.02655167</v>
      </c>
      <c r="BC188" s="6">
        <v>0.03025869</v>
      </c>
      <c r="BD188" s="6">
        <v>0.02688692</v>
      </c>
      <c r="BE188" s="6">
        <v>0.03419582</v>
      </c>
      <c r="BF188" s="6">
        <v>0.03770638</v>
      </c>
      <c r="BG188" s="6">
        <v>0.02871266</v>
      </c>
      <c r="BH188" s="6">
        <v>0.03039646</v>
      </c>
      <c r="BI188" s="6">
        <v>0.21470859</v>
      </c>
      <c r="BJ188" s="6">
        <v>0.12366373</v>
      </c>
      <c r="BK188" s="6">
        <v>0.1409291</v>
      </c>
      <c r="BL188" s="6">
        <v>0.12522516</v>
      </c>
      <c r="BM188" s="6">
        <v>0.1592662</v>
      </c>
      <c r="BN188" s="6">
        <v>0.17561655</v>
      </c>
      <c r="BO188" s="6">
        <v>0.1337285</v>
      </c>
      <c r="BP188" s="6">
        <v>0.14157076</v>
      </c>
      <c r="BQ188" s="6">
        <v>0.00803238</v>
      </c>
      <c r="BR188" s="6">
        <v>0.00626409</v>
      </c>
      <c r="BS188" s="6">
        <v>0.00843413</v>
      </c>
      <c r="BT188" s="6">
        <v>0.00560935</v>
      </c>
      <c r="BU188" s="6">
        <v>0.00440094</v>
      </c>
      <c r="BV188" s="6">
        <v>0.00689178</v>
      </c>
      <c r="BW188" s="6">
        <v>0.00488162</v>
      </c>
      <c r="BX188" s="12">
        <v>4316</v>
      </c>
      <c r="BY188" s="13">
        <v>648</v>
      </c>
      <c r="BZ188" s="12">
        <v>2102.21</v>
      </c>
      <c r="CA188" s="6">
        <f t="shared" si="16"/>
        <v>6.66049382716049</v>
      </c>
      <c r="CB188" s="6">
        <f t="shared" si="17"/>
        <v>2.053077475609</v>
      </c>
      <c r="CC188" s="7">
        <v>126210511.9</v>
      </c>
      <c r="CD188" s="7">
        <f t="shared" si="12"/>
        <v>6.00370619015227</v>
      </c>
      <c r="CE188" s="8">
        <v>2553.2</v>
      </c>
      <c r="CF188" s="8">
        <v>26161.1</v>
      </c>
      <c r="CG188" s="8">
        <v>24358.5</v>
      </c>
      <c r="CH188" s="8">
        <v>50076</v>
      </c>
      <c r="CI188" s="14">
        <v>0</v>
      </c>
      <c r="CJ188" s="14">
        <v>0</v>
      </c>
      <c r="CK188" s="14">
        <f t="shared" si="13"/>
        <v>0</v>
      </c>
      <c r="CL188">
        <f t="shared" si="14"/>
        <v>2.18035126729488</v>
      </c>
      <c r="CM188">
        <f t="shared" si="15"/>
        <v>0</v>
      </c>
      <c r="CN188" s="15">
        <v>4316</v>
      </c>
      <c r="CO188" s="15">
        <v>7947</v>
      </c>
      <c r="CP188" s="15">
        <v>357.44</v>
      </c>
      <c r="CQ188" s="15">
        <v>91.71</v>
      </c>
      <c r="CR188" s="15">
        <v>20.8</v>
      </c>
      <c r="CS188" s="15">
        <v>6.58</v>
      </c>
      <c r="CT188" s="15">
        <v>104.04</v>
      </c>
      <c r="CU188" s="15">
        <v>36.66</v>
      </c>
      <c r="CV188" s="15">
        <v>18.58</v>
      </c>
      <c r="CW188" s="15">
        <v>725</v>
      </c>
    </row>
    <row r="189" spans="1:101">
      <c r="A189" s="6">
        <v>2012</v>
      </c>
      <c r="B189" s="6" t="s">
        <v>107</v>
      </c>
      <c r="C189" s="6">
        <v>0.07642037</v>
      </c>
      <c r="D189" s="6">
        <v>0.017483</v>
      </c>
      <c r="E189" s="6">
        <v>0.004416</v>
      </c>
      <c r="F189" s="6">
        <v>0.007786</v>
      </c>
      <c r="G189" s="6">
        <v>0.00222</v>
      </c>
      <c r="H189" s="6">
        <v>0.003061</v>
      </c>
      <c r="I189" s="6">
        <v>0.018828</v>
      </c>
      <c r="J189" s="6">
        <v>0.009749</v>
      </c>
      <c r="K189" s="6">
        <v>0.08557037</v>
      </c>
      <c r="L189" s="6">
        <v>0.0639087</v>
      </c>
      <c r="M189" s="6">
        <v>0.07674623</v>
      </c>
      <c r="N189" s="6">
        <v>0.03714575</v>
      </c>
      <c r="O189" s="6">
        <v>0.05927001</v>
      </c>
      <c r="P189" s="6">
        <v>0.11992122</v>
      </c>
      <c r="Q189" s="6">
        <v>0.10496176</v>
      </c>
      <c r="R189" s="6">
        <v>217.69486</v>
      </c>
      <c r="S189" s="6">
        <v>0.00039307</v>
      </c>
      <c r="T189" s="6">
        <v>169.97573</v>
      </c>
      <c r="U189" s="6">
        <v>0.00037599</v>
      </c>
      <c r="V189" s="6">
        <v>197.11803</v>
      </c>
      <c r="W189" s="6">
        <v>0.00038934</v>
      </c>
      <c r="X189" s="6">
        <v>134.47093</v>
      </c>
      <c r="Y189" s="6">
        <v>0.00027624</v>
      </c>
      <c r="Z189" s="6">
        <v>134.86767</v>
      </c>
      <c r="AA189" s="6">
        <v>0.00043947</v>
      </c>
      <c r="AB189" s="6">
        <v>294.9318</v>
      </c>
      <c r="AC189" s="6">
        <v>0.00040661</v>
      </c>
      <c r="AD189" s="6">
        <v>243.86163</v>
      </c>
      <c r="AE189" s="6">
        <v>0.00043042</v>
      </c>
      <c r="AF189" s="6">
        <v>775</v>
      </c>
      <c r="AG189" s="6">
        <v>-0.0030823</v>
      </c>
      <c r="AH189" s="6">
        <v>-0.00296502</v>
      </c>
      <c r="AI189" s="6">
        <v>-0.00305674</v>
      </c>
      <c r="AJ189" s="6">
        <v>-0.00226355</v>
      </c>
      <c r="AK189" s="6">
        <v>-0.00339706</v>
      </c>
      <c r="AL189" s="6">
        <v>-0.00317465</v>
      </c>
      <c r="AM189" s="6">
        <v>-0.00333605</v>
      </c>
      <c r="AN189" s="6">
        <v>-6.4762184</v>
      </c>
      <c r="AO189" s="6">
        <v>-6.4515561</v>
      </c>
      <c r="AP189" s="6">
        <v>-6.4739881</v>
      </c>
      <c r="AQ189" s="6">
        <v>-6.4253629</v>
      </c>
      <c r="AR189" s="6">
        <v>-6.4020076</v>
      </c>
      <c r="AS189" s="6">
        <v>-6.4618417</v>
      </c>
      <c r="AT189" s="6">
        <v>-6.4506396</v>
      </c>
      <c r="AU189" s="6">
        <v>0.97344833</v>
      </c>
      <c r="AV189" s="6">
        <v>0.96974131</v>
      </c>
      <c r="AW189" s="6">
        <v>0.97311308</v>
      </c>
      <c r="AX189" s="6">
        <v>0.96580418</v>
      </c>
      <c r="AY189" s="6">
        <v>0.96229362</v>
      </c>
      <c r="AZ189" s="6">
        <v>0.97128734</v>
      </c>
      <c r="BA189" s="6">
        <v>0.96960354</v>
      </c>
      <c r="BB189" s="6">
        <v>0.02655167</v>
      </c>
      <c r="BC189" s="6">
        <v>0.03025869</v>
      </c>
      <c r="BD189" s="6">
        <v>0.02688692</v>
      </c>
      <c r="BE189" s="6">
        <v>0.03419582</v>
      </c>
      <c r="BF189" s="6">
        <v>0.03770638</v>
      </c>
      <c r="BG189" s="6">
        <v>0.02871266</v>
      </c>
      <c r="BH189" s="6">
        <v>0.03039646</v>
      </c>
      <c r="BI189" s="6">
        <v>0.21470859</v>
      </c>
      <c r="BJ189" s="6">
        <v>0.12366373</v>
      </c>
      <c r="BK189" s="6">
        <v>0.1409291</v>
      </c>
      <c r="BL189" s="6">
        <v>0.12522516</v>
      </c>
      <c r="BM189" s="6">
        <v>0.1592662</v>
      </c>
      <c r="BN189" s="6">
        <v>0.17561655</v>
      </c>
      <c r="BO189" s="6">
        <v>0.1337285</v>
      </c>
      <c r="BP189" s="6">
        <v>0.14157076</v>
      </c>
      <c r="BQ189" s="6">
        <v>0.01058195</v>
      </c>
      <c r="BR189" s="6">
        <v>0.0090066</v>
      </c>
      <c r="BS189" s="6">
        <v>0.00961056</v>
      </c>
      <c r="BT189" s="6">
        <v>0.00591606</v>
      </c>
      <c r="BU189" s="6">
        <v>0.0104088</v>
      </c>
      <c r="BV189" s="6">
        <v>0.01603688</v>
      </c>
      <c r="BW189" s="6">
        <v>0.01485952</v>
      </c>
      <c r="BX189" s="12">
        <v>4562</v>
      </c>
      <c r="BY189" s="13">
        <v>659</v>
      </c>
      <c r="BZ189" s="12">
        <v>2341.29</v>
      </c>
      <c r="CA189" s="6">
        <f t="shared" si="16"/>
        <v>6.92261001517451</v>
      </c>
      <c r="CB189" s="6">
        <f t="shared" si="17"/>
        <v>1.94849847733514</v>
      </c>
      <c r="CC189" s="7">
        <v>123787775.9</v>
      </c>
      <c r="CD189" s="7">
        <f t="shared" si="12"/>
        <v>5.28716117610377</v>
      </c>
      <c r="CE189" s="8">
        <v>2711.3</v>
      </c>
      <c r="CF189" s="8">
        <v>27346.1</v>
      </c>
      <c r="CG189" s="8">
        <v>26950.3</v>
      </c>
      <c r="CH189" s="8">
        <v>52308</v>
      </c>
      <c r="CI189" s="14">
        <v>0</v>
      </c>
      <c r="CJ189" s="14">
        <v>0</v>
      </c>
      <c r="CK189" s="14">
        <f t="shared" si="13"/>
        <v>0</v>
      </c>
      <c r="CL189">
        <f t="shared" si="14"/>
        <v>2.01609935715007</v>
      </c>
      <c r="CM189">
        <f t="shared" si="15"/>
        <v>0</v>
      </c>
      <c r="CN189" s="15">
        <v>4562.39</v>
      </c>
      <c r="CO189" s="15">
        <v>8055</v>
      </c>
      <c r="CP189" s="15">
        <v>377.55</v>
      </c>
      <c r="CQ189" s="15">
        <v>424.12</v>
      </c>
      <c r="CR189" s="15">
        <v>23.36</v>
      </c>
      <c r="CS189" s="15">
        <v>7.32</v>
      </c>
      <c r="CT189" s="15">
        <v>111.32</v>
      </c>
      <c r="CU189" s="15">
        <v>20.62</v>
      </c>
      <c r="CV189" s="15">
        <v>20.48</v>
      </c>
      <c r="CW189" s="15">
        <v>741.8</v>
      </c>
    </row>
    <row r="190" spans="1:101">
      <c r="A190" s="6">
        <v>2013</v>
      </c>
      <c r="B190" s="6" t="s">
        <v>107</v>
      </c>
      <c r="C190" s="6">
        <v>0.05643281</v>
      </c>
      <c r="D190" s="6">
        <v>0.015762</v>
      </c>
      <c r="E190" s="6">
        <v>0.004344</v>
      </c>
      <c r="F190" s="6">
        <v>0.007332</v>
      </c>
      <c r="G190" s="6">
        <v>0.002514</v>
      </c>
      <c r="H190" s="6">
        <v>0.001572</v>
      </c>
      <c r="I190" s="6">
        <v>0.015588</v>
      </c>
      <c r="J190" s="6">
        <v>0.007437</v>
      </c>
      <c r="K190" s="6">
        <v>0.07207421</v>
      </c>
      <c r="L190" s="6">
        <v>0.06219991</v>
      </c>
      <c r="M190" s="6">
        <v>0.06977489</v>
      </c>
      <c r="N190" s="6">
        <v>0.04583802</v>
      </c>
      <c r="O190" s="6">
        <v>0.01415354</v>
      </c>
      <c r="P190" s="6">
        <v>0.08384038</v>
      </c>
      <c r="Q190" s="6">
        <v>0.06370389</v>
      </c>
      <c r="R190" s="6">
        <v>217.69486</v>
      </c>
      <c r="S190" s="6">
        <v>0.00033108</v>
      </c>
      <c r="T190" s="6">
        <v>169.97573</v>
      </c>
      <c r="U190" s="6">
        <v>0.00036593</v>
      </c>
      <c r="V190" s="6">
        <v>197.11803</v>
      </c>
      <c r="W190" s="6">
        <v>0.00035398</v>
      </c>
      <c r="X190" s="6">
        <v>134.47093</v>
      </c>
      <c r="Y190" s="6">
        <v>0.00034088</v>
      </c>
      <c r="Z190" s="6">
        <v>134.86767</v>
      </c>
      <c r="AA190" s="6">
        <v>0.00010494</v>
      </c>
      <c r="AB190" s="6">
        <v>294.9318</v>
      </c>
      <c r="AC190" s="6">
        <v>0.00028427</v>
      </c>
      <c r="AD190" s="6">
        <v>243.86163</v>
      </c>
      <c r="AE190" s="6">
        <v>0.00026123</v>
      </c>
      <c r="AF190" s="6">
        <v>775</v>
      </c>
      <c r="AG190" s="6">
        <v>-0.00265299</v>
      </c>
      <c r="AH190" s="6">
        <v>-0.00289566</v>
      </c>
      <c r="AI190" s="6">
        <v>-0.00281279</v>
      </c>
      <c r="AJ190" s="6">
        <v>-0.00272156</v>
      </c>
      <c r="AK190" s="6">
        <v>-0.0009615</v>
      </c>
      <c r="AL190" s="6">
        <v>-0.00232123</v>
      </c>
      <c r="AM190" s="6">
        <v>-0.00215517</v>
      </c>
      <c r="AN190" s="6">
        <v>-6.4762184</v>
      </c>
      <c r="AO190" s="6">
        <v>-6.4515561</v>
      </c>
      <c r="AP190" s="6">
        <v>-6.4739881</v>
      </c>
      <c r="AQ190" s="6">
        <v>-6.4253629</v>
      </c>
      <c r="AR190" s="6">
        <v>-6.4020076</v>
      </c>
      <c r="AS190" s="6">
        <v>-6.4618417</v>
      </c>
      <c r="AT190" s="6">
        <v>-6.4506396</v>
      </c>
      <c r="AU190" s="6">
        <v>0.97344833</v>
      </c>
      <c r="AV190" s="6">
        <v>0.96974131</v>
      </c>
      <c r="AW190" s="6">
        <v>0.97311308</v>
      </c>
      <c r="AX190" s="6">
        <v>0.96580418</v>
      </c>
      <c r="AY190" s="6">
        <v>0.96229362</v>
      </c>
      <c r="AZ190" s="6">
        <v>0.97128734</v>
      </c>
      <c r="BA190" s="6">
        <v>0.96960354</v>
      </c>
      <c r="BB190" s="6">
        <v>0.02655167</v>
      </c>
      <c r="BC190" s="6">
        <v>0.03025869</v>
      </c>
      <c r="BD190" s="6">
        <v>0.02688692</v>
      </c>
      <c r="BE190" s="6">
        <v>0.03419582</v>
      </c>
      <c r="BF190" s="6">
        <v>0.03770638</v>
      </c>
      <c r="BG190" s="6">
        <v>0.02871266</v>
      </c>
      <c r="BH190" s="6">
        <v>0.03039646</v>
      </c>
      <c r="BI190" s="6">
        <v>0.21470859</v>
      </c>
      <c r="BJ190" s="6">
        <v>0.12366373</v>
      </c>
      <c r="BK190" s="6">
        <v>0.1409291</v>
      </c>
      <c r="BL190" s="6">
        <v>0.12522516</v>
      </c>
      <c r="BM190" s="6">
        <v>0.1592662</v>
      </c>
      <c r="BN190" s="6">
        <v>0.17561655</v>
      </c>
      <c r="BO190" s="6">
        <v>0.1337285</v>
      </c>
      <c r="BP190" s="6">
        <v>0.14157076</v>
      </c>
      <c r="BQ190" s="6">
        <v>0.00891297</v>
      </c>
      <c r="BR190" s="6">
        <v>0.00876578</v>
      </c>
      <c r="BS190" s="6">
        <v>0.00873757</v>
      </c>
      <c r="BT190" s="6">
        <v>0.00730045</v>
      </c>
      <c r="BU190" s="6">
        <v>0.0024856</v>
      </c>
      <c r="BV190" s="6">
        <v>0.01121185</v>
      </c>
      <c r="BW190" s="6">
        <v>0.00901861</v>
      </c>
      <c r="BX190" s="12">
        <v>4781</v>
      </c>
      <c r="BY190" s="13">
        <v>666</v>
      </c>
      <c r="BZ190" s="12">
        <v>2577.57</v>
      </c>
      <c r="CA190" s="6">
        <f t="shared" si="16"/>
        <v>7.17867867867868</v>
      </c>
      <c r="CB190" s="6">
        <f t="shared" si="17"/>
        <v>1.8548477829894</v>
      </c>
      <c r="CC190" s="7">
        <v>127779347.4</v>
      </c>
      <c r="CD190" s="7">
        <f t="shared" si="12"/>
        <v>4.95735702231171</v>
      </c>
      <c r="CE190" s="8">
        <v>2876.4</v>
      </c>
      <c r="CF190" s="8">
        <v>29343</v>
      </c>
      <c r="CG190" s="8">
        <v>30284</v>
      </c>
      <c r="CH190" s="8">
        <v>56029</v>
      </c>
      <c r="CI190" s="14">
        <v>0</v>
      </c>
      <c r="CJ190" s="14">
        <v>0</v>
      </c>
      <c r="CK190" s="14">
        <f t="shared" si="13"/>
        <v>0</v>
      </c>
      <c r="CL190">
        <f t="shared" si="14"/>
        <v>1.91398219724656</v>
      </c>
      <c r="CM190">
        <f t="shared" si="15"/>
        <v>0</v>
      </c>
      <c r="CN190" s="15">
        <v>4781</v>
      </c>
      <c r="CO190" s="15">
        <v>8533.51</v>
      </c>
      <c r="CP190" s="15">
        <v>417.96</v>
      </c>
      <c r="CQ190" s="15">
        <v>463.31</v>
      </c>
      <c r="CR190" s="15">
        <v>20.04</v>
      </c>
      <c r="CS190" s="15">
        <v>0.12</v>
      </c>
      <c r="CT190" s="15">
        <v>117.91</v>
      </c>
      <c r="CU190" s="15">
        <v>39.51</v>
      </c>
      <c r="CV190" s="15">
        <v>19.57</v>
      </c>
      <c r="CW190" s="15">
        <v>811.18</v>
      </c>
    </row>
    <row r="191" spans="1:101">
      <c r="A191" s="6">
        <v>2014</v>
      </c>
      <c r="B191" s="6" t="s">
        <v>107</v>
      </c>
      <c r="C191" s="6">
        <v>0.04873935</v>
      </c>
      <c r="D191" s="6">
        <v>0.0139</v>
      </c>
      <c r="E191" s="6">
        <v>0.003624</v>
      </c>
      <c r="F191" s="6">
        <v>0.006658</v>
      </c>
      <c r="G191" s="6">
        <v>0.001961</v>
      </c>
      <c r="H191" s="6">
        <v>0.001657</v>
      </c>
      <c r="I191" s="6">
        <v>0.014902</v>
      </c>
      <c r="J191" s="6">
        <v>0.007828</v>
      </c>
      <c r="K191" s="6">
        <v>0.05746476</v>
      </c>
      <c r="L191" s="6">
        <v>0.04517909</v>
      </c>
      <c r="M191" s="6">
        <v>0.05941961</v>
      </c>
      <c r="N191" s="6">
        <v>0.02948957</v>
      </c>
      <c r="O191" s="6">
        <v>0.01670688</v>
      </c>
      <c r="P191" s="6">
        <v>0.07619504</v>
      </c>
      <c r="Q191" s="6">
        <v>0.07067153</v>
      </c>
      <c r="R191" s="6">
        <v>217.69486</v>
      </c>
      <c r="S191" s="6">
        <v>0.00026397</v>
      </c>
      <c r="T191" s="6">
        <v>169.97573</v>
      </c>
      <c r="U191" s="6">
        <v>0.0002658</v>
      </c>
      <c r="V191" s="6">
        <v>197.11803</v>
      </c>
      <c r="W191" s="6">
        <v>0.00030144</v>
      </c>
      <c r="X191" s="6">
        <v>134.47093</v>
      </c>
      <c r="Y191" s="6">
        <v>0.0002193</v>
      </c>
      <c r="Z191" s="6">
        <v>134.86767</v>
      </c>
      <c r="AA191" s="6">
        <v>0.00012388</v>
      </c>
      <c r="AB191" s="6">
        <v>294.9318</v>
      </c>
      <c r="AC191" s="6">
        <v>0.00025835</v>
      </c>
      <c r="AD191" s="6">
        <v>243.86163</v>
      </c>
      <c r="AE191" s="6">
        <v>0.0002898</v>
      </c>
      <c r="AF191" s="6">
        <v>775</v>
      </c>
      <c r="AG191" s="6">
        <v>-0.00217502</v>
      </c>
      <c r="AH191" s="6">
        <v>-0.00218825</v>
      </c>
      <c r="AI191" s="6">
        <v>-0.00244377</v>
      </c>
      <c r="AJ191" s="6">
        <v>-0.00184762</v>
      </c>
      <c r="AK191" s="6">
        <v>-0.00111442</v>
      </c>
      <c r="AL191" s="6">
        <v>-0.00213427</v>
      </c>
      <c r="AM191" s="6">
        <v>-0.00236082</v>
      </c>
      <c r="AN191" s="6">
        <v>-6.4762184</v>
      </c>
      <c r="AO191" s="6">
        <v>-6.4515561</v>
      </c>
      <c r="AP191" s="6">
        <v>-6.4739881</v>
      </c>
      <c r="AQ191" s="6">
        <v>-6.4253629</v>
      </c>
      <c r="AR191" s="6">
        <v>-6.4020076</v>
      </c>
      <c r="AS191" s="6">
        <v>-6.4618417</v>
      </c>
      <c r="AT191" s="6">
        <v>-6.4506396</v>
      </c>
      <c r="AU191" s="6">
        <v>0.97344833</v>
      </c>
      <c r="AV191" s="6">
        <v>0.96974131</v>
      </c>
      <c r="AW191" s="6">
        <v>0.97311308</v>
      </c>
      <c r="AX191" s="6">
        <v>0.96580418</v>
      </c>
      <c r="AY191" s="6">
        <v>0.96229362</v>
      </c>
      <c r="AZ191" s="6">
        <v>0.97128734</v>
      </c>
      <c r="BA191" s="6">
        <v>0.96960354</v>
      </c>
      <c r="BB191" s="6">
        <v>0.02655167</v>
      </c>
      <c r="BC191" s="6">
        <v>0.03025869</v>
      </c>
      <c r="BD191" s="6">
        <v>0.02688692</v>
      </c>
      <c r="BE191" s="6">
        <v>0.03419582</v>
      </c>
      <c r="BF191" s="6">
        <v>0.03770638</v>
      </c>
      <c r="BG191" s="6">
        <v>0.02871266</v>
      </c>
      <c r="BH191" s="6">
        <v>0.03039646</v>
      </c>
      <c r="BI191" s="6">
        <v>0.21470859</v>
      </c>
      <c r="BJ191" s="6">
        <v>0.12366373</v>
      </c>
      <c r="BK191" s="6">
        <v>0.1409291</v>
      </c>
      <c r="BL191" s="6">
        <v>0.12522516</v>
      </c>
      <c r="BM191" s="6">
        <v>0.1592662</v>
      </c>
      <c r="BN191" s="6">
        <v>0.17561655</v>
      </c>
      <c r="BO191" s="6">
        <v>0.1337285</v>
      </c>
      <c r="BP191" s="6">
        <v>0.14157076</v>
      </c>
      <c r="BQ191" s="6">
        <v>0.00710631</v>
      </c>
      <c r="BR191" s="6">
        <v>0.00636705</v>
      </c>
      <c r="BS191" s="6">
        <v>0.00744083</v>
      </c>
      <c r="BT191" s="6">
        <v>0.00469669</v>
      </c>
      <c r="BU191" s="6">
        <v>0.002934</v>
      </c>
      <c r="BV191" s="6">
        <v>0.01018945</v>
      </c>
      <c r="BW191" s="6">
        <v>0.01000502</v>
      </c>
      <c r="BX191" s="12">
        <v>4946</v>
      </c>
      <c r="BY191" s="13">
        <v>678</v>
      </c>
      <c r="BZ191" s="12">
        <v>2752.1</v>
      </c>
      <c r="CA191" s="6">
        <f t="shared" si="16"/>
        <v>7.29498525073746</v>
      </c>
      <c r="CB191" s="6">
        <f t="shared" si="17"/>
        <v>1.7971730678391</v>
      </c>
      <c r="CC191" s="7">
        <v>124469623.5</v>
      </c>
      <c r="CD191" s="7">
        <f t="shared" si="12"/>
        <v>4.52271441808074</v>
      </c>
      <c r="CE191" s="8">
        <v>3038.7</v>
      </c>
      <c r="CF191" s="8">
        <v>31930.4</v>
      </c>
      <c r="CG191" s="8">
        <v>33204</v>
      </c>
      <c r="CH191" s="8">
        <v>59909</v>
      </c>
      <c r="CI191" s="14">
        <v>0</v>
      </c>
      <c r="CJ191" s="14">
        <v>0</v>
      </c>
      <c r="CK191" s="14">
        <f t="shared" si="13"/>
        <v>0</v>
      </c>
      <c r="CL191">
        <f t="shared" si="14"/>
        <v>1.79640226266579</v>
      </c>
      <c r="CM191">
        <f t="shared" si="15"/>
        <v>0</v>
      </c>
      <c r="CN191" s="15">
        <v>4946.1</v>
      </c>
      <c r="CO191" s="15">
        <v>8857</v>
      </c>
      <c r="CP191" s="15">
        <v>386.87</v>
      </c>
      <c r="CQ191" s="15">
        <v>426.15</v>
      </c>
      <c r="CR191" s="15">
        <v>21.77</v>
      </c>
      <c r="CS191" s="15">
        <v>0.03</v>
      </c>
      <c r="CT191" s="15">
        <v>123.38</v>
      </c>
      <c r="CU191" s="15">
        <v>30.19</v>
      </c>
      <c r="CV191" s="15">
        <v>17.88</v>
      </c>
      <c r="CW191" s="15">
        <v>848.75</v>
      </c>
    </row>
    <row r="192" spans="1:101">
      <c r="A192" s="6">
        <v>2015</v>
      </c>
      <c r="B192" s="6" t="s">
        <v>107</v>
      </c>
      <c r="C192" s="6">
        <v>0.05828273</v>
      </c>
      <c r="D192" s="6">
        <v>0.015413</v>
      </c>
      <c r="E192" s="6">
        <v>0.003864</v>
      </c>
      <c r="F192" s="6">
        <v>0.00691</v>
      </c>
      <c r="G192" s="6">
        <v>0.002231</v>
      </c>
      <c r="H192" s="6">
        <v>0.002408</v>
      </c>
      <c r="I192" s="6">
        <v>0.016718</v>
      </c>
      <c r="J192" s="6">
        <v>0.007359</v>
      </c>
      <c r="K192" s="6">
        <v>0.06933192</v>
      </c>
      <c r="L192" s="6">
        <v>0.05085449</v>
      </c>
      <c r="M192" s="6">
        <v>0.06328526</v>
      </c>
      <c r="N192" s="6">
        <v>0.037471</v>
      </c>
      <c r="O192" s="6">
        <v>0.0394751</v>
      </c>
      <c r="P192" s="6">
        <v>0.09642263</v>
      </c>
      <c r="Q192" s="6">
        <v>0.06231729</v>
      </c>
      <c r="R192" s="6">
        <v>217.69486</v>
      </c>
      <c r="S192" s="6">
        <v>0.00031848</v>
      </c>
      <c r="T192" s="6">
        <v>169.97573</v>
      </c>
      <c r="U192" s="6">
        <v>0.00029919</v>
      </c>
      <c r="V192" s="6">
        <v>197.11803</v>
      </c>
      <c r="W192" s="6">
        <v>0.00032105</v>
      </c>
      <c r="X192" s="6">
        <v>134.47093</v>
      </c>
      <c r="Y192" s="6">
        <v>0.00027865</v>
      </c>
      <c r="Z192" s="6">
        <v>134.86767</v>
      </c>
      <c r="AA192" s="6">
        <v>0.0002927</v>
      </c>
      <c r="AB192" s="6">
        <v>294.9318</v>
      </c>
      <c r="AC192" s="6">
        <v>0.00032693</v>
      </c>
      <c r="AD192" s="6">
        <v>243.86163</v>
      </c>
      <c r="AE192" s="6">
        <v>0.00025554</v>
      </c>
      <c r="AF192" s="6">
        <v>775</v>
      </c>
      <c r="AG192" s="6">
        <v>-0.0025644</v>
      </c>
      <c r="AH192" s="6">
        <v>-0.00242773</v>
      </c>
      <c r="AI192" s="6">
        <v>-0.00258252</v>
      </c>
      <c r="AJ192" s="6">
        <v>-0.00228094</v>
      </c>
      <c r="AK192" s="6">
        <v>-0.00238148</v>
      </c>
      <c r="AL192" s="6">
        <v>-0.00262388</v>
      </c>
      <c r="AM192" s="6">
        <v>-0.00211389</v>
      </c>
      <c r="AN192" s="6">
        <v>-6.4762184</v>
      </c>
      <c r="AO192" s="6">
        <v>-6.4515561</v>
      </c>
      <c r="AP192" s="6">
        <v>-6.4739881</v>
      </c>
      <c r="AQ192" s="6">
        <v>-6.4253629</v>
      </c>
      <c r="AR192" s="6">
        <v>-6.4020076</v>
      </c>
      <c r="AS192" s="6">
        <v>-6.4618417</v>
      </c>
      <c r="AT192" s="6">
        <v>-6.4506396</v>
      </c>
      <c r="AU192" s="6">
        <v>0.97344833</v>
      </c>
      <c r="AV192" s="6">
        <v>0.96974131</v>
      </c>
      <c r="AW192" s="6">
        <v>0.97311308</v>
      </c>
      <c r="AX192" s="6">
        <v>0.96580418</v>
      </c>
      <c r="AY192" s="6">
        <v>0.96229362</v>
      </c>
      <c r="AZ192" s="6">
        <v>0.97128734</v>
      </c>
      <c r="BA192" s="6">
        <v>0.96960354</v>
      </c>
      <c r="BB192" s="6">
        <v>0.02655167</v>
      </c>
      <c r="BC192" s="6">
        <v>0.03025869</v>
      </c>
      <c r="BD192" s="6">
        <v>0.02688692</v>
      </c>
      <c r="BE192" s="6">
        <v>0.03419582</v>
      </c>
      <c r="BF192" s="6">
        <v>0.03770638</v>
      </c>
      <c r="BG192" s="6">
        <v>0.02871266</v>
      </c>
      <c r="BH192" s="6">
        <v>0.03039646</v>
      </c>
      <c r="BI192" s="6">
        <v>0.21470859</v>
      </c>
      <c r="BJ192" s="6">
        <v>0.12366373</v>
      </c>
      <c r="BK192" s="6">
        <v>0.1409291</v>
      </c>
      <c r="BL192" s="6">
        <v>0.12522516</v>
      </c>
      <c r="BM192" s="6">
        <v>0.1592662</v>
      </c>
      <c r="BN192" s="6">
        <v>0.17561655</v>
      </c>
      <c r="BO192" s="6">
        <v>0.1337285</v>
      </c>
      <c r="BP192" s="6">
        <v>0.14157076</v>
      </c>
      <c r="BQ192" s="6">
        <v>0.00857384</v>
      </c>
      <c r="BR192" s="6">
        <v>0.00716688</v>
      </c>
      <c r="BS192" s="6">
        <v>0.00792491</v>
      </c>
      <c r="BT192" s="6">
        <v>0.00596786</v>
      </c>
      <c r="BU192" s="6">
        <v>0.00693248</v>
      </c>
      <c r="BV192" s="6">
        <v>0.01289445</v>
      </c>
      <c r="BW192" s="6">
        <v>0.00882231</v>
      </c>
      <c r="BX192" s="12">
        <v>5438</v>
      </c>
      <c r="BY192" s="13">
        <v>684</v>
      </c>
      <c r="BZ192" s="12">
        <v>2911.77</v>
      </c>
      <c r="CA192" s="6">
        <f t="shared" si="16"/>
        <v>7.95029239766082</v>
      </c>
      <c r="CB192" s="6">
        <f t="shared" si="17"/>
        <v>1.86759256397312</v>
      </c>
      <c r="CC192" s="7">
        <v>119601873.3</v>
      </c>
      <c r="CD192" s="7">
        <f t="shared" si="12"/>
        <v>4.107531614791</v>
      </c>
      <c r="CE192" s="8">
        <v>3189.8</v>
      </c>
      <c r="CF192" s="8">
        <v>33913.8</v>
      </c>
      <c r="CG192" s="8">
        <v>37628.9</v>
      </c>
      <c r="CH192" s="8">
        <v>64516</v>
      </c>
      <c r="CI192" s="14">
        <v>0</v>
      </c>
      <c r="CJ192" s="14">
        <v>0</v>
      </c>
      <c r="CK192" s="14">
        <f t="shared" si="13"/>
        <v>0</v>
      </c>
      <c r="CL192">
        <f t="shared" si="14"/>
        <v>1.71577514742415</v>
      </c>
      <c r="CM192">
        <f t="shared" si="15"/>
        <v>0</v>
      </c>
      <c r="CN192" s="15">
        <v>5438</v>
      </c>
      <c r="CO192" s="15">
        <v>8928.41</v>
      </c>
      <c r="CP192" s="15">
        <v>488.53</v>
      </c>
      <c r="CQ192" s="15">
        <v>477.12</v>
      </c>
      <c r="CR192" s="15">
        <v>37.08</v>
      </c>
      <c r="CS192" s="15">
        <v>0.02</v>
      </c>
      <c r="CT192" s="15">
        <v>119.25</v>
      </c>
      <c r="CU192" s="15">
        <v>50.83</v>
      </c>
      <c r="CV192" s="15">
        <v>20.05</v>
      </c>
      <c r="CW192" s="15">
        <v>878</v>
      </c>
    </row>
    <row r="193" spans="1:101">
      <c r="A193" s="6">
        <v>2016</v>
      </c>
      <c r="B193" s="6" t="s">
        <v>107</v>
      </c>
      <c r="C193" s="6">
        <v>0.04713581</v>
      </c>
      <c r="D193" s="6">
        <v>0.013415</v>
      </c>
      <c r="E193" s="6">
        <v>0.003238</v>
      </c>
      <c r="F193" s="6">
        <v>0.005969</v>
      </c>
      <c r="G193" s="6">
        <v>0.002129</v>
      </c>
      <c r="H193" s="6">
        <v>0.002078</v>
      </c>
      <c r="I193" s="6">
        <v>0.015474</v>
      </c>
      <c r="J193" s="6">
        <v>0.006875</v>
      </c>
      <c r="K193" s="6">
        <v>0.05365747</v>
      </c>
      <c r="L193" s="6">
        <v>0.03606562</v>
      </c>
      <c r="M193" s="6">
        <v>0.04883045</v>
      </c>
      <c r="N193" s="6">
        <v>0.03443428</v>
      </c>
      <c r="O193" s="6">
        <v>0.0294888</v>
      </c>
      <c r="P193" s="6">
        <v>0.0825653</v>
      </c>
      <c r="Q193" s="6">
        <v>0.0536732</v>
      </c>
      <c r="R193" s="6">
        <v>217.69486</v>
      </c>
      <c r="S193" s="6">
        <v>0.00024648</v>
      </c>
      <c r="T193" s="6">
        <v>169.97573</v>
      </c>
      <c r="U193" s="6">
        <v>0.00021218</v>
      </c>
      <c r="V193" s="6">
        <v>197.11803</v>
      </c>
      <c r="W193" s="6">
        <v>0.00024772</v>
      </c>
      <c r="X193" s="6">
        <v>134.47093</v>
      </c>
      <c r="Y193" s="6">
        <v>0.00025607</v>
      </c>
      <c r="Z193" s="6">
        <v>134.86767</v>
      </c>
      <c r="AA193" s="6">
        <v>0.00021865</v>
      </c>
      <c r="AB193" s="6">
        <v>294.9318</v>
      </c>
      <c r="AC193" s="6">
        <v>0.00027995</v>
      </c>
      <c r="AD193" s="6">
        <v>243.86163</v>
      </c>
      <c r="AE193" s="6">
        <v>0.0002201</v>
      </c>
      <c r="AF193" s="6">
        <v>775</v>
      </c>
      <c r="AG193" s="6">
        <v>-0.00204781</v>
      </c>
      <c r="AH193" s="6">
        <v>-0.00179464</v>
      </c>
      <c r="AI193" s="6">
        <v>-0.00205689</v>
      </c>
      <c r="AJ193" s="6">
        <v>-0.00211773</v>
      </c>
      <c r="AK193" s="6">
        <v>-0.00184279</v>
      </c>
      <c r="AL193" s="6">
        <v>-0.00229022</v>
      </c>
      <c r="AM193" s="6">
        <v>-0.00185353</v>
      </c>
      <c r="AN193" s="6">
        <v>-6.4762184</v>
      </c>
      <c r="AO193" s="6">
        <v>-6.4515561</v>
      </c>
      <c r="AP193" s="6">
        <v>-6.4739881</v>
      </c>
      <c r="AQ193" s="6">
        <v>-6.4253629</v>
      </c>
      <c r="AR193" s="6">
        <v>-6.4020076</v>
      </c>
      <c r="AS193" s="6">
        <v>-6.4618417</v>
      </c>
      <c r="AT193" s="6">
        <v>-6.4506396</v>
      </c>
      <c r="AU193" s="6">
        <v>0.97344833</v>
      </c>
      <c r="AV193" s="6">
        <v>0.96974131</v>
      </c>
      <c r="AW193" s="6">
        <v>0.97311308</v>
      </c>
      <c r="AX193" s="6">
        <v>0.96580418</v>
      </c>
      <c r="AY193" s="6">
        <v>0.96229362</v>
      </c>
      <c r="AZ193" s="6">
        <v>0.97128734</v>
      </c>
      <c r="BA193" s="6">
        <v>0.96960354</v>
      </c>
      <c r="BB193" s="6">
        <v>0.02655167</v>
      </c>
      <c r="BC193" s="6">
        <v>0.03025869</v>
      </c>
      <c r="BD193" s="6">
        <v>0.02688692</v>
      </c>
      <c r="BE193" s="6">
        <v>0.03419582</v>
      </c>
      <c r="BF193" s="6">
        <v>0.03770638</v>
      </c>
      <c r="BG193" s="6">
        <v>0.02871266</v>
      </c>
      <c r="BH193" s="6">
        <v>0.03039646</v>
      </c>
      <c r="BI193" s="6">
        <v>0.21470859</v>
      </c>
      <c r="BJ193" s="6">
        <v>0.12366373</v>
      </c>
      <c r="BK193" s="6">
        <v>0.1409291</v>
      </c>
      <c r="BL193" s="6">
        <v>0.12522516</v>
      </c>
      <c r="BM193" s="6">
        <v>0.1592662</v>
      </c>
      <c r="BN193" s="6">
        <v>0.17561655</v>
      </c>
      <c r="BO193" s="6">
        <v>0.1337285</v>
      </c>
      <c r="BP193" s="6">
        <v>0.14157076</v>
      </c>
      <c r="BQ193" s="6">
        <v>0.00663548</v>
      </c>
      <c r="BR193" s="6">
        <v>0.0050827</v>
      </c>
      <c r="BS193" s="6">
        <v>0.0061148</v>
      </c>
      <c r="BT193" s="6">
        <v>0.00548422</v>
      </c>
      <c r="BU193" s="6">
        <v>0.00517872</v>
      </c>
      <c r="BV193" s="6">
        <v>0.01104133</v>
      </c>
      <c r="BW193" s="6">
        <v>0.00759856</v>
      </c>
      <c r="BX193" s="12">
        <v>5591</v>
      </c>
      <c r="BY193" s="13">
        <v>695</v>
      </c>
      <c r="BZ193" s="12">
        <v>3168.59</v>
      </c>
      <c r="CA193" s="6">
        <f t="shared" si="16"/>
        <v>8.04460431654676</v>
      </c>
      <c r="CB193" s="6">
        <f t="shared" si="17"/>
        <v>1.76450724139128</v>
      </c>
      <c r="CC193" s="7">
        <v>121513570.8</v>
      </c>
      <c r="CD193" s="7">
        <f t="shared" si="12"/>
        <v>3.83494143451819</v>
      </c>
      <c r="CE193" s="8">
        <v>3500.5</v>
      </c>
      <c r="CF193" s="8">
        <v>35499.2</v>
      </c>
      <c r="CG193" s="8">
        <v>43163.5</v>
      </c>
      <c r="CH193" s="8">
        <v>69671</v>
      </c>
      <c r="CI193" s="14">
        <v>0</v>
      </c>
      <c r="CJ193" s="14">
        <v>0</v>
      </c>
      <c r="CK193" s="14">
        <f t="shared" si="13"/>
        <v>0</v>
      </c>
      <c r="CL193">
        <f t="shared" si="14"/>
        <v>1.62438398605541</v>
      </c>
      <c r="CM193">
        <f t="shared" si="15"/>
        <v>0</v>
      </c>
      <c r="CN193" s="15">
        <v>5591</v>
      </c>
      <c r="CO193" s="15">
        <v>8680.01</v>
      </c>
      <c r="CP193" s="15">
        <v>450.61</v>
      </c>
      <c r="CQ193" s="15">
        <v>576.35</v>
      </c>
      <c r="CR193" s="15">
        <v>23.19</v>
      </c>
      <c r="CS193" s="15">
        <v>0.02</v>
      </c>
      <c r="CT193" s="15">
        <v>115.4</v>
      </c>
      <c r="CU193" s="15">
        <v>82.15</v>
      </c>
      <c r="CV193" s="15">
        <v>22.4</v>
      </c>
      <c r="CW193" s="15">
        <v>886.91</v>
      </c>
    </row>
    <row r="194" spans="1:101">
      <c r="A194" s="6">
        <v>2017</v>
      </c>
      <c r="B194" s="6" t="s">
        <v>107</v>
      </c>
      <c r="C194" s="6">
        <v>0.05745789</v>
      </c>
      <c r="D194" s="6">
        <v>0.016184</v>
      </c>
      <c r="E194" s="6">
        <v>0.004051</v>
      </c>
      <c r="F194" s="6">
        <v>0.007305</v>
      </c>
      <c r="G194" s="6">
        <v>0.002385</v>
      </c>
      <c r="H194" s="6">
        <v>0.002443</v>
      </c>
      <c r="I194" s="6">
        <v>0.014817</v>
      </c>
      <c r="J194" s="6">
        <v>0.006949</v>
      </c>
      <c r="K194" s="6">
        <v>0.0753809</v>
      </c>
      <c r="L194" s="6">
        <v>0.05528916</v>
      </c>
      <c r="M194" s="6">
        <v>0.06935456</v>
      </c>
      <c r="N194" s="6">
        <v>0.04200767</v>
      </c>
      <c r="O194" s="6">
        <v>0.04054233</v>
      </c>
      <c r="P194" s="6">
        <v>0.07525404</v>
      </c>
      <c r="Q194" s="6">
        <v>0.05499228</v>
      </c>
      <c r="R194" s="6">
        <v>217.69486</v>
      </c>
      <c r="S194" s="6">
        <v>0.00034627</v>
      </c>
      <c r="T194" s="6">
        <v>169.97573</v>
      </c>
      <c r="U194" s="6">
        <v>0.00032528</v>
      </c>
      <c r="V194" s="6">
        <v>197.11803</v>
      </c>
      <c r="W194" s="6">
        <v>0.00035184</v>
      </c>
      <c r="X194" s="6">
        <v>134.47093</v>
      </c>
      <c r="Y194" s="6">
        <v>0.00031239</v>
      </c>
      <c r="Z194" s="6">
        <v>134.86767</v>
      </c>
      <c r="AA194" s="6">
        <v>0.00030061</v>
      </c>
      <c r="AB194" s="6">
        <v>294.9318</v>
      </c>
      <c r="AC194" s="6">
        <v>0.00025516</v>
      </c>
      <c r="AD194" s="6">
        <v>243.86163</v>
      </c>
      <c r="AE194" s="6">
        <v>0.00022551</v>
      </c>
      <c r="AF194" s="6">
        <v>775</v>
      </c>
      <c r="AG194" s="6">
        <v>-0.00275917</v>
      </c>
      <c r="AH194" s="6">
        <v>-0.00261224</v>
      </c>
      <c r="AI194" s="6">
        <v>-0.00279797</v>
      </c>
      <c r="AJ194" s="6">
        <v>-0.0025214</v>
      </c>
      <c r="AK194" s="6">
        <v>-0.00243784</v>
      </c>
      <c r="AL194" s="6">
        <v>-0.00211108</v>
      </c>
      <c r="AM194" s="6">
        <v>-0.00189361</v>
      </c>
      <c r="AN194" s="6">
        <v>-6.4762184</v>
      </c>
      <c r="AO194" s="6">
        <v>-6.4515561</v>
      </c>
      <c r="AP194" s="6">
        <v>-6.4739881</v>
      </c>
      <c r="AQ194" s="6">
        <v>-6.4253629</v>
      </c>
      <c r="AR194" s="6">
        <v>-6.4020076</v>
      </c>
      <c r="AS194" s="6">
        <v>-6.4618417</v>
      </c>
      <c r="AT194" s="6">
        <v>-6.4506396</v>
      </c>
      <c r="AU194" s="6">
        <v>0.97344833</v>
      </c>
      <c r="AV194" s="6">
        <v>0.96974131</v>
      </c>
      <c r="AW194" s="6">
        <v>0.97311308</v>
      </c>
      <c r="AX194" s="6">
        <v>0.96580418</v>
      </c>
      <c r="AY194" s="6">
        <v>0.96229362</v>
      </c>
      <c r="AZ194" s="6">
        <v>0.97128734</v>
      </c>
      <c r="BA194" s="6">
        <v>0.96960354</v>
      </c>
      <c r="BB194" s="6">
        <v>0.02655167</v>
      </c>
      <c r="BC194" s="6">
        <v>0.03025869</v>
      </c>
      <c r="BD194" s="6">
        <v>0.02688692</v>
      </c>
      <c r="BE194" s="6">
        <v>0.03419582</v>
      </c>
      <c r="BF194" s="6">
        <v>0.03770638</v>
      </c>
      <c r="BG194" s="6">
        <v>0.02871266</v>
      </c>
      <c r="BH194" s="6">
        <v>0.03039646</v>
      </c>
      <c r="BI194" s="6">
        <v>0.21470859</v>
      </c>
      <c r="BJ194" s="6">
        <v>0.12366373</v>
      </c>
      <c r="BK194" s="6">
        <v>0.1409291</v>
      </c>
      <c r="BL194" s="6">
        <v>0.12522516</v>
      </c>
      <c r="BM194" s="6">
        <v>0.1592662</v>
      </c>
      <c r="BN194" s="6">
        <v>0.17561655</v>
      </c>
      <c r="BO194" s="6">
        <v>0.1337285</v>
      </c>
      <c r="BP194" s="6">
        <v>0.14157076</v>
      </c>
      <c r="BQ194" s="6">
        <v>0.00932188</v>
      </c>
      <c r="BR194" s="6">
        <v>0.00779185</v>
      </c>
      <c r="BS194" s="6">
        <v>0.00868494</v>
      </c>
      <c r="BT194" s="6">
        <v>0.0066904</v>
      </c>
      <c r="BU194" s="6">
        <v>0.0071199</v>
      </c>
      <c r="BV194" s="6">
        <v>0.01006361</v>
      </c>
      <c r="BW194" s="6">
        <v>0.0077853</v>
      </c>
      <c r="BX194" s="12">
        <v>6461</v>
      </c>
      <c r="BY194" s="13">
        <v>705</v>
      </c>
      <c r="BZ194" s="12">
        <v>3443.56</v>
      </c>
      <c r="CA194" s="6">
        <f t="shared" si="16"/>
        <v>9.1645390070922</v>
      </c>
      <c r="CB194" s="6">
        <f t="shared" si="17"/>
        <v>1.87625596766137</v>
      </c>
      <c r="CC194" s="7">
        <v>141477024.1</v>
      </c>
      <c r="CD194" s="7">
        <f t="shared" si="12"/>
        <v>4.10845241842744</v>
      </c>
      <c r="CE194" s="8">
        <v>3611.4</v>
      </c>
      <c r="CF194" s="8">
        <v>38536.6</v>
      </c>
      <c r="CG194" s="8">
        <v>49500.7</v>
      </c>
      <c r="CH194" s="8">
        <v>76218</v>
      </c>
      <c r="CI194" s="14">
        <v>1</v>
      </c>
      <c r="CJ194" s="14">
        <v>0</v>
      </c>
      <c r="CK194" s="14">
        <f t="shared" si="13"/>
        <v>0</v>
      </c>
      <c r="CL194">
        <f t="shared" si="14"/>
        <v>1.56738551218677</v>
      </c>
      <c r="CM194">
        <f t="shared" si="15"/>
        <v>0</v>
      </c>
      <c r="CN194" s="15">
        <v>6461</v>
      </c>
      <c r="CO194" s="15">
        <v>11046.2</v>
      </c>
      <c r="CP194" s="15">
        <v>524.01</v>
      </c>
      <c r="CQ194" s="15">
        <v>591.37</v>
      </c>
      <c r="CR194" s="15">
        <v>21</v>
      </c>
      <c r="CS194" s="15">
        <v>0.01</v>
      </c>
      <c r="CT194" s="15">
        <v>120.2</v>
      </c>
      <c r="CU194" s="15">
        <v>87.37</v>
      </c>
      <c r="CV194" s="15">
        <v>19.99</v>
      </c>
      <c r="CW194" s="15">
        <v>978.3</v>
      </c>
    </row>
    <row r="195" spans="1:101">
      <c r="A195" s="6">
        <v>2018</v>
      </c>
      <c r="B195" s="6" t="s">
        <v>107</v>
      </c>
      <c r="C195" s="6">
        <v>0.06112574</v>
      </c>
      <c r="D195" s="6">
        <v>0.015925</v>
      </c>
      <c r="E195" s="6">
        <v>0.003574</v>
      </c>
      <c r="F195" s="6">
        <v>0.007278</v>
      </c>
      <c r="G195" s="6">
        <v>0.002701</v>
      </c>
      <c r="H195" s="6">
        <v>0.002372</v>
      </c>
      <c r="I195" s="6">
        <v>0.01596</v>
      </c>
      <c r="J195" s="6">
        <v>0.008037</v>
      </c>
      <c r="K195" s="6">
        <v>0.07334941</v>
      </c>
      <c r="L195" s="6">
        <v>0.04400114</v>
      </c>
      <c r="M195" s="6">
        <v>0.06894472</v>
      </c>
      <c r="N195" s="6">
        <v>0.05136656</v>
      </c>
      <c r="O195" s="6">
        <v>0.03837589</v>
      </c>
      <c r="P195" s="6">
        <v>0.08797746</v>
      </c>
      <c r="Q195" s="6">
        <v>0.0744146</v>
      </c>
      <c r="R195" s="6">
        <v>217.69486</v>
      </c>
      <c r="S195" s="6">
        <v>0.00033694</v>
      </c>
      <c r="T195" s="6">
        <v>169.97573</v>
      </c>
      <c r="U195" s="6">
        <v>0.00025887</v>
      </c>
      <c r="V195" s="6">
        <v>197.11803</v>
      </c>
      <c r="W195" s="6">
        <v>0.00034976</v>
      </c>
      <c r="X195" s="6">
        <v>134.47093</v>
      </c>
      <c r="Y195" s="6">
        <v>0.00038199</v>
      </c>
      <c r="Z195" s="6">
        <v>134.86767</v>
      </c>
      <c r="AA195" s="6">
        <v>0.00028454</v>
      </c>
      <c r="AB195" s="6">
        <v>294.9318</v>
      </c>
      <c r="AC195" s="6">
        <v>0.0002983</v>
      </c>
      <c r="AD195" s="6">
        <v>243.86163</v>
      </c>
      <c r="AE195" s="6">
        <v>0.00030515</v>
      </c>
      <c r="AF195" s="6">
        <v>775</v>
      </c>
      <c r="AG195" s="6">
        <v>-0.00269402</v>
      </c>
      <c r="AH195" s="6">
        <v>-0.00213803</v>
      </c>
      <c r="AI195" s="6">
        <v>-0.00278351</v>
      </c>
      <c r="AJ195" s="6">
        <v>-0.00300631</v>
      </c>
      <c r="AK195" s="6">
        <v>-0.0023232</v>
      </c>
      <c r="AL195" s="6">
        <v>-0.00242141</v>
      </c>
      <c r="AM195" s="6">
        <v>-0.00247011</v>
      </c>
      <c r="AN195" s="6">
        <v>-6.4762184</v>
      </c>
      <c r="AO195" s="6">
        <v>-6.4515561</v>
      </c>
      <c r="AP195" s="6">
        <v>-6.4739881</v>
      </c>
      <c r="AQ195" s="6">
        <v>-6.4253629</v>
      </c>
      <c r="AR195" s="6">
        <v>-6.4020076</v>
      </c>
      <c r="AS195" s="6">
        <v>-6.4618417</v>
      </c>
      <c r="AT195" s="6">
        <v>-6.4506396</v>
      </c>
      <c r="AU195" s="6">
        <v>0.97344833</v>
      </c>
      <c r="AV195" s="6">
        <v>0.96974131</v>
      </c>
      <c r="AW195" s="6">
        <v>0.97311308</v>
      </c>
      <c r="AX195" s="6">
        <v>0.96580418</v>
      </c>
      <c r="AY195" s="6">
        <v>0.96229362</v>
      </c>
      <c r="AZ195" s="6">
        <v>0.97128734</v>
      </c>
      <c r="BA195" s="6">
        <v>0.96960354</v>
      </c>
      <c r="BB195" s="6">
        <v>0.02655167</v>
      </c>
      <c r="BC195" s="6">
        <v>0.03025869</v>
      </c>
      <c r="BD195" s="6">
        <v>0.02688692</v>
      </c>
      <c r="BE195" s="6">
        <v>0.03419582</v>
      </c>
      <c r="BF195" s="6">
        <v>0.03770638</v>
      </c>
      <c r="BG195" s="6">
        <v>0.02871266</v>
      </c>
      <c r="BH195" s="6">
        <v>0.03039646</v>
      </c>
      <c r="BI195" s="6">
        <v>0.21470859</v>
      </c>
      <c r="BJ195" s="6">
        <v>0.12366373</v>
      </c>
      <c r="BK195" s="6">
        <v>0.1409291</v>
      </c>
      <c r="BL195" s="6">
        <v>0.12522516</v>
      </c>
      <c r="BM195" s="6">
        <v>0.1592662</v>
      </c>
      <c r="BN195" s="6">
        <v>0.17561655</v>
      </c>
      <c r="BO195" s="6">
        <v>0.1337285</v>
      </c>
      <c r="BP195" s="6">
        <v>0.14157076</v>
      </c>
      <c r="BQ195" s="6">
        <v>0.00907066</v>
      </c>
      <c r="BR195" s="6">
        <v>0.00620104</v>
      </c>
      <c r="BS195" s="6">
        <v>0.00863361</v>
      </c>
      <c r="BT195" s="6">
        <v>0.00818096</v>
      </c>
      <c r="BU195" s="6">
        <v>0.00673944</v>
      </c>
      <c r="BV195" s="6">
        <v>0.01176509</v>
      </c>
      <c r="BW195" s="6">
        <v>0.01053493</v>
      </c>
      <c r="BX195" s="12">
        <v>7100</v>
      </c>
      <c r="BY195" s="13">
        <v>710</v>
      </c>
      <c r="BZ195" s="12">
        <v>3705.18</v>
      </c>
      <c r="CA195" s="6">
        <f t="shared" si="16"/>
        <v>10</v>
      </c>
      <c r="CB195" s="6">
        <f t="shared" si="17"/>
        <v>1.91623618825536</v>
      </c>
      <c r="CC195" s="7">
        <v>153896847.4</v>
      </c>
      <c r="CD195" s="7">
        <f t="shared" ref="CD195:CD258" si="18">CC195/10000/BZ195</f>
        <v>4.15355927107455</v>
      </c>
      <c r="CE195" s="8">
        <v>3836.4</v>
      </c>
      <c r="CF195" s="8">
        <v>41398.5</v>
      </c>
      <c r="CG195" s="8">
        <v>54710.4</v>
      </c>
      <c r="CH195" s="8">
        <v>81625</v>
      </c>
      <c r="CI195" s="14">
        <v>1</v>
      </c>
      <c r="CJ195" s="14">
        <v>0</v>
      </c>
      <c r="CK195" s="14">
        <f t="shared" ref="CK195:CK258" si="19">CI195*CJ195</f>
        <v>0</v>
      </c>
      <c r="CL195">
        <f t="shared" ref="CL195:CL258" si="20">AVERAGEIF($A:$A,$A195,$CD:$CD)</f>
        <v>1.51591455826218</v>
      </c>
      <c r="CM195">
        <f t="shared" ref="CM195:CM258" si="21">MAX(0,1-CD195/CL195)</f>
        <v>0</v>
      </c>
      <c r="CN195" s="15">
        <v>7100</v>
      </c>
      <c r="CO195" s="15">
        <v>12711.22</v>
      </c>
      <c r="CP195" s="15">
        <v>578.06</v>
      </c>
      <c r="CQ195" s="15">
        <v>448.7</v>
      </c>
      <c r="CR195" s="15">
        <v>18.77</v>
      </c>
      <c r="CS195" s="15">
        <v>0.02</v>
      </c>
      <c r="CT195" s="15">
        <v>117.63</v>
      </c>
      <c r="CU195" s="15">
        <v>80.48</v>
      </c>
      <c r="CV195" s="15">
        <v>20.96</v>
      </c>
      <c r="CW195" s="15">
        <v>1064.85</v>
      </c>
    </row>
    <row r="196" spans="1:101">
      <c r="A196" s="6">
        <v>2019</v>
      </c>
      <c r="B196" s="6" t="s">
        <v>107</v>
      </c>
      <c r="C196" s="6">
        <v>0.07524264</v>
      </c>
      <c r="D196" s="6">
        <v>0.017736</v>
      </c>
      <c r="E196" s="6">
        <v>0.00421</v>
      </c>
      <c r="F196" s="6">
        <v>0.00776</v>
      </c>
      <c r="G196" s="6">
        <v>0.002954</v>
      </c>
      <c r="H196" s="6">
        <v>0.002811</v>
      </c>
      <c r="I196" s="6">
        <v>0.017613</v>
      </c>
      <c r="J196" s="6">
        <v>0.009352</v>
      </c>
      <c r="K196" s="6">
        <v>0.08755245</v>
      </c>
      <c r="L196" s="6">
        <v>0.05905076</v>
      </c>
      <c r="M196" s="6">
        <v>0.07635123</v>
      </c>
      <c r="N196" s="6">
        <v>0.05883262</v>
      </c>
      <c r="O196" s="6">
        <v>0.05169957</v>
      </c>
      <c r="P196" s="6">
        <v>0.10639043</v>
      </c>
      <c r="Q196" s="6">
        <v>0.09787144</v>
      </c>
      <c r="R196" s="6">
        <v>217.69486</v>
      </c>
      <c r="S196" s="6">
        <v>0.00040218</v>
      </c>
      <c r="T196" s="6">
        <v>169.97573</v>
      </c>
      <c r="U196" s="6">
        <v>0.00034741</v>
      </c>
      <c r="V196" s="6">
        <v>197.11803</v>
      </c>
      <c r="W196" s="6">
        <v>0.00038734</v>
      </c>
      <c r="X196" s="6">
        <v>134.47093</v>
      </c>
      <c r="Y196" s="6">
        <v>0.00043751</v>
      </c>
      <c r="Z196" s="6">
        <v>134.86767</v>
      </c>
      <c r="AA196" s="6">
        <v>0.00038334</v>
      </c>
      <c r="AB196" s="6">
        <v>294.9318</v>
      </c>
      <c r="AC196" s="6">
        <v>0.00036073</v>
      </c>
      <c r="AD196" s="6">
        <v>243.86163</v>
      </c>
      <c r="AE196" s="6">
        <v>0.00040134</v>
      </c>
      <c r="AF196" s="6">
        <v>775</v>
      </c>
      <c r="AG196" s="6">
        <v>-0.00314449</v>
      </c>
      <c r="AH196" s="6">
        <v>-0.0027671</v>
      </c>
      <c r="AI196" s="6">
        <v>-0.00304301</v>
      </c>
      <c r="AJ196" s="6">
        <v>-0.00338389</v>
      </c>
      <c r="AK196" s="6">
        <v>-0.00301555</v>
      </c>
      <c r="AL196" s="6">
        <v>-0.00285964</v>
      </c>
      <c r="AM196" s="6">
        <v>-0.00313876</v>
      </c>
      <c r="AN196" s="6">
        <v>-6.4762184</v>
      </c>
      <c r="AO196" s="6">
        <v>-6.4515561</v>
      </c>
      <c r="AP196" s="6">
        <v>-6.4739881</v>
      </c>
      <c r="AQ196" s="6">
        <v>-6.4253629</v>
      </c>
      <c r="AR196" s="6">
        <v>-6.4020076</v>
      </c>
      <c r="AS196" s="6">
        <v>-6.4618417</v>
      </c>
      <c r="AT196" s="6">
        <v>-6.4506396</v>
      </c>
      <c r="AU196" s="6">
        <v>0.97344833</v>
      </c>
      <c r="AV196" s="6">
        <v>0.96974131</v>
      </c>
      <c r="AW196" s="6">
        <v>0.97311308</v>
      </c>
      <c r="AX196" s="6">
        <v>0.96580418</v>
      </c>
      <c r="AY196" s="6">
        <v>0.96229362</v>
      </c>
      <c r="AZ196" s="6">
        <v>0.97128734</v>
      </c>
      <c r="BA196" s="6">
        <v>0.96960354</v>
      </c>
      <c r="BB196" s="6">
        <v>0.02655167</v>
      </c>
      <c r="BC196" s="6">
        <v>0.03025869</v>
      </c>
      <c r="BD196" s="6">
        <v>0.02688692</v>
      </c>
      <c r="BE196" s="6">
        <v>0.03419582</v>
      </c>
      <c r="BF196" s="6">
        <v>0.03770638</v>
      </c>
      <c r="BG196" s="6">
        <v>0.02871266</v>
      </c>
      <c r="BH196" s="6">
        <v>0.03039646</v>
      </c>
      <c r="BI196" s="6">
        <v>0.21470859</v>
      </c>
      <c r="BJ196" s="6">
        <v>0.12366373</v>
      </c>
      <c r="BK196" s="6">
        <v>0.1409291</v>
      </c>
      <c r="BL196" s="6">
        <v>0.12522516</v>
      </c>
      <c r="BM196" s="6">
        <v>0.1592662</v>
      </c>
      <c r="BN196" s="6">
        <v>0.17561655</v>
      </c>
      <c r="BO196" s="6">
        <v>0.1337285</v>
      </c>
      <c r="BP196" s="6">
        <v>0.14157076</v>
      </c>
      <c r="BQ196" s="6">
        <v>0.01082706</v>
      </c>
      <c r="BR196" s="6">
        <v>0.00832197</v>
      </c>
      <c r="BS196" s="6">
        <v>0.0095611</v>
      </c>
      <c r="BT196" s="6">
        <v>0.00937005</v>
      </c>
      <c r="BU196" s="6">
        <v>0.0090793</v>
      </c>
      <c r="BV196" s="6">
        <v>0.01422743</v>
      </c>
      <c r="BW196" s="6">
        <v>0.01385573</v>
      </c>
      <c r="BX196" s="12">
        <v>7648</v>
      </c>
      <c r="BY196" s="13">
        <v>717</v>
      </c>
      <c r="BZ196" s="12">
        <v>3748.48</v>
      </c>
      <c r="CA196" s="6">
        <f t="shared" si="16"/>
        <v>10.6666666666667</v>
      </c>
      <c r="CB196" s="6">
        <f t="shared" si="17"/>
        <v>2.04029366569916</v>
      </c>
      <c r="CC196" s="7">
        <v>173024988</v>
      </c>
      <c r="CD196" s="7">
        <f t="shared" si="18"/>
        <v>4.61587064623527</v>
      </c>
      <c r="CE196" s="8">
        <v>4350.6</v>
      </c>
      <c r="CF196" s="8">
        <v>43368.2</v>
      </c>
      <c r="CG196" s="8">
        <v>60268.1</v>
      </c>
      <c r="CH196" s="8">
        <v>86956</v>
      </c>
      <c r="CI196" s="14">
        <v>1</v>
      </c>
      <c r="CJ196" s="14">
        <v>0</v>
      </c>
      <c r="CK196" s="14">
        <f t="shared" si="19"/>
        <v>0</v>
      </c>
      <c r="CL196">
        <f t="shared" si="20"/>
        <v>1.5000536746505</v>
      </c>
      <c r="CM196">
        <f t="shared" si="21"/>
        <v>0</v>
      </c>
      <c r="CN196" s="15">
        <v>7648</v>
      </c>
      <c r="CO196" s="15">
        <v>13724.01</v>
      </c>
      <c r="CP196" s="15">
        <v>626.57</v>
      </c>
      <c r="CQ196" s="15">
        <v>459.61</v>
      </c>
      <c r="CR196" s="15">
        <v>19.63</v>
      </c>
      <c r="CS196" s="15">
        <v>0.01</v>
      </c>
      <c r="CT196" s="15">
        <v>120.58</v>
      </c>
      <c r="CU196" s="15">
        <v>141.05</v>
      </c>
      <c r="CV196" s="15">
        <v>25.35</v>
      </c>
      <c r="CW196" s="15">
        <v>1083.9</v>
      </c>
    </row>
    <row r="197" spans="1:101">
      <c r="A197" s="6">
        <v>2020</v>
      </c>
      <c r="B197" s="6" t="s">
        <v>107</v>
      </c>
      <c r="C197" s="6">
        <v>0.04963975</v>
      </c>
      <c r="D197" s="6">
        <v>0.013331</v>
      </c>
      <c r="E197" s="6">
        <v>0.0033</v>
      </c>
      <c r="F197" s="6">
        <v>0.006127</v>
      </c>
      <c r="G197" s="6">
        <v>0.002258</v>
      </c>
      <c r="H197" s="6">
        <v>0.001646</v>
      </c>
      <c r="I197" s="6">
        <v>0.016437</v>
      </c>
      <c r="J197" s="6">
        <v>0.007799</v>
      </c>
      <c r="K197" s="6">
        <v>0.05300267</v>
      </c>
      <c r="L197" s="6">
        <v>0.03752234</v>
      </c>
      <c r="M197" s="6">
        <v>0.05126012</v>
      </c>
      <c r="N197" s="6">
        <v>0.03825438</v>
      </c>
      <c r="O197" s="6">
        <v>0.01638483</v>
      </c>
      <c r="P197" s="6">
        <v>0.0932902</v>
      </c>
      <c r="Q197" s="6">
        <v>0.07015967</v>
      </c>
      <c r="R197" s="6">
        <v>217.69486</v>
      </c>
      <c r="S197" s="6">
        <v>0.00024347</v>
      </c>
      <c r="T197" s="6">
        <v>169.97573</v>
      </c>
      <c r="U197" s="6">
        <v>0.00022075</v>
      </c>
      <c r="V197" s="6">
        <v>197.11803</v>
      </c>
      <c r="W197" s="6">
        <v>0.00026005</v>
      </c>
      <c r="X197" s="6">
        <v>134.47093</v>
      </c>
      <c r="Y197" s="6">
        <v>0.00028448</v>
      </c>
      <c r="Z197" s="6">
        <v>134.86767</v>
      </c>
      <c r="AA197" s="6">
        <v>0.00012149</v>
      </c>
      <c r="AB197" s="6">
        <v>294.9318</v>
      </c>
      <c r="AC197" s="6">
        <v>0.00031631</v>
      </c>
      <c r="AD197" s="6">
        <v>243.86163</v>
      </c>
      <c r="AE197" s="6">
        <v>0.0002877</v>
      </c>
      <c r="AF197" s="6">
        <v>775</v>
      </c>
      <c r="AG197" s="6">
        <v>-0.00202581</v>
      </c>
      <c r="AH197" s="6">
        <v>-0.00185839</v>
      </c>
      <c r="AI197" s="6">
        <v>-0.0021466</v>
      </c>
      <c r="AJ197" s="6">
        <v>-0.00232274</v>
      </c>
      <c r="AK197" s="6">
        <v>-0.0010953</v>
      </c>
      <c r="AL197" s="6">
        <v>-0.00254908</v>
      </c>
      <c r="AM197" s="6">
        <v>-0.00234581</v>
      </c>
      <c r="AN197" s="6">
        <v>-6.4762184</v>
      </c>
      <c r="AO197" s="6">
        <v>-6.4515561</v>
      </c>
      <c r="AP197" s="6">
        <v>-6.4739881</v>
      </c>
      <c r="AQ197" s="6">
        <v>-6.4253629</v>
      </c>
      <c r="AR197" s="6">
        <v>-6.4020076</v>
      </c>
      <c r="AS197" s="6">
        <v>-6.4618417</v>
      </c>
      <c r="AT197" s="6">
        <v>-6.4506396</v>
      </c>
      <c r="AU197" s="6">
        <v>0.97344833</v>
      </c>
      <c r="AV197" s="6">
        <v>0.96974131</v>
      </c>
      <c r="AW197" s="6">
        <v>0.97311308</v>
      </c>
      <c r="AX197" s="6">
        <v>0.96580418</v>
      </c>
      <c r="AY197" s="6">
        <v>0.96229362</v>
      </c>
      <c r="AZ197" s="6">
        <v>0.97128734</v>
      </c>
      <c r="BA197" s="6">
        <v>0.96960354</v>
      </c>
      <c r="BB197" s="6">
        <v>0.02655167</v>
      </c>
      <c r="BC197" s="6">
        <v>0.03025869</v>
      </c>
      <c r="BD197" s="6">
        <v>0.02688692</v>
      </c>
      <c r="BE197" s="6">
        <v>0.03419582</v>
      </c>
      <c r="BF197" s="6">
        <v>0.03770638</v>
      </c>
      <c r="BG197" s="6">
        <v>0.02871266</v>
      </c>
      <c r="BH197" s="6">
        <v>0.03039646</v>
      </c>
      <c r="BI197" s="6">
        <v>0.21470859</v>
      </c>
      <c r="BJ197" s="6">
        <v>0.12366373</v>
      </c>
      <c r="BK197" s="6">
        <v>0.1409291</v>
      </c>
      <c r="BL197" s="6">
        <v>0.12522516</v>
      </c>
      <c r="BM197" s="6">
        <v>0.1592662</v>
      </c>
      <c r="BN197" s="6">
        <v>0.17561655</v>
      </c>
      <c r="BO197" s="6">
        <v>0.1337285</v>
      </c>
      <c r="BP197" s="6">
        <v>0.14157076</v>
      </c>
      <c r="BQ197" s="6">
        <v>0.00655451</v>
      </c>
      <c r="BR197" s="6">
        <v>0.00528799</v>
      </c>
      <c r="BS197" s="6">
        <v>0.00641906</v>
      </c>
      <c r="BT197" s="6">
        <v>0.00609263</v>
      </c>
      <c r="BU197" s="6">
        <v>0.00287745</v>
      </c>
      <c r="BV197" s="6">
        <v>0.01247556</v>
      </c>
      <c r="BW197" s="6">
        <v>0.00993256</v>
      </c>
      <c r="BX197" s="12">
        <v>8581.8</v>
      </c>
      <c r="BY197" s="13">
        <v>720.93</v>
      </c>
      <c r="BZ197" s="12">
        <v>3920.55</v>
      </c>
      <c r="CA197" s="6">
        <f t="shared" si="16"/>
        <v>11.9037909367068</v>
      </c>
      <c r="CB197" s="6">
        <f t="shared" si="17"/>
        <v>2.18892757393733</v>
      </c>
      <c r="CC197" s="7">
        <v>172993401.8</v>
      </c>
      <c r="CD197" s="7">
        <f t="shared" si="18"/>
        <v>4.41247788703116</v>
      </c>
      <c r="CE197" s="8">
        <v>4732.7</v>
      </c>
      <c r="CF197" s="8">
        <v>43868.1</v>
      </c>
      <c r="CG197" s="8">
        <v>62550.8</v>
      </c>
      <c r="CH197" s="8">
        <v>88521</v>
      </c>
      <c r="CI197" s="14">
        <v>1</v>
      </c>
      <c r="CJ197" s="14">
        <v>0</v>
      </c>
      <c r="CK197" s="14">
        <f t="shared" si="19"/>
        <v>0</v>
      </c>
      <c r="CL197">
        <f t="shared" si="20"/>
        <v>1.47141701078949</v>
      </c>
      <c r="CM197">
        <f t="shared" si="21"/>
        <v>0</v>
      </c>
      <c r="CN197" s="15">
        <v>7933</v>
      </c>
      <c r="CO197" s="15">
        <v>14628.85</v>
      </c>
      <c r="CP197" s="15">
        <v>764.82</v>
      </c>
      <c r="CQ197" s="15">
        <v>380.97</v>
      </c>
      <c r="CR197" s="15">
        <v>20.88</v>
      </c>
      <c r="CS197" s="15">
        <v>0.01</v>
      </c>
      <c r="CT197" s="15">
        <v>115.94</v>
      </c>
      <c r="CU197" s="15">
        <v>155.98</v>
      </c>
      <c r="CV197" s="15">
        <v>29.39</v>
      </c>
      <c r="CW197" s="15">
        <v>1038</v>
      </c>
    </row>
    <row r="198" spans="1:101">
      <c r="A198" s="6">
        <v>2021</v>
      </c>
      <c r="B198" s="6" t="s">
        <v>107</v>
      </c>
      <c r="C198" s="6">
        <v>0.0697382</v>
      </c>
      <c r="D198" s="6">
        <v>0.017324</v>
      </c>
      <c r="E198" s="6">
        <v>0.004854</v>
      </c>
      <c r="F198" s="6">
        <v>0.00775</v>
      </c>
      <c r="G198" s="6">
        <v>0.002804</v>
      </c>
      <c r="H198" s="6">
        <v>0.001916</v>
      </c>
      <c r="I198" s="6">
        <v>0.018351</v>
      </c>
      <c r="J198" s="6">
        <v>0.008221</v>
      </c>
      <c r="K198" s="6">
        <v>0.08432396</v>
      </c>
      <c r="L198" s="6">
        <v>0.07425728</v>
      </c>
      <c r="M198" s="6">
        <v>0.07620564</v>
      </c>
      <c r="N198" s="6">
        <v>0.05441303</v>
      </c>
      <c r="O198" s="6">
        <v>0.02455337</v>
      </c>
      <c r="P198" s="6">
        <v>0.11460847</v>
      </c>
      <c r="Q198" s="6">
        <v>0.07768526</v>
      </c>
      <c r="R198" s="6">
        <v>217.69486</v>
      </c>
      <c r="S198" s="6">
        <v>0.00038735</v>
      </c>
      <c r="T198" s="6">
        <v>169.97573</v>
      </c>
      <c r="U198" s="6">
        <v>0.00043687</v>
      </c>
      <c r="V198" s="6">
        <v>197.11803</v>
      </c>
      <c r="W198" s="6">
        <v>0.0003866</v>
      </c>
      <c r="X198" s="6">
        <v>134.47093</v>
      </c>
      <c r="Y198" s="6">
        <v>0.00040465</v>
      </c>
      <c r="Z198" s="6">
        <v>134.86767</v>
      </c>
      <c r="AA198" s="6">
        <v>0.00018206</v>
      </c>
      <c r="AB198" s="6">
        <v>294.9318</v>
      </c>
      <c r="AC198" s="6">
        <v>0.00038859</v>
      </c>
      <c r="AD198" s="6">
        <v>243.86163</v>
      </c>
      <c r="AE198" s="6">
        <v>0.00031856</v>
      </c>
      <c r="AF198" s="6">
        <v>775</v>
      </c>
      <c r="AG198" s="6">
        <v>-0.00304309</v>
      </c>
      <c r="AH198" s="6">
        <v>-0.00337957</v>
      </c>
      <c r="AI198" s="6">
        <v>-0.00303794</v>
      </c>
      <c r="AJ198" s="6">
        <v>-0.00316129</v>
      </c>
      <c r="AK198" s="6">
        <v>-0.00156771</v>
      </c>
      <c r="AL198" s="6">
        <v>-0.00305161</v>
      </c>
      <c r="AM198" s="6">
        <v>-0.00256497</v>
      </c>
      <c r="AN198" s="6">
        <v>-6.4762184</v>
      </c>
      <c r="AO198" s="6">
        <v>-6.4515561</v>
      </c>
      <c r="AP198" s="6">
        <v>-6.4739881</v>
      </c>
      <c r="AQ198" s="6">
        <v>-6.4253629</v>
      </c>
      <c r="AR198" s="6">
        <v>-6.4020076</v>
      </c>
      <c r="AS198" s="6">
        <v>-6.4618417</v>
      </c>
      <c r="AT198" s="6">
        <v>-6.4506396</v>
      </c>
      <c r="AU198" s="6">
        <v>0.97344833</v>
      </c>
      <c r="AV198" s="6">
        <v>0.96974131</v>
      </c>
      <c r="AW198" s="6">
        <v>0.97311308</v>
      </c>
      <c r="AX198" s="6">
        <v>0.96580418</v>
      </c>
      <c r="AY198" s="6">
        <v>0.96229362</v>
      </c>
      <c r="AZ198" s="6">
        <v>0.97128734</v>
      </c>
      <c r="BA198" s="6">
        <v>0.96960354</v>
      </c>
      <c r="BB198" s="6">
        <v>0.02655167</v>
      </c>
      <c r="BC198" s="6">
        <v>0.03025869</v>
      </c>
      <c r="BD198" s="6">
        <v>0.02688692</v>
      </c>
      <c r="BE198" s="6">
        <v>0.03419582</v>
      </c>
      <c r="BF198" s="6">
        <v>0.03770638</v>
      </c>
      <c r="BG198" s="6">
        <v>0.02871266</v>
      </c>
      <c r="BH198" s="6">
        <v>0.03039646</v>
      </c>
      <c r="BI198" s="6">
        <v>0.21470859</v>
      </c>
      <c r="BJ198" s="6">
        <v>0.12366373</v>
      </c>
      <c r="BK198" s="6">
        <v>0.1409291</v>
      </c>
      <c r="BL198" s="6">
        <v>0.12522516</v>
      </c>
      <c r="BM198" s="6">
        <v>0.1592662</v>
      </c>
      <c r="BN198" s="6">
        <v>0.17561655</v>
      </c>
      <c r="BO198" s="6">
        <v>0.1337285</v>
      </c>
      <c r="BP198" s="6">
        <v>0.14157076</v>
      </c>
      <c r="BQ198" s="6">
        <v>0.01042782</v>
      </c>
      <c r="BR198" s="6">
        <v>0.01046501</v>
      </c>
      <c r="BS198" s="6">
        <v>0.00954286</v>
      </c>
      <c r="BT198" s="6">
        <v>0.00866616</v>
      </c>
      <c r="BU198" s="6">
        <v>0.00431198</v>
      </c>
      <c r="BV198" s="6">
        <v>0.01532642</v>
      </c>
      <c r="BW198" s="6">
        <v>0.01099796</v>
      </c>
      <c r="BX198" s="12">
        <v>8636.8</v>
      </c>
      <c r="BY198" s="13">
        <v>725</v>
      </c>
      <c r="BZ198" s="12">
        <v>4522.3</v>
      </c>
      <c r="CA198" s="6">
        <f t="shared" si="16"/>
        <v>11.9128275862069</v>
      </c>
      <c r="CB198" s="6">
        <f t="shared" si="17"/>
        <v>1.90982464675055</v>
      </c>
      <c r="CC198" s="7">
        <v>187212024.4</v>
      </c>
      <c r="CD198" s="7">
        <f t="shared" si="18"/>
        <v>4.13975243570749</v>
      </c>
      <c r="CE198" s="8">
        <v>4984.7</v>
      </c>
      <c r="CF198" s="8">
        <v>50555.8</v>
      </c>
      <c r="CG198" s="8">
        <v>69179</v>
      </c>
      <c r="CH198" s="8">
        <v>98561</v>
      </c>
      <c r="CI198" s="14">
        <v>1</v>
      </c>
      <c r="CJ198" s="14">
        <v>0</v>
      </c>
      <c r="CK198" s="14">
        <f t="shared" si="19"/>
        <v>0</v>
      </c>
      <c r="CL198">
        <f t="shared" si="20"/>
        <v>1.36781889095748</v>
      </c>
      <c r="CM198">
        <f t="shared" si="21"/>
        <v>0</v>
      </c>
      <c r="CN198" s="15">
        <v>8047.9</v>
      </c>
      <c r="CO198" s="15">
        <v>15181</v>
      </c>
      <c r="CP198" s="15">
        <v>820.95</v>
      </c>
      <c r="CQ198" s="15">
        <v>556.71</v>
      </c>
      <c r="CR198" s="15">
        <v>21.05</v>
      </c>
      <c r="CS198" s="15">
        <v>0.05</v>
      </c>
      <c r="CT198" s="15">
        <v>121.48</v>
      </c>
      <c r="CU198" s="15">
        <v>143.17</v>
      </c>
      <c r="CV198" s="15">
        <v>28.37</v>
      </c>
      <c r="CW198" s="15">
        <v>1158</v>
      </c>
    </row>
    <row r="199" spans="1:101">
      <c r="A199" s="6">
        <v>2022</v>
      </c>
      <c r="B199" s="6" t="s">
        <v>107</v>
      </c>
      <c r="C199" s="6">
        <v>0.0635827</v>
      </c>
      <c r="D199" s="6">
        <v>0.017483</v>
      </c>
      <c r="E199" s="6">
        <v>0.004366</v>
      </c>
      <c r="F199" s="6">
        <v>0.007876</v>
      </c>
      <c r="G199" s="6">
        <v>0.002463</v>
      </c>
      <c r="H199" s="6">
        <v>0.002777</v>
      </c>
      <c r="I199" s="6">
        <v>0.015143</v>
      </c>
      <c r="J199" s="6">
        <v>0.006982</v>
      </c>
      <c r="K199" s="6">
        <v>0.08556647</v>
      </c>
      <c r="L199" s="6">
        <v>0.06272728</v>
      </c>
      <c r="M199" s="6">
        <v>0.07813332</v>
      </c>
      <c r="N199" s="6">
        <v>0.04432926</v>
      </c>
      <c r="O199" s="6">
        <v>0.0506697</v>
      </c>
      <c r="P199" s="6">
        <v>0.07887506</v>
      </c>
      <c r="Q199" s="6">
        <v>0.05559367</v>
      </c>
      <c r="R199" s="6">
        <v>217.69486</v>
      </c>
      <c r="S199" s="6">
        <v>0.00039306</v>
      </c>
      <c r="T199" s="6">
        <v>169.97573</v>
      </c>
      <c r="U199" s="6">
        <v>0.00036904</v>
      </c>
      <c r="V199" s="6">
        <v>197.11803</v>
      </c>
      <c r="W199" s="6">
        <v>0.00039638</v>
      </c>
      <c r="X199" s="6">
        <v>134.47093</v>
      </c>
      <c r="Y199" s="6">
        <v>0.00032966</v>
      </c>
      <c r="Z199" s="6">
        <v>134.86767</v>
      </c>
      <c r="AA199" s="6">
        <v>0.0003757</v>
      </c>
      <c r="AB199" s="6">
        <v>294.9318</v>
      </c>
      <c r="AC199" s="6">
        <v>0.00026743</v>
      </c>
      <c r="AD199" s="6">
        <v>243.86163</v>
      </c>
      <c r="AE199" s="6">
        <v>0.00022797</v>
      </c>
      <c r="AF199" s="6">
        <v>775</v>
      </c>
      <c r="AG199" s="6">
        <v>-0.00308218</v>
      </c>
      <c r="AH199" s="6">
        <v>-0.00291709</v>
      </c>
      <c r="AI199" s="6">
        <v>-0.00310489</v>
      </c>
      <c r="AJ199" s="6">
        <v>-0.00264301</v>
      </c>
      <c r="AK199" s="6">
        <v>-0.00296304</v>
      </c>
      <c r="AL199" s="6">
        <v>-0.00220009</v>
      </c>
      <c r="AM199" s="6">
        <v>-0.00191184</v>
      </c>
      <c r="AN199" s="6">
        <v>-6.4762184</v>
      </c>
      <c r="AO199" s="6">
        <v>-6.4515561</v>
      </c>
      <c r="AP199" s="6">
        <v>-6.4739881</v>
      </c>
      <c r="AQ199" s="6">
        <v>-6.4253629</v>
      </c>
      <c r="AR199" s="6">
        <v>-6.4020076</v>
      </c>
      <c r="AS199" s="6">
        <v>-6.4618417</v>
      </c>
      <c r="AT199" s="6">
        <v>-6.4506396</v>
      </c>
      <c r="AU199" s="6">
        <v>0.97344833</v>
      </c>
      <c r="AV199" s="6">
        <v>0.96974131</v>
      </c>
      <c r="AW199" s="6">
        <v>0.97311308</v>
      </c>
      <c r="AX199" s="6">
        <v>0.96580418</v>
      </c>
      <c r="AY199" s="6">
        <v>0.96229362</v>
      </c>
      <c r="AZ199" s="6">
        <v>0.97128734</v>
      </c>
      <c r="BA199" s="6">
        <v>0.96960354</v>
      </c>
      <c r="BB199" s="6">
        <v>0.02655167</v>
      </c>
      <c r="BC199" s="6">
        <v>0.03025869</v>
      </c>
      <c r="BD199" s="6">
        <v>0.02688692</v>
      </c>
      <c r="BE199" s="6">
        <v>0.03419582</v>
      </c>
      <c r="BF199" s="6">
        <v>0.03770638</v>
      </c>
      <c r="BG199" s="6">
        <v>0.02871266</v>
      </c>
      <c r="BH199" s="6">
        <v>0.03039646</v>
      </c>
      <c r="BI199" s="6">
        <v>0.21470859</v>
      </c>
      <c r="BJ199" s="6">
        <v>0.12366373</v>
      </c>
      <c r="BK199" s="6">
        <v>0.1409291</v>
      </c>
      <c r="BL199" s="6">
        <v>0.12522516</v>
      </c>
      <c r="BM199" s="6">
        <v>0.1592662</v>
      </c>
      <c r="BN199" s="6">
        <v>0.17561655</v>
      </c>
      <c r="BO199" s="6">
        <v>0.1337285</v>
      </c>
      <c r="BP199" s="6">
        <v>0.14157076</v>
      </c>
      <c r="BQ199" s="6">
        <v>0.01058147</v>
      </c>
      <c r="BR199" s="6">
        <v>0.0088401</v>
      </c>
      <c r="BS199" s="6">
        <v>0.00978426</v>
      </c>
      <c r="BT199" s="6">
        <v>0.00706015</v>
      </c>
      <c r="BU199" s="6">
        <v>0.00889844</v>
      </c>
      <c r="BV199" s="6">
        <v>0.01054784</v>
      </c>
      <c r="BW199" s="6">
        <v>0.00787044</v>
      </c>
      <c r="BX199" s="12">
        <v>9283.7</v>
      </c>
      <c r="BY199" s="13">
        <v>728</v>
      </c>
      <c r="BZ199" s="12">
        <v>5069.6</v>
      </c>
      <c r="CA199" s="6">
        <f t="shared" si="16"/>
        <v>12.7523351648352</v>
      </c>
      <c r="CB199" s="6">
        <f t="shared" si="17"/>
        <v>1.83124901372889</v>
      </c>
      <c r="CC199" s="7">
        <v>189278041.1</v>
      </c>
      <c r="CD199" s="7">
        <f t="shared" si="18"/>
        <v>3.73358925950765</v>
      </c>
      <c r="CE199" s="8">
        <v>5350.1</v>
      </c>
      <c r="CF199" s="8">
        <v>52620.7</v>
      </c>
      <c r="CG199" s="8">
        <v>71542.7</v>
      </c>
      <c r="CH199" s="8">
        <v>102217</v>
      </c>
      <c r="CI199" s="14">
        <v>1</v>
      </c>
      <c r="CJ199" s="14">
        <v>0</v>
      </c>
      <c r="CK199" s="14">
        <f t="shared" si="19"/>
        <v>0</v>
      </c>
      <c r="CL199">
        <f t="shared" si="20"/>
        <v>1.27047633725244</v>
      </c>
      <c r="CM199">
        <f t="shared" si="21"/>
        <v>0</v>
      </c>
      <c r="CN199" s="15">
        <v>8679</v>
      </c>
      <c r="CO199" s="15">
        <v>16307.45</v>
      </c>
      <c r="CP199" s="15">
        <v>841.95</v>
      </c>
      <c r="CQ199" s="15">
        <v>459.84</v>
      </c>
      <c r="CR199" s="15">
        <v>18.85</v>
      </c>
      <c r="CS199" s="15">
        <v>0.15</v>
      </c>
      <c r="CT199" s="15">
        <v>115.13</v>
      </c>
      <c r="CU199" s="15">
        <v>134.57</v>
      </c>
      <c r="CV199" s="15">
        <v>26.67</v>
      </c>
      <c r="CW199" s="15">
        <v>1361.43</v>
      </c>
    </row>
    <row r="200" spans="1:101">
      <c r="A200" s="6">
        <v>2023</v>
      </c>
      <c r="B200" s="6" t="s">
        <v>107</v>
      </c>
      <c r="C200" s="6">
        <v>0.25451038</v>
      </c>
      <c r="D200" s="6">
        <v>0.027363</v>
      </c>
      <c r="E200" s="6">
        <v>0.0136</v>
      </c>
      <c r="F200" s="6">
        <v>0.017723</v>
      </c>
      <c r="G200" s="6">
        <v>0.011844</v>
      </c>
      <c r="H200" s="6">
        <v>0.013361</v>
      </c>
      <c r="I200" s="6">
        <v>0.021656</v>
      </c>
      <c r="J200" s="6">
        <v>0.015466</v>
      </c>
      <c r="K200" s="6">
        <v>0.16306872</v>
      </c>
      <c r="L200" s="6">
        <v>0.2810506</v>
      </c>
      <c r="M200" s="6">
        <v>0.22948394</v>
      </c>
      <c r="N200" s="6">
        <v>0.32162101</v>
      </c>
      <c r="O200" s="6">
        <v>0.37140707</v>
      </c>
      <c r="P200" s="6">
        <v>0.15142775</v>
      </c>
      <c r="Q200" s="6">
        <v>0.20696737</v>
      </c>
      <c r="R200" s="6">
        <v>217.69486</v>
      </c>
      <c r="S200" s="6">
        <v>0.00074907</v>
      </c>
      <c r="T200" s="6">
        <v>169.97573</v>
      </c>
      <c r="U200" s="6">
        <v>0.00165347</v>
      </c>
      <c r="V200" s="6">
        <v>197.11803</v>
      </c>
      <c r="W200" s="6">
        <v>0.0011642</v>
      </c>
      <c r="X200" s="6">
        <v>134.47093</v>
      </c>
      <c r="Y200" s="6">
        <v>0.00239175</v>
      </c>
      <c r="Z200" s="6">
        <v>134.86767</v>
      </c>
      <c r="AA200" s="6">
        <v>0.00275386</v>
      </c>
      <c r="AB200" s="6">
        <v>294.9318</v>
      </c>
      <c r="AC200" s="6">
        <v>0.00051343</v>
      </c>
      <c r="AD200" s="6">
        <v>243.86163</v>
      </c>
      <c r="AE200" s="6">
        <v>0.00084871</v>
      </c>
      <c r="AF200" s="6">
        <v>775</v>
      </c>
      <c r="AG200" s="6">
        <v>-0.00539082</v>
      </c>
      <c r="AH200" s="6">
        <v>-0.0105903</v>
      </c>
      <c r="AI200" s="6">
        <v>-0.00786499</v>
      </c>
      <c r="AJ200" s="6">
        <v>-0.01443596</v>
      </c>
      <c r="AK200" s="6">
        <v>-0.01623334</v>
      </c>
      <c r="AL200" s="6">
        <v>-0.00388894</v>
      </c>
      <c r="AM200" s="6">
        <v>-0.00600189</v>
      </c>
      <c r="AN200" s="6">
        <v>-6.4762184</v>
      </c>
      <c r="AO200" s="6">
        <v>-6.4515561</v>
      </c>
      <c r="AP200" s="6">
        <v>-6.4739881</v>
      </c>
      <c r="AQ200" s="6">
        <v>-6.4253629</v>
      </c>
      <c r="AR200" s="6">
        <v>-6.4020076</v>
      </c>
      <c r="AS200" s="6">
        <v>-6.4618417</v>
      </c>
      <c r="AT200" s="6">
        <v>-6.4506396</v>
      </c>
      <c r="AU200" s="6">
        <v>0.97344833</v>
      </c>
      <c r="AV200" s="6">
        <v>0.96974131</v>
      </c>
      <c r="AW200" s="6">
        <v>0.97311308</v>
      </c>
      <c r="AX200" s="6">
        <v>0.96580418</v>
      </c>
      <c r="AY200" s="6">
        <v>0.96229362</v>
      </c>
      <c r="AZ200" s="6">
        <v>0.97128734</v>
      </c>
      <c r="BA200" s="6">
        <v>0.96960354</v>
      </c>
      <c r="BB200" s="6">
        <v>0.02655167</v>
      </c>
      <c r="BC200" s="6">
        <v>0.03025869</v>
      </c>
      <c r="BD200" s="6">
        <v>0.02688692</v>
      </c>
      <c r="BE200" s="6">
        <v>0.03419582</v>
      </c>
      <c r="BF200" s="6">
        <v>0.03770638</v>
      </c>
      <c r="BG200" s="6">
        <v>0.02871266</v>
      </c>
      <c r="BH200" s="6">
        <v>0.03039646</v>
      </c>
      <c r="BI200" s="6">
        <v>0.21470859</v>
      </c>
      <c r="BJ200" s="6">
        <v>0.12366373</v>
      </c>
      <c r="BK200" s="6">
        <v>0.1409291</v>
      </c>
      <c r="BL200" s="6">
        <v>0.12522516</v>
      </c>
      <c r="BM200" s="6">
        <v>0.1592662</v>
      </c>
      <c r="BN200" s="6">
        <v>0.17561655</v>
      </c>
      <c r="BO200" s="6">
        <v>0.1337285</v>
      </c>
      <c r="BP200" s="6">
        <v>0.14157076</v>
      </c>
      <c r="BQ200" s="6">
        <v>0.02016569</v>
      </c>
      <c r="BR200" s="6">
        <v>0.03960821</v>
      </c>
      <c r="BS200" s="6">
        <v>0.02873716</v>
      </c>
      <c r="BT200" s="6">
        <v>0.05122336</v>
      </c>
      <c r="BU200" s="6">
        <v>0.06522523</v>
      </c>
      <c r="BV200" s="6">
        <v>0.02025021</v>
      </c>
      <c r="BW200" s="6">
        <v>0.02930053</v>
      </c>
      <c r="BX200" s="12">
        <v>9930.6</v>
      </c>
      <c r="BY200" s="13">
        <v>729</v>
      </c>
      <c r="BZ200" s="12">
        <v>5315</v>
      </c>
      <c r="CA200" s="6">
        <f t="shared" si="16"/>
        <v>13.6222222222222</v>
      </c>
      <c r="CB200" s="6">
        <f t="shared" si="17"/>
        <v>1.86841015992474</v>
      </c>
      <c r="CC200" s="7">
        <v>197795587.7</v>
      </c>
      <c r="CD200" s="7">
        <f t="shared" si="18"/>
        <v>3.72145978739417</v>
      </c>
      <c r="CE200" s="8">
        <v>5540.7</v>
      </c>
      <c r="CF200" s="8">
        <v>54437.3</v>
      </c>
      <c r="CG200" s="8">
        <v>75695.2</v>
      </c>
      <c r="CH200" s="8">
        <v>106985</v>
      </c>
      <c r="CI200" s="14">
        <v>1</v>
      </c>
      <c r="CJ200" s="14">
        <v>0</v>
      </c>
      <c r="CK200" s="14">
        <f t="shared" si="19"/>
        <v>0</v>
      </c>
      <c r="CL200">
        <f t="shared" si="20"/>
        <v>1.2756783895882</v>
      </c>
      <c r="CM200">
        <f t="shared" si="21"/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</row>
    <row r="201" spans="1:101">
      <c r="A201" s="6">
        <v>2024</v>
      </c>
      <c r="B201" s="6" t="s">
        <v>107</v>
      </c>
      <c r="C201" s="6">
        <v>0.40332391</v>
      </c>
      <c r="D201" s="6">
        <v>0.031408</v>
      </c>
      <c r="E201" s="6">
        <v>0.020257</v>
      </c>
      <c r="F201" s="6">
        <v>0.022641</v>
      </c>
      <c r="G201" s="6">
        <v>0.020814</v>
      </c>
      <c r="H201" s="6">
        <v>0.024572</v>
      </c>
      <c r="I201" s="6">
        <v>0.023426</v>
      </c>
      <c r="J201" s="6">
        <v>0.018918</v>
      </c>
      <c r="K201" s="6">
        <v>0.19479969</v>
      </c>
      <c r="L201" s="6">
        <v>0.43843372</v>
      </c>
      <c r="M201" s="6">
        <v>0.30506011</v>
      </c>
      <c r="N201" s="6">
        <v>0.58675482</v>
      </c>
      <c r="O201" s="6">
        <v>0.71114167</v>
      </c>
      <c r="P201" s="6">
        <v>0.17113931</v>
      </c>
      <c r="Q201" s="6">
        <v>0.26856058</v>
      </c>
      <c r="R201" s="6">
        <v>217.69486</v>
      </c>
      <c r="S201" s="6">
        <v>0.00089483</v>
      </c>
      <c r="T201" s="6">
        <v>169.97573</v>
      </c>
      <c r="U201" s="6">
        <v>0.00257939</v>
      </c>
      <c r="V201" s="6">
        <v>197.11803</v>
      </c>
      <c r="W201" s="6">
        <v>0.0015476</v>
      </c>
      <c r="X201" s="6">
        <v>134.47093</v>
      </c>
      <c r="Y201" s="6">
        <v>0.00436343</v>
      </c>
      <c r="Z201" s="6">
        <v>134.86767</v>
      </c>
      <c r="AA201" s="6">
        <v>0.00527288</v>
      </c>
      <c r="AB201" s="6">
        <v>294.9318</v>
      </c>
      <c r="AC201" s="6">
        <v>0.00058027</v>
      </c>
      <c r="AD201" s="6">
        <v>243.86163</v>
      </c>
      <c r="AE201" s="6">
        <v>0.00110128</v>
      </c>
      <c r="AF201" s="6">
        <v>775</v>
      </c>
      <c r="AG201" s="6">
        <v>-0.0062807</v>
      </c>
      <c r="AH201" s="6">
        <v>-0.01537369</v>
      </c>
      <c r="AI201" s="6">
        <v>-0.0100146</v>
      </c>
      <c r="AJ201" s="6">
        <v>-0.02371306</v>
      </c>
      <c r="AK201" s="6">
        <v>-0.02765722</v>
      </c>
      <c r="AL201" s="6">
        <v>-0.00432417</v>
      </c>
      <c r="AM201" s="6">
        <v>-0.00750114</v>
      </c>
      <c r="AN201" s="6">
        <v>-6.4762184</v>
      </c>
      <c r="AO201" s="6">
        <v>-6.4515561</v>
      </c>
      <c r="AP201" s="6">
        <v>-6.4739881</v>
      </c>
      <c r="AQ201" s="6">
        <v>-6.4253629</v>
      </c>
      <c r="AR201" s="6">
        <v>-6.4020076</v>
      </c>
      <c r="AS201" s="6">
        <v>-6.4618417</v>
      </c>
      <c r="AT201" s="6">
        <v>-6.4506396</v>
      </c>
      <c r="AU201" s="6">
        <v>0.97344833</v>
      </c>
      <c r="AV201" s="6">
        <v>0.96974131</v>
      </c>
      <c r="AW201" s="6">
        <v>0.97311308</v>
      </c>
      <c r="AX201" s="6">
        <v>0.96580418</v>
      </c>
      <c r="AY201" s="6">
        <v>0.96229362</v>
      </c>
      <c r="AZ201" s="6">
        <v>0.97128734</v>
      </c>
      <c r="BA201" s="6">
        <v>0.96960354</v>
      </c>
      <c r="BB201" s="6">
        <v>0.02655167</v>
      </c>
      <c r="BC201" s="6">
        <v>0.03025869</v>
      </c>
      <c r="BD201" s="6">
        <v>0.02688692</v>
      </c>
      <c r="BE201" s="6">
        <v>0.03419582</v>
      </c>
      <c r="BF201" s="6">
        <v>0.03770638</v>
      </c>
      <c r="BG201" s="6">
        <v>0.02871266</v>
      </c>
      <c r="BH201" s="6">
        <v>0.03039646</v>
      </c>
      <c r="BI201" s="6">
        <v>0.21470859</v>
      </c>
      <c r="BJ201" s="6">
        <v>0.12366373</v>
      </c>
      <c r="BK201" s="6">
        <v>0.1409291</v>
      </c>
      <c r="BL201" s="6">
        <v>0.12522516</v>
      </c>
      <c r="BM201" s="6">
        <v>0.1592662</v>
      </c>
      <c r="BN201" s="6">
        <v>0.17561655</v>
      </c>
      <c r="BO201" s="6">
        <v>0.1337285</v>
      </c>
      <c r="BP201" s="6">
        <v>0.14157076</v>
      </c>
      <c r="BQ201" s="6">
        <v>0.02408966</v>
      </c>
      <c r="BR201" s="6">
        <v>0.06178807</v>
      </c>
      <c r="BS201" s="6">
        <v>0.0382012</v>
      </c>
      <c r="BT201" s="6">
        <v>0.09345021</v>
      </c>
      <c r="BU201" s="6">
        <v>0.12488825</v>
      </c>
      <c r="BV201" s="6">
        <v>0.0228862</v>
      </c>
      <c r="BW201" s="6">
        <v>0.03802033</v>
      </c>
      <c r="BX201" s="12">
        <v>10577.5</v>
      </c>
      <c r="BY201" s="13">
        <v>729</v>
      </c>
      <c r="BZ201" s="12">
        <v>5502.8</v>
      </c>
      <c r="CA201" s="6">
        <f t="shared" si="16"/>
        <v>14.5096021947874</v>
      </c>
      <c r="CB201" s="6">
        <f t="shared" si="17"/>
        <v>1.9222032419859</v>
      </c>
      <c r="CC201" s="7">
        <v>195765705.7</v>
      </c>
      <c r="CD201" s="7">
        <f t="shared" si="18"/>
        <v>3.55756534309806</v>
      </c>
      <c r="CE201" s="8">
        <v>5837</v>
      </c>
      <c r="CF201" s="8">
        <v>54365.5</v>
      </c>
      <c r="CG201" s="8">
        <v>81431.3</v>
      </c>
      <c r="CH201" s="8">
        <v>111146</v>
      </c>
      <c r="CI201" s="14">
        <v>1</v>
      </c>
      <c r="CJ201" s="14">
        <v>0</v>
      </c>
      <c r="CK201" s="14">
        <f t="shared" si="19"/>
        <v>0</v>
      </c>
      <c r="CL201">
        <f t="shared" si="20"/>
        <v>1.21200651315194</v>
      </c>
      <c r="CM201">
        <f t="shared" si="21"/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</row>
    <row r="202" spans="1:101">
      <c r="A202" s="6">
        <v>2000</v>
      </c>
      <c r="B202" s="6" t="s">
        <v>108</v>
      </c>
      <c r="C202" s="6">
        <v>0.1057666</v>
      </c>
      <c r="D202" s="6">
        <v>0.022731</v>
      </c>
      <c r="E202" s="6">
        <v>0.005437</v>
      </c>
      <c r="F202" s="6">
        <v>0.010033</v>
      </c>
      <c r="G202" s="6">
        <v>0.003448</v>
      </c>
      <c r="H202" s="6">
        <v>0.003813</v>
      </c>
      <c r="I202" s="6">
        <v>0.021265</v>
      </c>
      <c r="J202" s="6">
        <v>0.010983</v>
      </c>
      <c r="K202" s="6">
        <v>0.12673933</v>
      </c>
      <c r="L202" s="6">
        <v>0.08804916</v>
      </c>
      <c r="M202" s="6">
        <v>0.11129242</v>
      </c>
      <c r="N202" s="6">
        <v>0.0734457</v>
      </c>
      <c r="O202" s="6">
        <v>0.0820482</v>
      </c>
      <c r="P202" s="6">
        <v>0.14706772</v>
      </c>
      <c r="Q202" s="6">
        <v>0.12696588</v>
      </c>
      <c r="R202" s="6">
        <v>217.69486</v>
      </c>
      <c r="S202" s="6">
        <v>0.00058219</v>
      </c>
      <c r="T202" s="6">
        <v>169.97573</v>
      </c>
      <c r="U202" s="6">
        <v>0.00051801</v>
      </c>
      <c r="V202" s="6">
        <v>197.11803</v>
      </c>
      <c r="W202" s="6">
        <v>0.0005646</v>
      </c>
      <c r="X202" s="6">
        <v>134.47093</v>
      </c>
      <c r="Y202" s="6">
        <v>0.00054618</v>
      </c>
      <c r="Z202" s="6">
        <v>134.86767</v>
      </c>
      <c r="AA202" s="6">
        <v>0.00060836</v>
      </c>
      <c r="AB202" s="6">
        <v>294.9318</v>
      </c>
      <c r="AC202" s="6">
        <v>0.00049865</v>
      </c>
      <c r="AD202" s="6">
        <v>243.86163</v>
      </c>
      <c r="AE202" s="6">
        <v>0.00052065</v>
      </c>
      <c r="AF202" s="6">
        <v>775</v>
      </c>
      <c r="AG202" s="6">
        <v>-0.00433655</v>
      </c>
      <c r="AH202" s="6">
        <v>-0.00391901</v>
      </c>
      <c r="AI202" s="6">
        <v>-0.00422285</v>
      </c>
      <c r="AJ202" s="6">
        <v>-0.00410323</v>
      </c>
      <c r="AK202" s="6">
        <v>-0.00450476</v>
      </c>
      <c r="AL202" s="6">
        <v>-0.00379154</v>
      </c>
      <c r="AM202" s="6">
        <v>-0.00393632</v>
      </c>
      <c r="AN202" s="6">
        <v>-6.4762184</v>
      </c>
      <c r="AO202" s="6">
        <v>-6.4515561</v>
      </c>
      <c r="AP202" s="6">
        <v>-6.4739881</v>
      </c>
      <c r="AQ202" s="6">
        <v>-6.4253629</v>
      </c>
      <c r="AR202" s="6">
        <v>-6.4020076</v>
      </c>
      <c r="AS202" s="6">
        <v>-6.4618417</v>
      </c>
      <c r="AT202" s="6">
        <v>-6.4506396</v>
      </c>
      <c r="AU202" s="6">
        <v>0.97344833</v>
      </c>
      <c r="AV202" s="6">
        <v>0.96974131</v>
      </c>
      <c r="AW202" s="6">
        <v>0.97311308</v>
      </c>
      <c r="AX202" s="6">
        <v>0.96580418</v>
      </c>
      <c r="AY202" s="6">
        <v>0.96229362</v>
      </c>
      <c r="AZ202" s="6">
        <v>0.97128734</v>
      </c>
      <c r="BA202" s="6">
        <v>0.96960354</v>
      </c>
      <c r="BB202" s="6">
        <v>0.02655167</v>
      </c>
      <c r="BC202" s="6">
        <v>0.03025869</v>
      </c>
      <c r="BD202" s="6">
        <v>0.02688692</v>
      </c>
      <c r="BE202" s="6">
        <v>0.03419582</v>
      </c>
      <c r="BF202" s="6">
        <v>0.03770638</v>
      </c>
      <c r="BG202" s="6">
        <v>0.02871266</v>
      </c>
      <c r="BH202" s="6">
        <v>0.03039646</v>
      </c>
      <c r="BI202" s="6">
        <v>0.21470859</v>
      </c>
      <c r="BJ202" s="6">
        <v>0.12366373</v>
      </c>
      <c r="BK202" s="6">
        <v>0.1409291</v>
      </c>
      <c r="BL202" s="6">
        <v>0.12522516</v>
      </c>
      <c r="BM202" s="6">
        <v>0.1592662</v>
      </c>
      <c r="BN202" s="6">
        <v>0.17561655</v>
      </c>
      <c r="BO202" s="6">
        <v>0.1337285</v>
      </c>
      <c r="BP202" s="6">
        <v>0.14157076</v>
      </c>
      <c r="BQ202" s="6">
        <v>0.01567306</v>
      </c>
      <c r="BR202" s="6">
        <v>0.01240869</v>
      </c>
      <c r="BS202" s="6">
        <v>0.01393661</v>
      </c>
      <c r="BT202" s="6">
        <v>0.01169742</v>
      </c>
      <c r="BU202" s="6">
        <v>0.01440902</v>
      </c>
      <c r="BV202" s="6">
        <v>0.01966714</v>
      </c>
      <c r="BW202" s="6">
        <v>0.01797466</v>
      </c>
      <c r="BX202" s="12">
        <v>4879</v>
      </c>
      <c r="BY202" s="13">
        <v>6093</v>
      </c>
      <c r="BZ202" s="12">
        <v>3038.23588</v>
      </c>
      <c r="CA202" s="6">
        <f t="shared" si="16"/>
        <v>0.800754964713606</v>
      </c>
      <c r="CB202" s="6">
        <f t="shared" si="17"/>
        <v>1.60586609884944</v>
      </c>
      <c r="CC202" s="7">
        <v>143527215.7</v>
      </c>
      <c r="CD202" s="7">
        <f t="shared" si="18"/>
        <v>4.72403135796026</v>
      </c>
      <c r="CE202" s="8">
        <v>79.3</v>
      </c>
      <c r="CF202" s="8">
        <v>1023.7</v>
      </c>
      <c r="CG202" s="8">
        <v>2174.9</v>
      </c>
      <c r="CH202" s="8">
        <v>25014</v>
      </c>
      <c r="CI202" s="14">
        <v>0</v>
      </c>
      <c r="CJ202" s="14">
        <v>0</v>
      </c>
      <c r="CK202" s="14">
        <f t="shared" si="19"/>
        <v>0</v>
      </c>
      <c r="CL202">
        <f t="shared" si="20"/>
        <v>4.53658228674969</v>
      </c>
      <c r="CM202">
        <f t="shared" si="21"/>
        <v>0</v>
      </c>
      <c r="CN202" s="15">
        <v>4878.82</v>
      </c>
      <c r="CO202" s="15">
        <v>5909.39</v>
      </c>
      <c r="CP202" s="15">
        <v>533.27</v>
      </c>
      <c r="CQ202" s="15">
        <v>345.06</v>
      </c>
      <c r="CR202" s="15">
        <v>68.54</v>
      </c>
      <c r="CS202" s="15">
        <v>2.56</v>
      </c>
      <c r="CT202" s="15">
        <v>142.12</v>
      </c>
      <c r="CU202" s="15">
        <v>46.91</v>
      </c>
      <c r="CV202">
        <v>0</v>
      </c>
      <c r="CW202" s="15">
        <v>338.93</v>
      </c>
    </row>
    <row r="203" spans="1:101">
      <c r="A203" s="6">
        <v>2001</v>
      </c>
      <c r="B203" s="6" t="s">
        <v>108</v>
      </c>
      <c r="C203" s="6">
        <v>0.10203729</v>
      </c>
      <c r="D203" s="6">
        <v>0.021977</v>
      </c>
      <c r="E203" s="6">
        <v>0.00549</v>
      </c>
      <c r="F203" s="6">
        <v>0.009758</v>
      </c>
      <c r="G203" s="6">
        <v>0.003495</v>
      </c>
      <c r="H203" s="6">
        <v>0.003234</v>
      </c>
      <c r="I203" s="6">
        <v>0.021656</v>
      </c>
      <c r="J203" s="6">
        <v>0.010837</v>
      </c>
      <c r="K203" s="6">
        <v>0.1208249</v>
      </c>
      <c r="L203" s="6">
        <v>0.08929172</v>
      </c>
      <c r="M203" s="6">
        <v>0.10706853</v>
      </c>
      <c r="N203" s="6">
        <v>0.07482281</v>
      </c>
      <c r="O203" s="6">
        <v>0.06452234</v>
      </c>
      <c r="P203" s="6">
        <v>0.1514186</v>
      </c>
      <c r="Q203" s="6">
        <v>0.12437061</v>
      </c>
      <c r="R203" s="6">
        <v>217.69486</v>
      </c>
      <c r="S203" s="6">
        <v>0.00055502</v>
      </c>
      <c r="T203" s="6">
        <v>169.97573</v>
      </c>
      <c r="U203" s="6">
        <v>0.00052532</v>
      </c>
      <c r="V203" s="6">
        <v>197.11803</v>
      </c>
      <c r="W203" s="6">
        <v>0.00054317</v>
      </c>
      <c r="X203" s="6">
        <v>134.47093</v>
      </c>
      <c r="Y203" s="6">
        <v>0.00055642</v>
      </c>
      <c r="Z203" s="6">
        <v>134.86767</v>
      </c>
      <c r="AA203" s="6">
        <v>0.00047841</v>
      </c>
      <c r="AB203" s="6">
        <v>294.9318</v>
      </c>
      <c r="AC203" s="6">
        <v>0.0005134</v>
      </c>
      <c r="AD203" s="6">
        <v>243.86163</v>
      </c>
      <c r="AE203" s="6">
        <v>0.00051</v>
      </c>
      <c r="AF203" s="6">
        <v>775</v>
      </c>
      <c r="AG203" s="6">
        <v>-0.00416071</v>
      </c>
      <c r="AH203" s="6">
        <v>-0.00396696</v>
      </c>
      <c r="AI203" s="6">
        <v>-0.0040836</v>
      </c>
      <c r="AJ203" s="6">
        <v>-0.00416983</v>
      </c>
      <c r="AK203" s="6">
        <v>-0.00365748</v>
      </c>
      <c r="AL203" s="6">
        <v>-0.00388874</v>
      </c>
      <c r="AM203" s="6">
        <v>-0.00386639</v>
      </c>
      <c r="AN203" s="6">
        <v>-6.4762184</v>
      </c>
      <c r="AO203" s="6">
        <v>-6.4515561</v>
      </c>
      <c r="AP203" s="6">
        <v>-6.4739881</v>
      </c>
      <c r="AQ203" s="6">
        <v>-6.4253629</v>
      </c>
      <c r="AR203" s="6">
        <v>-6.4020076</v>
      </c>
      <c r="AS203" s="6">
        <v>-6.4618417</v>
      </c>
      <c r="AT203" s="6">
        <v>-6.4506396</v>
      </c>
      <c r="AU203" s="6">
        <v>0.97344833</v>
      </c>
      <c r="AV203" s="6">
        <v>0.96974131</v>
      </c>
      <c r="AW203" s="6">
        <v>0.97311308</v>
      </c>
      <c r="AX203" s="6">
        <v>0.96580418</v>
      </c>
      <c r="AY203" s="6">
        <v>0.96229362</v>
      </c>
      <c r="AZ203" s="6">
        <v>0.97128734</v>
      </c>
      <c r="BA203" s="6">
        <v>0.96960354</v>
      </c>
      <c r="BB203" s="6">
        <v>0.02655167</v>
      </c>
      <c r="BC203" s="6">
        <v>0.03025869</v>
      </c>
      <c r="BD203" s="6">
        <v>0.02688692</v>
      </c>
      <c r="BE203" s="6">
        <v>0.03419582</v>
      </c>
      <c r="BF203" s="6">
        <v>0.03770638</v>
      </c>
      <c r="BG203" s="6">
        <v>0.02871266</v>
      </c>
      <c r="BH203" s="6">
        <v>0.03039646</v>
      </c>
      <c r="BI203" s="6">
        <v>0.21470859</v>
      </c>
      <c r="BJ203" s="6">
        <v>0.12366373</v>
      </c>
      <c r="BK203" s="6">
        <v>0.1409291</v>
      </c>
      <c r="BL203" s="6">
        <v>0.12522516</v>
      </c>
      <c r="BM203" s="6">
        <v>0.1592662</v>
      </c>
      <c r="BN203" s="6">
        <v>0.17561655</v>
      </c>
      <c r="BO203" s="6">
        <v>0.1337285</v>
      </c>
      <c r="BP203" s="6">
        <v>0.14157076</v>
      </c>
      <c r="BQ203" s="6">
        <v>0.01494166</v>
      </c>
      <c r="BR203" s="6">
        <v>0.0125838</v>
      </c>
      <c r="BS203" s="6">
        <v>0.01340767</v>
      </c>
      <c r="BT203" s="6">
        <v>0.01191674</v>
      </c>
      <c r="BU203" s="6">
        <v>0.01133119</v>
      </c>
      <c r="BV203" s="6">
        <v>0.02024898</v>
      </c>
      <c r="BW203" s="6">
        <v>0.01760724</v>
      </c>
      <c r="BX203" s="12">
        <v>5118</v>
      </c>
      <c r="BY203" s="13">
        <v>6128</v>
      </c>
      <c r="BZ203" s="12">
        <v>3246.71456</v>
      </c>
      <c r="CA203" s="6">
        <f t="shared" si="16"/>
        <v>0.835182767624021</v>
      </c>
      <c r="CB203" s="6">
        <f t="shared" si="17"/>
        <v>1.57636278318227</v>
      </c>
      <c r="CC203" s="7">
        <v>151753718.9</v>
      </c>
      <c r="CD203" s="7">
        <f t="shared" si="18"/>
        <v>4.67407023609738</v>
      </c>
      <c r="CE203" s="8">
        <v>80.8</v>
      </c>
      <c r="CF203" s="8">
        <v>1127.2</v>
      </c>
      <c r="CG203" s="8">
        <v>2653.6</v>
      </c>
      <c r="CH203" s="8">
        <v>28097</v>
      </c>
      <c r="CI203" s="14">
        <v>0</v>
      </c>
      <c r="CJ203" s="14">
        <v>0</v>
      </c>
      <c r="CK203" s="14">
        <f t="shared" si="19"/>
        <v>0</v>
      </c>
      <c r="CL203">
        <f t="shared" si="20"/>
        <v>4.16809156222866</v>
      </c>
      <c r="CM203">
        <f t="shared" si="21"/>
        <v>0</v>
      </c>
      <c r="CN203" s="15">
        <v>5118</v>
      </c>
      <c r="CO203" s="15">
        <v>6366</v>
      </c>
      <c r="CP203" s="15">
        <v>542.67</v>
      </c>
      <c r="CQ203" s="15">
        <v>288.27</v>
      </c>
      <c r="CR203" s="15">
        <v>70.35</v>
      </c>
      <c r="CS203" s="15">
        <v>2.7</v>
      </c>
      <c r="CT203" s="15">
        <v>147.77</v>
      </c>
      <c r="CU203" s="15">
        <v>47.26</v>
      </c>
      <c r="CV203">
        <v>0</v>
      </c>
      <c r="CW203" s="15">
        <v>359.62</v>
      </c>
    </row>
    <row r="204" spans="1:101">
      <c r="A204" s="6">
        <v>2002</v>
      </c>
      <c r="B204" s="6" t="s">
        <v>108</v>
      </c>
      <c r="C204" s="6">
        <v>0.11612747</v>
      </c>
      <c r="D204" s="6">
        <v>0.024593</v>
      </c>
      <c r="E204" s="6">
        <v>0.006249</v>
      </c>
      <c r="F204" s="6">
        <v>0.010729</v>
      </c>
      <c r="G204" s="6">
        <v>0.00384</v>
      </c>
      <c r="H204" s="6">
        <v>0.003775</v>
      </c>
      <c r="I204" s="6">
        <v>0.021735</v>
      </c>
      <c r="J204" s="6">
        <v>0.011841</v>
      </c>
      <c r="K204" s="6">
        <v>0.14134175</v>
      </c>
      <c r="L204" s="6">
        <v>0.10723953</v>
      </c>
      <c r="M204" s="6">
        <v>0.12198609</v>
      </c>
      <c r="N204" s="6">
        <v>0.08502387</v>
      </c>
      <c r="O204" s="6">
        <v>0.08091021</v>
      </c>
      <c r="P204" s="6">
        <v>0.15230082</v>
      </c>
      <c r="Q204" s="6">
        <v>0.14227629</v>
      </c>
      <c r="R204" s="6">
        <v>217.69486</v>
      </c>
      <c r="S204" s="6">
        <v>0.00064927</v>
      </c>
      <c r="T204" s="6">
        <v>169.97573</v>
      </c>
      <c r="U204" s="6">
        <v>0.00063091</v>
      </c>
      <c r="V204" s="6">
        <v>197.11803</v>
      </c>
      <c r="W204" s="6">
        <v>0.00061885</v>
      </c>
      <c r="X204" s="6">
        <v>134.47093</v>
      </c>
      <c r="Y204" s="6">
        <v>0.00063228</v>
      </c>
      <c r="Z204" s="6">
        <v>134.86767</v>
      </c>
      <c r="AA204" s="6">
        <v>0.00059992</v>
      </c>
      <c r="AB204" s="6">
        <v>294.9318</v>
      </c>
      <c r="AC204" s="6">
        <v>0.00051639</v>
      </c>
      <c r="AD204" s="6">
        <v>243.86163</v>
      </c>
      <c r="AE204" s="6">
        <v>0.00058343</v>
      </c>
      <c r="AF204" s="6">
        <v>775</v>
      </c>
      <c r="AG204" s="6">
        <v>-0.00476539</v>
      </c>
      <c r="AH204" s="6">
        <v>-0.00464877</v>
      </c>
      <c r="AI204" s="6">
        <v>-0.00457183</v>
      </c>
      <c r="AJ204" s="6">
        <v>-0.00465752</v>
      </c>
      <c r="AK204" s="6">
        <v>-0.00445065</v>
      </c>
      <c r="AL204" s="6">
        <v>-0.0039084</v>
      </c>
      <c r="AM204" s="6">
        <v>-0.00434456</v>
      </c>
      <c r="AN204" s="6">
        <v>-6.4762184</v>
      </c>
      <c r="AO204" s="6">
        <v>-6.4515561</v>
      </c>
      <c r="AP204" s="6">
        <v>-6.4739881</v>
      </c>
      <c r="AQ204" s="6">
        <v>-6.4253629</v>
      </c>
      <c r="AR204" s="6">
        <v>-6.4020076</v>
      </c>
      <c r="AS204" s="6">
        <v>-6.4618417</v>
      </c>
      <c r="AT204" s="6">
        <v>-6.4506396</v>
      </c>
      <c r="AU204" s="6">
        <v>0.97344833</v>
      </c>
      <c r="AV204" s="6">
        <v>0.96974131</v>
      </c>
      <c r="AW204" s="6">
        <v>0.97311308</v>
      </c>
      <c r="AX204" s="6">
        <v>0.96580418</v>
      </c>
      <c r="AY204" s="6">
        <v>0.96229362</v>
      </c>
      <c r="AZ204" s="6">
        <v>0.97128734</v>
      </c>
      <c r="BA204" s="6">
        <v>0.96960354</v>
      </c>
      <c r="BB204" s="6">
        <v>0.02655167</v>
      </c>
      <c r="BC204" s="6">
        <v>0.03025869</v>
      </c>
      <c r="BD204" s="6">
        <v>0.02688692</v>
      </c>
      <c r="BE204" s="6">
        <v>0.03419582</v>
      </c>
      <c r="BF204" s="6">
        <v>0.03770638</v>
      </c>
      <c r="BG204" s="6">
        <v>0.02871266</v>
      </c>
      <c r="BH204" s="6">
        <v>0.03039646</v>
      </c>
      <c r="BI204" s="6">
        <v>0.21470859</v>
      </c>
      <c r="BJ204" s="6">
        <v>0.12366373</v>
      </c>
      <c r="BK204" s="6">
        <v>0.1409291</v>
      </c>
      <c r="BL204" s="6">
        <v>0.12522516</v>
      </c>
      <c r="BM204" s="6">
        <v>0.1592662</v>
      </c>
      <c r="BN204" s="6">
        <v>0.17561655</v>
      </c>
      <c r="BO204" s="6">
        <v>0.1337285</v>
      </c>
      <c r="BP204" s="6">
        <v>0.14157076</v>
      </c>
      <c r="BQ204" s="6">
        <v>0.01747885</v>
      </c>
      <c r="BR204" s="6">
        <v>0.01511317</v>
      </c>
      <c r="BS204" s="6">
        <v>0.01527573</v>
      </c>
      <c r="BT204" s="6">
        <v>0.01354143</v>
      </c>
      <c r="BU204" s="6">
        <v>0.01420917</v>
      </c>
      <c r="BV204" s="6">
        <v>0.02036696</v>
      </c>
      <c r="BW204" s="6">
        <v>0.02014216</v>
      </c>
      <c r="BX204" s="12">
        <v>5316</v>
      </c>
      <c r="BY204" s="13">
        <v>6144</v>
      </c>
      <c r="BZ204" s="12">
        <v>3519.71951</v>
      </c>
      <c r="CA204" s="6">
        <f t="shared" si="16"/>
        <v>0.865234375</v>
      </c>
      <c r="CB204" s="6">
        <f t="shared" si="17"/>
        <v>1.51034762426282</v>
      </c>
      <c r="CC204" s="7">
        <v>159049900.3</v>
      </c>
      <c r="CD204" s="7">
        <f t="shared" si="18"/>
        <v>4.51882315758735</v>
      </c>
      <c r="CE204" s="8">
        <v>82.4</v>
      </c>
      <c r="CF204" s="8">
        <v>1235.1</v>
      </c>
      <c r="CG204" s="8">
        <v>3208.2</v>
      </c>
      <c r="CH204" s="8">
        <v>32231</v>
      </c>
      <c r="CI204" s="14">
        <v>0</v>
      </c>
      <c r="CJ204" s="14">
        <v>0</v>
      </c>
      <c r="CK204" s="14">
        <f t="shared" si="19"/>
        <v>0</v>
      </c>
      <c r="CL204">
        <f t="shared" si="20"/>
        <v>4.06804884448575</v>
      </c>
      <c r="CM204">
        <f t="shared" si="21"/>
        <v>0</v>
      </c>
      <c r="CN204" s="15">
        <v>5316</v>
      </c>
      <c r="CO204" s="15">
        <v>6679</v>
      </c>
      <c r="CP204" s="15">
        <v>556.2</v>
      </c>
      <c r="CQ204" s="15">
        <v>307.99</v>
      </c>
      <c r="CR204" s="15">
        <v>73.9</v>
      </c>
      <c r="CS204" s="15">
        <v>2.7</v>
      </c>
      <c r="CT204" s="15">
        <v>155.89</v>
      </c>
      <c r="CU204" s="15">
        <v>47.52</v>
      </c>
      <c r="CV204">
        <v>0</v>
      </c>
      <c r="CW204" s="15">
        <v>389.94</v>
      </c>
    </row>
    <row r="205" spans="1:101">
      <c r="A205" s="6">
        <v>2003</v>
      </c>
      <c r="B205" s="6" t="s">
        <v>108</v>
      </c>
      <c r="C205" s="6">
        <v>0.10521313</v>
      </c>
      <c r="D205" s="6">
        <v>0.022396</v>
      </c>
      <c r="E205" s="6">
        <v>0.005779</v>
      </c>
      <c r="F205" s="6">
        <v>0.010175</v>
      </c>
      <c r="G205" s="6">
        <v>0.003694</v>
      </c>
      <c r="H205" s="6">
        <v>0.002748</v>
      </c>
      <c r="I205" s="6">
        <v>0.022537</v>
      </c>
      <c r="J205" s="6">
        <v>0.011369</v>
      </c>
      <c r="K205" s="6">
        <v>0.12410554</v>
      </c>
      <c r="L205" s="6">
        <v>0.09612805</v>
      </c>
      <c r="M205" s="6">
        <v>0.11346871</v>
      </c>
      <c r="N205" s="6">
        <v>0.08071956</v>
      </c>
      <c r="O205" s="6">
        <v>0.04976923</v>
      </c>
      <c r="P205" s="6">
        <v>0.16123964</v>
      </c>
      <c r="Q205" s="6">
        <v>0.13386144</v>
      </c>
      <c r="R205" s="6">
        <v>217.69486</v>
      </c>
      <c r="S205" s="6">
        <v>0.00057009</v>
      </c>
      <c r="T205" s="6">
        <v>169.97573</v>
      </c>
      <c r="U205" s="6">
        <v>0.00056554</v>
      </c>
      <c r="V205" s="6">
        <v>197.11803</v>
      </c>
      <c r="W205" s="6">
        <v>0.00057564</v>
      </c>
      <c r="X205" s="6">
        <v>134.47093</v>
      </c>
      <c r="Y205" s="6">
        <v>0.00060028</v>
      </c>
      <c r="Z205" s="6">
        <v>134.86767</v>
      </c>
      <c r="AA205" s="6">
        <v>0.00036902</v>
      </c>
      <c r="AB205" s="6">
        <v>294.9318</v>
      </c>
      <c r="AC205" s="6">
        <v>0.0005467</v>
      </c>
      <c r="AD205" s="6">
        <v>243.86163</v>
      </c>
      <c r="AE205" s="6">
        <v>0.00054892</v>
      </c>
      <c r="AF205" s="6">
        <v>775</v>
      </c>
      <c r="AG205" s="6">
        <v>-0.00425841</v>
      </c>
      <c r="AH205" s="6">
        <v>-0.00422895</v>
      </c>
      <c r="AI205" s="6">
        <v>-0.00429428</v>
      </c>
      <c r="AJ205" s="6">
        <v>-0.00445291</v>
      </c>
      <c r="AK205" s="6">
        <v>-0.002917</v>
      </c>
      <c r="AL205" s="6">
        <v>-0.00410661</v>
      </c>
      <c r="AM205" s="6">
        <v>-0.00412107</v>
      </c>
      <c r="AN205" s="6">
        <v>-6.4762184</v>
      </c>
      <c r="AO205" s="6">
        <v>-6.4515561</v>
      </c>
      <c r="AP205" s="6">
        <v>-6.4739881</v>
      </c>
      <c r="AQ205" s="6">
        <v>-6.4253629</v>
      </c>
      <c r="AR205" s="6">
        <v>-6.4020076</v>
      </c>
      <c r="AS205" s="6">
        <v>-6.4618417</v>
      </c>
      <c r="AT205" s="6">
        <v>-6.4506396</v>
      </c>
      <c r="AU205" s="6">
        <v>0.97344833</v>
      </c>
      <c r="AV205" s="6">
        <v>0.96974131</v>
      </c>
      <c r="AW205" s="6">
        <v>0.97311308</v>
      </c>
      <c r="AX205" s="6">
        <v>0.96580418</v>
      </c>
      <c r="AY205" s="6">
        <v>0.96229362</v>
      </c>
      <c r="AZ205" s="6">
        <v>0.97128734</v>
      </c>
      <c r="BA205" s="6">
        <v>0.96960354</v>
      </c>
      <c r="BB205" s="6">
        <v>0.02655167</v>
      </c>
      <c r="BC205" s="6">
        <v>0.03025869</v>
      </c>
      <c r="BD205" s="6">
        <v>0.02688692</v>
      </c>
      <c r="BE205" s="6">
        <v>0.03419582</v>
      </c>
      <c r="BF205" s="6">
        <v>0.03770638</v>
      </c>
      <c r="BG205" s="6">
        <v>0.02871266</v>
      </c>
      <c r="BH205" s="6">
        <v>0.03039646</v>
      </c>
      <c r="BI205" s="6">
        <v>0.21470859</v>
      </c>
      <c r="BJ205" s="6">
        <v>0.12366373</v>
      </c>
      <c r="BK205" s="6">
        <v>0.1409291</v>
      </c>
      <c r="BL205" s="6">
        <v>0.12522516</v>
      </c>
      <c r="BM205" s="6">
        <v>0.1592662</v>
      </c>
      <c r="BN205" s="6">
        <v>0.17561655</v>
      </c>
      <c r="BO205" s="6">
        <v>0.1337285</v>
      </c>
      <c r="BP205" s="6">
        <v>0.14157076</v>
      </c>
      <c r="BQ205" s="6">
        <v>0.01534735</v>
      </c>
      <c r="BR205" s="6">
        <v>0.01354724</v>
      </c>
      <c r="BS205" s="6">
        <v>0.01420914</v>
      </c>
      <c r="BT205" s="6">
        <v>0.0128559</v>
      </c>
      <c r="BU205" s="6">
        <v>0.0087403</v>
      </c>
      <c r="BV205" s="6">
        <v>0.02156233</v>
      </c>
      <c r="BW205" s="6">
        <v>0.01895087</v>
      </c>
      <c r="BX205" s="12">
        <v>5457</v>
      </c>
      <c r="BY205" s="13">
        <v>6163</v>
      </c>
      <c r="BZ205" s="12">
        <v>3923.1</v>
      </c>
      <c r="CA205" s="6">
        <f t="shared" si="16"/>
        <v>0.885445399967548</v>
      </c>
      <c r="CB205" s="6">
        <f t="shared" si="17"/>
        <v>1.39099181769519</v>
      </c>
      <c r="CC205" s="7">
        <v>176590054.8</v>
      </c>
      <c r="CD205" s="7">
        <f t="shared" si="18"/>
        <v>4.50128864418445</v>
      </c>
      <c r="CE205" s="8">
        <v>84.1</v>
      </c>
      <c r="CF205" s="8">
        <v>1456.4</v>
      </c>
      <c r="CG205" s="8">
        <v>3726.7</v>
      </c>
      <c r="CH205" s="8">
        <v>36583</v>
      </c>
      <c r="CI205" s="14">
        <v>0</v>
      </c>
      <c r="CJ205" s="14">
        <v>0</v>
      </c>
      <c r="CK205" s="14">
        <f t="shared" si="19"/>
        <v>0</v>
      </c>
      <c r="CL205">
        <f t="shared" si="20"/>
        <v>4.08414499624993</v>
      </c>
      <c r="CM205">
        <f t="shared" si="21"/>
        <v>0</v>
      </c>
      <c r="CN205" s="15">
        <v>5457.09</v>
      </c>
      <c r="CO205" s="15">
        <v>7488.61</v>
      </c>
      <c r="CP205" s="15">
        <v>599.66</v>
      </c>
      <c r="CQ205" s="15">
        <v>334.92</v>
      </c>
      <c r="CR205" s="15">
        <v>76.7</v>
      </c>
      <c r="CS205" s="15">
        <v>7.53</v>
      </c>
      <c r="CT205" s="15">
        <v>173.71</v>
      </c>
      <c r="CU205" s="15">
        <v>53.81</v>
      </c>
      <c r="CV205">
        <v>0</v>
      </c>
      <c r="CW205" s="15">
        <v>445.44</v>
      </c>
    </row>
    <row r="206" spans="1:101">
      <c r="A206" s="6">
        <v>2004</v>
      </c>
      <c r="B206" s="6" t="s">
        <v>108</v>
      </c>
      <c r="C206" s="6">
        <v>0.13787856</v>
      </c>
      <c r="D206" s="6">
        <v>0.027161</v>
      </c>
      <c r="E206" s="6">
        <v>0.006959</v>
      </c>
      <c r="F206" s="6">
        <v>0.012269</v>
      </c>
      <c r="G206" s="6">
        <v>0.004258</v>
      </c>
      <c r="H206" s="6">
        <v>0.003675</v>
      </c>
      <c r="I206" s="6">
        <v>0.026633</v>
      </c>
      <c r="J206" s="6">
        <v>0.013899</v>
      </c>
      <c r="K206" s="6">
        <v>0.16148558</v>
      </c>
      <c r="L206" s="6">
        <v>0.12402305</v>
      </c>
      <c r="M206" s="6">
        <v>0.14565535</v>
      </c>
      <c r="N206" s="6">
        <v>0.09737682</v>
      </c>
      <c r="O206" s="6">
        <v>0.0778872</v>
      </c>
      <c r="P206" s="6">
        <v>0.20685724</v>
      </c>
      <c r="Q206" s="6">
        <v>0.1789964</v>
      </c>
      <c r="R206" s="6">
        <v>217.69486</v>
      </c>
      <c r="S206" s="6">
        <v>0.0007418</v>
      </c>
      <c r="T206" s="6">
        <v>169.97573</v>
      </c>
      <c r="U206" s="6">
        <v>0.00072965</v>
      </c>
      <c r="V206" s="6">
        <v>197.11803</v>
      </c>
      <c r="W206" s="6">
        <v>0.00073892</v>
      </c>
      <c r="X206" s="6">
        <v>134.47093</v>
      </c>
      <c r="Y206" s="6">
        <v>0.00072415</v>
      </c>
      <c r="Z206" s="6">
        <v>134.86767</v>
      </c>
      <c r="AA206" s="6">
        <v>0.00057751</v>
      </c>
      <c r="AB206" s="6">
        <v>294.9318</v>
      </c>
      <c r="AC206" s="6">
        <v>0.00070137</v>
      </c>
      <c r="AD206" s="6">
        <v>243.86163</v>
      </c>
      <c r="AE206" s="6">
        <v>0.00073401</v>
      </c>
      <c r="AF206" s="6">
        <v>775</v>
      </c>
      <c r="AG206" s="6">
        <v>-0.00534572</v>
      </c>
      <c r="AH206" s="6">
        <v>-0.00527023</v>
      </c>
      <c r="AI206" s="6">
        <v>-0.00532788</v>
      </c>
      <c r="AJ206" s="6">
        <v>-0.00523596</v>
      </c>
      <c r="AK206" s="6">
        <v>-0.00430636</v>
      </c>
      <c r="AL206" s="6">
        <v>-0.0050937</v>
      </c>
      <c r="AM206" s="6">
        <v>-0.00529733</v>
      </c>
      <c r="AN206" s="6">
        <v>-6.4762184</v>
      </c>
      <c r="AO206" s="6">
        <v>-6.4515561</v>
      </c>
      <c r="AP206" s="6">
        <v>-6.4739881</v>
      </c>
      <c r="AQ206" s="6">
        <v>-6.4253629</v>
      </c>
      <c r="AR206" s="6">
        <v>-6.4020076</v>
      </c>
      <c r="AS206" s="6">
        <v>-6.4618417</v>
      </c>
      <c r="AT206" s="6">
        <v>-6.4506396</v>
      </c>
      <c r="AU206" s="6">
        <v>0.97344833</v>
      </c>
      <c r="AV206" s="6">
        <v>0.96974131</v>
      </c>
      <c r="AW206" s="6">
        <v>0.97311308</v>
      </c>
      <c r="AX206" s="6">
        <v>0.96580418</v>
      </c>
      <c r="AY206" s="6">
        <v>0.96229362</v>
      </c>
      <c r="AZ206" s="6">
        <v>0.97128734</v>
      </c>
      <c r="BA206" s="6">
        <v>0.96960354</v>
      </c>
      <c r="BB206" s="6">
        <v>0.02655167</v>
      </c>
      <c r="BC206" s="6">
        <v>0.03025869</v>
      </c>
      <c r="BD206" s="6">
        <v>0.02688692</v>
      </c>
      <c r="BE206" s="6">
        <v>0.03419582</v>
      </c>
      <c r="BF206" s="6">
        <v>0.03770638</v>
      </c>
      <c r="BG206" s="6">
        <v>0.02871266</v>
      </c>
      <c r="BH206" s="6">
        <v>0.03039646</v>
      </c>
      <c r="BI206" s="6">
        <v>0.21470859</v>
      </c>
      <c r="BJ206" s="6">
        <v>0.12366373</v>
      </c>
      <c r="BK206" s="6">
        <v>0.1409291</v>
      </c>
      <c r="BL206" s="6">
        <v>0.12522516</v>
      </c>
      <c r="BM206" s="6">
        <v>0.1592662</v>
      </c>
      <c r="BN206" s="6">
        <v>0.17561655</v>
      </c>
      <c r="BO206" s="6">
        <v>0.1337285</v>
      </c>
      <c r="BP206" s="6">
        <v>0.14157076</v>
      </c>
      <c r="BQ206" s="6">
        <v>0.01996991</v>
      </c>
      <c r="BR206" s="6">
        <v>0.01747846</v>
      </c>
      <c r="BS206" s="6">
        <v>0.01823971</v>
      </c>
      <c r="BT206" s="6">
        <v>0.01550884</v>
      </c>
      <c r="BU206" s="6">
        <v>0.01367828</v>
      </c>
      <c r="BV206" s="6">
        <v>0.02766271</v>
      </c>
      <c r="BW206" s="6">
        <v>0.02534066</v>
      </c>
      <c r="BX206" s="12">
        <v>6017</v>
      </c>
      <c r="BY206" s="13">
        <v>6228</v>
      </c>
      <c r="BZ206" s="12">
        <v>4759.32</v>
      </c>
      <c r="CA206" s="6">
        <f t="shared" si="16"/>
        <v>0.966120745022479</v>
      </c>
      <c r="CB206" s="6">
        <f t="shared" si="17"/>
        <v>1.26425623828614</v>
      </c>
      <c r="CC206" s="7">
        <v>196165959.5</v>
      </c>
      <c r="CD206" s="7">
        <f t="shared" si="18"/>
        <v>4.12172242042981</v>
      </c>
      <c r="CE206" s="8">
        <v>85.4</v>
      </c>
      <c r="CF206" s="8">
        <v>1773.7</v>
      </c>
      <c r="CG206" s="8">
        <v>4393.4</v>
      </c>
      <c r="CH206" s="8">
        <v>42402</v>
      </c>
      <c r="CI206" s="14">
        <v>0</v>
      </c>
      <c r="CJ206" s="14">
        <v>0</v>
      </c>
      <c r="CK206" s="14">
        <f t="shared" si="19"/>
        <v>0</v>
      </c>
      <c r="CL206">
        <f t="shared" si="20"/>
        <v>3.89549779892895</v>
      </c>
      <c r="CM206">
        <f t="shared" si="21"/>
        <v>0</v>
      </c>
      <c r="CN206" s="15">
        <v>6016.89</v>
      </c>
      <c r="CO206" s="15">
        <v>7823.06</v>
      </c>
      <c r="CP206" s="15">
        <v>544.29</v>
      </c>
      <c r="CQ206" s="15">
        <v>419.79</v>
      </c>
      <c r="CR206" s="15">
        <v>78.18</v>
      </c>
      <c r="CS206" s="15">
        <v>8.49</v>
      </c>
      <c r="CT206" s="15">
        <v>189.48</v>
      </c>
      <c r="CU206" s="15">
        <v>23.92</v>
      </c>
      <c r="CV206" s="15">
        <v>0.15</v>
      </c>
      <c r="CW206" s="15">
        <v>515.94</v>
      </c>
    </row>
    <row r="207" spans="1:101">
      <c r="A207" s="6">
        <v>2005</v>
      </c>
      <c r="B207" s="6" t="s">
        <v>108</v>
      </c>
      <c r="C207" s="6">
        <v>0.12099445</v>
      </c>
      <c r="D207" s="6">
        <v>0.025647</v>
      </c>
      <c r="E207" s="6">
        <v>0.00637</v>
      </c>
      <c r="F207" s="6">
        <v>0.011506</v>
      </c>
      <c r="G207" s="6">
        <v>0.003793</v>
      </c>
      <c r="H207" s="6">
        <v>0.003979</v>
      </c>
      <c r="I207" s="6">
        <v>0.023787</v>
      </c>
      <c r="J207" s="6">
        <v>0.01106</v>
      </c>
      <c r="K207" s="6">
        <v>0.14961116</v>
      </c>
      <c r="L207" s="6">
        <v>0.11010116</v>
      </c>
      <c r="M207" s="6">
        <v>0.13392831</v>
      </c>
      <c r="N207" s="6">
        <v>0.08362483</v>
      </c>
      <c r="O207" s="6">
        <v>0.0870777</v>
      </c>
      <c r="P207" s="6">
        <v>0.17515724</v>
      </c>
      <c r="Q207" s="6">
        <v>0.12835215</v>
      </c>
      <c r="R207" s="6">
        <v>217.69486</v>
      </c>
      <c r="S207" s="6">
        <v>0.00068725</v>
      </c>
      <c r="T207" s="6">
        <v>169.97573</v>
      </c>
      <c r="U207" s="6">
        <v>0.00064775</v>
      </c>
      <c r="V207" s="6">
        <v>197.11803</v>
      </c>
      <c r="W207" s="6">
        <v>0.00067943</v>
      </c>
      <c r="X207" s="6">
        <v>134.47093</v>
      </c>
      <c r="Y207" s="6">
        <v>0.00062188</v>
      </c>
      <c r="Z207" s="6">
        <v>134.86767</v>
      </c>
      <c r="AA207" s="6">
        <v>0.00064565</v>
      </c>
      <c r="AB207" s="6">
        <v>294.9318</v>
      </c>
      <c r="AC207" s="6">
        <v>0.00059389</v>
      </c>
      <c r="AD207" s="6">
        <v>243.86163</v>
      </c>
      <c r="AE207" s="6">
        <v>0.00052633</v>
      </c>
      <c r="AF207" s="6">
        <v>775</v>
      </c>
      <c r="AG207" s="6">
        <v>-0.00500512</v>
      </c>
      <c r="AH207" s="6">
        <v>-0.00475576</v>
      </c>
      <c r="AI207" s="6">
        <v>-0.00495595</v>
      </c>
      <c r="AJ207" s="6">
        <v>-0.0045912</v>
      </c>
      <c r="AK207" s="6">
        <v>-0.00474248</v>
      </c>
      <c r="AL207" s="6">
        <v>-0.0044119</v>
      </c>
      <c r="AM207" s="6">
        <v>-0.00397358</v>
      </c>
      <c r="AN207" s="6">
        <v>-6.4762184</v>
      </c>
      <c r="AO207" s="6">
        <v>-6.4515561</v>
      </c>
      <c r="AP207" s="6">
        <v>-6.4739881</v>
      </c>
      <c r="AQ207" s="6">
        <v>-6.4253629</v>
      </c>
      <c r="AR207" s="6">
        <v>-6.4020076</v>
      </c>
      <c r="AS207" s="6">
        <v>-6.4618417</v>
      </c>
      <c r="AT207" s="6">
        <v>-6.4506396</v>
      </c>
      <c r="AU207" s="6">
        <v>0.97344833</v>
      </c>
      <c r="AV207" s="6">
        <v>0.96974131</v>
      </c>
      <c r="AW207" s="6">
        <v>0.97311308</v>
      </c>
      <c r="AX207" s="6">
        <v>0.96580418</v>
      </c>
      <c r="AY207" s="6">
        <v>0.96229362</v>
      </c>
      <c r="AZ207" s="6">
        <v>0.97128734</v>
      </c>
      <c r="BA207" s="6">
        <v>0.96960354</v>
      </c>
      <c r="BB207" s="6">
        <v>0.02655167</v>
      </c>
      <c r="BC207" s="6">
        <v>0.03025869</v>
      </c>
      <c r="BD207" s="6">
        <v>0.02688692</v>
      </c>
      <c r="BE207" s="6">
        <v>0.03419582</v>
      </c>
      <c r="BF207" s="6">
        <v>0.03770638</v>
      </c>
      <c r="BG207" s="6">
        <v>0.02871266</v>
      </c>
      <c r="BH207" s="6">
        <v>0.03039646</v>
      </c>
      <c r="BI207" s="6">
        <v>0.21470859</v>
      </c>
      <c r="BJ207" s="6">
        <v>0.12366373</v>
      </c>
      <c r="BK207" s="6">
        <v>0.1409291</v>
      </c>
      <c r="BL207" s="6">
        <v>0.12522516</v>
      </c>
      <c r="BM207" s="6">
        <v>0.1592662</v>
      </c>
      <c r="BN207" s="6">
        <v>0.17561655</v>
      </c>
      <c r="BO207" s="6">
        <v>0.1337285</v>
      </c>
      <c r="BP207" s="6">
        <v>0.14157076</v>
      </c>
      <c r="BQ207" s="6">
        <v>0.01850147</v>
      </c>
      <c r="BR207" s="6">
        <v>0.01551646</v>
      </c>
      <c r="BS207" s="6">
        <v>0.01677119</v>
      </c>
      <c r="BT207" s="6">
        <v>0.01331861</v>
      </c>
      <c r="BU207" s="6">
        <v>0.01529229</v>
      </c>
      <c r="BV207" s="6">
        <v>0.02342351</v>
      </c>
      <c r="BW207" s="6">
        <v>0.01817091</v>
      </c>
      <c r="BX207" s="12">
        <v>6506</v>
      </c>
      <c r="BY207" s="13">
        <v>6120.09</v>
      </c>
      <c r="BZ207" s="12">
        <v>5350.17</v>
      </c>
      <c r="CA207" s="6">
        <f t="shared" si="16"/>
        <v>1.06305626224451</v>
      </c>
      <c r="CB207" s="6">
        <f t="shared" si="17"/>
        <v>1.21603612595488</v>
      </c>
      <c r="CC207" s="7">
        <v>225146692.3</v>
      </c>
      <c r="CD207" s="7">
        <f t="shared" si="18"/>
        <v>4.20821566978246</v>
      </c>
      <c r="CE207" s="8">
        <v>86.9</v>
      </c>
      <c r="CF207" s="8">
        <v>1907.4</v>
      </c>
      <c r="CG207" s="8">
        <v>5155.5</v>
      </c>
      <c r="CH207" s="8">
        <v>47182</v>
      </c>
      <c r="CI207" s="14">
        <v>0</v>
      </c>
      <c r="CJ207" s="14">
        <v>0</v>
      </c>
      <c r="CK207" s="14">
        <f t="shared" si="19"/>
        <v>0</v>
      </c>
      <c r="CL207">
        <f t="shared" si="20"/>
        <v>3.71995059106252</v>
      </c>
      <c r="CM207">
        <f t="shared" si="21"/>
        <v>0</v>
      </c>
      <c r="CN207" s="15">
        <v>6518</v>
      </c>
      <c r="CO207" s="15">
        <v>8339.64</v>
      </c>
      <c r="CP207" s="15">
        <v>538.39</v>
      </c>
      <c r="CQ207" s="15">
        <v>414.49</v>
      </c>
      <c r="CR207" s="15">
        <v>86.41</v>
      </c>
      <c r="CS207" s="15">
        <v>10.52</v>
      </c>
      <c r="CT207" s="15">
        <v>210.07</v>
      </c>
      <c r="CU207" s="15">
        <v>23.88</v>
      </c>
      <c r="CV207" s="15">
        <v>0.85</v>
      </c>
      <c r="CW207" s="15">
        <v>582.16</v>
      </c>
    </row>
    <row r="208" spans="1:101">
      <c r="A208" s="6">
        <v>2006</v>
      </c>
      <c r="B208" s="6" t="s">
        <v>108</v>
      </c>
      <c r="C208" s="6">
        <v>0.13794014</v>
      </c>
      <c r="D208" s="6">
        <v>0.026822</v>
      </c>
      <c r="E208" s="6">
        <v>0.006455</v>
      </c>
      <c r="F208" s="6">
        <v>0.011777</v>
      </c>
      <c r="G208" s="6">
        <v>0.003691</v>
      </c>
      <c r="H208" s="6">
        <v>0.004899</v>
      </c>
      <c r="I208" s="6">
        <v>0.027266</v>
      </c>
      <c r="J208" s="6">
        <v>0.013198</v>
      </c>
      <c r="K208" s="6">
        <v>0.15882629</v>
      </c>
      <c r="L208" s="6">
        <v>0.11211841</v>
      </c>
      <c r="M208" s="6">
        <v>0.13809807</v>
      </c>
      <c r="N208" s="6">
        <v>0.08060597</v>
      </c>
      <c r="O208" s="6">
        <v>0.114967</v>
      </c>
      <c r="P208" s="6">
        <v>0.21390751</v>
      </c>
      <c r="Q208" s="6">
        <v>0.16650012</v>
      </c>
      <c r="R208" s="6">
        <v>217.69486</v>
      </c>
      <c r="S208" s="6">
        <v>0.00072958</v>
      </c>
      <c r="T208" s="6">
        <v>169.97573</v>
      </c>
      <c r="U208" s="6">
        <v>0.00065961</v>
      </c>
      <c r="V208" s="6">
        <v>197.11803</v>
      </c>
      <c r="W208" s="6">
        <v>0.00070059</v>
      </c>
      <c r="X208" s="6">
        <v>134.47093</v>
      </c>
      <c r="Y208" s="6">
        <v>0.00059943</v>
      </c>
      <c r="Z208" s="6">
        <v>134.86767</v>
      </c>
      <c r="AA208" s="6">
        <v>0.00085244</v>
      </c>
      <c r="AB208" s="6">
        <v>294.9318</v>
      </c>
      <c r="AC208" s="6">
        <v>0.00072528</v>
      </c>
      <c r="AD208" s="6">
        <v>243.86163</v>
      </c>
      <c r="AE208" s="6">
        <v>0.00068276</v>
      </c>
      <c r="AF208" s="6">
        <v>775</v>
      </c>
      <c r="AG208" s="6">
        <v>-0.0052698</v>
      </c>
      <c r="AH208" s="6">
        <v>-0.00483092</v>
      </c>
      <c r="AI208" s="6">
        <v>-0.00508877</v>
      </c>
      <c r="AJ208" s="6">
        <v>-0.00444749</v>
      </c>
      <c r="AK208" s="6">
        <v>-0.00602456</v>
      </c>
      <c r="AL208" s="6">
        <v>-0.005243</v>
      </c>
      <c r="AM208" s="6">
        <v>-0.00497692</v>
      </c>
      <c r="AN208" s="6">
        <v>-6.4762184</v>
      </c>
      <c r="AO208" s="6">
        <v>-6.4515561</v>
      </c>
      <c r="AP208" s="6">
        <v>-6.4739881</v>
      </c>
      <c r="AQ208" s="6">
        <v>-6.4253629</v>
      </c>
      <c r="AR208" s="6">
        <v>-6.4020076</v>
      </c>
      <c r="AS208" s="6">
        <v>-6.4618417</v>
      </c>
      <c r="AT208" s="6">
        <v>-6.4506396</v>
      </c>
      <c r="AU208" s="6">
        <v>0.97344833</v>
      </c>
      <c r="AV208" s="6">
        <v>0.96974131</v>
      </c>
      <c r="AW208" s="6">
        <v>0.97311308</v>
      </c>
      <c r="AX208" s="6">
        <v>0.96580418</v>
      </c>
      <c r="AY208" s="6">
        <v>0.96229362</v>
      </c>
      <c r="AZ208" s="6">
        <v>0.97128734</v>
      </c>
      <c r="BA208" s="6">
        <v>0.96960354</v>
      </c>
      <c r="BB208" s="6">
        <v>0.02655167</v>
      </c>
      <c r="BC208" s="6">
        <v>0.03025869</v>
      </c>
      <c r="BD208" s="6">
        <v>0.02688692</v>
      </c>
      <c r="BE208" s="6">
        <v>0.03419582</v>
      </c>
      <c r="BF208" s="6">
        <v>0.03770638</v>
      </c>
      <c r="BG208" s="6">
        <v>0.02871266</v>
      </c>
      <c r="BH208" s="6">
        <v>0.03039646</v>
      </c>
      <c r="BI208" s="6">
        <v>0.21470859</v>
      </c>
      <c r="BJ208" s="6">
        <v>0.12366373</v>
      </c>
      <c r="BK208" s="6">
        <v>0.1409291</v>
      </c>
      <c r="BL208" s="6">
        <v>0.12522516</v>
      </c>
      <c r="BM208" s="6">
        <v>0.1592662</v>
      </c>
      <c r="BN208" s="6">
        <v>0.17561655</v>
      </c>
      <c r="BO208" s="6">
        <v>0.1337285</v>
      </c>
      <c r="BP208" s="6">
        <v>0.14157076</v>
      </c>
      <c r="BQ208" s="6">
        <v>0.01964105</v>
      </c>
      <c r="BR208" s="6">
        <v>0.01580075</v>
      </c>
      <c r="BS208" s="6">
        <v>0.01729335</v>
      </c>
      <c r="BT208" s="6">
        <v>0.01283781</v>
      </c>
      <c r="BU208" s="6">
        <v>0.02019011</v>
      </c>
      <c r="BV208" s="6">
        <v>0.02860553</v>
      </c>
      <c r="BW208" s="6">
        <v>0.02357155</v>
      </c>
      <c r="BX208" s="12">
        <v>7069</v>
      </c>
      <c r="BY208" s="13">
        <v>6110</v>
      </c>
      <c r="BZ208" s="12">
        <v>6112.5</v>
      </c>
      <c r="CA208" s="6">
        <f t="shared" si="16"/>
        <v>1.1569558101473</v>
      </c>
      <c r="CB208" s="6">
        <f t="shared" si="17"/>
        <v>1.15648261758691</v>
      </c>
      <c r="CC208" s="7">
        <v>247336379.2</v>
      </c>
      <c r="CD208" s="7">
        <f t="shared" si="18"/>
        <v>4.04640293169734</v>
      </c>
      <c r="CE208" s="8">
        <v>87.2</v>
      </c>
      <c r="CF208" s="8">
        <v>2072.1</v>
      </c>
      <c r="CG208" s="8">
        <v>6227.7</v>
      </c>
      <c r="CH208" s="8">
        <v>53438</v>
      </c>
      <c r="CI208" s="14">
        <v>0</v>
      </c>
      <c r="CJ208" s="14">
        <v>0</v>
      </c>
      <c r="CK208" s="14">
        <f t="shared" si="19"/>
        <v>0</v>
      </c>
      <c r="CL208">
        <f t="shared" si="20"/>
        <v>3.57740717995078</v>
      </c>
      <c r="CM208">
        <f t="shared" si="21"/>
        <v>0</v>
      </c>
      <c r="CN208" s="15">
        <v>7096.39</v>
      </c>
      <c r="CO208" s="15">
        <v>8830.52</v>
      </c>
      <c r="CP208" s="15">
        <v>652.22</v>
      </c>
      <c r="CQ208" s="15">
        <v>445.4</v>
      </c>
      <c r="CR208" s="15">
        <v>97.8</v>
      </c>
      <c r="CS208" s="15">
        <v>10.6</v>
      </c>
      <c r="CT208" s="15">
        <v>239.9</v>
      </c>
      <c r="CU208" s="15">
        <v>21.62</v>
      </c>
      <c r="CV208" s="15">
        <v>1.95</v>
      </c>
      <c r="CW208" s="15">
        <v>662.4</v>
      </c>
    </row>
    <row r="209" spans="1:101">
      <c r="A209" s="6">
        <v>2007</v>
      </c>
      <c r="B209" s="6" t="s">
        <v>108</v>
      </c>
      <c r="C209" s="6">
        <v>0.14654118</v>
      </c>
      <c r="D209" s="6">
        <v>0.027599</v>
      </c>
      <c r="E209" s="6">
        <v>0.00671</v>
      </c>
      <c r="F209" s="6">
        <v>0.012494</v>
      </c>
      <c r="G209" s="6">
        <v>0.003912</v>
      </c>
      <c r="H209" s="6">
        <v>0.004483</v>
      </c>
      <c r="I209" s="6">
        <v>0.028127</v>
      </c>
      <c r="J209" s="6">
        <v>0.01538</v>
      </c>
      <c r="K209" s="6">
        <v>0.16491666</v>
      </c>
      <c r="L209" s="6">
        <v>0.11813912</v>
      </c>
      <c r="M209" s="6">
        <v>0.14911258</v>
      </c>
      <c r="N209" s="6">
        <v>0.08715802</v>
      </c>
      <c r="O209" s="6">
        <v>0.10234445</v>
      </c>
      <c r="P209" s="6">
        <v>0.22349912</v>
      </c>
      <c r="Q209" s="6">
        <v>0.20542499</v>
      </c>
      <c r="R209" s="6">
        <v>217.69486</v>
      </c>
      <c r="S209" s="6">
        <v>0.00075756</v>
      </c>
      <c r="T209" s="6">
        <v>169.97573</v>
      </c>
      <c r="U209" s="6">
        <v>0.00069504</v>
      </c>
      <c r="V209" s="6">
        <v>197.11803</v>
      </c>
      <c r="W209" s="6">
        <v>0.00075646</v>
      </c>
      <c r="X209" s="6">
        <v>134.47093</v>
      </c>
      <c r="Y209" s="6">
        <v>0.00064816</v>
      </c>
      <c r="Z209" s="6">
        <v>134.86767</v>
      </c>
      <c r="AA209" s="6">
        <v>0.00075885</v>
      </c>
      <c r="AB209" s="6">
        <v>294.9318</v>
      </c>
      <c r="AC209" s="6">
        <v>0.0007578</v>
      </c>
      <c r="AD209" s="6">
        <v>243.86163</v>
      </c>
      <c r="AE209" s="6">
        <v>0.00084238</v>
      </c>
      <c r="AF209" s="6">
        <v>775</v>
      </c>
      <c r="AG209" s="6">
        <v>-0.00544337</v>
      </c>
      <c r="AH209" s="6">
        <v>-0.00505398</v>
      </c>
      <c r="AI209" s="6">
        <v>-0.00543659</v>
      </c>
      <c r="AJ209" s="6">
        <v>-0.00475835</v>
      </c>
      <c r="AK209" s="6">
        <v>-0.00545136</v>
      </c>
      <c r="AL209" s="6">
        <v>-0.00544486</v>
      </c>
      <c r="AM209" s="6">
        <v>-0.00596346</v>
      </c>
      <c r="AN209" s="6">
        <v>-6.4762184</v>
      </c>
      <c r="AO209" s="6">
        <v>-6.4515561</v>
      </c>
      <c r="AP209" s="6">
        <v>-6.4739881</v>
      </c>
      <c r="AQ209" s="6">
        <v>-6.4253629</v>
      </c>
      <c r="AR209" s="6">
        <v>-6.4020076</v>
      </c>
      <c r="AS209" s="6">
        <v>-6.4618417</v>
      </c>
      <c r="AT209" s="6">
        <v>-6.4506396</v>
      </c>
      <c r="AU209" s="6">
        <v>0.97344833</v>
      </c>
      <c r="AV209" s="6">
        <v>0.96974131</v>
      </c>
      <c r="AW209" s="6">
        <v>0.97311308</v>
      </c>
      <c r="AX209" s="6">
        <v>0.96580418</v>
      </c>
      <c r="AY209" s="6">
        <v>0.96229362</v>
      </c>
      <c r="AZ209" s="6">
        <v>0.97128734</v>
      </c>
      <c r="BA209" s="6">
        <v>0.96960354</v>
      </c>
      <c r="BB209" s="6">
        <v>0.02655167</v>
      </c>
      <c r="BC209" s="6">
        <v>0.03025869</v>
      </c>
      <c r="BD209" s="6">
        <v>0.02688692</v>
      </c>
      <c r="BE209" s="6">
        <v>0.03419582</v>
      </c>
      <c r="BF209" s="6">
        <v>0.03770638</v>
      </c>
      <c r="BG209" s="6">
        <v>0.02871266</v>
      </c>
      <c r="BH209" s="6">
        <v>0.03039646</v>
      </c>
      <c r="BI209" s="6">
        <v>0.21470859</v>
      </c>
      <c r="BJ209" s="6">
        <v>0.12366373</v>
      </c>
      <c r="BK209" s="6">
        <v>0.1409291</v>
      </c>
      <c r="BL209" s="6">
        <v>0.12522516</v>
      </c>
      <c r="BM209" s="6">
        <v>0.1592662</v>
      </c>
      <c r="BN209" s="6">
        <v>0.17561655</v>
      </c>
      <c r="BO209" s="6">
        <v>0.1337285</v>
      </c>
      <c r="BP209" s="6">
        <v>0.14157076</v>
      </c>
      <c r="BQ209" s="6">
        <v>0.02039421</v>
      </c>
      <c r="BR209" s="6">
        <v>0.01664924</v>
      </c>
      <c r="BS209" s="6">
        <v>0.01867265</v>
      </c>
      <c r="BT209" s="6">
        <v>0.01388133</v>
      </c>
      <c r="BU209" s="6">
        <v>0.01797338</v>
      </c>
      <c r="BV209" s="6">
        <v>0.0298882</v>
      </c>
      <c r="BW209" s="6">
        <v>0.02908217</v>
      </c>
      <c r="BX209" s="12">
        <v>7739</v>
      </c>
      <c r="BY209" s="13">
        <v>6118</v>
      </c>
      <c r="BZ209" s="12">
        <v>7360.92</v>
      </c>
      <c r="CA209" s="6">
        <f t="shared" si="16"/>
        <v>1.2649558679307</v>
      </c>
      <c r="CB209" s="6">
        <f t="shared" si="17"/>
        <v>1.05136314482429</v>
      </c>
      <c r="CC209" s="7">
        <v>284014229.7</v>
      </c>
      <c r="CD209" s="7">
        <f t="shared" si="18"/>
        <v>3.85840668965292</v>
      </c>
      <c r="CE209" s="8">
        <v>99.4</v>
      </c>
      <c r="CF209" s="8">
        <v>2413.4</v>
      </c>
      <c r="CG209" s="8">
        <v>7912.8</v>
      </c>
      <c r="CH209" s="8">
        <v>63629</v>
      </c>
      <c r="CI209" s="14">
        <v>0</v>
      </c>
      <c r="CJ209" s="14">
        <v>0</v>
      </c>
      <c r="CK209" s="14">
        <f t="shared" si="19"/>
        <v>0</v>
      </c>
      <c r="CL209">
        <f t="shared" si="20"/>
        <v>3.23986794305777</v>
      </c>
      <c r="CM209">
        <f t="shared" si="21"/>
        <v>0</v>
      </c>
      <c r="CN209" s="15">
        <v>7752.06</v>
      </c>
      <c r="CO209" s="15">
        <v>9783.74</v>
      </c>
      <c r="CP209" s="15">
        <v>809.7</v>
      </c>
      <c r="CQ209" s="15">
        <v>451.08</v>
      </c>
      <c r="CR209" s="15">
        <v>114.91</v>
      </c>
      <c r="CS209" s="15">
        <v>11.34</v>
      </c>
      <c r="CT209" s="15">
        <v>259.16</v>
      </c>
      <c r="CU209" s="15">
        <v>13.24</v>
      </c>
      <c r="CV209" s="15">
        <v>4.03</v>
      </c>
      <c r="CW209" s="15">
        <v>768.7</v>
      </c>
    </row>
    <row r="210" spans="1:101">
      <c r="A210" s="6">
        <v>2008</v>
      </c>
      <c r="B210" s="6" t="s">
        <v>108</v>
      </c>
      <c r="C210" s="6">
        <v>0.13759932</v>
      </c>
      <c r="D210" s="6">
        <v>0.025814</v>
      </c>
      <c r="E210" s="6">
        <v>0.006468</v>
      </c>
      <c r="F210" s="6">
        <v>0.011667</v>
      </c>
      <c r="G210" s="6">
        <v>0.004169</v>
      </c>
      <c r="H210" s="6">
        <v>0.003509</v>
      </c>
      <c r="I210" s="6">
        <v>0.028728</v>
      </c>
      <c r="J210" s="6">
        <v>0.014692</v>
      </c>
      <c r="K210" s="6">
        <v>0.15091594</v>
      </c>
      <c r="L210" s="6">
        <v>0.11243118</v>
      </c>
      <c r="M210" s="6">
        <v>0.13640673</v>
      </c>
      <c r="N210" s="6">
        <v>0.0947482</v>
      </c>
      <c r="O210" s="6">
        <v>0.07284143</v>
      </c>
      <c r="P210" s="6">
        <v>0.23019498</v>
      </c>
      <c r="Q210" s="6">
        <v>0.19314819</v>
      </c>
      <c r="R210" s="6">
        <v>217.69486</v>
      </c>
      <c r="S210" s="6">
        <v>0.00069325</v>
      </c>
      <c r="T210" s="6">
        <v>169.97573</v>
      </c>
      <c r="U210" s="6">
        <v>0.00066145</v>
      </c>
      <c r="V210" s="6">
        <v>197.11803</v>
      </c>
      <c r="W210" s="6">
        <v>0.00069201</v>
      </c>
      <c r="X210" s="6">
        <v>134.47093</v>
      </c>
      <c r="Y210" s="6">
        <v>0.0007046</v>
      </c>
      <c r="Z210" s="6">
        <v>134.86767</v>
      </c>
      <c r="AA210" s="6">
        <v>0.0005401</v>
      </c>
      <c r="AB210" s="6">
        <v>294.9318</v>
      </c>
      <c r="AC210" s="6">
        <v>0.0007805</v>
      </c>
      <c r="AD210" s="6">
        <v>243.86163</v>
      </c>
      <c r="AE210" s="6">
        <v>0.00079204</v>
      </c>
      <c r="AF210" s="6">
        <v>775</v>
      </c>
      <c r="AG210" s="6">
        <v>-0.00504275</v>
      </c>
      <c r="AH210" s="6">
        <v>-0.00484255</v>
      </c>
      <c r="AI210" s="6">
        <v>-0.00503497</v>
      </c>
      <c r="AJ210" s="6">
        <v>-0.0051139</v>
      </c>
      <c r="AK210" s="6">
        <v>-0.00406355</v>
      </c>
      <c r="AL210" s="6">
        <v>-0.00558494</v>
      </c>
      <c r="AM210" s="6">
        <v>-0.00565588</v>
      </c>
      <c r="AN210" s="6">
        <v>-6.4762184</v>
      </c>
      <c r="AO210" s="6">
        <v>-6.4515561</v>
      </c>
      <c r="AP210" s="6">
        <v>-6.4739881</v>
      </c>
      <c r="AQ210" s="6">
        <v>-6.4253629</v>
      </c>
      <c r="AR210" s="6">
        <v>-6.4020076</v>
      </c>
      <c r="AS210" s="6">
        <v>-6.4618417</v>
      </c>
      <c r="AT210" s="6">
        <v>-6.4506396</v>
      </c>
      <c r="AU210" s="6">
        <v>0.97344833</v>
      </c>
      <c r="AV210" s="6">
        <v>0.96974131</v>
      </c>
      <c r="AW210" s="6">
        <v>0.97311308</v>
      </c>
      <c r="AX210" s="6">
        <v>0.96580418</v>
      </c>
      <c r="AY210" s="6">
        <v>0.96229362</v>
      </c>
      <c r="AZ210" s="6">
        <v>0.97128734</v>
      </c>
      <c r="BA210" s="6">
        <v>0.96960354</v>
      </c>
      <c r="BB210" s="6">
        <v>0.02655167</v>
      </c>
      <c r="BC210" s="6">
        <v>0.03025869</v>
      </c>
      <c r="BD210" s="6">
        <v>0.02688692</v>
      </c>
      <c r="BE210" s="6">
        <v>0.03419582</v>
      </c>
      <c r="BF210" s="6">
        <v>0.03770638</v>
      </c>
      <c r="BG210" s="6">
        <v>0.02871266</v>
      </c>
      <c r="BH210" s="6">
        <v>0.03039646</v>
      </c>
      <c r="BI210" s="6">
        <v>0.21470859</v>
      </c>
      <c r="BJ210" s="6">
        <v>0.12366373</v>
      </c>
      <c r="BK210" s="6">
        <v>0.1409291</v>
      </c>
      <c r="BL210" s="6">
        <v>0.12522516</v>
      </c>
      <c r="BM210" s="6">
        <v>0.1592662</v>
      </c>
      <c r="BN210" s="6">
        <v>0.17561655</v>
      </c>
      <c r="BO210" s="6">
        <v>0.1337285</v>
      </c>
      <c r="BP210" s="6">
        <v>0.14157076</v>
      </c>
      <c r="BQ210" s="6">
        <v>0.01866283</v>
      </c>
      <c r="BR210" s="6">
        <v>0.01584483</v>
      </c>
      <c r="BS210" s="6">
        <v>0.01708155</v>
      </c>
      <c r="BT210" s="6">
        <v>0.01509019</v>
      </c>
      <c r="BU210" s="6">
        <v>0.01279216</v>
      </c>
      <c r="BV210" s="6">
        <v>0.03078363</v>
      </c>
      <c r="BW210" s="6">
        <v>0.02734414</v>
      </c>
      <c r="BX210" s="12">
        <v>8325</v>
      </c>
      <c r="BY210" s="13">
        <v>6135</v>
      </c>
      <c r="BZ210" s="12">
        <v>8851.66</v>
      </c>
      <c r="CA210" s="6">
        <f t="shared" si="16"/>
        <v>1.35696821515892</v>
      </c>
      <c r="CB210" s="6">
        <f t="shared" si="17"/>
        <v>0.940501555640411</v>
      </c>
      <c r="CC210" s="7">
        <v>320979251.5</v>
      </c>
      <c r="CD210" s="7">
        <f t="shared" si="18"/>
        <v>3.62620402839693</v>
      </c>
      <c r="CE210" s="8">
        <v>111.4</v>
      </c>
      <c r="CF210" s="8">
        <v>2526.7</v>
      </c>
      <c r="CG210" s="8">
        <v>9175.1</v>
      </c>
      <c r="CH210" s="8">
        <v>68541</v>
      </c>
      <c r="CI210" s="14">
        <v>0</v>
      </c>
      <c r="CJ210" s="14">
        <v>0</v>
      </c>
      <c r="CK210" s="14">
        <f t="shared" si="19"/>
        <v>0</v>
      </c>
      <c r="CL210">
        <f t="shared" si="20"/>
        <v>2.71728515287532</v>
      </c>
      <c r="CM210">
        <f t="shared" si="21"/>
        <v>0</v>
      </c>
      <c r="CN210" s="15">
        <v>8325</v>
      </c>
      <c r="CO210" s="15">
        <v>11377</v>
      </c>
      <c r="CP210" s="15">
        <v>851.22</v>
      </c>
      <c r="CQ210" s="15">
        <v>426.34</v>
      </c>
      <c r="CR210" s="15">
        <v>127.37</v>
      </c>
      <c r="CS210" s="15">
        <v>11.02</v>
      </c>
      <c r="CT210" s="15">
        <v>309.63</v>
      </c>
      <c r="CU210" s="15">
        <v>15.6</v>
      </c>
      <c r="CV210" s="15">
        <v>7.17</v>
      </c>
      <c r="CW210" s="15">
        <v>858.87</v>
      </c>
    </row>
    <row r="211" spans="1:101">
      <c r="A211" s="6">
        <v>2009</v>
      </c>
      <c r="B211" s="6" t="s">
        <v>108</v>
      </c>
      <c r="C211" s="6">
        <v>0.15911936</v>
      </c>
      <c r="D211" s="6">
        <v>0.030119</v>
      </c>
      <c r="E211" s="6">
        <v>0.007415</v>
      </c>
      <c r="F211" s="6">
        <v>0.013734</v>
      </c>
      <c r="G211" s="6">
        <v>0.004684</v>
      </c>
      <c r="H211" s="6">
        <v>0.004285</v>
      </c>
      <c r="I211" s="6">
        <v>0.030949</v>
      </c>
      <c r="J211" s="6">
        <v>0.014829</v>
      </c>
      <c r="K211" s="6">
        <v>0.18468535</v>
      </c>
      <c r="L211" s="6">
        <v>0.1348246</v>
      </c>
      <c r="M211" s="6">
        <v>0.1681739</v>
      </c>
      <c r="N211" s="6">
        <v>0.1099637</v>
      </c>
      <c r="O211" s="6">
        <v>0.09636711</v>
      </c>
      <c r="P211" s="6">
        <v>0.2549366</v>
      </c>
      <c r="Q211" s="6">
        <v>0.19559631</v>
      </c>
      <c r="R211" s="6">
        <v>217.69486</v>
      </c>
      <c r="S211" s="6">
        <v>0.00084837</v>
      </c>
      <c r="T211" s="6">
        <v>169.97573</v>
      </c>
      <c r="U211" s="6">
        <v>0.0007932</v>
      </c>
      <c r="V211" s="6">
        <v>197.11803</v>
      </c>
      <c r="W211" s="6">
        <v>0.00085316</v>
      </c>
      <c r="X211" s="6">
        <v>134.47093</v>
      </c>
      <c r="Y211" s="6">
        <v>0.00081775</v>
      </c>
      <c r="Z211" s="6">
        <v>134.86767</v>
      </c>
      <c r="AA211" s="6">
        <v>0.00071453</v>
      </c>
      <c r="AB211" s="6">
        <v>294.9318</v>
      </c>
      <c r="AC211" s="6">
        <v>0.00086439</v>
      </c>
      <c r="AD211" s="6">
        <v>243.86163</v>
      </c>
      <c r="AE211" s="6">
        <v>0.00080208</v>
      </c>
      <c r="AF211" s="6">
        <v>775</v>
      </c>
      <c r="AG211" s="6">
        <v>-0.00599982</v>
      </c>
      <c r="AH211" s="6">
        <v>-0.00566299</v>
      </c>
      <c r="AI211" s="6">
        <v>-0.00602893</v>
      </c>
      <c r="AJ211" s="6">
        <v>-0.00581335</v>
      </c>
      <c r="AK211" s="6">
        <v>-0.00517598</v>
      </c>
      <c r="AL211" s="6">
        <v>-0.00609697</v>
      </c>
      <c r="AM211" s="6">
        <v>-0.00571746</v>
      </c>
      <c r="AN211" s="6">
        <v>-6.4762184</v>
      </c>
      <c r="AO211" s="6">
        <v>-6.4515561</v>
      </c>
      <c r="AP211" s="6">
        <v>-6.4739881</v>
      </c>
      <c r="AQ211" s="6">
        <v>-6.4253629</v>
      </c>
      <c r="AR211" s="6">
        <v>-6.4020076</v>
      </c>
      <c r="AS211" s="6">
        <v>-6.4618417</v>
      </c>
      <c r="AT211" s="6">
        <v>-6.4506396</v>
      </c>
      <c r="AU211" s="6">
        <v>0.97344833</v>
      </c>
      <c r="AV211" s="6">
        <v>0.96974131</v>
      </c>
      <c r="AW211" s="6">
        <v>0.97311308</v>
      </c>
      <c r="AX211" s="6">
        <v>0.96580418</v>
      </c>
      <c r="AY211" s="6">
        <v>0.96229362</v>
      </c>
      <c r="AZ211" s="6">
        <v>0.97128734</v>
      </c>
      <c r="BA211" s="6">
        <v>0.96960354</v>
      </c>
      <c r="BB211" s="6">
        <v>0.02655167</v>
      </c>
      <c r="BC211" s="6">
        <v>0.03025869</v>
      </c>
      <c r="BD211" s="6">
        <v>0.02688692</v>
      </c>
      <c r="BE211" s="6">
        <v>0.03419582</v>
      </c>
      <c r="BF211" s="6">
        <v>0.03770638</v>
      </c>
      <c r="BG211" s="6">
        <v>0.02871266</v>
      </c>
      <c r="BH211" s="6">
        <v>0.03039646</v>
      </c>
      <c r="BI211" s="6">
        <v>0.21470859</v>
      </c>
      <c r="BJ211" s="6">
        <v>0.12366373</v>
      </c>
      <c r="BK211" s="6">
        <v>0.1409291</v>
      </c>
      <c r="BL211" s="6">
        <v>0.12522516</v>
      </c>
      <c r="BM211" s="6">
        <v>0.1592662</v>
      </c>
      <c r="BN211" s="6">
        <v>0.17561655</v>
      </c>
      <c r="BO211" s="6">
        <v>0.1337285</v>
      </c>
      <c r="BP211" s="6">
        <v>0.14157076</v>
      </c>
      <c r="BQ211" s="6">
        <v>0.02283888</v>
      </c>
      <c r="BR211" s="6">
        <v>0.01900071</v>
      </c>
      <c r="BS211" s="6">
        <v>0.0210596</v>
      </c>
      <c r="BT211" s="6">
        <v>0.0175135</v>
      </c>
      <c r="BU211" s="6">
        <v>0.01692366</v>
      </c>
      <c r="BV211" s="6">
        <v>0.03409229</v>
      </c>
      <c r="BW211" s="6">
        <v>0.02769072</v>
      </c>
      <c r="BX211" s="12">
        <v>8896</v>
      </c>
      <c r="BY211" s="13">
        <v>6131</v>
      </c>
      <c r="BZ211" s="12">
        <v>10062.82</v>
      </c>
      <c r="CA211" s="6">
        <f t="shared" si="16"/>
        <v>1.45098678845213</v>
      </c>
      <c r="CB211" s="6">
        <f t="shared" si="17"/>
        <v>0.884046420387128</v>
      </c>
      <c r="CC211" s="7">
        <v>333559092.1</v>
      </c>
      <c r="CD211" s="7">
        <f t="shared" si="18"/>
        <v>3.31476755124309</v>
      </c>
      <c r="CE211" s="8">
        <v>116.8</v>
      </c>
      <c r="CF211" s="8">
        <v>2736.4</v>
      </c>
      <c r="CG211" s="8">
        <v>10047.7</v>
      </c>
      <c r="CH211" s="8">
        <v>71059</v>
      </c>
      <c r="CI211" s="14">
        <v>0</v>
      </c>
      <c r="CJ211" s="14">
        <v>0</v>
      </c>
      <c r="CK211" s="14">
        <f t="shared" si="19"/>
        <v>0</v>
      </c>
      <c r="CL211">
        <f t="shared" si="20"/>
        <v>2.66960201713366</v>
      </c>
      <c r="CM211">
        <f t="shared" si="21"/>
        <v>0</v>
      </c>
      <c r="CN211" s="15">
        <v>8896</v>
      </c>
      <c r="CO211" s="15">
        <v>12666</v>
      </c>
      <c r="CP211" s="15">
        <v>856.28</v>
      </c>
      <c r="CQ211" s="15">
        <v>454.13</v>
      </c>
      <c r="CR211" s="15">
        <v>140.4</v>
      </c>
      <c r="CS211" s="15">
        <v>13.23</v>
      </c>
      <c r="CT211" s="15">
        <v>329.14</v>
      </c>
      <c r="CU211" s="15">
        <v>14.26</v>
      </c>
      <c r="CV211" s="15">
        <v>9.77</v>
      </c>
      <c r="CW211" s="15">
        <v>952.3</v>
      </c>
    </row>
    <row r="212" spans="1:101">
      <c r="A212" s="6">
        <v>2010</v>
      </c>
      <c r="B212" s="6" t="s">
        <v>108</v>
      </c>
      <c r="C212" s="6">
        <v>0.16426943</v>
      </c>
      <c r="D212" s="6">
        <v>0.029946</v>
      </c>
      <c r="E212" s="6">
        <v>0.007543</v>
      </c>
      <c r="F212" s="6">
        <v>0.013653</v>
      </c>
      <c r="G212" s="6">
        <v>0.003995</v>
      </c>
      <c r="H212" s="6">
        <v>0.004754</v>
      </c>
      <c r="I212" s="6">
        <v>0.031742</v>
      </c>
      <c r="J212" s="6">
        <v>0.016655</v>
      </c>
      <c r="K212" s="6">
        <v>0.18332853</v>
      </c>
      <c r="L212" s="6">
        <v>0.13784607</v>
      </c>
      <c r="M212" s="6">
        <v>0.16693029</v>
      </c>
      <c r="N212" s="6">
        <v>0.08959936</v>
      </c>
      <c r="O212" s="6">
        <v>0.11058211</v>
      </c>
      <c r="P212" s="6">
        <v>0.26376958</v>
      </c>
      <c r="Q212" s="6">
        <v>0.22818436</v>
      </c>
      <c r="R212" s="6">
        <v>217.69486</v>
      </c>
      <c r="S212" s="6">
        <v>0.00084214</v>
      </c>
      <c r="T212" s="6">
        <v>169.97573</v>
      </c>
      <c r="U212" s="6">
        <v>0.00081098</v>
      </c>
      <c r="V212" s="6">
        <v>197.11803</v>
      </c>
      <c r="W212" s="6">
        <v>0.00084685</v>
      </c>
      <c r="X212" s="6">
        <v>134.47093</v>
      </c>
      <c r="Y212" s="6">
        <v>0.00066631</v>
      </c>
      <c r="Z212" s="6">
        <v>134.86767</v>
      </c>
      <c r="AA212" s="6">
        <v>0.00081993</v>
      </c>
      <c r="AB212" s="6">
        <v>294.9318</v>
      </c>
      <c r="AC212" s="6">
        <v>0.00089434</v>
      </c>
      <c r="AD212" s="6">
        <v>243.86163</v>
      </c>
      <c r="AE212" s="6">
        <v>0.00093571</v>
      </c>
      <c r="AF212" s="6">
        <v>775</v>
      </c>
      <c r="AG212" s="6">
        <v>-0.00596196</v>
      </c>
      <c r="AH212" s="6">
        <v>-0.00577193</v>
      </c>
      <c r="AI212" s="6">
        <v>-0.00599063</v>
      </c>
      <c r="AJ212" s="6">
        <v>-0.00487323</v>
      </c>
      <c r="AK212" s="6">
        <v>-0.00582666</v>
      </c>
      <c r="AL212" s="6">
        <v>-0.00627776</v>
      </c>
      <c r="AM212" s="6">
        <v>-0.00652585</v>
      </c>
      <c r="AN212" s="6">
        <v>-6.4762184</v>
      </c>
      <c r="AO212" s="6">
        <v>-6.4515561</v>
      </c>
      <c r="AP212" s="6">
        <v>-6.4739881</v>
      </c>
      <c r="AQ212" s="6">
        <v>-6.4253629</v>
      </c>
      <c r="AR212" s="6">
        <v>-6.4020076</v>
      </c>
      <c r="AS212" s="6">
        <v>-6.4618417</v>
      </c>
      <c r="AT212" s="6">
        <v>-6.4506396</v>
      </c>
      <c r="AU212" s="6">
        <v>0.97344833</v>
      </c>
      <c r="AV212" s="6">
        <v>0.96974131</v>
      </c>
      <c r="AW212" s="6">
        <v>0.97311308</v>
      </c>
      <c r="AX212" s="6">
        <v>0.96580418</v>
      </c>
      <c r="AY212" s="6">
        <v>0.96229362</v>
      </c>
      <c r="AZ212" s="6">
        <v>0.97128734</v>
      </c>
      <c r="BA212" s="6">
        <v>0.96960354</v>
      </c>
      <c r="BB212" s="6">
        <v>0.02655167</v>
      </c>
      <c r="BC212" s="6">
        <v>0.03025869</v>
      </c>
      <c r="BD212" s="6">
        <v>0.02688692</v>
      </c>
      <c r="BE212" s="6">
        <v>0.03419582</v>
      </c>
      <c r="BF212" s="6">
        <v>0.03770638</v>
      </c>
      <c r="BG212" s="6">
        <v>0.02871266</v>
      </c>
      <c r="BH212" s="6">
        <v>0.03039646</v>
      </c>
      <c r="BI212" s="6">
        <v>0.21470859</v>
      </c>
      <c r="BJ212" s="6">
        <v>0.12366373</v>
      </c>
      <c r="BK212" s="6">
        <v>0.1409291</v>
      </c>
      <c r="BL212" s="6">
        <v>0.12522516</v>
      </c>
      <c r="BM212" s="6">
        <v>0.1592662</v>
      </c>
      <c r="BN212" s="6">
        <v>0.17561655</v>
      </c>
      <c r="BO212" s="6">
        <v>0.1337285</v>
      </c>
      <c r="BP212" s="6">
        <v>0.14157076</v>
      </c>
      <c r="BQ212" s="6">
        <v>0.02267109</v>
      </c>
      <c r="BR212" s="6">
        <v>0.01942652</v>
      </c>
      <c r="BS212" s="6">
        <v>0.02090387</v>
      </c>
      <c r="BT212" s="6">
        <v>0.01427015</v>
      </c>
      <c r="BU212" s="6">
        <v>0.01942005</v>
      </c>
      <c r="BV212" s="6">
        <v>0.03527351</v>
      </c>
      <c r="BW212" s="6">
        <v>0.03230423</v>
      </c>
      <c r="BX212" s="12">
        <v>9707</v>
      </c>
      <c r="BY212" s="13">
        <v>5956.7</v>
      </c>
      <c r="BZ212" s="12">
        <v>12359.33</v>
      </c>
      <c r="CA212" s="6">
        <f t="shared" si="16"/>
        <v>1.62959356690785</v>
      </c>
      <c r="CB212" s="6">
        <f t="shared" si="17"/>
        <v>0.78539856124887</v>
      </c>
      <c r="CC212" s="7">
        <v>357302789.1</v>
      </c>
      <c r="CD212" s="7">
        <f t="shared" si="18"/>
        <v>2.89095597495981</v>
      </c>
      <c r="CE212" s="8">
        <v>122.8</v>
      </c>
      <c r="CF212" s="8">
        <v>3233.1</v>
      </c>
      <c r="CG212" s="8">
        <v>11608.1</v>
      </c>
      <c r="CH212" s="8">
        <v>78307</v>
      </c>
      <c r="CI212" s="14">
        <v>0</v>
      </c>
      <c r="CJ212" s="14">
        <v>0</v>
      </c>
      <c r="CK212" s="14">
        <f t="shared" si="19"/>
        <v>0</v>
      </c>
      <c r="CL212">
        <f t="shared" si="20"/>
        <v>2.40850270516871</v>
      </c>
      <c r="CM212">
        <f t="shared" si="21"/>
        <v>0</v>
      </c>
      <c r="CN212" s="15">
        <v>9706.6</v>
      </c>
      <c r="CO212" s="15">
        <v>13375.7</v>
      </c>
      <c r="CP212" s="15">
        <v>910.17</v>
      </c>
      <c r="CQ212" s="15">
        <v>477.57</v>
      </c>
      <c r="CR212" s="15">
        <v>157.4</v>
      </c>
      <c r="CS212" s="15">
        <v>8.41</v>
      </c>
      <c r="CT212" s="15">
        <v>365.75</v>
      </c>
      <c r="CU212" s="15">
        <v>11.73</v>
      </c>
      <c r="CV212" s="15">
        <v>12.48</v>
      </c>
      <c r="CW212" s="15">
        <v>1077.91</v>
      </c>
    </row>
    <row r="213" spans="1:101">
      <c r="A213" s="6">
        <v>2011</v>
      </c>
      <c r="B213" s="6" t="s">
        <v>108</v>
      </c>
      <c r="C213" s="6">
        <v>0.17656968</v>
      </c>
      <c r="D213" s="6">
        <v>0.032815</v>
      </c>
      <c r="E213" s="6">
        <v>0.008556</v>
      </c>
      <c r="F213" s="6">
        <v>0.015038</v>
      </c>
      <c r="G213" s="6">
        <v>0.005164</v>
      </c>
      <c r="H213" s="6">
        <v>0.004057</v>
      </c>
      <c r="I213" s="6">
        <v>0.033595</v>
      </c>
      <c r="J213" s="6">
        <v>0.016231</v>
      </c>
      <c r="K213" s="6">
        <v>0.20583226</v>
      </c>
      <c r="L213" s="6">
        <v>0.16179869</v>
      </c>
      <c r="M213" s="6">
        <v>0.18820768</v>
      </c>
      <c r="N213" s="6">
        <v>0.1241454</v>
      </c>
      <c r="O213" s="6">
        <v>0.0894507</v>
      </c>
      <c r="P213" s="6">
        <v>0.28440551</v>
      </c>
      <c r="Q213" s="6">
        <v>0.22060276</v>
      </c>
      <c r="R213" s="6">
        <v>217.69486</v>
      </c>
      <c r="S213" s="6">
        <v>0.00094551</v>
      </c>
      <c r="T213" s="6">
        <v>169.97573</v>
      </c>
      <c r="U213" s="6">
        <v>0.00095189</v>
      </c>
      <c r="V213" s="6">
        <v>197.11803</v>
      </c>
      <c r="W213" s="6">
        <v>0.0009548</v>
      </c>
      <c r="X213" s="6">
        <v>134.47093</v>
      </c>
      <c r="Y213" s="6">
        <v>0.00092321</v>
      </c>
      <c r="Z213" s="6">
        <v>134.86767</v>
      </c>
      <c r="AA213" s="6">
        <v>0.00066325</v>
      </c>
      <c r="AB213" s="6">
        <v>294.9318</v>
      </c>
      <c r="AC213" s="6">
        <v>0.00096431</v>
      </c>
      <c r="AD213" s="6">
        <v>243.86163</v>
      </c>
      <c r="AE213" s="6">
        <v>0.00090462</v>
      </c>
      <c r="AF213" s="6">
        <v>775</v>
      </c>
      <c r="AG213" s="6">
        <v>-0.00658432</v>
      </c>
      <c r="AH213" s="6">
        <v>-0.00662237</v>
      </c>
      <c r="AI213" s="6">
        <v>-0.00663967</v>
      </c>
      <c r="AJ213" s="6">
        <v>-0.00645109</v>
      </c>
      <c r="AK213" s="6">
        <v>-0.00485389</v>
      </c>
      <c r="AL213" s="6">
        <v>-0.00669626</v>
      </c>
      <c r="AM213" s="6">
        <v>-0.00633959</v>
      </c>
      <c r="AN213" s="6">
        <v>-6.4762184</v>
      </c>
      <c r="AO213" s="6">
        <v>-6.4515561</v>
      </c>
      <c r="AP213" s="6">
        <v>-6.4739881</v>
      </c>
      <c r="AQ213" s="6">
        <v>-6.4253629</v>
      </c>
      <c r="AR213" s="6">
        <v>-6.4020076</v>
      </c>
      <c r="AS213" s="6">
        <v>-6.4618417</v>
      </c>
      <c r="AT213" s="6">
        <v>-6.4506396</v>
      </c>
      <c r="AU213" s="6">
        <v>0.97344833</v>
      </c>
      <c r="AV213" s="6">
        <v>0.96974131</v>
      </c>
      <c r="AW213" s="6">
        <v>0.97311308</v>
      </c>
      <c r="AX213" s="6">
        <v>0.96580418</v>
      </c>
      <c r="AY213" s="6">
        <v>0.96229362</v>
      </c>
      <c r="AZ213" s="6">
        <v>0.97128734</v>
      </c>
      <c r="BA213" s="6">
        <v>0.96960354</v>
      </c>
      <c r="BB213" s="6">
        <v>0.02655167</v>
      </c>
      <c r="BC213" s="6">
        <v>0.03025869</v>
      </c>
      <c r="BD213" s="6">
        <v>0.02688692</v>
      </c>
      <c r="BE213" s="6">
        <v>0.03419582</v>
      </c>
      <c r="BF213" s="6">
        <v>0.03770638</v>
      </c>
      <c r="BG213" s="6">
        <v>0.02871266</v>
      </c>
      <c r="BH213" s="6">
        <v>0.03039646</v>
      </c>
      <c r="BI213" s="6">
        <v>0.21470859</v>
      </c>
      <c r="BJ213" s="6">
        <v>0.12366373</v>
      </c>
      <c r="BK213" s="6">
        <v>0.1409291</v>
      </c>
      <c r="BL213" s="6">
        <v>0.12522516</v>
      </c>
      <c r="BM213" s="6">
        <v>0.1592662</v>
      </c>
      <c r="BN213" s="6">
        <v>0.17561655</v>
      </c>
      <c r="BO213" s="6">
        <v>0.1337285</v>
      </c>
      <c r="BP213" s="6">
        <v>0.14157076</v>
      </c>
      <c r="BQ213" s="6">
        <v>0.02545399</v>
      </c>
      <c r="BR213" s="6">
        <v>0.02280214</v>
      </c>
      <c r="BS213" s="6">
        <v>0.02356834</v>
      </c>
      <c r="BT213" s="6">
        <v>0.01977217</v>
      </c>
      <c r="BU213" s="6">
        <v>0.01570902</v>
      </c>
      <c r="BV213" s="6">
        <v>0.03803312</v>
      </c>
      <c r="BW213" s="6">
        <v>0.0312309</v>
      </c>
      <c r="BX213" s="12">
        <v>10570</v>
      </c>
      <c r="BY213" s="13">
        <v>5972</v>
      </c>
      <c r="BZ213" s="12">
        <v>15300.65</v>
      </c>
      <c r="CA213" s="6">
        <f t="shared" si="16"/>
        <v>1.76992632283992</v>
      </c>
      <c r="CB213" s="6">
        <f t="shared" si="17"/>
        <v>0.690820324626732</v>
      </c>
      <c r="CC213" s="7">
        <v>387934241.1</v>
      </c>
      <c r="CD213" s="7">
        <f t="shared" si="18"/>
        <v>2.53541020218095</v>
      </c>
      <c r="CE213" s="8">
        <v>134.5</v>
      </c>
      <c r="CF213" s="8">
        <v>3563.3</v>
      </c>
      <c r="CG213" s="8">
        <v>13491</v>
      </c>
      <c r="CH213" s="8">
        <v>86246</v>
      </c>
      <c r="CI213" s="14">
        <v>0</v>
      </c>
      <c r="CJ213" s="14">
        <v>0</v>
      </c>
      <c r="CK213" s="14">
        <f t="shared" si="19"/>
        <v>0</v>
      </c>
      <c r="CL213">
        <f t="shared" si="20"/>
        <v>2.18035126729488</v>
      </c>
      <c r="CM213">
        <f t="shared" si="21"/>
        <v>0</v>
      </c>
      <c r="CN213" s="15">
        <v>10570</v>
      </c>
      <c r="CO213" s="15">
        <v>14538</v>
      </c>
      <c r="CP213" s="15">
        <v>948.12</v>
      </c>
      <c r="CQ213" s="15">
        <v>484.13</v>
      </c>
      <c r="CR213" s="15">
        <v>176.16</v>
      </c>
      <c r="CS213" s="15">
        <v>9.09</v>
      </c>
      <c r="CT213" s="15">
        <v>416.69</v>
      </c>
      <c r="CU213" s="15">
        <v>11.31</v>
      </c>
      <c r="CV213" s="15">
        <v>20.14</v>
      </c>
      <c r="CW213" s="15">
        <v>1221</v>
      </c>
    </row>
    <row r="214" spans="1:101">
      <c r="A214" s="6">
        <v>2012</v>
      </c>
      <c r="B214" s="6" t="s">
        <v>108</v>
      </c>
      <c r="C214" s="6">
        <v>0.16838194</v>
      </c>
      <c r="D214" s="6">
        <v>0.030893</v>
      </c>
      <c r="E214" s="6">
        <v>0.007539</v>
      </c>
      <c r="F214" s="6">
        <v>0.013889</v>
      </c>
      <c r="G214" s="6">
        <v>0.004945</v>
      </c>
      <c r="H214" s="6">
        <v>0.004519</v>
      </c>
      <c r="I214" s="6">
        <v>0.033537</v>
      </c>
      <c r="J214" s="6">
        <v>0.015412</v>
      </c>
      <c r="K214" s="6">
        <v>0.19075835</v>
      </c>
      <c r="L214" s="6">
        <v>0.13775763</v>
      </c>
      <c r="M214" s="6">
        <v>0.17055811</v>
      </c>
      <c r="N214" s="6">
        <v>0.11768341</v>
      </c>
      <c r="O214" s="6">
        <v>0.10345462</v>
      </c>
      <c r="P214" s="6">
        <v>0.28375685</v>
      </c>
      <c r="Q214" s="6">
        <v>0.20598965</v>
      </c>
      <c r="R214" s="6">
        <v>217.69486</v>
      </c>
      <c r="S214" s="6">
        <v>0.00087626</v>
      </c>
      <c r="T214" s="6">
        <v>169.97573</v>
      </c>
      <c r="U214" s="6">
        <v>0.00081045</v>
      </c>
      <c r="V214" s="6">
        <v>197.11803</v>
      </c>
      <c r="W214" s="6">
        <v>0.00086526</v>
      </c>
      <c r="X214" s="6">
        <v>134.47093</v>
      </c>
      <c r="Y214" s="6">
        <v>0.00087516</v>
      </c>
      <c r="Z214" s="6">
        <v>134.86767</v>
      </c>
      <c r="AA214" s="6">
        <v>0.00076708</v>
      </c>
      <c r="AB214" s="6">
        <v>294.9318</v>
      </c>
      <c r="AC214" s="6">
        <v>0.00096211</v>
      </c>
      <c r="AD214" s="6">
        <v>243.86163</v>
      </c>
      <c r="AE214" s="6">
        <v>0.0008447</v>
      </c>
      <c r="AF214" s="6">
        <v>775</v>
      </c>
      <c r="AG214" s="6">
        <v>-0.00616877</v>
      </c>
      <c r="AH214" s="6">
        <v>-0.00576875</v>
      </c>
      <c r="AI214" s="6">
        <v>-0.00610222</v>
      </c>
      <c r="AJ214" s="6">
        <v>-0.00616208</v>
      </c>
      <c r="AK214" s="6">
        <v>-0.00550222</v>
      </c>
      <c r="AL214" s="6">
        <v>-0.00668318</v>
      </c>
      <c r="AM214" s="6">
        <v>-0.00597754</v>
      </c>
      <c r="AN214" s="6">
        <v>-6.4762184</v>
      </c>
      <c r="AO214" s="6">
        <v>-6.4515561</v>
      </c>
      <c r="AP214" s="6">
        <v>-6.4739881</v>
      </c>
      <c r="AQ214" s="6">
        <v>-6.4253629</v>
      </c>
      <c r="AR214" s="6">
        <v>-6.4020076</v>
      </c>
      <c r="AS214" s="6">
        <v>-6.4618417</v>
      </c>
      <c r="AT214" s="6">
        <v>-6.4506396</v>
      </c>
      <c r="AU214" s="6">
        <v>0.97344833</v>
      </c>
      <c r="AV214" s="6">
        <v>0.96974131</v>
      </c>
      <c r="AW214" s="6">
        <v>0.97311308</v>
      </c>
      <c r="AX214" s="6">
        <v>0.96580418</v>
      </c>
      <c r="AY214" s="6">
        <v>0.96229362</v>
      </c>
      <c r="AZ214" s="6">
        <v>0.97128734</v>
      </c>
      <c r="BA214" s="6">
        <v>0.96960354</v>
      </c>
      <c r="BB214" s="6">
        <v>0.02655167</v>
      </c>
      <c r="BC214" s="6">
        <v>0.03025869</v>
      </c>
      <c r="BD214" s="6">
        <v>0.02688692</v>
      </c>
      <c r="BE214" s="6">
        <v>0.03419582</v>
      </c>
      <c r="BF214" s="6">
        <v>0.03770638</v>
      </c>
      <c r="BG214" s="6">
        <v>0.02871266</v>
      </c>
      <c r="BH214" s="6">
        <v>0.03039646</v>
      </c>
      <c r="BI214" s="6">
        <v>0.21470859</v>
      </c>
      <c r="BJ214" s="6">
        <v>0.12366373</v>
      </c>
      <c r="BK214" s="6">
        <v>0.1409291</v>
      </c>
      <c r="BL214" s="6">
        <v>0.12522516</v>
      </c>
      <c r="BM214" s="6">
        <v>0.1592662</v>
      </c>
      <c r="BN214" s="6">
        <v>0.17561655</v>
      </c>
      <c r="BO214" s="6">
        <v>0.1337285</v>
      </c>
      <c r="BP214" s="6">
        <v>0.14157076</v>
      </c>
      <c r="BQ214" s="6">
        <v>0.02358989</v>
      </c>
      <c r="BR214" s="6">
        <v>0.01941406</v>
      </c>
      <c r="BS214" s="6">
        <v>0.02135817</v>
      </c>
      <c r="BT214" s="6">
        <v>0.01874299</v>
      </c>
      <c r="BU214" s="6">
        <v>0.01816834</v>
      </c>
      <c r="BV214" s="6">
        <v>0.03794638</v>
      </c>
      <c r="BW214" s="6">
        <v>0.02916211</v>
      </c>
      <c r="BX214" s="12">
        <v>11358</v>
      </c>
      <c r="BY214" s="13">
        <v>5978</v>
      </c>
      <c r="BZ214" s="12">
        <v>17212.05</v>
      </c>
      <c r="CA214" s="6">
        <f t="shared" si="16"/>
        <v>1.89996654399465</v>
      </c>
      <c r="CB214" s="6">
        <f t="shared" si="17"/>
        <v>0.659886532981254</v>
      </c>
      <c r="CC214" s="7">
        <v>401706234.3</v>
      </c>
      <c r="CD214" s="7">
        <f t="shared" si="18"/>
        <v>2.33386629890106</v>
      </c>
      <c r="CE214" s="8">
        <v>148.4</v>
      </c>
      <c r="CF214" s="8">
        <v>3856</v>
      </c>
      <c r="CG214" s="8">
        <v>15020.3</v>
      </c>
      <c r="CH214" s="8">
        <v>92758</v>
      </c>
      <c r="CI214" s="14">
        <v>0</v>
      </c>
      <c r="CJ214" s="14">
        <v>0</v>
      </c>
      <c r="CK214" s="14">
        <f t="shared" si="19"/>
        <v>0</v>
      </c>
      <c r="CL214">
        <f t="shared" si="20"/>
        <v>2.01609935715007</v>
      </c>
      <c r="CM214">
        <f t="shared" si="21"/>
        <v>0</v>
      </c>
      <c r="CN214" s="15">
        <v>11357.95</v>
      </c>
      <c r="CO214" s="15">
        <v>14704</v>
      </c>
      <c r="CP214" s="15">
        <v>996.44</v>
      </c>
      <c r="CQ214" s="15">
        <v>421.38</v>
      </c>
      <c r="CR214" s="15">
        <v>250.64</v>
      </c>
      <c r="CS214" s="15">
        <v>10.77</v>
      </c>
      <c r="CT214" s="15">
        <v>578.31</v>
      </c>
      <c r="CU214" s="15">
        <v>11.08</v>
      </c>
      <c r="CV214" s="15">
        <v>24.9</v>
      </c>
      <c r="CW214" s="15">
        <v>1361.1</v>
      </c>
    </row>
    <row r="215" spans="1:101">
      <c r="A215" s="6">
        <v>2013</v>
      </c>
      <c r="B215" s="6" t="s">
        <v>108</v>
      </c>
      <c r="C215" s="6">
        <v>0.20985552</v>
      </c>
      <c r="D215" s="6">
        <v>0.037462</v>
      </c>
      <c r="E215" s="6">
        <v>0.009502</v>
      </c>
      <c r="F215" s="6">
        <v>0.016957</v>
      </c>
      <c r="G215" s="6">
        <v>0.005523</v>
      </c>
      <c r="H215" s="6">
        <v>0.005481</v>
      </c>
      <c r="I215" s="6">
        <v>0.036858</v>
      </c>
      <c r="J215" s="6">
        <v>0.01932</v>
      </c>
      <c r="K215" s="6">
        <v>0.24228891</v>
      </c>
      <c r="L215" s="6">
        <v>0.18414641</v>
      </c>
      <c r="M215" s="6">
        <v>0.21770172</v>
      </c>
      <c r="N215" s="6">
        <v>0.13475938</v>
      </c>
      <c r="O215" s="6">
        <v>0.13261638</v>
      </c>
      <c r="P215" s="6">
        <v>0.32074545</v>
      </c>
      <c r="Q215" s="6">
        <v>0.27572642</v>
      </c>
      <c r="R215" s="6">
        <v>217.69486</v>
      </c>
      <c r="S215" s="6">
        <v>0.00111297</v>
      </c>
      <c r="T215" s="6">
        <v>169.97573</v>
      </c>
      <c r="U215" s="6">
        <v>0.00108337</v>
      </c>
      <c r="V215" s="6">
        <v>197.11803</v>
      </c>
      <c r="W215" s="6">
        <v>0.00110442</v>
      </c>
      <c r="X215" s="6">
        <v>134.47093</v>
      </c>
      <c r="Y215" s="6">
        <v>0.00100215</v>
      </c>
      <c r="Z215" s="6">
        <v>134.86767</v>
      </c>
      <c r="AA215" s="6">
        <v>0.00098331</v>
      </c>
      <c r="AB215" s="6">
        <v>294.9318</v>
      </c>
      <c r="AC215" s="6">
        <v>0.00108752</v>
      </c>
      <c r="AD215" s="6">
        <v>243.86163</v>
      </c>
      <c r="AE215" s="6">
        <v>0.00113067</v>
      </c>
      <c r="AF215" s="6">
        <v>775</v>
      </c>
      <c r="AG215" s="6">
        <v>-0.00756903</v>
      </c>
      <c r="AH215" s="6">
        <v>-0.0073969</v>
      </c>
      <c r="AI215" s="6">
        <v>-0.00751939</v>
      </c>
      <c r="AJ215" s="6">
        <v>-0.00692043</v>
      </c>
      <c r="AK215" s="6">
        <v>-0.006809</v>
      </c>
      <c r="AL215" s="6">
        <v>-0.0074211</v>
      </c>
      <c r="AM215" s="6">
        <v>-0.00767152</v>
      </c>
      <c r="AN215" s="6">
        <v>-6.4762184</v>
      </c>
      <c r="AO215" s="6">
        <v>-6.4515561</v>
      </c>
      <c r="AP215" s="6">
        <v>-6.4739881</v>
      </c>
      <c r="AQ215" s="6">
        <v>-6.4253629</v>
      </c>
      <c r="AR215" s="6">
        <v>-6.4020076</v>
      </c>
      <c r="AS215" s="6">
        <v>-6.4618417</v>
      </c>
      <c r="AT215" s="6">
        <v>-6.4506396</v>
      </c>
      <c r="AU215" s="6">
        <v>0.97344833</v>
      </c>
      <c r="AV215" s="6">
        <v>0.96974131</v>
      </c>
      <c r="AW215" s="6">
        <v>0.97311308</v>
      </c>
      <c r="AX215" s="6">
        <v>0.96580418</v>
      </c>
      <c r="AY215" s="6">
        <v>0.96229362</v>
      </c>
      <c r="AZ215" s="6">
        <v>0.97128734</v>
      </c>
      <c r="BA215" s="6">
        <v>0.96960354</v>
      </c>
      <c r="BB215" s="6">
        <v>0.02655167</v>
      </c>
      <c r="BC215" s="6">
        <v>0.03025869</v>
      </c>
      <c r="BD215" s="6">
        <v>0.02688692</v>
      </c>
      <c r="BE215" s="6">
        <v>0.03419582</v>
      </c>
      <c r="BF215" s="6">
        <v>0.03770638</v>
      </c>
      <c r="BG215" s="6">
        <v>0.02871266</v>
      </c>
      <c r="BH215" s="6">
        <v>0.03039646</v>
      </c>
      <c r="BI215" s="6">
        <v>0.21470859</v>
      </c>
      <c r="BJ215" s="6">
        <v>0.12366373</v>
      </c>
      <c r="BK215" s="6">
        <v>0.1409291</v>
      </c>
      <c r="BL215" s="6">
        <v>0.12522516</v>
      </c>
      <c r="BM215" s="6">
        <v>0.1592662</v>
      </c>
      <c r="BN215" s="6">
        <v>0.17561655</v>
      </c>
      <c r="BO215" s="6">
        <v>0.1337285</v>
      </c>
      <c r="BP215" s="6">
        <v>0.14157076</v>
      </c>
      <c r="BQ215" s="6">
        <v>0.02996235</v>
      </c>
      <c r="BR215" s="6">
        <v>0.02595159</v>
      </c>
      <c r="BS215" s="6">
        <v>0.02726173</v>
      </c>
      <c r="BT215" s="6">
        <v>0.02146261</v>
      </c>
      <c r="BU215" s="6">
        <v>0.02328963</v>
      </c>
      <c r="BV215" s="6">
        <v>0.04289281</v>
      </c>
      <c r="BW215" s="6">
        <v>0.0390348</v>
      </c>
      <c r="BX215" s="12">
        <v>11696</v>
      </c>
      <c r="BY215" s="13">
        <v>5988</v>
      </c>
      <c r="BZ215" s="12">
        <v>19229.34</v>
      </c>
      <c r="CA215" s="6">
        <f t="shared" si="16"/>
        <v>1.95323981295925</v>
      </c>
      <c r="CB215" s="6">
        <f t="shared" si="17"/>
        <v>0.608237204189015</v>
      </c>
      <c r="CC215" s="7">
        <v>430774933.8</v>
      </c>
      <c r="CD215" s="7">
        <f t="shared" si="18"/>
        <v>2.24019614713766</v>
      </c>
      <c r="CE215" s="8">
        <v>159.8</v>
      </c>
      <c r="CF215" s="8">
        <v>4168.3</v>
      </c>
      <c r="CG215" s="8">
        <v>16806.5</v>
      </c>
      <c r="CH215" s="8">
        <v>100569</v>
      </c>
      <c r="CI215" s="14">
        <v>0</v>
      </c>
      <c r="CJ215" s="14">
        <v>0</v>
      </c>
      <c r="CK215" s="14">
        <f t="shared" si="19"/>
        <v>0</v>
      </c>
      <c r="CL215">
        <f t="shared" si="20"/>
        <v>1.91398219724656</v>
      </c>
      <c r="CM215">
        <f t="shared" si="21"/>
        <v>0</v>
      </c>
      <c r="CN215" s="15">
        <v>11696</v>
      </c>
      <c r="CO215" s="15">
        <v>15665.08</v>
      </c>
      <c r="CP215" s="15">
        <v>1049.41</v>
      </c>
      <c r="CQ215" s="15">
        <v>551.67</v>
      </c>
      <c r="CR215" s="15">
        <v>319.33</v>
      </c>
      <c r="CS215" s="15">
        <v>9.46</v>
      </c>
      <c r="CT215" s="15">
        <v>626.32</v>
      </c>
      <c r="CU215" s="15">
        <v>9.8</v>
      </c>
      <c r="CV215" s="15">
        <v>27.81</v>
      </c>
      <c r="CW215" s="15">
        <v>1528.07</v>
      </c>
    </row>
    <row r="216" spans="1:101">
      <c r="A216" s="6">
        <v>2014</v>
      </c>
      <c r="B216" s="6" t="s">
        <v>108</v>
      </c>
      <c r="C216" s="6">
        <v>0.20086672</v>
      </c>
      <c r="D216" s="6">
        <v>0.03483</v>
      </c>
      <c r="E216" s="6">
        <v>0.00872</v>
      </c>
      <c r="F216" s="6">
        <v>0.015964</v>
      </c>
      <c r="G216" s="6">
        <v>0.005015</v>
      </c>
      <c r="H216" s="6">
        <v>0.005131</v>
      </c>
      <c r="I216" s="6">
        <v>0.037214</v>
      </c>
      <c r="J216" s="6">
        <v>0.020035</v>
      </c>
      <c r="K216" s="6">
        <v>0.22163859</v>
      </c>
      <c r="L216" s="6">
        <v>0.16566386</v>
      </c>
      <c r="M216" s="6">
        <v>0.20244841</v>
      </c>
      <c r="N216" s="6">
        <v>0.11974077</v>
      </c>
      <c r="O216" s="6">
        <v>0.1219993</v>
      </c>
      <c r="P216" s="6">
        <v>0.3247162</v>
      </c>
      <c r="Q216" s="6">
        <v>0.2884777</v>
      </c>
      <c r="R216" s="6">
        <v>217.69486</v>
      </c>
      <c r="S216" s="6">
        <v>0.00101812</v>
      </c>
      <c r="T216" s="6">
        <v>169.97573</v>
      </c>
      <c r="U216" s="6">
        <v>0.00097463</v>
      </c>
      <c r="V216" s="6">
        <v>197.11803</v>
      </c>
      <c r="W216" s="6">
        <v>0.00102704</v>
      </c>
      <c r="X216" s="6">
        <v>134.47093</v>
      </c>
      <c r="Y216" s="6">
        <v>0.00089046</v>
      </c>
      <c r="Z216" s="6">
        <v>134.86767</v>
      </c>
      <c r="AA216" s="6">
        <v>0.00090459</v>
      </c>
      <c r="AB216" s="6">
        <v>294.9318</v>
      </c>
      <c r="AC216" s="6">
        <v>0.00110099</v>
      </c>
      <c r="AD216" s="6">
        <v>243.86163</v>
      </c>
      <c r="AE216" s="6">
        <v>0.00118296</v>
      </c>
      <c r="AF216" s="6">
        <v>775</v>
      </c>
      <c r="AG216" s="6">
        <v>-0.00701462</v>
      </c>
      <c r="AH216" s="6">
        <v>-0.00675757</v>
      </c>
      <c r="AI216" s="6">
        <v>-0.00706715</v>
      </c>
      <c r="AJ216" s="6">
        <v>-0.00625438</v>
      </c>
      <c r="AK216" s="6">
        <v>-0.00633936</v>
      </c>
      <c r="AL216" s="6">
        <v>-0.00749943</v>
      </c>
      <c r="AM216" s="6">
        <v>-0.00797282</v>
      </c>
      <c r="AN216" s="6">
        <v>-6.4762184</v>
      </c>
      <c r="AO216" s="6">
        <v>-6.4515561</v>
      </c>
      <c r="AP216" s="6">
        <v>-6.4739881</v>
      </c>
      <c r="AQ216" s="6">
        <v>-6.4253629</v>
      </c>
      <c r="AR216" s="6">
        <v>-6.4020076</v>
      </c>
      <c r="AS216" s="6">
        <v>-6.4618417</v>
      </c>
      <c r="AT216" s="6">
        <v>-6.4506396</v>
      </c>
      <c r="AU216" s="6">
        <v>0.97344833</v>
      </c>
      <c r="AV216" s="6">
        <v>0.96974131</v>
      </c>
      <c r="AW216" s="6">
        <v>0.97311308</v>
      </c>
      <c r="AX216" s="6">
        <v>0.96580418</v>
      </c>
      <c r="AY216" s="6">
        <v>0.96229362</v>
      </c>
      <c r="AZ216" s="6">
        <v>0.97128734</v>
      </c>
      <c r="BA216" s="6">
        <v>0.96960354</v>
      </c>
      <c r="BB216" s="6">
        <v>0.02655167</v>
      </c>
      <c r="BC216" s="6">
        <v>0.03025869</v>
      </c>
      <c r="BD216" s="6">
        <v>0.02688692</v>
      </c>
      <c r="BE216" s="6">
        <v>0.03419582</v>
      </c>
      <c r="BF216" s="6">
        <v>0.03770638</v>
      </c>
      <c r="BG216" s="6">
        <v>0.02871266</v>
      </c>
      <c r="BH216" s="6">
        <v>0.03039646</v>
      </c>
      <c r="BI216" s="6">
        <v>0.21470859</v>
      </c>
      <c r="BJ216" s="6">
        <v>0.12366373</v>
      </c>
      <c r="BK216" s="6">
        <v>0.1409291</v>
      </c>
      <c r="BL216" s="6">
        <v>0.12522516</v>
      </c>
      <c r="BM216" s="6">
        <v>0.1592662</v>
      </c>
      <c r="BN216" s="6">
        <v>0.17561655</v>
      </c>
      <c r="BO216" s="6">
        <v>0.1337285</v>
      </c>
      <c r="BP216" s="6">
        <v>0.14157076</v>
      </c>
      <c r="BQ216" s="6">
        <v>0.02740866</v>
      </c>
      <c r="BR216" s="6">
        <v>0.02334686</v>
      </c>
      <c r="BS216" s="6">
        <v>0.02535163</v>
      </c>
      <c r="BT216" s="6">
        <v>0.01907066</v>
      </c>
      <c r="BU216" s="6">
        <v>0.0214251</v>
      </c>
      <c r="BV216" s="6">
        <v>0.04342381</v>
      </c>
      <c r="BW216" s="6">
        <v>0.04084001</v>
      </c>
      <c r="BX216" s="12">
        <v>12011</v>
      </c>
      <c r="BY216" s="13">
        <v>5997</v>
      </c>
      <c r="BZ216" s="12">
        <v>20848.75</v>
      </c>
      <c r="CA216" s="6">
        <f t="shared" si="16"/>
        <v>2.00283475070869</v>
      </c>
      <c r="CB216" s="6">
        <f t="shared" si="17"/>
        <v>0.576101684753283</v>
      </c>
      <c r="CC216" s="7">
        <v>438211174.8</v>
      </c>
      <c r="CD216" s="7">
        <f t="shared" si="18"/>
        <v>2.1018582639247</v>
      </c>
      <c r="CE216" s="8">
        <v>159.2</v>
      </c>
      <c r="CF216" s="8">
        <v>4433</v>
      </c>
      <c r="CG216" s="8">
        <v>18333.9</v>
      </c>
      <c r="CH216" s="8">
        <v>106732</v>
      </c>
      <c r="CI216" s="14">
        <v>0</v>
      </c>
      <c r="CJ216" s="14">
        <v>0</v>
      </c>
      <c r="CK216" s="14">
        <f t="shared" si="19"/>
        <v>0</v>
      </c>
      <c r="CL216">
        <f t="shared" si="20"/>
        <v>1.79640226266579</v>
      </c>
      <c r="CM216">
        <f t="shared" si="21"/>
        <v>0</v>
      </c>
      <c r="CN216" s="15">
        <v>12011.02</v>
      </c>
      <c r="CO216" s="15">
        <v>15786.98</v>
      </c>
      <c r="CP216" s="15">
        <v>1064.73</v>
      </c>
      <c r="CQ216" s="15">
        <v>749.22</v>
      </c>
      <c r="CR216" s="15">
        <v>352.68</v>
      </c>
      <c r="CS216" s="15">
        <v>10.56</v>
      </c>
      <c r="CT216" s="15">
        <v>663.02</v>
      </c>
      <c r="CU216" s="15">
        <v>10.25</v>
      </c>
      <c r="CV216" s="15">
        <v>34.46</v>
      </c>
      <c r="CW216" s="15">
        <v>1585.18</v>
      </c>
    </row>
    <row r="217" spans="1:101">
      <c r="A217" s="6">
        <v>2015</v>
      </c>
      <c r="B217" s="6" t="s">
        <v>108</v>
      </c>
      <c r="C217" s="6">
        <v>0.20461051</v>
      </c>
      <c r="D217" s="6">
        <v>0.035566</v>
      </c>
      <c r="E217" s="6">
        <v>0.009189</v>
      </c>
      <c r="F217" s="6">
        <v>0.016194</v>
      </c>
      <c r="G217" s="6">
        <v>0.005393</v>
      </c>
      <c r="H217" s="6">
        <v>0.00479</v>
      </c>
      <c r="I217" s="6">
        <v>0.038693</v>
      </c>
      <c r="J217" s="6">
        <v>0.019582</v>
      </c>
      <c r="K217" s="6">
        <v>0.22741356</v>
      </c>
      <c r="L217" s="6">
        <v>0.17675188</v>
      </c>
      <c r="M217" s="6">
        <v>0.20597988</v>
      </c>
      <c r="N217" s="6">
        <v>0.13093286</v>
      </c>
      <c r="O217" s="6">
        <v>0.11166047</v>
      </c>
      <c r="P217" s="6">
        <v>0.34118638</v>
      </c>
      <c r="Q217" s="6">
        <v>0.28039267</v>
      </c>
      <c r="R217" s="6">
        <v>217.69486</v>
      </c>
      <c r="S217" s="6">
        <v>0.00104464</v>
      </c>
      <c r="T217" s="6">
        <v>169.97573</v>
      </c>
      <c r="U217" s="6">
        <v>0.00103987</v>
      </c>
      <c r="V217" s="6">
        <v>197.11803</v>
      </c>
      <c r="W217" s="6">
        <v>0.00104496</v>
      </c>
      <c r="X217" s="6">
        <v>134.47093</v>
      </c>
      <c r="Y217" s="6">
        <v>0.00097369</v>
      </c>
      <c r="Z217" s="6">
        <v>134.86767</v>
      </c>
      <c r="AA217" s="6">
        <v>0.00082793</v>
      </c>
      <c r="AB217" s="6">
        <v>294.9318</v>
      </c>
      <c r="AC217" s="6">
        <v>0.00115683</v>
      </c>
      <c r="AD217" s="6">
        <v>243.86163</v>
      </c>
      <c r="AE217" s="6">
        <v>0.0011498</v>
      </c>
      <c r="AF217" s="6">
        <v>775</v>
      </c>
      <c r="AG217" s="6">
        <v>-0.00717052</v>
      </c>
      <c r="AH217" s="6">
        <v>-0.00714249</v>
      </c>
      <c r="AI217" s="6">
        <v>-0.00717235</v>
      </c>
      <c r="AJ217" s="6">
        <v>-0.00675197</v>
      </c>
      <c r="AK217" s="6">
        <v>-0.00587545</v>
      </c>
      <c r="AL217" s="6">
        <v>-0.00782258</v>
      </c>
      <c r="AM217" s="6">
        <v>-0.00778205</v>
      </c>
      <c r="AN217" s="6">
        <v>-6.4762184</v>
      </c>
      <c r="AO217" s="6">
        <v>-6.4515561</v>
      </c>
      <c r="AP217" s="6">
        <v>-6.4739881</v>
      </c>
      <c r="AQ217" s="6">
        <v>-6.4253629</v>
      </c>
      <c r="AR217" s="6">
        <v>-6.4020076</v>
      </c>
      <c r="AS217" s="6">
        <v>-6.4618417</v>
      </c>
      <c r="AT217" s="6">
        <v>-6.4506396</v>
      </c>
      <c r="AU217" s="6">
        <v>0.97344833</v>
      </c>
      <c r="AV217" s="6">
        <v>0.96974131</v>
      </c>
      <c r="AW217" s="6">
        <v>0.97311308</v>
      </c>
      <c r="AX217" s="6">
        <v>0.96580418</v>
      </c>
      <c r="AY217" s="6">
        <v>0.96229362</v>
      </c>
      <c r="AZ217" s="6">
        <v>0.97128734</v>
      </c>
      <c r="BA217" s="6">
        <v>0.96960354</v>
      </c>
      <c r="BB217" s="6">
        <v>0.02655167</v>
      </c>
      <c r="BC217" s="6">
        <v>0.03025869</v>
      </c>
      <c r="BD217" s="6">
        <v>0.02688692</v>
      </c>
      <c r="BE217" s="6">
        <v>0.03419582</v>
      </c>
      <c r="BF217" s="6">
        <v>0.03770638</v>
      </c>
      <c r="BG217" s="6">
        <v>0.02871266</v>
      </c>
      <c r="BH217" s="6">
        <v>0.03039646</v>
      </c>
      <c r="BI217" s="6">
        <v>0.21470859</v>
      </c>
      <c r="BJ217" s="6">
        <v>0.12366373</v>
      </c>
      <c r="BK217" s="6">
        <v>0.1409291</v>
      </c>
      <c r="BL217" s="6">
        <v>0.12522516</v>
      </c>
      <c r="BM217" s="6">
        <v>0.1592662</v>
      </c>
      <c r="BN217" s="6">
        <v>0.17561655</v>
      </c>
      <c r="BO217" s="6">
        <v>0.1337285</v>
      </c>
      <c r="BP217" s="6">
        <v>0.14157076</v>
      </c>
      <c r="BQ217" s="6">
        <v>0.02812281</v>
      </c>
      <c r="BR217" s="6">
        <v>0.02490948</v>
      </c>
      <c r="BS217" s="6">
        <v>0.02579386</v>
      </c>
      <c r="BT217" s="6">
        <v>0.02085318</v>
      </c>
      <c r="BU217" s="6">
        <v>0.01960943</v>
      </c>
      <c r="BV217" s="6">
        <v>0.04562634</v>
      </c>
      <c r="BW217" s="6">
        <v>0.0396954</v>
      </c>
      <c r="BX217" s="12">
        <v>12301</v>
      </c>
      <c r="BY217" s="13">
        <v>6011</v>
      </c>
      <c r="BZ217" s="12">
        <v>22005.63</v>
      </c>
      <c r="CA217" s="6">
        <f t="shared" si="16"/>
        <v>2.04641490600566</v>
      </c>
      <c r="CB217" s="6">
        <f t="shared" si="17"/>
        <v>0.558993312166023</v>
      </c>
      <c r="CC217" s="7">
        <v>443094940.2</v>
      </c>
      <c r="CD217" s="7">
        <f t="shared" si="18"/>
        <v>2.0135526235786</v>
      </c>
      <c r="CE217" s="8">
        <v>140.4</v>
      </c>
      <c r="CF217" s="8">
        <v>4419.8</v>
      </c>
      <c r="CG217" s="8">
        <v>20218.9</v>
      </c>
      <c r="CH217" s="8">
        <v>113692</v>
      </c>
      <c r="CI217" s="14">
        <v>0</v>
      </c>
      <c r="CJ217" s="14">
        <v>0</v>
      </c>
      <c r="CK217" s="14">
        <f t="shared" si="19"/>
        <v>0</v>
      </c>
      <c r="CL217">
        <f t="shared" si="20"/>
        <v>1.71577514742415</v>
      </c>
      <c r="CM217">
        <f t="shared" si="21"/>
        <v>0</v>
      </c>
      <c r="CN217" s="15">
        <v>12301</v>
      </c>
      <c r="CO217" s="15">
        <v>15673.49</v>
      </c>
      <c r="CP217" s="15">
        <v>1164.77</v>
      </c>
      <c r="CQ217" s="15">
        <v>690.59</v>
      </c>
      <c r="CR217" s="15">
        <v>456.6</v>
      </c>
      <c r="CS217" s="15">
        <v>14.08</v>
      </c>
      <c r="CT217" s="15">
        <v>611.8</v>
      </c>
      <c r="CU217" s="15">
        <v>13.44</v>
      </c>
      <c r="CV217" s="15">
        <v>34.83</v>
      </c>
      <c r="CW217" s="15">
        <v>1640</v>
      </c>
    </row>
    <row r="218" spans="1:101">
      <c r="A218" s="6">
        <v>2016</v>
      </c>
      <c r="B218" s="6" t="s">
        <v>108</v>
      </c>
      <c r="C218" s="6">
        <v>0.21249778</v>
      </c>
      <c r="D218" s="6">
        <v>0.037564</v>
      </c>
      <c r="E218" s="6">
        <v>0.009545</v>
      </c>
      <c r="F218" s="6">
        <v>0.016574</v>
      </c>
      <c r="G218" s="6">
        <v>0.005708</v>
      </c>
      <c r="H218" s="6">
        <v>0.005737</v>
      </c>
      <c r="I218" s="6">
        <v>0.038824</v>
      </c>
      <c r="J218" s="6">
        <v>0.018518</v>
      </c>
      <c r="K218" s="6">
        <v>0.24308461</v>
      </c>
      <c r="L218" s="6">
        <v>0.18517957</v>
      </c>
      <c r="M218" s="6">
        <v>0.21181501</v>
      </c>
      <c r="N218" s="6">
        <v>0.14024883</v>
      </c>
      <c r="O218" s="6">
        <v>0.14034526</v>
      </c>
      <c r="P218" s="6">
        <v>0.34265002</v>
      </c>
      <c r="Q218" s="6">
        <v>0.26141949</v>
      </c>
      <c r="R218" s="6">
        <v>217.69486</v>
      </c>
      <c r="S218" s="6">
        <v>0.00111663</v>
      </c>
      <c r="T218" s="6">
        <v>169.97573</v>
      </c>
      <c r="U218" s="6">
        <v>0.00108945</v>
      </c>
      <c r="V218" s="6">
        <v>197.11803</v>
      </c>
      <c r="W218" s="6">
        <v>0.00107456</v>
      </c>
      <c r="X218" s="6">
        <v>134.47093</v>
      </c>
      <c r="Y218" s="6">
        <v>0.00104297</v>
      </c>
      <c r="Z218" s="6">
        <v>134.86767</v>
      </c>
      <c r="AA218" s="6">
        <v>0.00104061</v>
      </c>
      <c r="AB218" s="6">
        <v>294.9318</v>
      </c>
      <c r="AC218" s="6">
        <v>0.00116179</v>
      </c>
      <c r="AD218" s="6">
        <v>243.86163</v>
      </c>
      <c r="AE218" s="6">
        <v>0.001072</v>
      </c>
      <c r="AF218" s="6">
        <v>775</v>
      </c>
      <c r="AG218" s="6">
        <v>-0.00759023</v>
      </c>
      <c r="AH218" s="6">
        <v>-0.0074323</v>
      </c>
      <c r="AI218" s="6">
        <v>-0.00734552</v>
      </c>
      <c r="AJ218" s="6">
        <v>-0.00716069</v>
      </c>
      <c r="AK218" s="6">
        <v>-0.00714688</v>
      </c>
      <c r="AL218" s="6">
        <v>-0.00785116</v>
      </c>
      <c r="AM218" s="6">
        <v>-0.00733058</v>
      </c>
      <c r="AN218" s="6">
        <v>-6.4762184</v>
      </c>
      <c r="AO218" s="6">
        <v>-6.4515561</v>
      </c>
      <c r="AP218" s="6">
        <v>-6.4739881</v>
      </c>
      <c r="AQ218" s="6">
        <v>-6.4253629</v>
      </c>
      <c r="AR218" s="6">
        <v>-6.4020076</v>
      </c>
      <c r="AS218" s="6">
        <v>-6.4618417</v>
      </c>
      <c r="AT218" s="6">
        <v>-6.4506396</v>
      </c>
      <c r="AU218" s="6">
        <v>0.97344833</v>
      </c>
      <c r="AV218" s="6">
        <v>0.96974131</v>
      </c>
      <c r="AW218" s="6">
        <v>0.97311308</v>
      </c>
      <c r="AX218" s="6">
        <v>0.96580418</v>
      </c>
      <c r="AY218" s="6">
        <v>0.96229362</v>
      </c>
      <c r="AZ218" s="6">
        <v>0.97128734</v>
      </c>
      <c r="BA218" s="6">
        <v>0.96960354</v>
      </c>
      <c r="BB218" s="6">
        <v>0.02655167</v>
      </c>
      <c r="BC218" s="6">
        <v>0.03025869</v>
      </c>
      <c r="BD218" s="6">
        <v>0.02688692</v>
      </c>
      <c r="BE218" s="6">
        <v>0.03419582</v>
      </c>
      <c r="BF218" s="6">
        <v>0.03770638</v>
      </c>
      <c r="BG218" s="6">
        <v>0.02871266</v>
      </c>
      <c r="BH218" s="6">
        <v>0.03039646</v>
      </c>
      <c r="BI218" s="6">
        <v>0.21470859</v>
      </c>
      <c r="BJ218" s="6">
        <v>0.12366373</v>
      </c>
      <c r="BK218" s="6">
        <v>0.1409291</v>
      </c>
      <c r="BL218" s="6">
        <v>0.12522516</v>
      </c>
      <c r="BM218" s="6">
        <v>0.1592662</v>
      </c>
      <c r="BN218" s="6">
        <v>0.17561655</v>
      </c>
      <c r="BO218" s="6">
        <v>0.1337285</v>
      </c>
      <c r="BP218" s="6">
        <v>0.14157076</v>
      </c>
      <c r="BQ218" s="6">
        <v>0.03006075</v>
      </c>
      <c r="BR218" s="6">
        <v>0.02609719</v>
      </c>
      <c r="BS218" s="6">
        <v>0.02652457</v>
      </c>
      <c r="BT218" s="6">
        <v>0.0223369</v>
      </c>
      <c r="BU218" s="6">
        <v>0.02464695</v>
      </c>
      <c r="BV218" s="6">
        <v>0.04582207</v>
      </c>
      <c r="BW218" s="6">
        <v>0.03700936</v>
      </c>
      <c r="BX218" s="12">
        <v>12663</v>
      </c>
      <c r="BY218" s="13">
        <v>6033</v>
      </c>
      <c r="BZ218" s="12">
        <v>24407.62</v>
      </c>
      <c r="CA218" s="6">
        <f t="shared" si="16"/>
        <v>2.09895574341124</v>
      </c>
      <c r="CB218" s="6">
        <f t="shared" si="17"/>
        <v>0.518813386966857</v>
      </c>
      <c r="CC218" s="7">
        <v>446248043.7</v>
      </c>
      <c r="CD218" s="7">
        <f t="shared" si="18"/>
        <v>1.82831445138854</v>
      </c>
      <c r="CE218" s="8">
        <v>129.8</v>
      </c>
      <c r="CF218" s="8">
        <v>4665.8</v>
      </c>
      <c r="CG218" s="8">
        <v>22245.7</v>
      </c>
      <c r="CH218" s="8">
        <v>123391</v>
      </c>
      <c r="CI218" s="14">
        <v>0</v>
      </c>
      <c r="CJ218" s="14">
        <v>0</v>
      </c>
      <c r="CK218" s="14">
        <f t="shared" si="19"/>
        <v>0</v>
      </c>
      <c r="CL218">
        <f t="shared" si="20"/>
        <v>1.62438398605541</v>
      </c>
      <c r="CM218">
        <f t="shared" si="21"/>
        <v>0</v>
      </c>
      <c r="CN218" s="15">
        <v>12663</v>
      </c>
      <c r="CO218" s="15">
        <v>15706.17</v>
      </c>
      <c r="CP218" s="15">
        <v>1164.64</v>
      </c>
      <c r="CQ218" s="15">
        <v>539.21</v>
      </c>
      <c r="CR218" s="15">
        <v>509.87</v>
      </c>
      <c r="CS218" s="15">
        <v>15.98</v>
      </c>
      <c r="CT218" s="15">
        <v>622.69</v>
      </c>
      <c r="CU218" s="15">
        <v>21.21</v>
      </c>
      <c r="CV218" s="15">
        <v>39.18</v>
      </c>
      <c r="CW218" s="15">
        <v>1794.98</v>
      </c>
    </row>
    <row r="219" spans="1:101">
      <c r="A219" s="6">
        <v>2017</v>
      </c>
      <c r="B219" s="6" t="s">
        <v>108</v>
      </c>
      <c r="C219" s="6">
        <v>0.23499853</v>
      </c>
      <c r="D219" s="6">
        <v>0.040622</v>
      </c>
      <c r="E219" s="6">
        <v>0.009933</v>
      </c>
      <c r="F219" s="6">
        <v>0.018334</v>
      </c>
      <c r="G219" s="6">
        <v>0.005712</v>
      </c>
      <c r="H219" s="6">
        <v>0.006643</v>
      </c>
      <c r="I219" s="6">
        <v>0.04137</v>
      </c>
      <c r="J219" s="6">
        <v>0.020982</v>
      </c>
      <c r="K219" s="6">
        <v>0.26707025</v>
      </c>
      <c r="L219" s="6">
        <v>0.19434696</v>
      </c>
      <c r="M219" s="6">
        <v>0.23887283</v>
      </c>
      <c r="N219" s="6">
        <v>0.14034659</v>
      </c>
      <c r="O219" s="6">
        <v>0.16780978</v>
      </c>
      <c r="P219" s="6">
        <v>0.3710023</v>
      </c>
      <c r="Q219" s="6">
        <v>0.30538354</v>
      </c>
      <c r="R219" s="6">
        <v>217.69486</v>
      </c>
      <c r="S219" s="6">
        <v>0.00122681</v>
      </c>
      <c r="T219" s="6">
        <v>169.97573</v>
      </c>
      <c r="U219" s="6">
        <v>0.00114338</v>
      </c>
      <c r="V219" s="6">
        <v>197.11803</v>
      </c>
      <c r="W219" s="6">
        <v>0.00121183</v>
      </c>
      <c r="X219" s="6">
        <v>134.47093</v>
      </c>
      <c r="Y219" s="6">
        <v>0.00104369</v>
      </c>
      <c r="Z219" s="6">
        <v>134.86767</v>
      </c>
      <c r="AA219" s="6">
        <v>0.00124426</v>
      </c>
      <c r="AB219" s="6">
        <v>294.9318</v>
      </c>
      <c r="AC219" s="6">
        <v>0.00125793</v>
      </c>
      <c r="AD219" s="6">
        <v>243.86163</v>
      </c>
      <c r="AE219" s="6">
        <v>0.00125228</v>
      </c>
      <c r="AF219" s="6">
        <v>775</v>
      </c>
      <c r="AG219" s="6">
        <v>-0.00822372</v>
      </c>
      <c r="AH219" s="6">
        <v>-0.00774499</v>
      </c>
      <c r="AI219" s="6">
        <v>-0.00813817</v>
      </c>
      <c r="AJ219" s="6">
        <v>-0.00716495</v>
      </c>
      <c r="AK219" s="6">
        <v>-0.00832309</v>
      </c>
      <c r="AL219" s="6">
        <v>-0.00840079</v>
      </c>
      <c r="AM219" s="6">
        <v>-0.00836874</v>
      </c>
      <c r="AN219" s="6">
        <v>-6.4762184</v>
      </c>
      <c r="AO219" s="6">
        <v>-6.4515561</v>
      </c>
      <c r="AP219" s="6">
        <v>-6.4739881</v>
      </c>
      <c r="AQ219" s="6">
        <v>-6.4253629</v>
      </c>
      <c r="AR219" s="6">
        <v>-6.4020076</v>
      </c>
      <c r="AS219" s="6">
        <v>-6.4618417</v>
      </c>
      <c r="AT219" s="6">
        <v>-6.4506396</v>
      </c>
      <c r="AU219" s="6">
        <v>0.97344833</v>
      </c>
      <c r="AV219" s="6">
        <v>0.96974131</v>
      </c>
      <c r="AW219" s="6">
        <v>0.97311308</v>
      </c>
      <c r="AX219" s="6">
        <v>0.96580418</v>
      </c>
      <c r="AY219" s="6">
        <v>0.96229362</v>
      </c>
      <c r="AZ219" s="6">
        <v>0.97128734</v>
      </c>
      <c r="BA219" s="6">
        <v>0.96960354</v>
      </c>
      <c r="BB219" s="6">
        <v>0.02655167</v>
      </c>
      <c r="BC219" s="6">
        <v>0.03025869</v>
      </c>
      <c r="BD219" s="6">
        <v>0.02688692</v>
      </c>
      <c r="BE219" s="6">
        <v>0.03419582</v>
      </c>
      <c r="BF219" s="6">
        <v>0.03770638</v>
      </c>
      <c r="BG219" s="6">
        <v>0.02871266</v>
      </c>
      <c r="BH219" s="6">
        <v>0.03039646</v>
      </c>
      <c r="BI219" s="6">
        <v>0.21470859</v>
      </c>
      <c r="BJ219" s="6">
        <v>0.12366373</v>
      </c>
      <c r="BK219" s="6">
        <v>0.1409291</v>
      </c>
      <c r="BL219" s="6">
        <v>0.12522516</v>
      </c>
      <c r="BM219" s="6">
        <v>0.1592662</v>
      </c>
      <c r="BN219" s="6">
        <v>0.17561655</v>
      </c>
      <c r="BO219" s="6">
        <v>0.1337285</v>
      </c>
      <c r="BP219" s="6">
        <v>0.14157076</v>
      </c>
      <c r="BQ219" s="6">
        <v>0.0330269</v>
      </c>
      <c r="BR219" s="6">
        <v>0.02738914</v>
      </c>
      <c r="BS219" s="6">
        <v>0.02991289</v>
      </c>
      <c r="BT219" s="6">
        <v>0.02235247</v>
      </c>
      <c r="BU219" s="6">
        <v>0.02947017</v>
      </c>
      <c r="BV219" s="6">
        <v>0.04961358</v>
      </c>
      <c r="BW219" s="6">
        <v>0.04323338</v>
      </c>
      <c r="BX219" s="12">
        <v>13019</v>
      </c>
      <c r="BY219" s="13">
        <v>6057</v>
      </c>
      <c r="BZ219" s="12">
        <v>27018</v>
      </c>
      <c r="CA219" s="6">
        <f t="shared" ref="CA219:CA282" si="22">BX219/BY219</f>
        <v>2.14941390127126</v>
      </c>
      <c r="CB219" s="6">
        <f t="shared" ref="CB219:CB282" si="23">BX219/BZ219</f>
        <v>0.481863942556814</v>
      </c>
      <c r="CC219" s="7">
        <v>452225122.8</v>
      </c>
      <c r="CD219" s="7">
        <f t="shared" si="18"/>
        <v>1.6737920008883</v>
      </c>
      <c r="CE219" s="8">
        <v>121.9</v>
      </c>
      <c r="CF219" s="8">
        <v>5049.4</v>
      </c>
      <c r="CG219" s="8">
        <v>24711.7</v>
      </c>
      <c r="CH219" s="8">
        <v>136172</v>
      </c>
      <c r="CI219" s="14">
        <v>1</v>
      </c>
      <c r="CJ219" s="14">
        <v>0</v>
      </c>
      <c r="CK219" s="14">
        <f t="shared" si="19"/>
        <v>0</v>
      </c>
      <c r="CL219">
        <f t="shared" si="20"/>
        <v>1.56738551218677</v>
      </c>
      <c r="CM219">
        <f t="shared" si="21"/>
        <v>0</v>
      </c>
      <c r="CN219" s="15">
        <v>13019</v>
      </c>
      <c r="CO219" s="15">
        <v>16082.22</v>
      </c>
      <c r="CP219" s="15">
        <v>1048.94</v>
      </c>
      <c r="CQ219" s="15">
        <v>751.59</v>
      </c>
      <c r="CR219" s="15">
        <v>574.66</v>
      </c>
      <c r="CS219" s="15">
        <v>15.53</v>
      </c>
      <c r="CT219" s="15">
        <v>631.56</v>
      </c>
      <c r="CU219" s="15">
        <v>22.81</v>
      </c>
      <c r="CV219" s="15">
        <v>44.37</v>
      </c>
      <c r="CW219" s="15">
        <v>1921.48</v>
      </c>
    </row>
    <row r="220" spans="1:101">
      <c r="A220" s="6">
        <v>2018</v>
      </c>
      <c r="B220" s="6" t="s">
        <v>108</v>
      </c>
      <c r="C220" s="6">
        <v>0.2279038</v>
      </c>
      <c r="D220" s="6">
        <v>0.040416</v>
      </c>
      <c r="E220" s="6">
        <v>0.010039</v>
      </c>
      <c r="F220" s="6">
        <v>0.018273</v>
      </c>
      <c r="G220" s="6">
        <v>0.005917</v>
      </c>
      <c r="H220" s="6">
        <v>0.006187</v>
      </c>
      <c r="I220" s="6">
        <v>0.038892</v>
      </c>
      <c r="J220" s="6">
        <v>0.020197</v>
      </c>
      <c r="K220" s="6">
        <v>0.26545968</v>
      </c>
      <c r="L220" s="6">
        <v>0.19684239</v>
      </c>
      <c r="M220" s="6">
        <v>0.23793179</v>
      </c>
      <c r="N220" s="6">
        <v>0.14642915</v>
      </c>
      <c r="O220" s="6">
        <v>0.15400844</v>
      </c>
      <c r="P220" s="6">
        <v>0.34340522</v>
      </c>
      <c r="Q220" s="6">
        <v>0.29137009</v>
      </c>
      <c r="R220" s="6">
        <v>217.69486</v>
      </c>
      <c r="S220" s="6">
        <v>0.00121941</v>
      </c>
      <c r="T220" s="6">
        <v>169.97573</v>
      </c>
      <c r="U220" s="6">
        <v>0.00115806</v>
      </c>
      <c r="V220" s="6">
        <v>197.11803</v>
      </c>
      <c r="W220" s="6">
        <v>0.00120705</v>
      </c>
      <c r="X220" s="6">
        <v>134.47093</v>
      </c>
      <c r="Y220" s="6">
        <v>0.00108893</v>
      </c>
      <c r="Z220" s="6">
        <v>134.86767</v>
      </c>
      <c r="AA220" s="6">
        <v>0.00114192</v>
      </c>
      <c r="AB220" s="6">
        <v>294.9318</v>
      </c>
      <c r="AC220" s="6">
        <v>0.00116435</v>
      </c>
      <c r="AD220" s="6">
        <v>243.86163</v>
      </c>
      <c r="AE220" s="6">
        <v>0.00119482</v>
      </c>
      <c r="AF220" s="6">
        <v>775</v>
      </c>
      <c r="AG220" s="6">
        <v>-0.00818151</v>
      </c>
      <c r="AH220" s="6">
        <v>-0.00782966</v>
      </c>
      <c r="AI220" s="6">
        <v>-0.00811088</v>
      </c>
      <c r="AJ220" s="6">
        <v>-0.00742928</v>
      </c>
      <c r="AK220" s="6">
        <v>-0.00773657</v>
      </c>
      <c r="AL220" s="6">
        <v>-0.0078659</v>
      </c>
      <c r="AM220" s="6">
        <v>-0.00804084</v>
      </c>
      <c r="AN220" s="6">
        <v>-6.4762184</v>
      </c>
      <c r="AO220" s="6">
        <v>-6.4515561</v>
      </c>
      <c r="AP220" s="6">
        <v>-6.4739881</v>
      </c>
      <c r="AQ220" s="6">
        <v>-6.4253629</v>
      </c>
      <c r="AR220" s="6">
        <v>-6.4020076</v>
      </c>
      <c r="AS220" s="6">
        <v>-6.4618417</v>
      </c>
      <c r="AT220" s="6">
        <v>-6.4506396</v>
      </c>
      <c r="AU220" s="6">
        <v>0.97344833</v>
      </c>
      <c r="AV220" s="6">
        <v>0.96974131</v>
      </c>
      <c r="AW220" s="6">
        <v>0.97311308</v>
      </c>
      <c r="AX220" s="6">
        <v>0.96580418</v>
      </c>
      <c r="AY220" s="6">
        <v>0.96229362</v>
      </c>
      <c r="AZ220" s="6">
        <v>0.97128734</v>
      </c>
      <c r="BA220" s="6">
        <v>0.96960354</v>
      </c>
      <c r="BB220" s="6">
        <v>0.02655167</v>
      </c>
      <c r="BC220" s="6">
        <v>0.03025869</v>
      </c>
      <c r="BD220" s="6">
        <v>0.02688692</v>
      </c>
      <c r="BE220" s="6">
        <v>0.03419582</v>
      </c>
      <c r="BF220" s="6">
        <v>0.03770638</v>
      </c>
      <c r="BG220" s="6">
        <v>0.02871266</v>
      </c>
      <c r="BH220" s="6">
        <v>0.03039646</v>
      </c>
      <c r="BI220" s="6">
        <v>0.21470859</v>
      </c>
      <c r="BJ220" s="6">
        <v>0.12366373</v>
      </c>
      <c r="BK220" s="6">
        <v>0.1409291</v>
      </c>
      <c r="BL220" s="6">
        <v>0.12522516</v>
      </c>
      <c r="BM220" s="6">
        <v>0.1592662</v>
      </c>
      <c r="BN220" s="6">
        <v>0.17561655</v>
      </c>
      <c r="BO220" s="6">
        <v>0.1337285</v>
      </c>
      <c r="BP220" s="6">
        <v>0.14157076</v>
      </c>
      <c r="BQ220" s="6">
        <v>0.03282773</v>
      </c>
      <c r="BR220" s="6">
        <v>0.02774082</v>
      </c>
      <c r="BS220" s="6">
        <v>0.02979505</v>
      </c>
      <c r="BT220" s="6">
        <v>0.02332121</v>
      </c>
      <c r="BU220" s="6">
        <v>0.02704643</v>
      </c>
      <c r="BV220" s="6">
        <v>0.04592306</v>
      </c>
      <c r="BW220" s="6">
        <v>0.04124949</v>
      </c>
      <c r="BX220" s="12">
        <v>13295</v>
      </c>
      <c r="BY220" s="13">
        <v>6076</v>
      </c>
      <c r="BZ220" s="12">
        <v>30006.82</v>
      </c>
      <c r="CA220" s="6">
        <f t="shared" si="22"/>
        <v>2.18811718235681</v>
      </c>
      <c r="CB220" s="6">
        <f t="shared" si="23"/>
        <v>0.443065943008956</v>
      </c>
      <c r="CC220" s="7">
        <v>490278200.2</v>
      </c>
      <c r="CD220" s="7">
        <f t="shared" si="18"/>
        <v>1.63388922984841</v>
      </c>
      <c r="CE220" s="8">
        <v>120.6</v>
      </c>
      <c r="CF220" s="8">
        <v>5477.4</v>
      </c>
      <c r="CG220" s="8">
        <v>27508.1</v>
      </c>
      <c r="CH220" s="8">
        <v>150962</v>
      </c>
      <c r="CI220" s="14">
        <v>1</v>
      </c>
      <c r="CJ220" s="14">
        <v>0</v>
      </c>
      <c r="CK220" s="14">
        <f t="shared" si="19"/>
        <v>0</v>
      </c>
      <c r="CL220">
        <f t="shared" si="20"/>
        <v>1.51591455826218</v>
      </c>
      <c r="CM220">
        <f t="shared" si="21"/>
        <v>0</v>
      </c>
      <c r="CN220" s="15">
        <v>13295</v>
      </c>
      <c r="CO220" s="15">
        <v>16673.06</v>
      </c>
      <c r="CP220" s="15">
        <v>1104.44</v>
      </c>
      <c r="CQ220" s="15">
        <v>728.34</v>
      </c>
      <c r="CR220" s="15">
        <v>626.42</v>
      </c>
      <c r="CS220" s="15">
        <v>15.48</v>
      </c>
      <c r="CT220" s="15">
        <v>653.4</v>
      </c>
      <c r="CU220" s="15">
        <v>22.14</v>
      </c>
      <c r="CV220" s="15">
        <v>53.01</v>
      </c>
      <c r="CW220" s="15">
        <v>2135.07</v>
      </c>
    </row>
    <row r="221" spans="1:101">
      <c r="A221" s="6">
        <v>2019</v>
      </c>
      <c r="B221" s="6" t="s">
        <v>108</v>
      </c>
      <c r="C221" s="6">
        <v>0.23168542</v>
      </c>
      <c r="D221" s="6">
        <v>0.040227</v>
      </c>
      <c r="E221" s="6">
        <v>0.01022</v>
      </c>
      <c r="F221" s="6">
        <v>0.018037</v>
      </c>
      <c r="G221" s="6">
        <v>0.006665</v>
      </c>
      <c r="H221" s="6">
        <v>0.005305</v>
      </c>
      <c r="I221" s="6">
        <v>0.041914</v>
      </c>
      <c r="J221" s="6">
        <v>0.020391</v>
      </c>
      <c r="K221" s="6">
        <v>0.26397491</v>
      </c>
      <c r="L221" s="6">
        <v>0.20112217</v>
      </c>
      <c r="M221" s="6">
        <v>0.23430833</v>
      </c>
      <c r="N221" s="6">
        <v>0.16853664</v>
      </c>
      <c r="O221" s="6">
        <v>0.12726608</v>
      </c>
      <c r="P221" s="6">
        <v>0.37706675</v>
      </c>
      <c r="Q221" s="6">
        <v>0.29482954</v>
      </c>
      <c r="R221" s="6">
        <v>217.69486</v>
      </c>
      <c r="S221" s="6">
        <v>0.00121259</v>
      </c>
      <c r="T221" s="6">
        <v>169.97573</v>
      </c>
      <c r="U221" s="6">
        <v>0.00118324</v>
      </c>
      <c r="V221" s="6">
        <v>197.11803</v>
      </c>
      <c r="W221" s="6">
        <v>0.00118867</v>
      </c>
      <c r="X221" s="6">
        <v>134.47093</v>
      </c>
      <c r="Y221" s="6">
        <v>0.00125333</v>
      </c>
      <c r="Z221" s="6">
        <v>134.86767</v>
      </c>
      <c r="AA221" s="6">
        <v>0.00094364</v>
      </c>
      <c r="AB221" s="6">
        <v>294.9318</v>
      </c>
      <c r="AC221" s="6">
        <v>0.00127849</v>
      </c>
      <c r="AD221" s="6">
        <v>243.86163</v>
      </c>
      <c r="AE221" s="6">
        <v>0.001209</v>
      </c>
      <c r="AF221" s="6">
        <v>775</v>
      </c>
      <c r="AG221" s="6">
        <v>-0.00814255</v>
      </c>
      <c r="AH221" s="6">
        <v>-0.00797445</v>
      </c>
      <c r="AI221" s="6">
        <v>-0.0080056</v>
      </c>
      <c r="AJ221" s="6">
        <v>-0.0083747</v>
      </c>
      <c r="AK221" s="6">
        <v>-0.00657316</v>
      </c>
      <c r="AL221" s="6">
        <v>-0.00851739</v>
      </c>
      <c r="AM221" s="6">
        <v>-0.00812204</v>
      </c>
      <c r="AN221" s="6">
        <v>-6.4762184</v>
      </c>
      <c r="AO221" s="6">
        <v>-6.4515561</v>
      </c>
      <c r="AP221" s="6">
        <v>-6.4739881</v>
      </c>
      <c r="AQ221" s="6">
        <v>-6.4253629</v>
      </c>
      <c r="AR221" s="6">
        <v>-6.4020076</v>
      </c>
      <c r="AS221" s="6">
        <v>-6.4618417</v>
      </c>
      <c r="AT221" s="6">
        <v>-6.4506396</v>
      </c>
      <c r="AU221" s="6">
        <v>0.97344833</v>
      </c>
      <c r="AV221" s="6">
        <v>0.96974131</v>
      </c>
      <c r="AW221" s="6">
        <v>0.97311308</v>
      </c>
      <c r="AX221" s="6">
        <v>0.96580418</v>
      </c>
      <c r="AY221" s="6">
        <v>0.96229362</v>
      </c>
      <c r="AZ221" s="6">
        <v>0.97128734</v>
      </c>
      <c r="BA221" s="6">
        <v>0.96960354</v>
      </c>
      <c r="BB221" s="6">
        <v>0.02655167</v>
      </c>
      <c r="BC221" s="6">
        <v>0.03025869</v>
      </c>
      <c r="BD221" s="6">
        <v>0.02688692</v>
      </c>
      <c r="BE221" s="6">
        <v>0.03419582</v>
      </c>
      <c r="BF221" s="6">
        <v>0.03770638</v>
      </c>
      <c r="BG221" s="6">
        <v>0.02871266</v>
      </c>
      <c r="BH221" s="6">
        <v>0.03039646</v>
      </c>
      <c r="BI221" s="6">
        <v>0.21470859</v>
      </c>
      <c r="BJ221" s="6">
        <v>0.12366373</v>
      </c>
      <c r="BK221" s="6">
        <v>0.1409291</v>
      </c>
      <c r="BL221" s="6">
        <v>0.12522516</v>
      </c>
      <c r="BM221" s="6">
        <v>0.1592662</v>
      </c>
      <c r="BN221" s="6">
        <v>0.17561655</v>
      </c>
      <c r="BO221" s="6">
        <v>0.1337285</v>
      </c>
      <c r="BP221" s="6">
        <v>0.14157076</v>
      </c>
      <c r="BQ221" s="6">
        <v>0.03264412</v>
      </c>
      <c r="BR221" s="6">
        <v>0.02834397</v>
      </c>
      <c r="BS221" s="6">
        <v>0.0293413</v>
      </c>
      <c r="BT221" s="6">
        <v>0.02684219</v>
      </c>
      <c r="BU221" s="6">
        <v>0.02235003</v>
      </c>
      <c r="BV221" s="6">
        <v>0.05042457</v>
      </c>
      <c r="BW221" s="6">
        <v>0.04173924</v>
      </c>
      <c r="BX221" s="12">
        <v>13870</v>
      </c>
      <c r="BY221" s="13">
        <v>6092</v>
      </c>
      <c r="BZ221" s="12">
        <v>37113.98</v>
      </c>
      <c r="CA221" s="6">
        <f t="shared" si="22"/>
        <v>2.27675640183848</v>
      </c>
      <c r="CB221" s="6">
        <f t="shared" si="23"/>
        <v>0.37371362489283</v>
      </c>
      <c r="CC221" s="7">
        <v>491573860.9</v>
      </c>
      <c r="CD221" s="7">
        <f t="shared" si="18"/>
        <v>1.32449783316152</v>
      </c>
      <c r="CE221" s="8">
        <v>114.4</v>
      </c>
      <c r="CF221" s="8">
        <v>5667.4</v>
      </c>
      <c r="CG221" s="8">
        <v>29663.4</v>
      </c>
      <c r="CH221" s="8">
        <v>161776</v>
      </c>
      <c r="CI221" s="14">
        <v>1</v>
      </c>
      <c r="CJ221" s="14">
        <v>0</v>
      </c>
      <c r="CK221" s="14">
        <f t="shared" si="19"/>
        <v>0</v>
      </c>
      <c r="CL221">
        <f t="shared" si="20"/>
        <v>1.5000536746505</v>
      </c>
      <c r="CM221">
        <f t="shared" si="21"/>
        <v>0.117033039854312</v>
      </c>
      <c r="CN221" s="15">
        <v>13870</v>
      </c>
      <c r="CO221" s="15">
        <v>16699.74</v>
      </c>
      <c r="CP221" s="15">
        <v>1161.43</v>
      </c>
      <c r="CQ221" s="15">
        <v>658.92</v>
      </c>
      <c r="CR221" s="15">
        <v>655.95</v>
      </c>
      <c r="CS221" s="15">
        <v>16.59</v>
      </c>
      <c r="CT221" s="15">
        <v>689.1</v>
      </c>
      <c r="CU221" s="15">
        <v>21.49</v>
      </c>
      <c r="CV221" s="15">
        <v>59.64</v>
      </c>
      <c r="CW221" s="15">
        <v>2300.68</v>
      </c>
    </row>
    <row r="222" spans="1:101">
      <c r="A222" s="6">
        <v>2020</v>
      </c>
      <c r="B222" s="6" t="s">
        <v>108</v>
      </c>
      <c r="C222" s="6">
        <v>0.23425719</v>
      </c>
      <c r="D222" s="6">
        <v>0.040406</v>
      </c>
      <c r="E222" s="6">
        <v>0.009902</v>
      </c>
      <c r="F222" s="6">
        <v>0.017861</v>
      </c>
      <c r="G222" s="6">
        <v>0.005909</v>
      </c>
      <c r="H222" s="6">
        <v>0.006733</v>
      </c>
      <c r="I222" s="6">
        <v>0.041728</v>
      </c>
      <c r="J222" s="6">
        <v>0.020403</v>
      </c>
      <c r="K222" s="6">
        <v>0.26537837</v>
      </c>
      <c r="L222" s="6">
        <v>0.19362156</v>
      </c>
      <c r="M222" s="6">
        <v>0.23160694</v>
      </c>
      <c r="N222" s="6">
        <v>0.14619427</v>
      </c>
      <c r="O222" s="6">
        <v>0.17053443</v>
      </c>
      <c r="P222" s="6">
        <v>0.37499306</v>
      </c>
      <c r="Q222" s="6">
        <v>0.29504572</v>
      </c>
      <c r="R222" s="6">
        <v>217.69486</v>
      </c>
      <c r="S222" s="6">
        <v>0.00121904</v>
      </c>
      <c r="T222" s="6">
        <v>169.97573</v>
      </c>
      <c r="U222" s="6">
        <v>0.00113911</v>
      </c>
      <c r="V222" s="6">
        <v>197.11803</v>
      </c>
      <c r="W222" s="6">
        <v>0.00117497</v>
      </c>
      <c r="X222" s="6">
        <v>134.47093</v>
      </c>
      <c r="Y222" s="6">
        <v>0.00108718</v>
      </c>
      <c r="Z222" s="6">
        <v>134.86767</v>
      </c>
      <c r="AA222" s="6">
        <v>0.00126446</v>
      </c>
      <c r="AB222" s="6">
        <v>294.9318</v>
      </c>
      <c r="AC222" s="6">
        <v>0.00127146</v>
      </c>
      <c r="AD222" s="6">
        <v>243.86163</v>
      </c>
      <c r="AE222" s="6">
        <v>0.00120989</v>
      </c>
      <c r="AF222" s="6">
        <v>775</v>
      </c>
      <c r="AG222" s="6">
        <v>-0.00817937</v>
      </c>
      <c r="AH222" s="6">
        <v>-0.00772034</v>
      </c>
      <c r="AI222" s="6">
        <v>-0.00792693</v>
      </c>
      <c r="AJ222" s="6">
        <v>-0.00741911</v>
      </c>
      <c r="AK222" s="6">
        <v>-0.00843787</v>
      </c>
      <c r="AL222" s="6">
        <v>-0.00847756</v>
      </c>
      <c r="AM222" s="6">
        <v>-0.0081271</v>
      </c>
      <c r="AN222" s="6">
        <v>-6.4762184</v>
      </c>
      <c r="AO222" s="6">
        <v>-6.4515561</v>
      </c>
      <c r="AP222" s="6">
        <v>-6.4739881</v>
      </c>
      <c r="AQ222" s="6">
        <v>-6.4253629</v>
      </c>
      <c r="AR222" s="6">
        <v>-6.4020076</v>
      </c>
      <c r="AS222" s="6">
        <v>-6.4618417</v>
      </c>
      <c r="AT222" s="6">
        <v>-6.4506396</v>
      </c>
      <c r="AU222" s="6">
        <v>0.97344833</v>
      </c>
      <c r="AV222" s="6">
        <v>0.96974131</v>
      </c>
      <c r="AW222" s="6">
        <v>0.97311308</v>
      </c>
      <c r="AX222" s="6">
        <v>0.96580418</v>
      </c>
      <c r="AY222" s="6">
        <v>0.96229362</v>
      </c>
      <c r="AZ222" s="6">
        <v>0.97128734</v>
      </c>
      <c r="BA222" s="6">
        <v>0.96960354</v>
      </c>
      <c r="BB222" s="6">
        <v>0.02655167</v>
      </c>
      <c r="BC222" s="6">
        <v>0.03025869</v>
      </c>
      <c r="BD222" s="6">
        <v>0.02688692</v>
      </c>
      <c r="BE222" s="6">
        <v>0.03419582</v>
      </c>
      <c r="BF222" s="6">
        <v>0.03770638</v>
      </c>
      <c r="BG222" s="6">
        <v>0.02871266</v>
      </c>
      <c r="BH222" s="6">
        <v>0.03039646</v>
      </c>
      <c r="BI222" s="6">
        <v>0.21470859</v>
      </c>
      <c r="BJ222" s="6">
        <v>0.12366373</v>
      </c>
      <c r="BK222" s="6">
        <v>0.1409291</v>
      </c>
      <c r="BL222" s="6">
        <v>0.12522516</v>
      </c>
      <c r="BM222" s="6">
        <v>0.1592662</v>
      </c>
      <c r="BN222" s="6">
        <v>0.17561655</v>
      </c>
      <c r="BO222" s="6">
        <v>0.1337285</v>
      </c>
      <c r="BP222" s="6">
        <v>0.14157076</v>
      </c>
      <c r="BQ222" s="6">
        <v>0.03281768</v>
      </c>
      <c r="BR222" s="6">
        <v>0.02728691</v>
      </c>
      <c r="BS222" s="6">
        <v>0.02900302</v>
      </c>
      <c r="BT222" s="6">
        <v>0.02328381</v>
      </c>
      <c r="BU222" s="6">
        <v>0.02994867</v>
      </c>
      <c r="BV222" s="6">
        <v>0.05014726</v>
      </c>
      <c r="BW222" s="6">
        <v>0.04176985</v>
      </c>
      <c r="BX222" s="12">
        <v>14746</v>
      </c>
      <c r="BY222" s="13">
        <v>6104.76</v>
      </c>
      <c r="BZ222" s="12">
        <v>38680.63</v>
      </c>
      <c r="CA222" s="6">
        <f t="shared" si="22"/>
        <v>2.41549217332049</v>
      </c>
      <c r="CB222" s="6">
        <f t="shared" si="23"/>
        <v>0.381224400946934</v>
      </c>
      <c r="CC222" s="7">
        <v>489453674.4</v>
      </c>
      <c r="CD222" s="7">
        <f t="shared" si="18"/>
        <v>1.26537151644117</v>
      </c>
      <c r="CE222" s="8">
        <v>108.3</v>
      </c>
      <c r="CF222" s="8">
        <v>5739.1</v>
      </c>
      <c r="CG222" s="8">
        <v>30095.9</v>
      </c>
      <c r="CH222" s="8">
        <v>164158</v>
      </c>
      <c r="CI222" s="14">
        <v>1</v>
      </c>
      <c r="CJ222" s="14">
        <v>0</v>
      </c>
      <c r="CK222" s="14">
        <f t="shared" si="19"/>
        <v>0</v>
      </c>
      <c r="CL222">
        <f t="shared" si="20"/>
        <v>1.47141701078949</v>
      </c>
      <c r="CM222">
        <f t="shared" si="21"/>
        <v>0.140032018685013</v>
      </c>
      <c r="CN222" s="15">
        <v>14697.9</v>
      </c>
      <c r="CO222" s="15">
        <v>16887.03</v>
      </c>
      <c r="CP222" s="15">
        <v>1321</v>
      </c>
      <c r="CQ222" s="15">
        <v>711.03</v>
      </c>
      <c r="CR222" s="15">
        <v>689.7</v>
      </c>
      <c r="CS222" s="15">
        <v>11.65</v>
      </c>
      <c r="CT222" s="15">
        <v>649.37</v>
      </c>
      <c r="CU222" s="15">
        <v>20.22</v>
      </c>
      <c r="CV222" s="15">
        <v>66.52</v>
      </c>
      <c r="CW222" s="15">
        <v>2428</v>
      </c>
    </row>
    <row r="223" spans="1:101">
      <c r="A223" s="6">
        <v>2021</v>
      </c>
      <c r="B223" s="6" t="s">
        <v>108</v>
      </c>
      <c r="C223" s="6">
        <v>0.24878972</v>
      </c>
      <c r="D223" s="6">
        <v>0.043384</v>
      </c>
      <c r="E223" s="6">
        <v>0.010423</v>
      </c>
      <c r="F223" s="6">
        <v>0.019228</v>
      </c>
      <c r="G223" s="6">
        <v>0.006907</v>
      </c>
      <c r="H223" s="6">
        <v>0.006827</v>
      </c>
      <c r="I223" s="6">
        <v>0.041267</v>
      </c>
      <c r="J223" s="6">
        <v>0.021499</v>
      </c>
      <c r="K223" s="6">
        <v>0.28874112</v>
      </c>
      <c r="L223" s="6">
        <v>0.20592169</v>
      </c>
      <c r="M223" s="6">
        <v>0.2526054</v>
      </c>
      <c r="N223" s="6">
        <v>0.17567303</v>
      </c>
      <c r="O223" s="6">
        <v>0.17340252</v>
      </c>
      <c r="P223" s="6">
        <v>0.3698543</v>
      </c>
      <c r="Q223" s="6">
        <v>0.31460466</v>
      </c>
      <c r="R223" s="6">
        <v>217.69486</v>
      </c>
      <c r="S223" s="6">
        <v>0.00132636</v>
      </c>
      <c r="T223" s="6">
        <v>169.97573</v>
      </c>
      <c r="U223" s="6">
        <v>0.00121148</v>
      </c>
      <c r="V223" s="6">
        <v>197.11803</v>
      </c>
      <c r="W223" s="6">
        <v>0.00128149</v>
      </c>
      <c r="X223" s="6">
        <v>134.47093</v>
      </c>
      <c r="Y223" s="6">
        <v>0.0013064</v>
      </c>
      <c r="Z223" s="6">
        <v>134.86767</v>
      </c>
      <c r="AA223" s="6">
        <v>0.00128572</v>
      </c>
      <c r="AB223" s="6">
        <v>294.9318</v>
      </c>
      <c r="AC223" s="6">
        <v>0.00125403</v>
      </c>
      <c r="AD223" s="6">
        <v>243.86163</v>
      </c>
      <c r="AE223" s="6">
        <v>0.00129009</v>
      </c>
      <c r="AF223" s="6">
        <v>775</v>
      </c>
      <c r="AG223" s="6">
        <v>-0.00878754</v>
      </c>
      <c r="AH223" s="6">
        <v>-0.00813618</v>
      </c>
      <c r="AI223" s="6">
        <v>-0.0085344</v>
      </c>
      <c r="AJ223" s="6">
        <v>-0.00867513</v>
      </c>
      <c r="AK223" s="6">
        <v>-0.00855833</v>
      </c>
      <c r="AL223" s="6">
        <v>-0.00837869</v>
      </c>
      <c r="AM223" s="6">
        <v>-0.00858305</v>
      </c>
      <c r="AN223" s="6">
        <v>-6.4762184</v>
      </c>
      <c r="AO223" s="6">
        <v>-6.4515561</v>
      </c>
      <c r="AP223" s="6">
        <v>-6.4739881</v>
      </c>
      <c r="AQ223" s="6">
        <v>-6.4253629</v>
      </c>
      <c r="AR223" s="6">
        <v>-6.4020076</v>
      </c>
      <c r="AS223" s="6">
        <v>-6.4618417</v>
      </c>
      <c r="AT223" s="6">
        <v>-6.4506396</v>
      </c>
      <c r="AU223" s="6">
        <v>0.97344833</v>
      </c>
      <c r="AV223" s="6">
        <v>0.96974131</v>
      </c>
      <c r="AW223" s="6">
        <v>0.97311308</v>
      </c>
      <c r="AX223" s="6">
        <v>0.96580418</v>
      </c>
      <c r="AY223" s="6">
        <v>0.96229362</v>
      </c>
      <c r="AZ223" s="6">
        <v>0.97128734</v>
      </c>
      <c r="BA223" s="6">
        <v>0.96960354</v>
      </c>
      <c r="BB223" s="6">
        <v>0.02655167</v>
      </c>
      <c r="BC223" s="6">
        <v>0.03025869</v>
      </c>
      <c r="BD223" s="6">
        <v>0.02688692</v>
      </c>
      <c r="BE223" s="6">
        <v>0.03419582</v>
      </c>
      <c r="BF223" s="6">
        <v>0.03770638</v>
      </c>
      <c r="BG223" s="6">
        <v>0.02871266</v>
      </c>
      <c r="BH223" s="6">
        <v>0.03039646</v>
      </c>
      <c r="BI223" s="6">
        <v>0.21470859</v>
      </c>
      <c r="BJ223" s="6">
        <v>0.12366373</v>
      </c>
      <c r="BK223" s="6">
        <v>0.1409291</v>
      </c>
      <c r="BL223" s="6">
        <v>0.12522516</v>
      </c>
      <c r="BM223" s="6">
        <v>0.1592662</v>
      </c>
      <c r="BN223" s="6">
        <v>0.17561655</v>
      </c>
      <c r="BO223" s="6">
        <v>0.1337285</v>
      </c>
      <c r="BP223" s="6">
        <v>0.14157076</v>
      </c>
      <c r="BQ223" s="6">
        <v>0.0357068</v>
      </c>
      <c r="BR223" s="6">
        <v>0.02902036</v>
      </c>
      <c r="BS223" s="6">
        <v>0.03163255</v>
      </c>
      <c r="BT223" s="6">
        <v>0.02797878</v>
      </c>
      <c r="BU223" s="6">
        <v>0.03045235</v>
      </c>
      <c r="BV223" s="6">
        <v>0.04946006</v>
      </c>
      <c r="BW223" s="6">
        <v>0.04453882</v>
      </c>
      <c r="BX223" s="12">
        <v>15485</v>
      </c>
      <c r="BY223" s="13">
        <v>6113</v>
      </c>
      <c r="BZ223" s="12">
        <v>42959.2</v>
      </c>
      <c r="CA223" s="6">
        <f t="shared" si="22"/>
        <v>2.53312612465238</v>
      </c>
      <c r="CB223" s="6">
        <f t="shared" si="23"/>
        <v>0.360458295312762</v>
      </c>
      <c r="CC223" s="7">
        <v>515038965.9</v>
      </c>
      <c r="CD223" s="7">
        <f t="shared" si="18"/>
        <v>1.19890260037431</v>
      </c>
      <c r="CE223" s="8">
        <v>111.4</v>
      </c>
      <c r="CF223" s="8">
        <v>7389</v>
      </c>
      <c r="CG223" s="8">
        <v>33545.2</v>
      </c>
      <c r="CH223" s="8">
        <v>187526</v>
      </c>
      <c r="CI223" s="14">
        <v>1</v>
      </c>
      <c r="CJ223" s="14">
        <v>0</v>
      </c>
      <c r="CK223" s="14">
        <f t="shared" si="19"/>
        <v>0</v>
      </c>
      <c r="CL223">
        <f t="shared" si="20"/>
        <v>1.36781889095748</v>
      </c>
      <c r="CM223">
        <f t="shared" si="21"/>
        <v>0.12349316981938</v>
      </c>
      <c r="CN223" s="15">
        <v>15342.63</v>
      </c>
      <c r="CO223" s="15">
        <v>18897.66</v>
      </c>
      <c r="CP223" s="15">
        <v>1362.69</v>
      </c>
      <c r="CQ223" s="15">
        <v>752.66</v>
      </c>
      <c r="CR223" s="15">
        <v>698.65</v>
      </c>
      <c r="CS223" s="15">
        <v>12.37</v>
      </c>
      <c r="CT223" s="15">
        <v>722.77</v>
      </c>
      <c r="CU223" s="15">
        <v>22.65</v>
      </c>
      <c r="CV223" s="15">
        <v>60.19</v>
      </c>
      <c r="CW223" s="15">
        <v>2715</v>
      </c>
    </row>
    <row r="224" spans="1:101">
      <c r="A224" s="6">
        <v>2022</v>
      </c>
      <c r="B224" s="6" t="s">
        <v>108</v>
      </c>
      <c r="C224" s="6">
        <v>0.26513981</v>
      </c>
      <c r="D224" s="6">
        <v>0.046306</v>
      </c>
      <c r="E224" s="6">
        <v>0.011952</v>
      </c>
      <c r="F224" s="6">
        <v>0.020282</v>
      </c>
      <c r="G224" s="6">
        <v>0.006718</v>
      </c>
      <c r="H224" s="6">
        <v>0.007354</v>
      </c>
      <c r="I224" s="6">
        <v>0.043226</v>
      </c>
      <c r="J224" s="6">
        <v>0.022116</v>
      </c>
      <c r="K224" s="6">
        <v>0.31166011</v>
      </c>
      <c r="L224" s="6">
        <v>0.24208365</v>
      </c>
      <c r="M224" s="6">
        <v>0.26881633</v>
      </c>
      <c r="N224" s="6">
        <v>0.17008824</v>
      </c>
      <c r="O224" s="6">
        <v>0.18935799</v>
      </c>
      <c r="P224" s="6">
        <v>0.3916772</v>
      </c>
      <c r="Q224" s="6">
        <v>0.32561419</v>
      </c>
      <c r="R224" s="6">
        <v>217.69486</v>
      </c>
      <c r="S224" s="6">
        <v>0.00143164</v>
      </c>
      <c r="T224" s="6">
        <v>169.97573</v>
      </c>
      <c r="U224" s="6">
        <v>0.00142422</v>
      </c>
      <c r="V224" s="6">
        <v>197.11803</v>
      </c>
      <c r="W224" s="6">
        <v>0.00136373</v>
      </c>
      <c r="X224" s="6">
        <v>134.47093</v>
      </c>
      <c r="Y224" s="6">
        <v>0.00126487</v>
      </c>
      <c r="Z224" s="6">
        <v>134.86767</v>
      </c>
      <c r="AA224" s="6">
        <v>0.00140403</v>
      </c>
      <c r="AB224" s="6">
        <v>294.9318</v>
      </c>
      <c r="AC224" s="6">
        <v>0.00132803</v>
      </c>
      <c r="AD224" s="6">
        <v>243.86163</v>
      </c>
      <c r="AE224" s="6">
        <v>0.00133524</v>
      </c>
      <c r="AF224" s="6">
        <v>775</v>
      </c>
      <c r="AG224" s="6">
        <v>-0.0093757</v>
      </c>
      <c r="AH224" s="6">
        <v>-0.00933455</v>
      </c>
      <c r="AI224" s="6">
        <v>-0.00899727</v>
      </c>
      <c r="AJ224" s="6">
        <v>-0.00844021</v>
      </c>
      <c r="AK224" s="6">
        <v>-0.00922223</v>
      </c>
      <c r="AL224" s="6">
        <v>-0.00879693</v>
      </c>
      <c r="AM224" s="6">
        <v>-0.00883749</v>
      </c>
      <c r="AN224" s="6">
        <v>-6.4762184</v>
      </c>
      <c r="AO224" s="6">
        <v>-6.4515561</v>
      </c>
      <c r="AP224" s="6">
        <v>-6.4739881</v>
      </c>
      <c r="AQ224" s="6">
        <v>-6.4253629</v>
      </c>
      <c r="AR224" s="6">
        <v>-6.4020076</v>
      </c>
      <c r="AS224" s="6">
        <v>-6.4618417</v>
      </c>
      <c r="AT224" s="6">
        <v>-6.4506396</v>
      </c>
      <c r="AU224" s="6">
        <v>0.97344833</v>
      </c>
      <c r="AV224" s="6">
        <v>0.96974131</v>
      </c>
      <c r="AW224" s="6">
        <v>0.97311308</v>
      </c>
      <c r="AX224" s="6">
        <v>0.96580418</v>
      </c>
      <c r="AY224" s="6">
        <v>0.96229362</v>
      </c>
      <c r="AZ224" s="6">
        <v>0.97128734</v>
      </c>
      <c r="BA224" s="6">
        <v>0.96960354</v>
      </c>
      <c r="BB224" s="6">
        <v>0.02655167</v>
      </c>
      <c r="BC224" s="6">
        <v>0.03025869</v>
      </c>
      <c r="BD224" s="6">
        <v>0.02688692</v>
      </c>
      <c r="BE224" s="6">
        <v>0.03419582</v>
      </c>
      <c r="BF224" s="6">
        <v>0.03770638</v>
      </c>
      <c r="BG224" s="6">
        <v>0.02871266</v>
      </c>
      <c r="BH224" s="6">
        <v>0.03039646</v>
      </c>
      <c r="BI224" s="6">
        <v>0.21470859</v>
      </c>
      <c r="BJ224" s="6">
        <v>0.12366373</v>
      </c>
      <c r="BK224" s="6">
        <v>0.1409291</v>
      </c>
      <c r="BL224" s="6">
        <v>0.12522516</v>
      </c>
      <c r="BM224" s="6">
        <v>0.1592662</v>
      </c>
      <c r="BN224" s="6">
        <v>0.17561655</v>
      </c>
      <c r="BO224" s="6">
        <v>0.1337285</v>
      </c>
      <c r="BP224" s="6">
        <v>0.14157076</v>
      </c>
      <c r="BQ224" s="6">
        <v>0.03854105</v>
      </c>
      <c r="BR224" s="6">
        <v>0.03411663</v>
      </c>
      <c r="BS224" s="6">
        <v>0.03366257</v>
      </c>
      <c r="BT224" s="6">
        <v>0.02708931</v>
      </c>
      <c r="BU224" s="6">
        <v>0.0332544</v>
      </c>
      <c r="BV224" s="6">
        <v>0.0523784</v>
      </c>
      <c r="BW224" s="6">
        <v>0.04609745</v>
      </c>
      <c r="BX224" s="12">
        <v>16062</v>
      </c>
      <c r="BY224" s="13">
        <v>6127</v>
      </c>
      <c r="BZ224" s="12">
        <v>45045</v>
      </c>
      <c r="CA224" s="6">
        <f t="shared" si="22"/>
        <v>2.62151134323486</v>
      </c>
      <c r="CB224" s="6">
        <f t="shared" si="23"/>
        <v>0.356576756576757</v>
      </c>
      <c r="CC224" s="7">
        <v>521270362.5</v>
      </c>
      <c r="CD224" s="7">
        <f t="shared" si="18"/>
        <v>1.15722136197136</v>
      </c>
      <c r="CE224" s="8">
        <v>111.5</v>
      </c>
      <c r="CF224" s="8">
        <v>6635.6</v>
      </c>
      <c r="CG224" s="8">
        <v>34793.7</v>
      </c>
      <c r="CH224" s="8">
        <v>189988</v>
      </c>
      <c r="CI224" s="14">
        <v>1</v>
      </c>
      <c r="CJ224" s="14">
        <v>0</v>
      </c>
      <c r="CK224" s="14">
        <f t="shared" si="19"/>
        <v>0</v>
      </c>
      <c r="CL224">
        <f t="shared" si="20"/>
        <v>1.27047633725244</v>
      </c>
      <c r="CM224">
        <f t="shared" si="21"/>
        <v>0.0891437108746198</v>
      </c>
      <c r="CN224" s="15">
        <v>15882.66</v>
      </c>
      <c r="CO224" s="15">
        <v>19911.05</v>
      </c>
      <c r="CP224" s="15">
        <v>1276.05</v>
      </c>
      <c r="CQ224" s="15">
        <v>579.56</v>
      </c>
      <c r="CR224" s="15">
        <v>599.57</v>
      </c>
      <c r="CS224" s="15">
        <v>7.16</v>
      </c>
      <c r="CT224" s="15">
        <v>724.25</v>
      </c>
      <c r="CU224" s="15">
        <v>24.6</v>
      </c>
      <c r="CV224" s="15">
        <v>78.2</v>
      </c>
      <c r="CW224" s="15">
        <v>2993.22</v>
      </c>
    </row>
    <row r="225" spans="1:101">
      <c r="A225" s="6">
        <v>2023</v>
      </c>
      <c r="B225" s="6" t="s">
        <v>108</v>
      </c>
      <c r="C225" s="6">
        <v>0.2991467</v>
      </c>
      <c r="D225" s="6">
        <v>0.050099</v>
      </c>
      <c r="E225" s="6">
        <v>0.014353</v>
      </c>
      <c r="F225" s="6">
        <v>0.022208</v>
      </c>
      <c r="G225" s="6">
        <v>0.0074</v>
      </c>
      <c r="H225" s="6">
        <v>0.008751</v>
      </c>
      <c r="I225" s="6">
        <v>0.046056</v>
      </c>
      <c r="J225" s="6">
        <v>0.023604</v>
      </c>
      <c r="K225" s="6">
        <v>0.34141126</v>
      </c>
      <c r="L225" s="6">
        <v>0.29883832</v>
      </c>
      <c r="M225" s="6">
        <v>0.29841415</v>
      </c>
      <c r="N225" s="6">
        <v>0.1902496</v>
      </c>
      <c r="O225" s="6">
        <v>0.23170875</v>
      </c>
      <c r="P225" s="6">
        <v>0.42320153</v>
      </c>
      <c r="Q225" s="6">
        <v>0.35216459</v>
      </c>
      <c r="R225" s="6">
        <v>217.69486</v>
      </c>
      <c r="S225" s="6">
        <v>0.0015683</v>
      </c>
      <c r="T225" s="6">
        <v>169.97573</v>
      </c>
      <c r="U225" s="6">
        <v>0.00175812</v>
      </c>
      <c r="V225" s="6">
        <v>197.11803</v>
      </c>
      <c r="W225" s="6">
        <v>0.00151389</v>
      </c>
      <c r="X225" s="6">
        <v>134.47093</v>
      </c>
      <c r="Y225" s="6">
        <v>0.0014148</v>
      </c>
      <c r="Z225" s="6">
        <v>134.86767</v>
      </c>
      <c r="AA225" s="6">
        <v>0.00171805</v>
      </c>
      <c r="AB225" s="6">
        <v>294.9318</v>
      </c>
      <c r="AC225" s="6">
        <v>0.00143491</v>
      </c>
      <c r="AD225" s="6">
        <v>243.86163</v>
      </c>
      <c r="AE225" s="6">
        <v>0.00144412</v>
      </c>
      <c r="AF225" s="6">
        <v>775</v>
      </c>
      <c r="AG225" s="6">
        <v>-0.01012772</v>
      </c>
      <c r="AH225" s="6">
        <v>-0.01115267</v>
      </c>
      <c r="AI225" s="6">
        <v>-0.00982977</v>
      </c>
      <c r="AJ225" s="6">
        <v>-0.00928218</v>
      </c>
      <c r="AK225" s="6">
        <v>-0.01093805</v>
      </c>
      <c r="AL225" s="6">
        <v>-0.00939388</v>
      </c>
      <c r="AM225" s="6">
        <v>-0.00944489</v>
      </c>
      <c r="AN225" s="6">
        <v>-6.4762184</v>
      </c>
      <c r="AO225" s="6">
        <v>-6.4515561</v>
      </c>
      <c r="AP225" s="6">
        <v>-6.4739881</v>
      </c>
      <c r="AQ225" s="6">
        <v>-6.4253629</v>
      </c>
      <c r="AR225" s="6">
        <v>-6.4020076</v>
      </c>
      <c r="AS225" s="6">
        <v>-6.4618417</v>
      </c>
      <c r="AT225" s="6">
        <v>-6.4506396</v>
      </c>
      <c r="AU225" s="6">
        <v>0.97344833</v>
      </c>
      <c r="AV225" s="6">
        <v>0.96974131</v>
      </c>
      <c r="AW225" s="6">
        <v>0.97311308</v>
      </c>
      <c r="AX225" s="6">
        <v>0.96580418</v>
      </c>
      <c r="AY225" s="6">
        <v>0.96229362</v>
      </c>
      <c r="AZ225" s="6">
        <v>0.97128734</v>
      </c>
      <c r="BA225" s="6">
        <v>0.96960354</v>
      </c>
      <c r="BB225" s="6">
        <v>0.02655167</v>
      </c>
      <c r="BC225" s="6">
        <v>0.03025869</v>
      </c>
      <c r="BD225" s="6">
        <v>0.02688692</v>
      </c>
      <c r="BE225" s="6">
        <v>0.03419582</v>
      </c>
      <c r="BF225" s="6">
        <v>0.03770638</v>
      </c>
      <c r="BG225" s="6">
        <v>0.02871266</v>
      </c>
      <c r="BH225" s="6">
        <v>0.03039646</v>
      </c>
      <c r="BI225" s="6">
        <v>0.21470859</v>
      </c>
      <c r="BJ225" s="6">
        <v>0.12366373</v>
      </c>
      <c r="BK225" s="6">
        <v>0.1409291</v>
      </c>
      <c r="BL225" s="6">
        <v>0.12522516</v>
      </c>
      <c r="BM225" s="6">
        <v>0.1592662</v>
      </c>
      <c r="BN225" s="6">
        <v>0.17561655</v>
      </c>
      <c r="BO225" s="6">
        <v>0.1337285</v>
      </c>
      <c r="BP225" s="6">
        <v>0.14157076</v>
      </c>
      <c r="BQ225" s="6">
        <v>0.04222019</v>
      </c>
      <c r="BR225" s="6">
        <v>0.04211501</v>
      </c>
      <c r="BS225" s="6">
        <v>0.03736896</v>
      </c>
      <c r="BT225" s="6">
        <v>0.03030033</v>
      </c>
      <c r="BU225" s="6">
        <v>0.04069189</v>
      </c>
      <c r="BV225" s="6">
        <v>0.0565941</v>
      </c>
      <c r="BW225" s="6">
        <v>0.04985621</v>
      </c>
      <c r="BX225" s="12">
        <v>16825</v>
      </c>
      <c r="BY225" s="13">
        <v>6121</v>
      </c>
      <c r="BZ225" s="12">
        <v>47050.6</v>
      </c>
      <c r="CA225" s="6">
        <f t="shared" si="22"/>
        <v>2.74873386701519</v>
      </c>
      <c r="CB225" s="6">
        <f t="shared" si="23"/>
        <v>0.357593739505979</v>
      </c>
      <c r="CC225" s="7">
        <v>539242879</v>
      </c>
      <c r="CD225" s="7">
        <f t="shared" si="18"/>
        <v>1.14609139734669</v>
      </c>
      <c r="CE225" s="8">
        <v>105.5</v>
      </c>
      <c r="CF225" s="8">
        <v>6525.6</v>
      </c>
      <c r="CG225" s="8">
        <v>37129.6</v>
      </c>
      <c r="CH225" s="8">
        <v>200278</v>
      </c>
      <c r="CI225" s="14">
        <v>1</v>
      </c>
      <c r="CJ225" s="14">
        <v>0</v>
      </c>
      <c r="CK225" s="14">
        <f t="shared" si="19"/>
        <v>0</v>
      </c>
      <c r="CL225">
        <f t="shared" si="20"/>
        <v>1.2756783895882</v>
      </c>
      <c r="CM225">
        <f t="shared" si="21"/>
        <v>0.10158280746869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</row>
    <row r="226" spans="1:101">
      <c r="A226" s="6">
        <v>2024</v>
      </c>
      <c r="B226" s="6" t="s">
        <v>108</v>
      </c>
      <c r="C226" s="6">
        <v>0.31664625</v>
      </c>
      <c r="D226" s="6">
        <v>0.052331</v>
      </c>
      <c r="E226" s="6">
        <v>0.015464</v>
      </c>
      <c r="F226" s="6">
        <v>0.023113</v>
      </c>
      <c r="G226" s="6">
        <v>0.007779</v>
      </c>
      <c r="H226" s="6">
        <v>0.009465</v>
      </c>
      <c r="I226" s="6">
        <v>0.04767</v>
      </c>
      <c r="J226" s="6">
        <v>0.024359</v>
      </c>
      <c r="K226" s="6">
        <v>0.35891704</v>
      </c>
      <c r="L226" s="6">
        <v>0.32511115</v>
      </c>
      <c r="M226" s="6">
        <v>0.31231626</v>
      </c>
      <c r="N226" s="6">
        <v>0.20144553</v>
      </c>
      <c r="O226" s="6">
        <v>0.25333538</v>
      </c>
      <c r="P226" s="6">
        <v>0.44117271</v>
      </c>
      <c r="Q226" s="6">
        <v>0.36563369</v>
      </c>
      <c r="R226" s="6">
        <v>217.69486</v>
      </c>
      <c r="S226" s="6">
        <v>0.00164872</v>
      </c>
      <c r="T226" s="6">
        <v>169.97573</v>
      </c>
      <c r="U226" s="6">
        <v>0.00191269</v>
      </c>
      <c r="V226" s="6">
        <v>197.11803</v>
      </c>
      <c r="W226" s="6">
        <v>0.00158441</v>
      </c>
      <c r="X226" s="6">
        <v>134.47093</v>
      </c>
      <c r="Y226" s="6">
        <v>0.00149806</v>
      </c>
      <c r="Z226" s="6">
        <v>134.86767</v>
      </c>
      <c r="AA226" s="6">
        <v>0.0018784</v>
      </c>
      <c r="AB226" s="6">
        <v>294.9318</v>
      </c>
      <c r="AC226" s="6">
        <v>0.00149585</v>
      </c>
      <c r="AD226" s="6">
        <v>243.86163</v>
      </c>
      <c r="AE226" s="6">
        <v>0.00149935</v>
      </c>
      <c r="AF226" s="6">
        <v>775</v>
      </c>
      <c r="AG226" s="6">
        <v>-0.01056458</v>
      </c>
      <c r="AH226" s="6">
        <v>-0.011972</v>
      </c>
      <c r="AI226" s="6">
        <v>-0.01021557</v>
      </c>
      <c r="AJ226" s="6">
        <v>-0.00974276</v>
      </c>
      <c r="AK226" s="6">
        <v>-0.01179134</v>
      </c>
      <c r="AL226" s="6">
        <v>-0.00973058</v>
      </c>
      <c r="AM226" s="6">
        <v>-0.00974985</v>
      </c>
      <c r="AN226" s="6">
        <v>-6.4762184</v>
      </c>
      <c r="AO226" s="6">
        <v>-6.4515561</v>
      </c>
      <c r="AP226" s="6">
        <v>-6.4739881</v>
      </c>
      <c r="AQ226" s="6">
        <v>-6.4253629</v>
      </c>
      <c r="AR226" s="6">
        <v>-6.4020076</v>
      </c>
      <c r="AS226" s="6">
        <v>-6.4618417</v>
      </c>
      <c r="AT226" s="6">
        <v>-6.4506396</v>
      </c>
      <c r="AU226" s="6">
        <v>0.97344833</v>
      </c>
      <c r="AV226" s="6">
        <v>0.96974131</v>
      </c>
      <c r="AW226" s="6">
        <v>0.97311308</v>
      </c>
      <c r="AX226" s="6">
        <v>0.96580418</v>
      </c>
      <c r="AY226" s="6">
        <v>0.96229362</v>
      </c>
      <c r="AZ226" s="6">
        <v>0.97128734</v>
      </c>
      <c r="BA226" s="6">
        <v>0.96960354</v>
      </c>
      <c r="BB226" s="6">
        <v>0.02655167</v>
      </c>
      <c r="BC226" s="6">
        <v>0.03025869</v>
      </c>
      <c r="BD226" s="6">
        <v>0.02688692</v>
      </c>
      <c r="BE226" s="6">
        <v>0.03419582</v>
      </c>
      <c r="BF226" s="6">
        <v>0.03770638</v>
      </c>
      <c r="BG226" s="6">
        <v>0.02871266</v>
      </c>
      <c r="BH226" s="6">
        <v>0.03039646</v>
      </c>
      <c r="BI226" s="6">
        <v>0.21470859</v>
      </c>
      <c r="BJ226" s="6">
        <v>0.12366373</v>
      </c>
      <c r="BK226" s="6">
        <v>0.1409291</v>
      </c>
      <c r="BL226" s="6">
        <v>0.12522516</v>
      </c>
      <c r="BM226" s="6">
        <v>0.1592662</v>
      </c>
      <c r="BN226" s="6">
        <v>0.17561655</v>
      </c>
      <c r="BO226" s="6">
        <v>0.1337285</v>
      </c>
      <c r="BP226" s="6">
        <v>0.14157076</v>
      </c>
      <c r="BQ226" s="6">
        <v>0.04438502</v>
      </c>
      <c r="BR226" s="6">
        <v>0.04581762</v>
      </c>
      <c r="BS226" s="6">
        <v>0.03910985</v>
      </c>
      <c r="BT226" s="6">
        <v>0.03208346</v>
      </c>
      <c r="BU226" s="6">
        <v>0.04448989</v>
      </c>
      <c r="BV226" s="6">
        <v>0.05899736</v>
      </c>
      <c r="BW226" s="6">
        <v>0.05176304</v>
      </c>
      <c r="BX226" s="12">
        <v>17971</v>
      </c>
      <c r="BY226" s="13">
        <v>6123</v>
      </c>
      <c r="BZ226" s="12">
        <v>50625.2</v>
      </c>
      <c r="CA226" s="6">
        <f t="shared" si="22"/>
        <v>2.93499918340683</v>
      </c>
      <c r="CB226" s="6">
        <f t="shared" si="23"/>
        <v>0.35498131365407</v>
      </c>
      <c r="CC226" s="7">
        <v>555793634.9</v>
      </c>
      <c r="CD226" s="7">
        <f t="shared" si="18"/>
        <v>1.0978596329496</v>
      </c>
      <c r="CE226" s="8">
        <v>116.4</v>
      </c>
      <c r="CF226" s="8">
        <v>7226.8</v>
      </c>
      <c r="CG226" s="8">
        <v>42499.9</v>
      </c>
      <c r="CH226" s="8">
        <v>228167</v>
      </c>
      <c r="CI226" s="14">
        <v>1</v>
      </c>
      <c r="CJ226" s="14">
        <v>0</v>
      </c>
      <c r="CK226" s="14">
        <f t="shared" si="19"/>
        <v>0</v>
      </c>
      <c r="CL226">
        <f t="shared" si="20"/>
        <v>1.21200651315194</v>
      </c>
      <c r="CM226">
        <f t="shared" si="21"/>
        <v>0.0941800881131325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</row>
    <row r="227" spans="1:101">
      <c r="A227" s="6">
        <v>2000</v>
      </c>
      <c r="B227" s="6" t="s">
        <v>109</v>
      </c>
      <c r="C227" s="6">
        <v>0.19076238</v>
      </c>
      <c r="D227" s="6">
        <v>0.033655</v>
      </c>
      <c r="E227" s="6">
        <v>0.008427</v>
      </c>
      <c r="F227" s="6">
        <v>0.014728</v>
      </c>
      <c r="G227" s="6">
        <v>0.005053</v>
      </c>
      <c r="H227" s="6">
        <v>0.005447</v>
      </c>
      <c r="I227" s="6">
        <v>0.036067</v>
      </c>
      <c r="J227" s="6">
        <v>0.017753</v>
      </c>
      <c r="K227" s="6">
        <v>0.21242526</v>
      </c>
      <c r="L227" s="6">
        <v>0.15873814</v>
      </c>
      <c r="M227" s="6">
        <v>0.18345136</v>
      </c>
      <c r="N227" s="6">
        <v>0.12086863</v>
      </c>
      <c r="O227" s="6">
        <v>0.13158248</v>
      </c>
      <c r="P227" s="6">
        <v>0.31194127</v>
      </c>
      <c r="Q227" s="6">
        <v>0.24776121</v>
      </c>
      <c r="R227" s="6">
        <v>217.69486</v>
      </c>
      <c r="S227" s="6">
        <v>0.00097579</v>
      </c>
      <c r="T227" s="6">
        <v>169.97573</v>
      </c>
      <c r="U227" s="6">
        <v>0.00093389</v>
      </c>
      <c r="V227" s="6">
        <v>197.11803</v>
      </c>
      <c r="W227" s="6">
        <v>0.00093067</v>
      </c>
      <c r="X227" s="6">
        <v>134.47093</v>
      </c>
      <c r="Y227" s="6">
        <v>0.00089885</v>
      </c>
      <c r="Z227" s="6">
        <v>134.86767</v>
      </c>
      <c r="AA227" s="6">
        <v>0.00097564</v>
      </c>
      <c r="AB227" s="6">
        <v>294.9318</v>
      </c>
      <c r="AC227" s="6">
        <v>0.00105767</v>
      </c>
      <c r="AD227" s="6">
        <v>243.86163</v>
      </c>
      <c r="AE227" s="6">
        <v>0.00101599</v>
      </c>
      <c r="AF227" s="6">
        <v>775</v>
      </c>
      <c r="AG227" s="6">
        <v>-0.00676445</v>
      </c>
      <c r="AH227" s="6">
        <v>-0.00651494</v>
      </c>
      <c r="AI227" s="6">
        <v>-0.0064957</v>
      </c>
      <c r="AJ227" s="6">
        <v>-0.00630486</v>
      </c>
      <c r="AK227" s="6">
        <v>-0.00676355</v>
      </c>
      <c r="AL227" s="6">
        <v>-0.00724684</v>
      </c>
      <c r="AM227" s="6">
        <v>-0.0070021</v>
      </c>
      <c r="AN227" s="6">
        <v>-6.4762184</v>
      </c>
      <c r="AO227" s="6">
        <v>-6.4515561</v>
      </c>
      <c r="AP227" s="6">
        <v>-6.4739881</v>
      </c>
      <c r="AQ227" s="6">
        <v>-6.4253629</v>
      </c>
      <c r="AR227" s="6">
        <v>-6.4020076</v>
      </c>
      <c r="AS227" s="6">
        <v>-6.4618417</v>
      </c>
      <c r="AT227" s="6">
        <v>-6.4506396</v>
      </c>
      <c r="AU227" s="6">
        <v>0.97344833</v>
      </c>
      <c r="AV227" s="6">
        <v>0.96974131</v>
      </c>
      <c r="AW227" s="6">
        <v>0.97311308</v>
      </c>
      <c r="AX227" s="6">
        <v>0.96580418</v>
      </c>
      <c r="AY227" s="6">
        <v>0.96229362</v>
      </c>
      <c r="AZ227" s="6">
        <v>0.97128734</v>
      </c>
      <c r="BA227" s="6">
        <v>0.96960354</v>
      </c>
      <c r="BB227" s="6">
        <v>0.02655167</v>
      </c>
      <c r="BC227" s="6">
        <v>0.03025869</v>
      </c>
      <c r="BD227" s="6">
        <v>0.02688692</v>
      </c>
      <c r="BE227" s="6">
        <v>0.03419582</v>
      </c>
      <c r="BF227" s="6">
        <v>0.03770638</v>
      </c>
      <c r="BG227" s="6">
        <v>0.02871266</v>
      </c>
      <c r="BH227" s="6">
        <v>0.03039646</v>
      </c>
      <c r="BI227" s="6">
        <v>0.21470859</v>
      </c>
      <c r="BJ227" s="6">
        <v>0.12366373</v>
      </c>
      <c r="BK227" s="6">
        <v>0.1409291</v>
      </c>
      <c r="BL227" s="6">
        <v>0.12522516</v>
      </c>
      <c r="BM227" s="6">
        <v>0.1592662</v>
      </c>
      <c r="BN227" s="6">
        <v>0.17561655</v>
      </c>
      <c r="BO227" s="6">
        <v>0.1337285</v>
      </c>
      <c r="BP227" s="6">
        <v>0.14157076</v>
      </c>
      <c r="BQ227" s="6">
        <v>0.0262693</v>
      </c>
      <c r="BR227" s="6">
        <v>0.02237082</v>
      </c>
      <c r="BS227" s="6">
        <v>0.02297273</v>
      </c>
      <c r="BT227" s="6">
        <v>0.01925029</v>
      </c>
      <c r="BU227" s="6">
        <v>0.02310806</v>
      </c>
      <c r="BV227" s="6">
        <v>0.04171544</v>
      </c>
      <c r="BW227" s="6">
        <v>0.03507574</v>
      </c>
      <c r="BX227" s="12">
        <v>11362</v>
      </c>
      <c r="BY227" s="13">
        <v>8998</v>
      </c>
      <c r="BZ227" s="12">
        <v>8542.44</v>
      </c>
      <c r="CA227" s="6">
        <f t="shared" si="22"/>
        <v>1.26272505001111</v>
      </c>
      <c r="CB227" s="6">
        <f t="shared" si="23"/>
        <v>1.3300649463151</v>
      </c>
      <c r="CC227" s="7">
        <v>382420056.5</v>
      </c>
      <c r="CD227" s="7">
        <f t="shared" si="18"/>
        <v>4.47670755077004</v>
      </c>
      <c r="CE227" s="8">
        <v>192</v>
      </c>
      <c r="CF227" s="8">
        <v>104</v>
      </c>
      <c r="CG227" s="8">
        <v>230.9</v>
      </c>
      <c r="CH227" s="8">
        <v>6798</v>
      </c>
      <c r="CI227" s="14">
        <v>0</v>
      </c>
      <c r="CJ227" s="14">
        <v>0</v>
      </c>
      <c r="CK227" s="14">
        <f t="shared" si="19"/>
        <v>0</v>
      </c>
      <c r="CL227">
        <f t="shared" si="20"/>
        <v>4.53658228674969</v>
      </c>
      <c r="CM227">
        <f t="shared" si="21"/>
        <v>0.0131982034481178</v>
      </c>
      <c r="CN227" s="15">
        <v>11361.9</v>
      </c>
      <c r="CO227" s="15">
        <v>8698.35</v>
      </c>
      <c r="CP227" s="15">
        <v>424.83</v>
      </c>
      <c r="CQ227" s="15">
        <v>1771.22</v>
      </c>
      <c r="CR227" s="15">
        <v>188.52</v>
      </c>
      <c r="CS227" s="15">
        <v>48.25</v>
      </c>
      <c r="CT227" s="15">
        <v>343.87</v>
      </c>
      <c r="CU227" s="15">
        <v>344.25</v>
      </c>
      <c r="CV227" s="15">
        <v>4.53</v>
      </c>
      <c r="CW227" s="15">
        <v>1000.71</v>
      </c>
    </row>
    <row r="228" spans="1:101">
      <c r="A228" s="6">
        <v>2001</v>
      </c>
      <c r="B228" s="6" t="s">
        <v>109</v>
      </c>
      <c r="C228" s="6">
        <v>0.18799907</v>
      </c>
      <c r="D228" s="6">
        <v>0.033012</v>
      </c>
      <c r="E228" s="6">
        <v>0.008292</v>
      </c>
      <c r="F228" s="6">
        <v>0.014692</v>
      </c>
      <c r="G228" s="6">
        <v>0.005275</v>
      </c>
      <c r="H228" s="6">
        <v>0.004753</v>
      </c>
      <c r="I228" s="6">
        <v>0.03638</v>
      </c>
      <c r="J228" s="6">
        <v>0.017975</v>
      </c>
      <c r="K228" s="6">
        <v>0.20738348</v>
      </c>
      <c r="L228" s="6">
        <v>0.15555187</v>
      </c>
      <c r="M228" s="6">
        <v>0.18289635</v>
      </c>
      <c r="N228" s="6">
        <v>0.12743062</v>
      </c>
      <c r="O228" s="6">
        <v>0.11055511</v>
      </c>
      <c r="P228" s="6">
        <v>0.31542031</v>
      </c>
      <c r="Q228" s="6">
        <v>0.25172476</v>
      </c>
      <c r="R228" s="6">
        <v>217.69486</v>
      </c>
      <c r="S228" s="6">
        <v>0.00095263</v>
      </c>
      <c r="T228" s="6">
        <v>169.97573</v>
      </c>
      <c r="U228" s="6">
        <v>0.00091514</v>
      </c>
      <c r="V228" s="6">
        <v>197.11803</v>
      </c>
      <c r="W228" s="6">
        <v>0.00092785</v>
      </c>
      <c r="X228" s="6">
        <v>134.47093</v>
      </c>
      <c r="Y228" s="6">
        <v>0.00094764</v>
      </c>
      <c r="Z228" s="6">
        <v>134.86767</v>
      </c>
      <c r="AA228" s="6">
        <v>0.00081973</v>
      </c>
      <c r="AB228" s="6">
        <v>294.9318</v>
      </c>
      <c r="AC228" s="6">
        <v>0.00106947</v>
      </c>
      <c r="AD228" s="6">
        <v>243.86163</v>
      </c>
      <c r="AE228" s="6">
        <v>0.00103224</v>
      </c>
      <c r="AF228" s="6">
        <v>775</v>
      </c>
      <c r="AG228" s="6">
        <v>-0.00662679</v>
      </c>
      <c r="AH228" s="6">
        <v>-0.00640273</v>
      </c>
      <c r="AI228" s="6">
        <v>-0.00647885</v>
      </c>
      <c r="AJ228" s="6">
        <v>-0.00659706</v>
      </c>
      <c r="AK228" s="6">
        <v>-0.00582544</v>
      </c>
      <c r="AL228" s="6">
        <v>-0.0073158</v>
      </c>
      <c r="AM228" s="6">
        <v>-0.00709773</v>
      </c>
      <c r="AN228" s="6">
        <v>-6.4762184</v>
      </c>
      <c r="AO228" s="6">
        <v>-6.4515561</v>
      </c>
      <c r="AP228" s="6">
        <v>-6.4739881</v>
      </c>
      <c r="AQ228" s="6">
        <v>-6.4253629</v>
      </c>
      <c r="AR228" s="6">
        <v>-6.4020076</v>
      </c>
      <c r="AS228" s="6">
        <v>-6.4618417</v>
      </c>
      <c r="AT228" s="6">
        <v>-6.4506396</v>
      </c>
      <c r="AU228" s="6">
        <v>0.97344833</v>
      </c>
      <c r="AV228" s="6">
        <v>0.96974131</v>
      </c>
      <c r="AW228" s="6">
        <v>0.97311308</v>
      </c>
      <c r="AX228" s="6">
        <v>0.96580418</v>
      </c>
      <c r="AY228" s="6">
        <v>0.96229362</v>
      </c>
      <c r="AZ228" s="6">
        <v>0.97128734</v>
      </c>
      <c r="BA228" s="6">
        <v>0.96960354</v>
      </c>
      <c r="BB228" s="6">
        <v>0.02655167</v>
      </c>
      <c r="BC228" s="6">
        <v>0.03025869</v>
      </c>
      <c r="BD228" s="6">
        <v>0.02688692</v>
      </c>
      <c r="BE228" s="6">
        <v>0.03419582</v>
      </c>
      <c r="BF228" s="6">
        <v>0.03770638</v>
      </c>
      <c r="BG228" s="6">
        <v>0.02871266</v>
      </c>
      <c r="BH228" s="6">
        <v>0.03039646</v>
      </c>
      <c r="BI228" s="6">
        <v>0.21470859</v>
      </c>
      <c r="BJ228" s="6">
        <v>0.12366373</v>
      </c>
      <c r="BK228" s="6">
        <v>0.1409291</v>
      </c>
      <c r="BL228" s="6">
        <v>0.12522516</v>
      </c>
      <c r="BM228" s="6">
        <v>0.1592662</v>
      </c>
      <c r="BN228" s="6">
        <v>0.17561655</v>
      </c>
      <c r="BO228" s="6">
        <v>0.1337285</v>
      </c>
      <c r="BP228" s="6">
        <v>0.14157076</v>
      </c>
      <c r="BQ228" s="6">
        <v>0.02564582</v>
      </c>
      <c r="BR228" s="6">
        <v>0.02192178</v>
      </c>
      <c r="BS228" s="6">
        <v>0.02290322</v>
      </c>
      <c r="BT228" s="6">
        <v>0.02029539</v>
      </c>
      <c r="BU228" s="6">
        <v>0.01941531</v>
      </c>
      <c r="BV228" s="6">
        <v>0.04218068</v>
      </c>
      <c r="BW228" s="6">
        <v>0.03563687</v>
      </c>
      <c r="BX228" s="12">
        <v>9955</v>
      </c>
      <c r="BY228" s="13">
        <v>9041</v>
      </c>
      <c r="BZ228" s="12">
        <v>9195.036</v>
      </c>
      <c r="CA228" s="6">
        <f t="shared" si="22"/>
        <v>1.10109501161376</v>
      </c>
      <c r="CB228" s="6">
        <f t="shared" si="23"/>
        <v>1.08264937733795</v>
      </c>
      <c r="CC228" s="7">
        <v>402186519.1</v>
      </c>
      <c r="CD228" s="7">
        <f t="shared" si="18"/>
        <v>4.37395263161558</v>
      </c>
      <c r="CE228" s="8">
        <v>196.8</v>
      </c>
      <c r="CF228" s="8">
        <v>133.8</v>
      </c>
      <c r="CG228" s="8">
        <v>248.6</v>
      </c>
      <c r="CH228" s="8">
        <v>7315</v>
      </c>
      <c r="CI228" s="14">
        <v>0</v>
      </c>
      <c r="CJ228" s="14">
        <v>0</v>
      </c>
      <c r="CK228" s="14">
        <f t="shared" si="19"/>
        <v>0</v>
      </c>
      <c r="CL228">
        <f t="shared" si="20"/>
        <v>4.16809156222866</v>
      </c>
      <c r="CM228">
        <f t="shared" si="21"/>
        <v>0</v>
      </c>
      <c r="CN228" s="15">
        <v>9955</v>
      </c>
      <c r="CO228" s="15">
        <v>11098</v>
      </c>
      <c r="CP228" s="15">
        <v>460.98</v>
      </c>
      <c r="CQ228" s="15">
        <v>1777.97</v>
      </c>
      <c r="CR228" s="15">
        <v>188.92</v>
      </c>
      <c r="CS228" s="15">
        <v>49.53</v>
      </c>
      <c r="CT228" s="15">
        <v>332.65</v>
      </c>
      <c r="CU228" s="15">
        <v>271.37</v>
      </c>
      <c r="CV228" s="15">
        <v>4.93</v>
      </c>
      <c r="CW228" s="15">
        <v>1560.2</v>
      </c>
    </row>
    <row r="229" spans="1:101">
      <c r="A229" s="6">
        <v>2002</v>
      </c>
      <c r="B229" s="6" t="s">
        <v>109</v>
      </c>
      <c r="C229" s="6">
        <v>0.19281274</v>
      </c>
      <c r="D229" s="6">
        <v>0.035154</v>
      </c>
      <c r="E229" s="6">
        <v>0.00916</v>
      </c>
      <c r="F229" s="6">
        <v>0.015434</v>
      </c>
      <c r="G229" s="6">
        <v>0.005411</v>
      </c>
      <c r="H229" s="6">
        <v>0.00515</v>
      </c>
      <c r="I229" s="6">
        <v>0.034944</v>
      </c>
      <c r="J229" s="6">
        <v>0.017107</v>
      </c>
      <c r="K229" s="6">
        <v>0.22418082</v>
      </c>
      <c r="L229" s="6">
        <v>0.17606776</v>
      </c>
      <c r="M229" s="6">
        <v>0.1942914</v>
      </c>
      <c r="N229" s="6">
        <v>0.13145533</v>
      </c>
      <c r="O229" s="6">
        <v>0.1225589</v>
      </c>
      <c r="P229" s="6">
        <v>0.29942623</v>
      </c>
      <c r="Q229" s="6">
        <v>0.23624143</v>
      </c>
      <c r="R229" s="6">
        <v>217.69486</v>
      </c>
      <c r="S229" s="6">
        <v>0.00102979</v>
      </c>
      <c r="T229" s="6">
        <v>169.97573</v>
      </c>
      <c r="U229" s="6">
        <v>0.00103584</v>
      </c>
      <c r="V229" s="6">
        <v>197.11803</v>
      </c>
      <c r="W229" s="6">
        <v>0.00098566</v>
      </c>
      <c r="X229" s="6">
        <v>134.47093</v>
      </c>
      <c r="Y229" s="6">
        <v>0.00097757</v>
      </c>
      <c r="Z229" s="6">
        <v>134.86767</v>
      </c>
      <c r="AA229" s="6">
        <v>0.00090873</v>
      </c>
      <c r="AB229" s="6">
        <v>294.9318</v>
      </c>
      <c r="AC229" s="6">
        <v>0.00101524</v>
      </c>
      <c r="AD229" s="6">
        <v>243.86163</v>
      </c>
      <c r="AE229" s="6">
        <v>0.00096875</v>
      </c>
      <c r="AF229" s="6">
        <v>775</v>
      </c>
      <c r="AG229" s="6">
        <v>-0.00708333</v>
      </c>
      <c r="AH229" s="6">
        <v>-0.00711886</v>
      </c>
      <c r="AI229" s="6">
        <v>-0.00682294</v>
      </c>
      <c r="AJ229" s="6">
        <v>-0.00677502</v>
      </c>
      <c r="AK229" s="6">
        <v>-0.00636428</v>
      </c>
      <c r="AL229" s="6">
        <v>-0.00699767</v>
      </c>
      <c r="AM229" s="6">
        <v>-0.00672266</v>
      </c>
      <c r="AN229" s="6">
        <v>-6.4762184</v>
      </c>
      <c r="AO229" s="6">
        <v>-6.4515561</v>
      </c>
      <c r="AP229" s="6">
        <v>-6.4739881</v>
      </c>
      <c r="AQ229" s="6">
        <v>-6.4253629</v>
      </c>
      <c r="AR229" s="6">
        <v>-6.4020076</v>
      </c>
      <c r="AS229" s="6">
        <v>-6.4618417</v>
      </c>
      <c r="AT229" s="6">
        <v>-6.4506396</v>
      </c>
      <c r="AU229" s="6">
        <v>0.97344833</v>
      </c>
      <c r="AV229" s="6">
        <v>0.96974131</v>
      </c>
      <c r="AW229" s="6">
        <v>0.97311308</v>
      </c>
      <c r="AX229" s="6">
        <v>0.96580418</v>
      </c>
      <c r="AY229" s="6">
        <v>0.96229362</v>
      </c>
      <c r="AZ229" s="6">
        <v>0.97128734</v>
      </c>
      <c r="BA229" s="6">
        <v>0.96960354</v>
      </c>
      <c r="BB229" s="6">
        <v>0.02655167</v>
      </c>
      <c r="BC229" s="6">
        <v>0.03025869</v>
      </c>
      <c r="BD229" s="6">
        <v>0.02688692</v>
      </c>
      <c r="BE229" s="6">
        <v>0.03419582</v>
      </c>
      <c r="BF229" s="6">
        <v>0.03770638</v>
      </c>
      <c r="BG229" s="6">
        <v>0.02871266</v>
      </c>
      <c r="BH229" s="6">
        <v>0.03039646</v>
      </c>
      <c r="BI229" s="6">
        <v>0.21470859</v>
      </c>
      <c r="BJ229" s="6">
        <v>0.12366373</v>
      </c>
      <c r="BK229" s="6">
        <v>0.1409291</v>
      </c>
      <c r="BL229" s="6">
        <v>0.12522516</v>
      </c>
      <c r="BM229" s="6">
        <v>0.1592662</v>
      </c>
      <c r="BN229" s="6">
        <v>0.17561655</v>
      </c>
      <c r="BO229" s="6">
        <v>0.1337285</v>
      </c>
      <c r="BP229" s="6">
        <v>0.14157076</v>
      </c>
      <c r="BQ229" s="6">
        <v>0.02772304</v>
      </c>
      <c r="BR229" s="6">
        <v>0.02481307</v>
      </c>
      <c r="BS229" s="6">
        <v>0.02433017</v>
      </c>
      <c r="BT229" s="6">
        <v>0.02093639</v>
      </c>
      <c r="BU229" s="6">
        <v>0.02152337</v>
      </c>
      <c r="BV229" s="6">
        <v>0.04004182</v>
      </c>
      <c r="BW229" s="6">
        <v>0.03344488</v>
      </c>
      <c r="BX229" s="12">
        <v>14599</v>
      </c>
      <c r="BY229" s="13">
        <v>9082</v>
      </c>
      <c r="BZ229" s="12">
        <v>10275.49567</v>
      </c>
      <c r="CA229" s="6">
        <f t="shared" si="22"/>
        <v>1.60746531600969</v>
      </c>
      <c r="CB229" s="6">
        <f t="shared" si="23"/>
        <v>1.42075871265488</v>
      </c>
      <c r="CC229" s="7">
        <v>448742602.8</v>
      </c>
      <c r="CD229" s="7">
        <f t="shared" si="18"/>
        <v>4.36711393018377</v>
      </c>
      <c r="CE229" s="8">
        <v>222.9</v>
      </c>
      <c r="CF229" s="8">
        <v>148.9</v>
      </c>
      <c r="CG229" s="8">
        <v>271</v>
      </c>
      <c r="CH229" s="8">
        <v>8041</v>
      </c>
      <c r="CI229" s="14">
        <v>0</v>
      </c>
      <c r="CJ229" s="14">
        <v>0</v>
      </c>
      <c r="CK229" s="14">
        <f t="shared" si="19"/>
        <v>0</v>
      </c>
      <c r="CL229">
        <f t="shared" si="20"/>
        <v>4.06804884448575</v>
      </c>
      <c r="CM229">
        <f t="shared" si="21"/>
        <v>0</v>
      </c>
      <c r="CN229" s="15">
        <v>14599</v>
      </c>
      <c r="CO229" s="15">
        <v>12938</v>
      </c>
      <c r="CP229" s="15">
        <v>415.42</v>
      </c>
      <c r="CQ229" s="15">
        <v>1628.23</v>
      </c>
      <c r="CR229" s="15">
        <v>176.83</v>
      </c>
      <c r="CS229" s="15">
        <v>41.97</v>
      </c>
      <c r="CT229" s="15">
        <v>248.72</v>
      </c>
      <c r="CU229" s="15">
        <v>270.54</v>
      </c>
      <c r="CV229" s="15">
        <v>4.63</v>
      </c>
      <c r="CW229" s="15">
        <v>1230.02</v>
      </c>
    </row>
    <row r="230" spans="1:101">
      <c r="A230" s="6">
        <v>2003</v>
      </c>
      <c r="B230" s="6" t="s">
        <v>109</v>
      </c>
      <c r="C230" s="6">
        <v>0.21352988</v>
      </c>
      <c r="D230" s="6">
        <v>0.035296</v>
      </c>
      <c r="E230" s="6">
        <v>0.00894</v>
      </c>
      <c r="F230" s="6">
        <v>0.015655</v>
      </c>
      <c r="G230" s="6">
        <v>0.005421</v>
      </c>
      <c r="H230" s="6">
        <v>0.00528</v>
      </c>
      <c r="I230" s="6">
        <v>0.041874</v>
      </c>
      <c r="J230" s="6">
        <v>0.020995</v>
      </c>
      <c r="K230" s="6">
        <v>0.22529962</v>
      </c>
      <c r="L230" s="6">
        <v>0.17087951</v>
      </c>
      <c r="M230" s="6">
        <v>0.19770149</v>
      </c>
      <c r="N230" s="6">
        <v>0.1317581</v>
      </c>
      <c r="O230" s="6">
        <v>0.12649725</v>
      </c>
      <c r="P230" s="6">
        <v>0.37661668</v>
      </c>
      <c r="Q230" s="6">
        <v>0.30560964</v>
      </c>
      <c r="R230" s="6">
        <v>217.69486</v>
      </c>
      <c r="S230" s="6">
        <v>0.00103493</v>
      </c>
      <c r="T230" s="6">
        <v>169.97573</v>
      </c>
      <c r="U230" s="6">
        <v>0.00100532</v>
      </c>
      <c r="V230" s="6">
        <v>197.11803</v>
      </c>
      <c r="W230" s="6">
        <v>0.00100296</v>
      </c>
      <c r="X230" s="6">
        <v>134.47093</v>
      </c>
      <c r="Y230" s="6">
        <v>0.00097983</v>
      </c>
      <c r="Z230" s="6">
        <v>134.86767</v>
      </c>
      <c r="AA230" s="6">
        <v>0.00093794</v>
      </c>
      <c r="AB230" s="6">
        <v>294.9318</v>
      </c>
      <c r="AC230" s="6">
        <v>0.00127696</v>
      </c>
      <c r="AD230" s="6">
        <v>243.86163</v>
      </c>
      <c r="AE230" s="6">
        <v>0.00125321</v>
      </c>
      <c r="AF230" s="6">
        <v>775</v>
      </c>
      <c r="AG230" s="6">
        <v>-0.00711353</v>
      </c>
      <c r="AH230" s="6">
        <v>-0.00693915</v>
      </c>
      <c r="AI230" s="6">
        <v>-0.00692524</v>
      </c>
      <c r="AJ230" s="6">
        <v>-0.00678837</v>
      </c>
      <c r="AK230" s="6">
        <v>-0.00653913</v>
      </c>
      <c r="AL230" s="6">
        <v>-0.00850874</v>
      </c>
      <c r="AM230" s="6">
        <v>-0.008374</v>
      </c>
      <c r="AN230" s="6">
        <v>-6.4762184</v>
      </c>
      <c r="AO230" s="6">
        <v>-6.4515561</v>
      </c>
      <c r="AP230" s="6">
        <v>-6.4739881</v>
      </c>
      <c r="AQ230" s="6">
        <v>-6.4253629</v>
      </c>
      <c r="AR230" s="6">
        <v>-6.4020076</v>
      </c>
      <c r="AS230" s="6">
        <v>-6.4618417</v>
      </c>
      <c r="AT230" s="6">
        <v>-6.4506396</v>
      </c>
      <c r="AU230" s="6">
        <v>0.97344833</v>
      </c>
      <c r="AV230" s="6">
        <v>0.96974131</v>
      </c>
      <c r="AW230" s="6">
        <v>0.97311308</v>
      </c>
      <c r="AX230" s="6">
        <v>0.96580418</v>
      </c>
      <c r="AY230" s="6">
        <v>0.96229362</v>
      </c>
      <c r="AZ230" s="6">
        <v>0.97128734</v>
      </c>
      <c r="BA230" s="6">
        <v>0.96960354</v>
      </c>
      <c r="BB230" s="6">
        <v>0.02655167</v>
      </c>
      <c r="BC230" s="6">
        <v>0.03025869</v>
      </c>
      <c r="BD230" s="6">
        <v>0.02688692</v>
      </c>
      <c r="BE230" s="6">
        <v>0.03419582</v>
      </c>
      <c r="BF230" s="6">
        <v>0.03770638</v>
      </c>
      <c r="BG230" s="6">
        <v>0.02871266</v>
      </c>
      <c r="BH230" s="6">
        <v>0.03039646</v>
      </c>
      <c r="BI230" s="6">
        <v>0.21470859</v>
      </c>
      <c r="BJ230" s="6">
        <v>0.12366373</v>
      </c>
      <c r="BK230" s="6">
        <v>0.1409291</v>
      </c>
      <c r="BL230" s="6">
        <v>0.12522516</v>
      </c>
      <c r="BM230" s="6">
        <v>0.1592662</v>
      </c>
      <c r="BN230" s="6">
        <v>0.17561655</v>
      </c>
      <c r="BO230" s="6">
        <v>0.1337285</v>
      </c>
      <c r="BP230" s="6">
        <v>0.14157076</v>
      </c>
      <c r="BQ230" s="6">
        <v>0.02786139</v>
      </c>
      <c r="BR230" s="6">
        <v>0.02408189</v>
      </c>
      <c r="BS230" s="6">
        <v>0.0247572</v>
      </c>
      <c r="BT230" s="6">
        <v>0.02098461</v>
      </c>
      <c r="BU230" s="6">
        <v>0.02221501</v>
      </c>
      <c r="BV230" s="6">
        <v>0.05036438</v>
      </c>
      <c r="BW230" s="6">
        <v>0.04326539</v>
      </c>
      <c r="BX230" s="12">
        <v>16837</v>
      </c>
      <c r="BY230" s="13">
        <v>9125</v>
      </c>
      <c r="BZ230" s="12">
        <v>12078.15</v>
      </c>
      <c r="CA230" s="6">
        <f t="shared" si="22"/>
        <v>1.84515068493151</v>
      </c>
      <c r="CB230" s="6">
        <f t="shared" si="23"/>
        <v>1.39400487657464</v>
      </c>
      <c r="CC230" s="7">
        <v>547818316.3</v>
      </c>
      <c r="CD230" s="7">
        <f t="shared" si="18"/>
        <v>4.53561444674888</v>
      </c>
      <c r="CE230" s="8">
        <v>244.3</v>
      </c>
      <c r="CF230" s="8">
        <v>175.8</v>
      </c>
      <c r="CG230" s="8">
        <v>293.9</v>
      </c>
      <c r="CH230" s="8">
        <v>8849</v>
      </c>
      <c r="CI230" s="14">
        <v>0</v>
      </c>
      <c r="CJ230" s="14">
        <v>0</v>
      </c>
      <c r="CK230" s="14">
        <f t="shared" si="19"/>
        <v>0</v>
      </c>
      <c r="CL230">
        <f t="shared" si="20"/>
        <v>4.08414499624993</v>
      </c>
      <c r="CM230">
        <f t="shared" si="21"/>
        <v>0</v>
      </c>
      <c r="CN230" s="15">
        <v>16624.8</v>
      </c>
      <c r="CO230" s="15">
        <v>15165.68</v>
      </c>
      <c r="CP230" s="15">
        <v>660.08</v>
      </c>
      <c r="CQ230" s="15">
        <v>2213.73</v>
      </c>
      <c r="CR230" s="15">
        <v>209.51</v>
      </c>
      <c r="CS230" s="15">
        <v>14.23</v>
      </c>
      <c r="CT230" s="15">
        <v>521.01</v>
      </c>
      <c r="CU230" s="15">
        <v>241.19</v>
      </c>
      <c r="CV230" s="15">
        <v>9.61</v>
      </c>
      <c r="CW230" s="15">
        <v>1395.72</v>
      </c>
    </row>
    <row r="231" spans="1:101">
      <c r="A231" s="6">
        <v>2004</v>
      </c>
      <c r="B231" s="6" t="s">
        <v>109</v>
      </c>
      <c r="C231" s="6">
        <v>0.23610992</v>
      </c>
      <c r="D231" s="6">
        <v>0.04093</v>
      </c>
      <c r="E231" s="6">
        <v>0.010186</v>
      </c>
      <c r="F231" s="6">
        <v>0.018697</v>
      </c>
      <c r="G231" s="6">
        <v>0.006358</v>
      </c>
      <c r="H231" s="6">
        <v>0.00569</v>
      </c>
      <c r="I231" s="6">
        <v>0.041762</v>
      </c>
      <c r="J231" s="6">
        <v>0.021265</v>
      </c>
      <c r="K231" s="6">
        <v>0.26949263</v>
      </c>
      <c r="L231" s="6">
        <v>0.20031891</v>
      </c>
      <c r="M231" s="6">
        <v>0.24444728</v>
      </c>
      <c r="N231" s="6">
        <v>0.15945452</v>
      </c>
      <c r="O231" s="6">
        <v>0.1389327</v>
      </c>
      <c r="P231" s="6">
        <v>0.37537515</v>
      </c>
      <c r="Q231" s="6">
        <v>0.31043693</v>
      </c>
      <c r="R231" s="6">
        <v>217.69486</v>
      </c>
      <c r="S231" s="6">
        <v>0.00123794</v>
      </c>
      <c r="T231" s="6">
        <v>169.97573</v>
      </c>
      <c r="U231" s="6">
        <v>0.00117851</v>
      </c>
      <c r="V231" s="6">
        <v>197.11803</v>
      </c>
      <c r="W231" s="6">
        <v>0.00124011</v>
      </c>
      <c r="X231" s="6">
        <v>134.47093</v>
      </c>
      <c r="Y231" s="6">
        <v>0.00118579</v>
      </c>
      <c r="Z231" s="6">
        <v>134.86767</v>
      </c>
      <c r="AA231" s="6">
        <v>0.00103014</v>
      </c>
      <c r="AB231" s="6">
        <v>294.9318</v>
      </c>
      <c r="AC231" s="6">
        <v>0.00127275</v>
      </c>
      <c r="AD231" s="6">
        <v>243.86163</v>
      </c>
      <c r="AE231" s="6">
        <v>0.001273</v>
      </c>
      <c r="AF231" s="6">
        <v>775</v>
      </c>
      <c r="AG231" s="6">
        <v>-0.00828714</v>
      </c>
      <c r="AH231" s="6">
        <v>-0.00794731</v>
      </c>
      <c r="AI231" s="6">
        <v>-0.00829948</v>
      </c>
      <c r="AJ231" s="6">
        <v>-0.00798909</v>
      </c>
      <c r="AK231" s="6">
        <v>-0.00708537</v>
      </c>
      <c r="AL231" s="6">
        <v>-0.0084849</v>
      </c>
      <c r="AM231" s="6">
        <v>-0.00848633</v>
      </c>
      <c r="AN231" s="6">
        <v>-6.4762184</v>
      </c>
      <c r="AO231" s="6">
        <v>-6.4515561</v>
      </c>
      <c r="AP231" s="6">
        <v>-6.4739881</v>
      </c>
      <c r="AQ231" s="6">
        <v>-6.4253629</v>
      </c>
      <c r="AR231" s="6">
        <v>-6.4020076</v>
      </c>
      <c r="AS231" s="6">
        <v>-6.4618417</v>
      </c>
      <c r="AT231" s="6">
        <v>-6.4506396</v>
      </c>
      <c r="AU231" s="6">
        <v>0.97344833</v>
      </c>
      <c r="AV231" s="6">
        <v>0.96974131</v>
      </c>
      <c r="AW231" s="6">
        <v>0.97311308</v>
      </c>
      <c r="AX231" s="6">
        <v>0.96580418</v>
      </c>
      <c r="AY231" s="6">
        <v>0.96229362</v>
      </c>
      <c r="AZ231" s="6">
        <v>0.97128734</v>
      </c>
      <c r="BA231" s="6">
        <v>0.96960354</v>
      </c>
      <c r="BB231" s="6">
        <v>0.02655167</v>
      </c>
      <c r="BC231" s="6">
        <v>0.03025869</v>
      </c>
      <c r="BD231" s="6">
        <v>0.02688692</v>
      </c>
      <c r="BE231" s="6">
        <v>0.03419582</v>
      </c>
      <c r="BF231" s="6">
        <v>0.03770638</v>
      </c>
      <c r="BG231" s="6">
        <v>0.02871266</v>
      </c>
      <c r="BH231" s="6">
        <v>0.03039646</v>
      </c>
      <c r="BI231" s="6">
        <v>0.21470859</v>
      </c>
      <c r="BJ231" s="6">
        <v>0.12366373</v>
      </c>
      <c r="BK231" s="6">
        <v>0.1409291</v>
      </c>
      <c r="BL231" s="6">
        <v>0.12522516</v>
      </c>
      <c r="BM231" s="6">
        <v>0.1592662</v>
      </c>
      <c r="BN231" s="6">
        <v>0.17561655</v>
      </c>
      <c r="BO231" s="6">
        <v>0.1337285</v>
      </c>
      <c r="BP231" s="6">
        <v>0.14157076</v>
      </c>
      <c r="BQ231" s="6">
        <v>0.03332647</v>
      </c>
      <c r="BR231" s="6">
        <v>0.02823076</v>
      </c>
      <c r="BS231" s="6">
        <v>0.03061095</v>
      </c>
      <c r="BT231" s="6">
        <v>0.02539572</v>
      </c>
      <c r="BU231" s="6">
        <v>0.02439888</v>
      </c>
      <c r="BV231" s="6">
        <v>0.05019835</v>
      </c>
      <c r="BW231" s="6">
        <v>0.04394879</v>
      </c>
      <c r="BX231" s="12">
        <v>19624</v>
      </c>
      <c r="BY231" s="13">
        <v>9180</v>
      </c>
      <c r="BZ231" s="12">
        <v>15021.84</v>
      </c>
      <c r="CA231" s="6">
        <f t="shared" si="22"/>
        <v>2.13769063180828</v>
      </c>
      <c r="CB231" s="6">
        <f t="shared" si="23"/>
        <v>1.30636459980934</v>
      </c>
      <c r="CC231" s="7">
        <v>621468889</v>
      </c>
      <c r="CD231" s="7">
        <f t="shared" si="18"/>
        <v>4.13710230570955</v>
      </c>
      <c r="CE231" s="8">
        <v>272</v>
      </c>
      <c r="CF231" s="8">
        <v>199.6</v>
      </c>
      <c r="CG231" s="8">
        <v>331.1</v>
      </c>
      <c r="CH231" s="8">
        <v>9859</v>
      </c>
      <c r="CI231" s="14">
        <v>0</v>
      </c>
      <c r="CJ231" s="14">
        <v>0</v>
      </c>
      <c r="CK231" s="14">
        <f t="shared" si="19"/>
        <v>0</v>
      </c>
      <c r="CL231">
        <f t="shared" si="20"/>
        <v>3.89549779892895</v>
      </c>
      <c r="CM231">
        <f t="shared" si="21"/>
        <v>0</v>
      </c>
      <c r="CN231" s="15">
        <v>19623.7</v>
      </c>
      <c r="CO231" s="15">
        <v>18270.08</v>
      </c>
      <c r="CP231" s="15">
        <v>1235.5</v>
      </c>
      <c r="CQ231" s="15">
        <v>3196.39</v>
      </c>
      <c r="CR231" s="15">
        <v>233.66</v>
      </c>
      <c r="CS231" s="15">
        <v>21.74</v>
      </c>
      <c r="CT231" s="15">
        <v>582.3</v>
      </c>
      <c r="CU231" s="15">
        <v>279.16</v>
      </c>
      <c r="CV231" s="15">
        <v>11.71</v>
      </c>
      <c r="CW231" s="15">
        <v>1693.71</v>
      </c>
    </row>
    <row r="232" spans="1:101">
      <c r="A232" s="6">
        <v>2005</v>
      </c>
      <c r="B232" s="6" t="s">
        <v>109</v>
      </c>
      <c r="C232" s="6">
        <v>0.24771413</v>
      </c>
      <c r="D232" s="6">
        <v>0.042782</v>
      </c>
      <c r="E232" s="6">
        <v>0.010148</v>
      </c>
      <c r="F232" s="6">
        <v>0.019234</v>
      </c>
      <c r="G232" s="6">
        <v>0.006572</v>
      </c>
      <c r="H232" s="6">
        <v>0.006828</v>
      </c>
      <c r="I232" s="6">
        <v>0.044015</v>
      </c>
      <c r="J232" s="6">
        <v>0.020665</v>
      </c>
      <c r="K232" s="6">
        <v>0.28401426</v>
      </c>
      <c r="L232" s="6">
        <v>0.19943671</v>
      </c>
      <c r="M232" s="6">
        <v>0.25269923</v>
      </c>
      <c r="N232" s="6">
        <v>0.16577701</v>
      </c>
      <c r="O232" s="6">
        <v>0.17341364</v>
      </c>
      <c r="P232" s="6">
        <v>0.40046109</v>
      </c>
      <c r="Q232" s="6">
        <v>0.29971648</v>
      </c>
      <c r="R232" s="6">
        <v>217.69486</v>
      </c>
      <c r="S232" s="6">
        <v>0.00130464</v>
      </c>
      <c r="T232" s="6">
        <v>169.97573</v>
      </c>
      <c r="U232" s="6">
        <v>0.00117332</v>
      </c>
      <c r="V232" s="6">
        <v>197.11803</v>
      </c>
      <c r="W232" s="6">
        <v>0.00128197</v>
      </c>
      <c r="X232" s="6">
        <v>134.47093</v>
      </c>
      <c r="Y232" s="6">
        <v>0.00123281</v>
      </c>
      <c r="Z232" s="6">
        <v>134.86767</v>
      </c>
      <c r="AA232" s="6">
        <v>0.00128581</v>
      </c>
      <c r="AB232" s="6">
        <v>294.9318</v>
      </c>
      <c r="AC232" s="6">
        <v>0.00135781</v>
      </c>
      <c r="AD232" s="6">
        <v>243.86163</v>
      </c>
      <c r="AE232" s="6">
        <v>0.00122904</v>
      </c>
      <c r="AF232" s="6">
        <v>775</v>
      </c>
      <c r="AG232" s="6">
        <v>-0.00866522</v>
      </c>
      <c r="AH232" s="6">
        <v>-0.00791749</v>
      </c>
      <c r="AI232" s="6">
        <v>-0.00853709</v>
      </c>
      <c r="AJ232" s="6">
        <v>-0.00825792</v>
      </c>
      <c r="AK232" s="6">
        <v>-0.0085588</v>
      </c>
      <c r="AL232" s="6">
        <v>-0.0089641</v>
      </c>
      <c r="AM232" s="6">
        <v>-0.00823646</v>
      </c>
      <c r="AN232" s="6">
        <v>-6.4762184</v>
      </c>
      <c r="AO232" s="6">
        <v>-6.4515561</v>
      </c>
      <c r="AP232" s="6">
        <v>-6.4739881</v>
      </c>
      <c r="AQ232" s="6">
        <v>-6.4253629</v>
      </c>
      <c r="AR232" s="6">
        <v>-6.4020076</v>
      </c>
      <c r="AS232" s="6">
        <v>-6.4618417</v>
      </c>
      <c r="AT232" s="6">
        <v>-6.4506396</v>
      </c>
      <c r="AU232" s="6">
        <v>0.97344833</v>
      </c>
      <c r="AV232" s="6">
        <v>0.96974131</v>
      </c>
      <c r="AW232" s="6">
        <v>0.97311308</v>
      </c>
      <c r="AX232" s="6">
        <v>0.96580418</v>
      </c>
      <c r="AY232" s="6">
        <v>0.96229362</v>
      </c>
      <c r="AZ232" s="6">
        <v>0.97128734</v>
      </c>
      <c r="BA232" s="6">
        <v>0.96960354</v>
      </c>
      <c r="BB232" s="6">
        <v>0.02655167</v>
      </c>
      <c r="BC232" s="6">
        <v>0.03025869</v>
      </c>
      <c r="BD232" s="6">
        <v>0.02688692</v>
      </c>
      <c r="BE232" s="6">
        <v>0.03419582</v>
      </c>
      <c r="BF232" s="6">
        <v>0.03770638</v>
      </c>
      <c r="BG232" s="6">
        <v>0.02871266</v>
      </c>
      <c r="BH232" s="6">
        <v>0.03039646</v>
      </c>
      <c r="BI232" s="6">
        <v>0.21470859</v>
      </c>
      <c r="BJ232" s="6">
        <v>0.12366373</v>
      </c>
      <c r="BK232" s="6">
        <v>0.1409291</v>
      </c>
      <c r="BL232" s="6">
        <v>0.12522516</v>
      </c>
      <c r="BM232" s="6">
        <v>0.1592662</v>
      </c>
      <c r="BN232" s="6">
        <v>0.17561655</v>
      </c>
      <c r="BO232" s="6">
        <v>0.1337285</v>
      </c>
      <c r="BP232" s="6">
        <v>0.14157076</v>
      </c>
      <c r="BQ232" s="6">
        <v>0.03512226</v>
      </c>
      <c r="BR232" s="6">
        <v>0.02810644</v>
      </c>
      <c r="BS232" s="6">
        <v>0.0316443</v>
      </c>
      <c r="BT232" s="6">
        <v>0.02640268</v>
      </c>
      <c r="BU232" s="6">
        <v>0.0304543</v>
      </c>
      <c r="BV232" s="6">
        <v>0.05355306</v>
      </c>
      <c r="BW232" s="6">
        <v>0.04243109</v>
      </c>
      <c r="BX232" s="12">
        <v>24162</v>
      </c>
      <c r="BY232" s="13">
        <v>9248.18</v>
      </c>
      <c r="BZ232" s="12">
        <v>18366.87</v>
      </c>
      <c r="CA232" s="6">
        <f t="shared" si="22"/>
        <v>2.61262215917078</v>
      </c>
      <c r="CB232" s="6">
        <f t="shared" si="23"/>
        <v>1.31552082635746</v>
      </c>
      <c r="CC232" s="7">
        <v>671388024.1</v>
      </c>
      <c r="CD232" s="7">
        <f t="shared" si="18"/>
        <v>3.65542971720277</v>
      </c>
      <c r="CE232" s="8">
        <v>289.9</v>
      </c>
      <c r="CF232" s="8">
        <v>229.8</v>
      </c>
      <c r="CG232" s="8">
        <v>365.2</v>
      </c>
      <c r="CH232" s="8">
        <v>10753</v>
      </c>
      <c r="CI232" s="14">
        <v>0</v>
      </c>
      <c r="CJ232" s="14">
        <v>0</v>
      </c>
      <c r="CK232" s="14">
        <f t="shared" si="19"/>
        <v>0</v>
      </c>
      <c r="CL232">
        <f t="shared" si="20"/>
        <v>3.71995059106252</v>
      </c>
      <c r="CM232">
        <f t="shared" si="21"/>
        <v>0.0173445512998932</v>
      </c>
      <c r="CN232" s="15">
        <v>23609.8</v>
      </c>
      <c r="CO232" s="15">
        <v>25247.91</v>
      </c>
      <c r="CP232" s="15">
        <v>1992.57</v>
      </c>
      <c r="CQ232" s="15">
        <v>3300.36</v>
      </c>
      <c r="CR232" s="15">
        <v>495.53</v>
      </c>
      <c r="CS232" s="15">
        <v>21.99</v>
      </c>
      <c r="CT232" s="15">
        <v>1132.31</v>
      </c>
      <c r="CU232" s="15">
        <v>294.43</v>
      </c>
      <c r="CV232" s="15">
        <v>17.89</v>
      </c>
      <c r="CW232" s="15">
        <v>1911.61</v>
      </c>
    </row>
    <row r="233" spans="1:101">
      <c r="A233" s="6">
        <v>2006</v>
      </c>
      <c r="B233" s="6" t="s">
        <v>109</v>
      </c>
      <c r="C233" s="6">
        <v>0.25024757</v>
      </c>
      <c r="D233" s="6">
        <v>0.042533</v>
      </c>
      <c r="E233" s="6">
        <v>0.0106</v>
      </c>
      <c r="F233" s="6">
        <v>0.018685</v>
      </c>
      <c r="G233" s="6">
        <v>0.006575</v>
      </c>
      <c r="H233" s="6">
        <v>0.006672</v>
      </c>
      <c r="I233" s="6">
        <v>0.043731</v>
      </c>
      <c r="J233" s="6">
        <v>0.022073</v>
      </c>
      <c r="K233" s="6">
        <v>0.28206388</v>
      </c>
      <c r="L233" s="6">
        <v>0.21012749</v>
      </c>
      <c r="M233" s="6">
        <v>0.24427008</v>
      </c>
      <c r="N233" s="6">
        <v>0.16587619</v>
      </c>
      <c r="O233" s="6">
        <v>0.16869367</v>
      </c>
      <c r="P233" s="6">
        <v>0.39730565</v>
      </c>
      <c r="Q233" s="6">
        <v>0.32485312</v>
      </c>
      <c r="R233" s="6">
        <v>217.69486</v>
      </c>
      <c r="S233" s="6">
        <v>0.00129568</v>
      </c>
      <c r="T233" s="6">
        <v>169.97573</v>
      </c>
      <c r="U233" s="6">
        <v>0.00123622</v>
      </c>
      <c r="V233" s="6">
        <v>197.11803</v>
      </c>
      <c r="W233" s="6">
        <v>0.00123921</v>
      </c>
      <c r="X233" s="6">
        <v>134.47093</v>
      </c>
      <c r="Y233" s="6">
        <v>0.00123355</v>
      </c>
      <c r="Z233" s="6">
        <v>134.86767</v>
      </c>
      <c r="AA233" s="6">
        <v>0.00125081</v>
      </c>
      <c r="AB233" s="6">
        <v>294.9318</v>
      </c>
      <c r="AC233" s="6">
        <v>0.00134711</v>
      </c>
      <c r="AD233" s="6">
        <v>243.86163</v>
      </c>
      <c r="AE233" s="6">
        <v>0.00133212</v>
      </c>
      <c r="AF233" s="6">
        <v>775</v>
      </c>
      <c r="AG233" s="6">
        <v>-0.00861464</v>
      </c>
      <c r="AH233" s="6">
        <v>-0.00827736</v>
      </c>
      <c r="AI233" s="6">
        <v>-0.00829437</v>
      </c>
      <c r="AJ233" s="6">
        <v>-0.00826213</v>
      </c>
      <c r="AK233" s="6">
        <v>-0.00836036</v>
      </c>
      <c r="AL233" s="6">
        <v>-0.00890412</v>
      </c>
      <c r="AM233" s="6">
        <v>-0.00881995</v>
      </c>
      <c r="AN233" s="6">
        <v>-6.4762184</v>
      </c>
      <c r="AO233" s="6">
        <v>-6.4515561</v>
      </c>
      <c r="AP233" s="6">
        <v>-6.4739881</v>
      </c>
      <c r="AQ233" s="6">
        <v>-6.4253629</v>
      </c>
      <c r="AR233" s="6">
        <v>-6.4020076</v>
      </c>
      <c r="AS233" s="6">
        <v>-6.4618417</v>
      </c>
      <c r="AT233" s="6">
        <v>-6.4506396</v>
      </c>
      <c r="AU233" s="6">
        <v>0.97344833</v>
      </c>
      <c r="AV233" s="6">
        <v>0.96974131</v>
      </c>
      <c r="AW233" s="6">
        <v>0.97311308</v>
      </c>
      <c r="AX233" s="6">
        <v>0.96580418</v>
      </c>
      <c r="AY233" s="6">
        <v>0.96229362</v>
      </c>
      <c r="AZ233" s="6">
        <v>0.97128734</v>
      </c>
      <c r="BA233" s="6">
        <v>0.96960354</v>
      </c>
      <c r="BB233" s="6">
        <v>0.02655167</v>
      </c>
      <c r="BC233" s="6">
        <v>0.03025869</v>
      </c>
      <c r="BD233" s="6">
        <v>0.02688692</v>
      </c>
      <c r="BE233" s="6">
        <v>0.03419582</v>
      </c>
      <c r="BF233" s="6">
        <v>0.03770638</v>
      </c>
      <c r="BG233" s="6">
        <v>0.02871266</v>
      </c>
      <c r="BH233" s="6">
        <v>0.03039646</v>
      </c>
      <c r="BI233" s="6">
        <v>0.21470859</v>
      </c>
      <c r="BJ233" s="6">
        <v>0.12366373</v>
      </c>
      <c r="BK233" s="6">
        <v>0.1409291</v>
      </c>
      <c r="BL233" s="6">
        <v>0.12522516</v>
      </c>
      <c r="BM233" s="6">
        <v>0.1592662</v>
      </c>
      <c r="BN233" s="6">
        <v>0.17561655</v>
      </c>
      <c r="BO233" s="6">
        <v>0.1337285</v>
      </c>
      <c r="BP233" s="6">
        <v>0.14157076</v>
      </c>
      <c r="BQ233" s="6">
        <v>0.03488107</v>
      </c>
      <c r="BR233" s="6">
        <v>0.02961308</v>
      </c>
      <c r="BS233" s="6">
        <v>0.03058876</v>
      </c>
      <c r="BT233" s="6">
        <v>0.02641847</v>
      </c>
      <c r="BU233" s="6">
        <v>0.0296254</v>
      </c>
      <c r="BV233" s="6">
        <v>0.05313109</v>
      </c>
      <c r="BW233" s="6">
        <v>0.0459897</v>
      </c>
      <c r="BX233" s="12">
        <v>26759</v>
      </c>
      <c r="BY233" s="13">
        <v>9308.9</v>
      </c>
      <c r="BZ233" s="12">
        <v>21900.19</v>
      </c>
      <c r="CA233" s="6">
        <f t="shared" si="22"/>
        <v>2.87456090408104</v>
      </c>
      <c r="CB233" s="6">
        <f t="shared" si="23"/>
        <v>1.22186154549344</v>
      </c>
      <c r="CC233" s="7">
        <v>733863016.2</v>
      </c>
      <c r="CD233" s="7">
        <f t="shared" si="18"/>
        <v>3.35094360459886</v>
      </c>
      <c r="CE233" s="8">
        <v>310.7</v>
      </c>
      <c r="CF233" s="8">
        <v>291.6</v>
      </c>
      <c r="CG233" s="8">
        <v>425.1</v>
      </c>
      <c r="CH233" s="8">
        <v>12350</v>
      </c>
      <c r="CI233" s="14">
        <v>0</v>
      </c>
      <c r="CJ233" s="14">
        <v>0</v>
      </c>
      <c r="CK233" s="14">
        <f t="shared" si="19"/>
        <v>0</v>
      </c>
      <c r="CL233">
        <f t="shared" si="20"/>
        <v>3.57740717995078</v>
      </c>
      <c r="CM233">
        <f t="shared" si="21"/>
        <v>0.0633038298299149</v>
      </c>
      <c r="CN233" s="15">
        <v>26164.31</v>
      </c>
      <c r="CO233" s="15">
        <v>29001.25</v>
      </c>
      <c r="CP233" s="15">
        <v>1714.03</v>
      </c>
      <c r="CQ233" s="15">
        <v>3878.27</v>
      </c>
      <c r="CR233" s="15">
        <v>540.58</v>
      </c>
      <c r="CS233" s="15">
        <v>23.88</v>
      </c>
      <c r="CT233" s="15">
        <v>1220.97</v>
      </c>
      <c r="CU233" s="15">
        <v>304.11</v>
      </c>
      <c r="CV233" s="15">
        <v>22.59</v>
      </c>
      <c r="CW233" s="15">
        <v>2312.04</v>
      </c>
    </row>
    <row r="234" spans="1:101">
      <c r="A234" s="6">
        <v>2007</v>
      </c>
      <c r="B234" s="6" t="s">
        <v>109</v>
      </c>
      <c r="C234" s="6">
        <v>0.25183651</v>
      </c>
      <c r="D234" s="6">
        <v>0.04603</v>
      </c>
      <c r="E234" s="6">
        <v>0.011407</v>
      </c>
      <c r="F234" s="6">
        <v>0.020641</v>
      </c>
      <c r="G234" s="6">
        <v>0.00747</v>
      </c>
      <c r="H234" s="6">
        <v>0.006512</v>
      </c>
      <c r="I234" s="6">
        <v>0.039384</v>
      </c>
      <c r="J234" s="6">
        <v>0.020039</v>
      </c>
      <c r="K234" s="6">
        <v>0.30949339</v>
      </c>
      <c r="L234" s="6">
        <v>0.22919726</v>
      </c>
      <c r="M234" s="6">
        <v>0.27432625</v>
      </c>
      <c r="N234" s="6">
        <v>0.1923147</v>
      </c>
      <c r="O234" s="6">
        <v>0.1638537</v>
      </c>
      <c r="P234" s="6">
        <v>0.34887849</v>
      </c>
      <c r="Q234" s="6">
        <v>0.2885528</v>
      </c>
      <c r="R234" s="6">
        <v>217.69486</v>
      </c>
      <c r="S234" s="6">
        <v>0.00142168</v>
      </c>
      <c r="T234" s="6">
        <v>169.97573</v>
      </c>
      <c r="U234" s="6">
        <v>0.00134841</v>
      </c>
      <c r="V234" s="6">
        <v>197.11803</v>
      </c>
      <c r="W234" s="6">
        <v>0.00139169</v>
      </c>
      <c r="X234" s="6">
        <v>134.47093</v>
      </c>
      <c r="Y234" s="6">
        <v>0.00143016</v>
      </c>
      <c r="Z234" s="6">
        <v>134.86767</v>
      </c>
      <c r="AA234" s="6">
        <v>0.00121492</v>
      </c>
      <c r="AB234" s="6">
        <v>294.9318</v>
      </c>
      <c r="AC234" s="6">
        <v>0.00118291</v>
      </c>
      <c r="AD234" s="6">
        <v>243.86163</v>
      </c>
      <c r="AE234" s="6">
        <v>0.00118326</v>
      </c>
      <c r="AF234" s="6">
        <v>775</v>
      </c>
      <c r="AG234" s="6">
        <v>-0.00932044</v>
      </c>
      <c r="AH234" s="6">
        <v>-0.00891142</v>
      </c>
      <c r="AI234" s="6">
        <v>-0.00915345</v>
      </c>
      <c r="AJ234" s="6">
        <v>-0.00936749</v>
      </c>
      <c r="AK234" s="6">
        <v>-0.00815586</v>
      </c>
      <c r="AL234" s="6">
        <v>-0.00797256</v>
      </c>
      <c r="AM234" s="6">
        <v>-0.00797459</v>
      </c>
      <c r="AN234" s="6">
        <v>-6.4762184</v>
      </c>
      <c r="AO234" s="6">
        <v>-6.4515561</v>
      </c>
      <c r="AP234" s="6">
        <v>-6.4739881</v>
      </c>
      <c r="AQ234" s="6">
        <v>-6.4253629</v>
      </c>
      <c r="AR234" s="6">
        <v>-6.4020076</v>
      </c>
      <c r="AS234" s="6">
        <v>-6.4618417</v>
      </c>
      <c r="AT234" s="6">
        <v>-6.4506396</v>
      </c>
      <c r="AU234" s="6">
        <v>0.97344833</v>
      </c>
      <c r="AV234" s="6">
        <v>0.96974131</v>
      </c>
      <c r="AW234" s="6">
        <v>0.97311308</v>
      </c>
      <c r="AX234" s="6">
        <v>0.96580418</v>
      </c>
      <c r="AY234" s="6">
        <v>0.96229362</v>
      </c>
      <c r="AZ234" s="6">
        <v>0.97128734</v>
      </c>
      <c r="BA234" s="6">
        <v>0.96960354</v>
      </c>
      <c r="BB234" s="6">
        <v>0.02655167</v>
      </c>
      <c r="BC234" s="6">
        <v>0.03025869</v>
      </c>
      <c r="BD234" s="6">
        <v>0.02688692</v>
      </c>
      <c r="BE234" s="6">
        <v>0.03419582</v>
      </c>
      <c r="BF234" s="6">
        <v>0.03770638</v>
      </c>
      <c r="BG234" s="6">
        <v>0.02871266</v>
      </c>
      <c r="BH234" s="6">
        <v>0.03039646</v>
      </c>
      <c r="BI234" s="6">
        <v>0.21470859</v>
      </c>
      <c r="BJ234" s="6">
        <v>0.12366373</v>
      </c>
      <c r="BK234" s="6">
        <v>0.1409291</v>
      </c>
      <c r="BL234" s="6">
        <v>0.12522516</v>
      </c>
      <c r="BM234" s="6">
        <v>0.1592662</v>
      </c>
      <c r="BN234" s="6">
        <v>0.17561655</v>
      </c>
      <c r="BO234" s="6">
        <v>0.1337285</v>
      </c>
      <c r="BP234" s="6">
        <v>0.14157076</v>
      </c>
      <c r="BQ234" s="6">
        <v>0.03827311</v>
      </c>
      <c r="BR234" s="6">
        <v>0.03230056</v>
      </c>
      <c r="BS234" s="6">
        <v>0.03435255</v>
      </c>
      <c r="BT234" s="6">
        <v>0.03062923</v>
      </c>
      <c r="BU234" s="6">
        <v>0.02877542</v>
      </c>
      <c r="BV234" s="6">
        <v>0.046655</v>
      </c>
      <c r="BW234" s="6">
        <v>0.04085064</v>
      </c>
      <c r="BX234" s="12">
        <v>29177</v>
      </c>
      <c r="BY234" s="13">
        <v>9366.97</v>
      </c>
      <c r="BZ234" s="12">
        <v>25776.91</v>
      </c>
      <c r="CA234" s="6">
        <f t="shared" si="22"/>
        <v>3.11488133302445</v>
      </c>
      <c r="CB234" s="6">
        <f t="shared" si="23"/>
        <v>1.13190448350869</v>
      </c>
      <c r="CC234" s="7">
        <v>778230920.8</v>
      </c>
      <c r="CD234" s="7">
        <f t="shared" si="18"/>
        <v>3.01910089611206</v>
      </c>
      <c r="CE234" s="8">
        <v>351.3</v>
      </c>
      <c r="CF234" s="8">
        <v>354.3</v>
      </c>
      <c r="CG234" s="8">
        <v>528.4</v>
      </c>
      <c r="CH234" s="8">
        <v>14683</v>
      </c>
      <c r="CI234" s="14">
        <v>0</v>
      </c>
      <c r="CJ234" s="14">
        <v>0</v>
      </c>
      <c r="CK234" s="14">
        <f t="shared" si="19"/>
        <v>0</v>
      </c>
      <c r="CL234">
        <f t="shared" si="20"/>
        <v>3.23986794305777</v>
      </c>
      <c r="CM234">
        <f t="shared" si="21"/>
        <v>0.0681407547547597</v>
      </c>
      <c r="CN234" s="15">
        <v>28554.4</v>
      </c>
      <c r="CO234" s="15">
        <v>31702.78</v>
      </c>
      <c r="CP234" s="15">
        <v>2593.44</v>
      </c>
      <c r="CQ234" s="15">
        <v>4075.67</v>
      </c>
      <c r="CR234" s="15">
        <v>572.79</v>
      </c>
      <c r="CS234" s="15">
        <v>32.02</v>
      </c>
      <c r="CT234" s="15">
        <v>1286.94</v>
      </c>
      <c r="CU234" s="15">
        <v>367.24</v>
      </c>
      <c r="CV234" s="15">
        <v>23.33</v>
      </c>
      <c r="CW234" s="15">
        <v>2596.05</v>
      </c>
    </row>
    <row r="235" spans="1:101">
      <c r="A235" s="6">
        <v>2008</v>
      </c>
      <c r="B235" s="6" t="s">
        <v>109</v>
      </c>
      <c r="C235" s="6">
        <v>0.27460954</v>
      </c>
      <c r="D235" s="6">
        <v>0.049177</v>
      </c>
      <c r="E235" s="6">
        <v>0.012192</v>
      </c>
      <c r="F235" s="6">
        <v>0.022543</v>
      </c>
      <c r="G235" s="6">
        <v>0.007526</v>
      </c>
      <c r="H235" s="6">
        <v>0.006915</v>
      </c>
      <c r="I235" s="6">
        <v>0.044363</v>
      </c>
      <c r="J235" s="6">
        <v>0.02147</v>
      </c>
      <c r="K235" s="6">
        <v>0.33417933</v>
      </c>
      <c r="L235" s="6">
        <v>0.24776521</v>
      </c>
      <c r="M235" s="6">
        <v>0.30356819</v>
      </c>
      <c r="N235" s="6">
        <v>0.19399119</v>
      </c>
      <c r="O235" s="6">
        <v>0.17604926</v>
      </c>
      <c r="P235" s="6">
        <v>0.40434494</v>
      </c>
      <c r="Q235" s="6">
        <v>0.31409121</v>
      </c>
      <c r="R235" s="6">
        <v>217.69486</v>
      </c>
      <c r="S235" s="6">
        <v>0.00153508</v>
      </c>
      <c r="T235" s="6">
        <v>169.97573</v>
      </c>
      <c r="U235" s="6">
        <v>0.00145765</v>
      </c>
      <c r="V235" s="6">
        <v>197.11803</v>
      </c>
      <c r="W235" s="6">
        <v>0.00154003</v>
      </c>
      <c r="X235" s="6">
        <v>134.47093</v>
      </c>
      <c r="Y235" s="6">
        <v>0.00144263</v>
      </c>
      <c r="Z235" s="6">
        <v>134.86767</v>
      </c>
      <c r="AA235" s="6">
        <v>0.00130535</v>
      </c>
      <c r="AB235" s="6">
        <v>294.9318</v>
      </c>
      <c r="AC235" s="6">
        <v>0.00137098</v>
      </c>
      <c r="AD235" s="6">
        <v>243.86163</v>
      </c>
      <c r="AE235" s="6">
        <v>0.00128799</v>
      </c>
      <c r="AF235" s="6">
        <v>775</v>
      </c>
      <c r="AG235" s="6">
        <v>-0.00994606</v>
      </c>
      <c r="AH235" s="6">
        <v>-0.00951981</v>
      </c>
      <c r="AI235" s="6">
        <v>-0.00997318</v>
      </c>
      <c r="AJ235" s="6">
        <v>-0.00943663</v>
      </c>
      <c r="AK235" s="6">
        <v>-0.00866919</v>
      </c>
      <c r="AL235" s="6">
        <v>-0.0090378</v>
      </c>
      <c r="AM235" s="6">
        <v>-0.00857115</v>
      </c>
      <c r="AN235" s="6">
        <v>-6.4762184</v>
      </c>
      <c r="AO235" s="6">
        <v>-6.4515561</v>
      </c>
      <c r="AP235" s="6">
        <v>-6.4739881</v>
      </c>
      <c r="AQ235" s="6">
        <v>-6.4253629</v>
      </c>
      <c r="AR235" s="6">
        <v>-6.4020076</v>
      </c>
      <c r="AS235" s="6">
        <v>-6.4618417</v>
      </c>
      <c r="AT235" s="6">
        <v>-6.4506396</v>
      </c>
      <c r="AU235" s="6">
        <v>0.97344833</v>
      </c>
      <c r="AV235" s="6">
        <v>0.96974131</v>
      </c>
      <c r="AW235" s="6">
        <v>0.97311308</v>
      </c>
      <c r="AX235" s="6">
        <v>0.96580418</v>
      </c>
      <c r="AY235" s="6">
        <v>0.96229362</v>
      </c>
      <c r="AZ235" s="6">
        <v>0.97128734</v>
      </c>
      <c r="BA235" s="6">
        <v>0.96960354</v>
      </c>
      <c r="BB235" s="6">
        <v>0.02655167</v>
      </c>
      <c r="BC235" s="6">
        <v>0.03025869</v>
      </c>
      <c r="BD235" s="6">
        <v>0.02688692</v>
      </c>
      <c r="BE235" s="6">
        <v>0.03419582</v>
      </c>
      <c r="BF235" s="6">
        <v>0.03770638</v>
      </c>
      <c r="BG235" s="6">
        <v>0.02871266</v>
      </c>
      <c r="BH235" s="6">
        <v>0.03039646</v>
      </c>
      <c r="BI235" s="6">
        <v>0.21470859</v>
      </c>
      <c r="BJ235" s="6">
        <v>0.12366373</v>
      </c>
      <c r="BK235" s="6">
        <v>0.1409291</v>
      </c>
      <c r="BL235" s="6">
        <v>0.12522516</v>
      </c>
      <c r="BM235" s="6">
        <v>0.1592662</v>
      </c>
      <c r="BN235" s="6">
        <v>0.17561655</v>
      </c>
      <c r="BO235" s="6">
        <v>0.1337285</v>
      </c>
      <c r="BP235" s="6">
        <v>0.14157076</v>
      </c>
      <c r="BQ235" s="6">
        <v>0.04132586</v>
      </c>
      <c r="BR235" s="6">
        <v>0.03491733</v>
      </c>
      <c r="BS235" s="6">
        <v>0.03801438</v>
      </c>
      <c r="BT235" s="6">
        <v>0.03089624</v>
      </c>
      <c r="BU235" s="6">
        <v>0.03091716</v>
      </c>
      <c r="BV235" s="6">
        <v>0.05407244</v>
      </c>
      <c r="BW235" s="6">
        <v>0.04446613</v>
      </c>
      <c r="BX235" s="12">
        <v>30570</v>
      </c>
      <c r="BY235" s="13">
        <v>9417.23</v>
      </c>
      <c r="BZ235" s="12">
        <v>30933.28</v>
      </c>
      <c r="CA235" s="6">
        <f t="shared" si="22"/>
        <v>3.2461774853115</v>
      </c>
      <c r="CB235" s="6">
        <f t="shared" si="23"/>
        <v>0.988256014234507</v>
      </c>
      <c r="CC235" s="7">
        <v>792333902.3</v>
      </c>
      <c r="CD235" s="7">
        <f t="shared" si="18"/>
        <v>2.56142866938133</v>
      </c>
      <c r="CE235" s="8">
        <v>423.6</v>
      </c>
      <c r="CF235" s="8">
        <v>412.6</v>
      </c>
      <c r="CG235" s="8">
        <v>638.5</v>
      </c>
      <c r="CH235" s="8">
        <v>17357</v>
      </c>
      <c r="CI235" s="14">
        <v>0</v>
      </c>
      <c r="CJ235" s="14">
        <v>0</v>
      </c>
      <c r="CK235" s="14">
        <f t="shared" si="19"/>
        <v>0</v>
      </c>
      <c r="CL235">
        <f t="shared" si="20"/>
        <v>2.71728515287532</v>
      </c>
      <c r="CM235">
        <f t="shared" si="21"/>
        <v>0.057357426521492</v>
      </c>
      <c r="CN235" s="15">
        <v>30570</v>
      </c>
      <c r="CO235" s="15">
        <v>34390</v>
      </c>
      <c r="CP235" s="15">
        <v>2611.9</v>
      </c>
      <c r="CQ235" s="15">
        <v>4626.97</v>
      </c>
      <c r="CR235" s="15">
        <v>588.59</v>
      </c>
      <c r="CS235" s="15">
        <v>30.73</v>
      </c>
      <c r="CT235" s="15">
        <v>1257.74</v>
      </c>
      <c r="CU235" s="15">
        <v>355.43</v>
      </c>
      <c r="CV235" s="15">
        <v>34.5</v>
      </c>
      <c r="CW235" s="15">
        <v>2726.98</v>
      </c>
    </row>
    <row r="236" spans="1:101">
      <c r="A236" s="6">
        <v>2009</v>
      </c>
      <c r="B236" s="6" t="s">
        <v>109</v>
      </c>
      <c r="C236" s="6">
        <v>0.28277175</v>
      </c>
      <c r="D236" s="6">
        <v>0.048332</v>
      </c>
      <c r="E236" s="6">
        <v>0.012267</v>
      </c>
      <c r="F236" s="6">
        <v>0.021472</v>
      </c>
      <c r="G236" s="6">
        <v>0.007257</v>
      </c>
      <c r="H236" s="6">
        <v>0.007336</v>
      </c>
      <c r="I236" s="6">
        <v>0.048592</v>
      </c>
      <c r="J236" s="6">
        <v>0.022865</v>
      </c>
      <c r="K236" s="6">
        <v>0.32755026</v>
      </c>
      <c r="L236" s="6">
        <v>0.2495349</v>
      </c>
      <c r="M236" s="6">
        <v>0.28709314</v>
      </c>
      <c r="N236" s="6">
        <v>0.18604015</v>
      </c>
      <c r="O236" s="6">
        <v>0.188806</v>
      </c>
      <c r="P236" s="6">
        <v>0.45143944</v>
      </c>
      <c r="Q236" s="6">
        <v>0.33898221</v>
      </c>
      <c r="R236" s="6">
        <v>217.69486</v>
      </c>
      <c r="S236" s="6">
        <v>0.00150463</v>
      </c>
      <c r="T236" s="6">
        <v>169.97573</v>
      </c>
      <c r="U236" s="6">
        <v>0.00146806</v>
      </c>
      <c r="V236" s="6">
        <v>197.11803</v>
      </c>
      <c r="W236" s="6">
        <v>0.00145645</v>
      </c>
      <c r="X236" s="6">
        <v>134.47093</v>
      </c>
      <c r="Y236" s="6">
        <v>0.0013835</v>
      </c>
      <c r="Z236" s="6">
        <v>134.86767</v>
      </c>
      <c r="AA236" s="6">
        <v>0.00139994</v>
      </c>
      <c r="AB236" s="6">
        <v>294.9318</v>
      </c>
      <c r="AC236" s="6">
        <v>0.00153066</v>
      </c>
      <c r="AD236" s="6">
        <v>243.86163</v>
      </c>
      <c r="AE236" s="6">
        <v>0.00139006</v>
      </c>
      <c r="AF236" s="6">
        <v>775</v>
      </c>
      <c r="AG236" s="6">
        <v>-0.0097789</v>
      </c>
      <c r="AH236" s="6">
        <v>-0.00957736</v>
      </c>
      <c r="AI236" s="6">
        <v>-0.00951319</v>
      </c>
      <c r="AJ236" s="6">
        <v>-0.00910776</v>
      </c>
      <c r="AK236" s="6">
        <v>-0.00919944</v>
      </c>
      <c r="AL236" s="6">
        <v>-0.00992181</v>
      </c>
      <c r="AM236" s="6">
        <v>-0.00914438</v>
      </c>
      <c r="AN236" s="6">
        <v>-6.4762184</v>
      </c>
      <c r="AO236" s="6">
        <v>-6.4515561</v>
      </c>
      <c r="AP236" s="6">
        <v>-6.4739881</v>
      </c>
      <c r="AQ236" s="6">
        <v>-6.4253629</v>
      </c>
      <c r="AR236" s="6">
        <v>-6.4020076</v>
      </c>
      <c r="AS236" s="6">
        <v>-6.4618417</v>
      </c>
      <c r="AT236" s="6">
        <v>-6.4506396</v>
      </c>
      <c r="AU236" s="6">
        <v>0.97344833</v>
      </c>
      <c r="AV236" s="6">
        <v>0.96974131</v>
      </c>
      <c r="AW236" s="6">
        <v>0.97311308</v>
      </c>
      <c r="AX236" s="6">
        <v>0.96580418</v>
      </c>
      <c r="AY236" s="6">
        <v>0.96229362</v>
      </c>
      <c r="AZ236" s="6">
        <v>0.97128734</v>
      </c>
      <c r="BA236" s="6">
        <v>0.96960354</v>
      </c>
      <c r="BB236" s="6">
        <v>0.02655167</v>
      </c>
      <c r="BC236" s="6">
        <v>0.03025869</v>
      </c>
      <c r="BD236" s="6">
        <v>0.02688692</v>
      </c>
      <c r="BE236" s="6">
        <v>0.03419582</v>
      </c>
      <c r="BF236" s="6">
        <v>0.03770638</v>
      </c>
      <c r="BG236" s="6">
        <v>0.02871266</v>
      </c>
      <c r="BH236" s="6">
        <v>0.03039646</v>
      </c>
      <c r="BI236" s="6">
        <v>0.21470859</v>
      </c>
      <c r="BJ236" s="6">
        <v>0.12366373</v>
      </c>
      <c r="BK236" s="6">
        <v>0.1409291</v>
      </c>
      <c r="BL236" s="6">
        <v>0.12522516</v>
      </c>
      <c r="BM236" s="6">
        <v>0.1592662</v>
      </c>
      <c r="BN236" s="6">
        <v>0.17561655</v>
      </c>
      <c r="BO236" s="6">
        <v>0.1337285</v>
      </c>
      <c r="BP236" s="6">
        <v>0.14157076</v>
      </c>
      <c r="BQ236" s="6">
        <v>0.04050609</v>
      </c>
      <c r="BR236" s="6">
        <v>0.03516673</v>
      </c>
      <c r="BS236" s="6">
        <v>0.03595128</v>
      </c>
      <c r="BT236" s="6">
        <v>0.02962991</v>
      </c>
      <c r="BU236" s="6">
        <v>0.03315746</v>
      </c>
      <c r="BV236" s="6">
        <v>0.06037032</v>
      </c>
      <c r="BW236" s="6">
        <v>0.04798997</v>
      </c>
      <c r="BX236" s="12">
        <v>32420</v>
      </c>
      <c r="BY236" s="13">
        <v>9470.3</v>
      </c>
      <c r="BZ236" s="12">
        <v>33896.65</v>
      </c>
      <c r="CA236" s="6">
        <f t="shared" si="22"/>
        <v>3.42333400209075</v>
      </c>
      <c r="CB236" s="6">
        <f t="shared" si="23"/>
        <v>0.956436698021781</v>
      </c>
      <c r="CC236" s="7">
        <v>837481777.8</v>
      </c>
      <c r="CD236" s="7">
        <f t="shared" si="18"/>
        <v>2.47069187604085</v>
      </c>
      <c r="CE236" s="8">
        <v>448.1</v>
      </c>
      <c r="CF236" s="8">
        <v>432.4</v>
      </c>
      <c r="CG236" s="8">
        <v>739.8</v>
      </c>
      <c r="CH236" s="8">
        <v>18860</v>
      </c>
      <c r="CI236" s="14">
        <v>0</v>
      </c>
      <c r="CJ236" s="14">
        <v>0</v>
      </c>
      <c r="CK236" s="14">
        <f t="shared" si="19"/>
        <v>0</v>
      </c>
      <c r="CL236">
        <f t="shared" si="20"/>
        <v>2.66960201713366</v>
      </c>
      <c r="CM236">
        <f t="shared" si="21"/>
        <v>0.0745092863341387</v>
      </c>
      <c r="CN236" s="15">
        <v>32420</v>
      </c>
      <c r="CO236" s="15">
        <v>34795</v>
      </c>
      <c r="CP236" s="15">
        <v>2922.57</v>
      </c>
      <c r="CQ236" s="15">
        <v>5142.9</v>
      </c>
      <c r="CR236" s="15">
        <v>640.91</v>
      </c>
      <c r="CS236" s="15">
        <v>35.41</v>
      </c>
      <c r="CT236" s="15">
        <v>1334.11</v>
      </c>
      <c r="CU236" s="15">
        <v>404.87</v>
      </c>
      <c r="CV236" s="15">
        <v>40.24</v>
      </c>
      <c r="CW236" s="15">
        <v>2941.07</v>
      </c>
    </row>
    <row r="237" spans="1:101">
      <c r="A237" s="6">
        <v>2010</v>
      </c>
      <c r="B237" s="6" t="s">
        <v>109</v>
      </c>
      <c r="C237" s="6">
        <v>0.27542205</v>
      </c>
      <c r="D237" s="6">
        <v>0.046586</v>
      </c>
      <c r="E237" s="6">
        <v>0.011878</v>
      </c>
      <c r="F237" s="6">
        <v>0.020605</v>
      </c>
      <c r="G237" s="6">
        <v>0.006995</v>
      </c>
      <c r="H237" s="6">
        <v>0.007108</v>
      </c>
      <c r="I237" s="6">
        <v>0.047398</v>
      </c>
      <c r="J237" s="6">
        <v>0.023472</v>
      </c>
      <c r="K237" s="6">
        <v>0.31385639</v>
      </c>
      <c r="L237" s="6">
        <v>0.24032637</v>
      </c>
      <c r="M237" s="6">
        <v>0.27377252</v>
      </c>
      <c r="N237" s="6">
        <v>0.17829112</v>
      </c>
      <c r="O237" s="6">
        <v>0.18191358</v>
      </c>
      <c r="P237" s="6">
        <v>0.43814363</v>
      </c>
      <c r="Q237" s="6">
        <v>0.34980482</v>
      </c>
      <c r="R237" s="6">
        <v>217.69486</v>
      </c>
      <c r="S237" s="6">
        <v>0.00144173</v>
      </c>
      <c r="T237" s="6">
        <v>169.97573</v>
      </c>
      <c r="U237" s="6">
        <v>0.00141389</v>
      </c>
      <c r="V237" s="6">
        <v>197.11803</v>
      </c>
      <c r="W237" s="6">
        <v>0.00138888</v>
      </c>
      <c r="X237" s="6">
        <v>134.47093</v>
      </c>
      <c r="Y237" s="6">
        <v>0.00132587</v>
      </c>
      <c r="Z237" s="6">
        <v>134.86767</v>
      </c>
      <c r="AA237" s="6">
        <v>0.00134883</v>
      </c>
      <c r="AB237" s="6">
        <v>294.9318</v>
      </c>
      <c r="AC237" s="6">
        <v>0.00148558</v>
      </c>
      <c r="AD237" s="6">
        <v>243.86163</v>
      </c>
      <c r="AE237" s="6">
        <v>0.00143444</v>
      </c>
      <c r="AF237" s="6">
        <v>775</v>
      </c>
      <c r="AG237" s="6">
        <v>-0.00943165</v>
      </c>
      <c r="AH237" s="6">
        <v>-0.00927709</v>
      </c>
      <c r="AI237" s="6">
        <v>-0.00913778</v>
      </c>
      <c r="AJ237" s="6">
        <v>-0.00878481</v>
      </c>
      <c r="AK237" s="6">
        <v>-0.00891377</v>
      </c>
      <c r="AL237" s="6">
        <v>-0.009674</v>
      </c>
      <c r="AM237" s="6">
        <v>-0.00939125</v>
      </c>
      <c r="AN237" s="6">
        <v>-6.4762184</v>
      </c>
      <c r="AO237" s="6">
        <v>-6.4515561</v>
      </c>
      <c r="AP237" s="6">
        <v>-6.4739881</v>
      </c>
      <c r="AQ237" s="6">
        <v>-6.4253629</v>
      </c>
      <c r="AR237" s="6">
        <v>-6.4020076</v>
      </c>
      <c r="AS237" s="6">
        <v>-6.4618417</v>
      </c>
      <c r="AT237" s="6">
        <v>-6.4506396</v>
      </c>
      <c r="AU237" s="6">
        <v>0.97344833</v>
      </c>
      <c r="AV237" s="6">
        <v>0.96974131</v>
      </c>
      <c r="AW237" s="6">
        <v>0.97311308</v>
      </c>
      <c r="AX237" s="6">
        <v>0.96580418</v>
      </c>
      <c r="AY237" s="6">
        <v>0.96229362</v>
      </c>
      <c r="AZ237" s="6">
        <v>0.97128734</v>
      </c>
      <c r="BA237" s="6">
        <v>0.96960354</v>
      </c>
      <c r="BB237" s="6">
        <v>0.02655167</v>
      </c>
      <c r="BC237" s="6">
        <v>0.03025869</v>
      </c>
      <c r="BD237" s="6">
        <v>0.02688692</v>
      </c>
      <c r="BE237" s="6">
        <v>0.03419582</v>
      </c>
      <c r="BF237" s="6">
        <v>0.03770638</v>
      </c>
      <c r="BG237" s="6">
        <v>0.02871266</v>
      </c>
      <c r="BH237" s="6">
        <v>0.03039646</v>
      </c>
      <c r="BI237" s="6">
        <v>0.21470859</v>
      </c>
      <c r="BJ237" s="6">
        <v>0.12366373</v>
      </c>
      <c r="BK237" s="6">
        <v>0.1409291</v>
      </c>
      <c r="BL237" s="6">
        <v>0.12522516</v>
      </c>
      <c r="BM237" s="6">
        <v>0.1592662</v>
      </c>
      <c r="BN237" s="6">
        <v>0.17561655</v>
      </c>
      <c r="BO237" s="6">
        <v>0.1337285</v>
      </c>
      <c r="BP237" s="6">
        <v>0.14157076</v>
      </c>
      <c r="BQ237" s="6">
        <v>0.03881265</v>
      </c>
      <c r="BR237" s="6">
        <v>0.03386898</v>
      </c>
      <c r="BS237" s="6">
        <v>0.03428321</v>
      </c>
      <c r="BT237" s="6">
        <v>0.02839575</v>
      </c>
      <c r="BU237" s="6">
        <v>0.03194704</v>
      </c>
      <c r="BV237" s="6">
        <v>0.05859229</v>
      </c>
      <c r="BW237" s="6">
        <v>0.04952214</v>
      </c>
      <c r="BX237" s="12">
        <v>34808</v>
      </c>
      <c r="BY237" s="13">
        <v>9587.87</v>
      </c>
      <c r="BZ237" s="12">
        <v>39169.92</v>
      </c>
      <c r="CA237" s="6">
        <f t="shared" si="22"/>
        <v>3.63042052092905</v>
      </c>
      <c r="CB237" s="6">
        <f t="shared" si="23"/>
        <v>0.888641079685636</v>
      </c>
      <c r="CC237" s="7">
        <v>885781644.2</v>
      </c>
      <c r="CD237" s="7">
        <f t="shared" si="18"/>
        <v>2.26138231632845</v>
      </c>
      <c r="CE237" s="8">
        <v>521.9</v>
      </c>
      <c r="CF237" s="8">
        <v>528.6</v>
      </c>
      <c r="CG237" s="8">
        <v>970.1</v>
      </c>
      <c r="CH237" s="8">
        <v>23323</v>
      </c>
      <c r="CI237" s="14">
        <v>0</v>
      </c>
      <c r="CJ237" s="14">
        <v>0</v>
      </c>
      <c r="CK237" s="14">
        <f t="shared" si="19"/>
        <v>0</v>
      </c>
      <c r="CL237">
        <f t="shared" si="20"/>
        <v>2.40850270516871</v>
      </c>
      <c r="CM237">
        <f t="shared" si="21"/>
        <v>0.0610837548675093</v>
      </c>
      <c r="CN237" s="15">
        <v>34807.77</v>
      </c>
      <c r="CO237" s="15">
        <v>37327.89</v>
      </c>
      <c r="CP237" s="15">
        <v>3067.58</v>
      </c>
      <c r="CQ237" s="15">
        <v>5593.4</v>
      </c>
      <c r="CR237" s="15">
        <v>802.4</v>
      </c>
      <c r="CS237" s="15">
        <v>38.61</v>
      </c>
      <c r="CT237" s="15">
        <v>1448.12</v>
      </c>
      <c r="CU237" s="15">
        <v>1286.77</v>
      </c>
      <c r="CV237" s="15">
        <v>47.01</v>
      </c>
      <c r="CW237" s="15">
        <v>3298.46</v>
      </c>
    </row>
    <row r="238" spans="1:101">
      <c r="A238" s="6">
        <v>2011</v>
      </c>
      <c r="B238" s="6" t="s">
        <v>109</v>
      </c>
      <c r="C238" s="6">
        <v>0.32892398</v>
      </c>
      <c r="D238" s="6">
        <v>0.055329</v>
      </c>
      <c r="E238" s="6">
        <v>0.013825</v>
      </c>
      <c r="F238" s="6">
        <v>0.02506</v>
      </c>
      <c r="G238" s="6">
        <v>0.007782</v>
      </c>
      <c r="H238" s="6">
        <v>0.008661</v>
      </c>
      <c r="I238" s="6">
        <v>0.052961</v>
      </c>
      <c r="J238" s="6">
        <v>0.027313</v>
      </c>
      <c r="K238" s="6">
        <v>0.38243193</v>
      </c>
      <c r="L238" s="6">
        <v>0.28636534</v>
      </c>
      <c r="M238" s="6">
        <v>0.34225117</v>
      </c>
      <c r="N238" s="6">
        <v>0.20155873</v>
      </c>
      <c r="O238" s="6">
        <v>0.2289604</v>
      </c>
      <c r="P238" s="6">
        <v>0.50010966</v>
      </c>
      <c r="Q238" s="6">
        <v>0.41834708</v>
      </c>
      <c r="R238" s="6">
        <v>217.69486</v>
      </c>
      <c r="S238" s="6">
        <v>0.00175673</v>
      </c>
      <c r="T238" s="6">
        <v>169.97573</v>
      </c>
      <c r="U238" s="6">
        <v>0.00168474</v>
      </c>
      <c r="V238" s="6">
        <v>197.11803</v>
      </c>
      <c r="W238" s="6">
        <v>0.00173628</v>
      </c>
      <c r="X238" s="6">
        <v>134.47093</v>
      </c>
      <c r="Y238" s="6">
        <v>0.0014989</v>
      </c>
      <c r="Z238" s="6">
        <v>134.86767</v>
      </c>
      <c r="AA238" s="6">
        <v>0.00169767</v>
      </c>
      <c r="AB238" s="6">
        <v>294.9318</v>
      </c>
      <c r="AC238" s="6">
        <v>0.00169568</v>
      </c>
      <c r="AD238" s="6">
        <v>243.86163</v>
      </c>
      <c r="AE238" s="6">
        <v>0.00171551</v>
      </c>
      <c r="AF238" s="6">
        <v>775</v>
      </c>
      <c r="AG238" s="6">
        <v>-0.01114524</v>
      </c>
      <c r="AH238" s="6">
        <v>-0.01075901</v>
      </c>
      <c r="AI238" s="6">
        <v>-0.01103579</v>
      </c>
      <c r="AJ238" s="6">
        <v>-0.00974739</v>
      </c>
      <c r="AK238" s="6">
        <v>-0.01082857</v>
      </c>
      <c r="AL238" s="6">
        <v>-0.01081788</v>
      </c>
      <c r="AM238" s="6">
        <v>-0.01092445</v>
      </c>
      <c r="AN238" s="6">
        <v>-6.4762184</v>
      </c>
      <c r="AO238" s="6">
        <v>-6.4515561</v>
      </c>
      <c r="AP238" s="6">
        <v>-6.4739881</v>
      </c>
      <c r="AQ238" s="6">
        <v>-6.4253629</v>
      </c>
      <c r="AR238" s="6">
        <v>-6.4020076</v>
      </c>
      <c r="AS238" s="6">
        <v>-6.4618417</v>
      </c>
      <c r="AT238" s="6">
        <v>-6.4506396</v>
      </c>
      <c r="AU238" s="6">
        <v>0.97344833</v>
      </c>
      <c r="AV238" s="6">
        <v>0.96974131</v>
      </c>
      <c r="AW238" s="6">
        <v>0.97311308</v>
      </c>
      <c r="AX238" s="6">
        <v>0.96580418</v>
      </c>
      <c r="AY238" s="6">
        <v>0.96229362</v>
      </c>
      <c r="AZ238" s="6">
        <v>0.97128734</v>
      </c>
      <c r="BA238" s="6">
        <v>0.96960354</v>
      </c>
      <c r="BB238" s="6">
        <v>0.02655167</v>
      </c>
      <c r="BC238" s="6">
        <v>0.03025869</v>
      </c>
      <c r="BD238" s="6">
        <v>0.02688692</v>
      </c>
      <c r="BE238" s="6">
        <v>0.03419582</v>
      </c>
      <c r="BF238" s="6">
        <v>0.03770638</v>
      </c>
      <c r="BG238" s="6">
        <v>0.02871266</v>
      </c>
      <c r="BH238" s="6">
        <v>0.03039646</v>
      </c>
      <c r="BI238" s="6">
        <v>0.21470859</v>
      </c>
      <c r="BJ238" s="6">
        <v>0.12366373</v>
      </c>
      <c r="BK238" s="6">
        <v>0.1409291</v>
      </c>
      <c r="BL238" s="6">
        <v>0.12522516</v>
      </c>
      <c r="BM238" s="6">
        <v>0.1592662</v>
      </c>
      <c r="BN238" s="6">
        <v>0.17561655</v>
      </c>
      <c r="BO238" s="6">
        <v>0.1337285</v>
      </c>
      <c r="BP238" s="6">
        <v>0.14157076</v>
      </c>
      <c r="BQ238" s="6">
        <v>0.04729296</v>
      </c>
      <c r="BR238" s="6">
        <v>0.04035721</v>
      </c>
      <c r="BS238" s="6">
        <v>0.04285846</v>
      </c>
      <c r="BT238" s="6">
        <v>0.03210149</v>
      </c>
      <c r="BU238" s="6">
        <v>0.04020924</v>
      </c>
      <c r="BV238" s="6">
        <v>0.06687891</v>
      </c>
      <c r="BW238" s="6">
        <v>0.05922572</v>
      </c>
      <c r="BX238" s="12">
        <v>37132</v>
      </c>
      <c r="BY238" s="13">
        <v>9665</v>
      </c>
      <c r="BZ238" s="12">
        <v>45361.85</v>
      </c>
      <c r="CA238" s="6">
        <f t="shared" si="22"/>
        <v>3.84190377651319</v>
      </c>
      <c r="CB238" s="6">
        <f t="shared" si="23"/>
        <v>0.81857331656447</v>
      </c>
      <c r="CC238" s="7">
        <v>946649121.9</v>
      </c>
      <c r="CD238" s="7">
        <f t="shared" si="18"/>
        <v>2.08688385041615</v>
      </c>
      <c r="CE238" s="8">
        <v>636.6</v>
      </c>
      <c r="CF238" s="8">
        <v>671.3</v>
      </c>
      <c r="CG238" s="8">
        <v>1155.9</v>
      </c>
      <c r="CH238" s="8">
        <v>28014</v>
      </c>
      <c r="CI238" s="14">
        <v>0</v>
      </c>
      <c r="CJ238" s="14">
        <v>0</v>
      </c>
      <c r="CK238" s="14">
        <f t="shared" si="19"/>
        <v>0</v>
      </c>
      <c r="CL238">
        <f t="shared" si="20"/>
        <v>2.18035126729488</v>
      </c>
      <c r="CM238">
        <f t="shared" si="21"/>
        <v>0.0428680544647714</v>
      </c>
      <c r="CN238" s="15">
        <v>37132</v>
      </c>
      <c r="CO238" s="15">
        <v>38921</v>
      </c>
      <c r="CP238" s="15">
        <v>3314.77</v>
      </c>
      <c r="CQ238" s="15">
        <v>5826.37</v>
      </c>
      <c r="CR238" s="15">
        <v>806.41</v>
      </c>
      <c r="CS238" s="15">
        <v>39.66</v>
      </c>
      <c r="CT238" s="15">
        <v>1664.29</v>
      </c>
      <c r="CU238" s="15">
        <v>41.83</v>
      </c>
      <c r="CV238" s="15">
        <v>52.86</v>
      </c>
      <c r="CW238" s="15">
        <v>3635</v>
      </c>
    </row>
    <row r="239" spans="1:101">
      <c r="A239" s="6">
        <v>2012</v>
      </c>
      <c r="B239" s="6" t="s">
        <v>109</v>
      </c>
      <c r="C239" s="6">
        <v>0.31156832</v>
      </c>
      <c r="D239" s="6">
        <v>0.05347</v>
      </c>
      <c r="E239" s="6">
        <v>0.014006</v>
      </c>
      <c r="F239" s="6">
        <v>0.024278</v>
      </c>
      <c r="G239" s="6">
        <v>0.00789</v>
      </c>
      <c r="H239" s="6">
        <v>0.007296</v>
      </c>
      <c r="I239" s="6">
        <v>0.051828</v>
      </c>
      <c r="J239" s="6">
        <v>0.024856</v>
      </c>
      <c r="K239" s="6">
        <v>0.36785721</v>
      </c>
      <c r="L239" s="6">
        <v>0.29065344</v>
      </c>
      <c r="M239" s="6">
        <v>0.3302345</v>
      </c>
      <c r="N239" s="6">
        <v>0.20473419</v>
      </c>
      <c r="O239" s="6">
        <v>0.18759427</v>
      </c>
      <c r="P239" s="6">
        <v>0.48749103</v>
      </c>
      <c r="Q239" s="6">
        <v>0.37450663</v>
      </c>
      <c r="R239" s="6">
        <v>217.69486</v>
      </c>
      <c r="S239" s="6">
        <v>0.00168978</v>
      </c>
      <c r="T239" s="6">
        <v>169.97573</v>
      </c>
      <c r="U239" s="6">
        <v>0.00170997</v>
      </c>
      <c r="V239" s="6">
        <v>197.11803</v>
      </c>
      <c r="W239" s="6">
        <v>0.00167531</v>
      </c>
      <c r="X239" s="6">
        <v>134.47093</v>
      </c>
      <c r="Y239" s="6">
        <v>0.00152252</v>
      </c>
      <c r="Z239" s="6">
        <v>134.86767</v>
      </c>
      <c r="AA239" s="6">
        <v>0.00139095</v>
      </c>
      <c r="AB239" s="6">
        <v>294.9318</v>
      </c>
      <c r="AC239" s="6">
        <v>0.00165289</v>
      </c>
      <c r="AD239" s="6">
        <v>243.86163</v>
      </c>
      <c r="AE239" s="6">
        <v>0.00153573</v>
      </c>
      <c r="AF239" s="6">
        <v>775</v>
      </c>
      <c r="AG239" s="6">
        <v>-0.01078615</v>
      </c>
      <c r="AH239" s="6">
        <v>-0.0108947</v>
      </c>
      <c r="AI239" s="6">
        <v>-0.01070819</v>
      </c>
      <c r="AJ239" s="6">
        <v>-0.00987716</v>
      </c>
      <c r="AK239" s="6">
        <v>-0.00914935</v>
      </c>
      <c r="AL239" s="6">
        <v>-0.01058716</v>
      </c>
      <c r="AM239" s="6">
        <v>-0.00994963</v>
      </c>
      <c r="AN239" s="6">
        <v>-6.4762184</v>
      </c>
      <c r="AO239" s="6">
        <v>-6.4515561</v>
      </c>
      <c r="AP239" s="6">
        <v>-6.4739881</v>
      </c>
      <c r="AQ239" s="6">
        <v>-6.4253629</v>
      </c>
      <c r="AR239" s="6">
        <v>-6.4020076</v>
      </c>
      <c r="AS239" s="6">
        <v>-6.4618417</v>
      </c>
      <c r="AT239" s="6">
        <v>-6.4506396</v>
      </c>
      <c r="AU239" s="6">
        <v>0.97344833</v>
      </c>
      <c r="AV239" s="6">
        <v>0.96974131</v>
      </c>
      <c r="AW239" s="6">
        <v>0.97311308</v>
      </c>
      <c r="AX239" s="6">
        <v>0.96580418</v>
      </c>
      <c r="AY239" s="6">
        <v>0.96229362</v>
      </c>
      <c r="AZ239" s="6">
        <v>0.97128734</v>
      </c>
      <c r="BA239" s="6">
        <v>0.96960354</v>
      </c>
      <c r="BB239" s="6">
        <v>0.02655167</v>
      </c>
      <c r="BC239" s="6">
        <v>0.03025869</v>
      </c>
      <c r="BD239" s="6">
        <v>0.02688692</v>
      </c>
      <c r="BE239" s="6">
        <v>0.03419582</v>
      </c>
      <c r="BF239" s="6">
        <v>0.03770638</v>
      </c>
      <c r="BG239" s="6">
        <v>0.02871266</v>
      </c>
      <c r="BH239" s="6">
        <v>0.03039646</v>
      </c>
      <c r="BI239" s="6">
        <v>0.21470859</v>
      </c>
      <c r="BJ239" s="6">
        <v>0.12366373</v>
      </c>
      <c r="BK239" s="6">
        <v>0.1409291</v>
      </c>
      <c r="BL239" s="6">
        <v>0.12522516</v>
      </c>
      <c r="BM239" s="6">
        <v>0.1592662</v>
      </c>
      <c r="BN239" s="6">
        <v>0.17561655</v>
      </c>
      <c r="BO239" s="6">
        <v>0.1337285</v>
      </c>
      <c r="BP239" s="6">
        <v>0.14157076</v>
      </c>
      <c r="BQ239" s="6">
        <v>0.0454906</v>
      </c>
      <c r="BR239" s="6">
        <v>0.04096153</v>
      </c>
      <c r="BS239" s="6">
        <v>0.04135367</v>
      </c>
      <c r="BT239" s="6">
        <v>0.03260724</v>
      </c>
      <c r="BU239" s="6">
        <v>0.03294466</v>
      </c>
      <c r="BV239" s="6">
        <v>0.06519144</v>
      </c>
      <c r="BW239" s="6">
        <v>0.05301919</v>
      </c>
      <c r="BX239" s="12">
        <v>38899</v>
      </c>
      <c r="BY239" s="13">
        <v>9708</v>
      </c>
      <c r="BZ239" s="12">
        <v>50013.24</v>
      </c>
      <c r="CA239" s="6">
        <f t="shared" si="22"/>
        <v>4.00690152451586</v>
      </c>
      <c r="CB239" s="6">
        <f t="shared" si="23"/>
        <v>0.777774045432769</v>
      </c>
      <c r="CC239" s="7">
        <v>973402455.7</v>
      </c>
      <c r="CD239" s="7">
        <f t="shared" si="18"/>
        <v>1.94628953393142</v>
      </c>
      <c r="CE239" s="8">
        <v>683.9</v>
      </c>
      <c r="CF239" s="8">
        <v>747.2</v>
      </c>
      <c r="CG239" s="8">
        <v>1358.3</v>
      </c>
      <c r="CH239" s="8">
        <v>30993</v>
      </c>
      <c r="CI239" s="14">
        <v>0</v>
      </c>
      <c r="CJ239" s="14">
        <v>0</v>
      </c>
      <c r="CK239" s="14">
        <f t="shared" si="19"/>
        <v>0</v>
      </c>
      <c r="CL239">
        <f t="shared" si="20"/>
        <v>2.01609935715007</v>
      </c>
      <c r="CM239">
        <f t="shared" si="21"/>
        <v>0.0346261819741541</v>
      </c>
      <c r="CN239" s="15">
        <v>38899.25</v>
      </c>
      <c r="CO239" s="15">
        <v>40233</v>
      </c>
      <c r="CP239" s="15">
        <v>3506.05</v>
      </c>
      <c r="CQ239" s="15">
        <v>6271.5</v>
      </c>
      <c r="CR239" s="15">
        <v>811.58</v>
      </c>
      <c r="CS239" s="15">
        <v>77.08</v>
      </c>
      <c r="CT239" s="15">
        <v>1814.34</v>
      </c>
      <c r="CU239" s="15">
        <v>1695.2</v>
      </c>
      <c r="CV239" s="15">
        <v>67.23</v>
      </c>
      <c r="CW239" s="15">
        <v>3794.55</v>
      </c>
    </row>
    <row r="240" spans="1:101">
      <c r="A240" s="6">
        <v>2013</v>
      </c>
      <c r="B240" s="6" t="s">
        <v>109</v>
      </c>
      <c r="C240" s="6">
        <v>0.35044903</v>
      </c>
      <c r="D240" s="6">
        <v>0.059515</v>
      </c>
      <c r="E240" s="6">
        <v>0.015031</v>
      </c>
      <c r="F240" s="6">
        <v>0.026929</v>
      </c>
      <c r="G240" s="6">
        <v>0.008598</v>
      </c>
      <c r="H240" s="6">
        <v>0.008957</v>
      </c>
      <c r="I240" s="6">
        <v>0.055046</v>
      </c>
      <c r="J240" s="6">
        <v>0.027839</v>
      </c>
      <c r="K240" s="6">
        <v>0.41527235</v>
      </c>
      <c r="L240" s="6">
        <v>0.31487363</v>
      </c>
      <c r="M240" s="6">
        <v>0.37097869</v>
      </c>
      <c r="N240" s="6">
        <v>0.2256594</v>
      </c>
      <c r="O240" s="6">
        <v>0.23794334</v>
      </c>
      <c r="P240" s="6">
        <v>0.52332804</v>
      </c>
      <c r="Q240" s="6">
        <v>0.42772679</v>
      </c>
      <c r="R240" s="6">
        <v>217.69486</v>
      </c>
      <c r="S240" s="6">
        <v>0.00190759</v>
      </c>
      <c r="T240" s="6">
        <v>169.97573</v>
      </c>
      <c r="U240" s="6">
        <v>0.00185246</v>
      </c>
      <c r="V240" s="6">
        <v>197.11803</v>
      </c>
      <c r="W240" s="6">
        <v>0.00188201</v>
      </c>
      <c r="X240" s="6">
        <v>134.47093</v>
      </c>
      <c r="Y240" s="6">
        <v>0.00167813</v>
      </c>
      <c r="Z240" s="6">
        <v>134.86767</v>
      </c>
      <c r="AA240" s="6">
        <v>0.00176427</v>
      </c>
      <c r="AB240" s="6">
        <v>294.9318</v>
      </c>
      <c r="AC240" s="6">
        <v>0.0017744</v>
      </c>
      <c r="AD240" s="6">
        <v>243.86163</v>
      </c>
      <c r="AE240" s="6">
        <v>0.00175397</v>
      </c>
      <c r="AF240" s="6">
        <v>775</v>
      </c>
      <c r="AG240" s="6">
        <v>-0.01194516</v>
      </c>
      <c r="AH240" s="6">
        <v>-0.01165428</v>
      </c>
      <c r="AI240" s="6">
        <v>-0.01181041</v>
      </c>
      <c r="AJ240" s="6">
        <v>-0.01072336</v>
      </c>
      <c r="AK240" s="6">
        <v>-0.01118552</v>
      </c>
      <c r="AL240" s="6">
        <v>-0.01123959</v>
      </c>
      <c r="AM240" s="6">
        <v>-0.01113049</v>
      </c>
      <c r="AN240" s="6">
        <v>-6.4762184</v>
      </c>
      <c r="AO240" s="6">
        <v>-6.4515561</v>
      </c>
      <c r="AP240" s="6">
        <v>-6.4739881</v>
      </c>
      <c r="AQ240" s="6">
        <v>-6.4253629</v>
      </c>
      <c r="AR240" s="6">
        <v>-6.4020076</v>
      </c>
      <c r="AS240" s="6">
        <v>-6.4618417</v>
      </c>
      <c r="AT240" s="6">
        <v>-6.4506396</v>
      </c>
      <c r="AU240" s="6">
        <v>0.97344833</v>
      </c>
      <c r="AV240" s="6">
        <v>0.96974131</v>
      </c>
      <c r="AW240" s="6">
        <v>0.97311308</v>
      </c>
      <c r="AX240" s="6">
        <v>0.96580418</v>
      </c>
      <c r="AY240" s="6">
        <v>0.96229362</v>
      </c>
      <c r="AZ240" s="6">
        <v>0.97128734</v>
      </c>
      <c r="BA240" s="6">
        <v>0.96960354</v>
      </c>
      <c r="BB240" s="6">
        <v>0.02655167</v>
      </c>
      <c r="BC240" s="6">
        <v>0.03025869</v>
      </c>
      <c r="BD240" s="6">
        <v>0.02688692</v>
      </c>
      <c r="BE240" s="6">
        <v>0.03419582</v>
      </c>
      <c r="BF240" s="6">
        <v>0.03770638</v>
      </c>
      <c r="BG240" s="6">
        <v>0.02871266</v>
      </c>
      <c r="BH240" s="6">
        <v>0.03039646</v>
      </c>
      <c r="BI240" s="6">
        <v>0.21470859</v>
      </c>
      <c r="BJ240" s="6">
        <v>0.12366373</v>
      </c>
      <c r="BK240" s="6">
        <v>0.1409291</v>
      </c>
      <c r="BL240" s="6">
        <v>0.12522516</v>
      </c>
      <c r="BM240" s="6">
        <v>0.1592662</v>
      </c>
      <c r="BN240" s="6">
        <v>0.17561655</v>
      </c>
      <c r="BO240" s="6">
        <v>0.1337285</v>
      </c>
      <c r="BP240" s="6">
        <v>0.14157076</v>
      </c>
      <c r="BQ240" s="6">
        <v>0.05135413</v>
      </c>
      <c r="BR240" s="6">
        <v>0.04437486</v>
      </c>
      <c r="BS240" s="6">
        <v>0.04645587</v>
      </c>
      <c r="BT240" s="6">
        <v>0.03593992</v>
      </c>
      <c r="BU240" s="6">
        <v>0.04178679</v>
      </c>
      <c r="BV240" s="6">
        <v>0.06998387</v>
      </c>
      <c r="BW240" s="6">
        <v>0.06055361</v>
      </c>
      <c r="BX240" s="12">
        <v>35358</v>
      </c>
      <c r="BY240" s="13">
        <v>9746</v>
      </c>
      <c r="BZ240" s="12">
        <v>55230.32</v>
      </c>
      <c r="CA240" s="6">
        <f t="shared" si="22"/>
        <v>3.62794992817566</v>
      </c>
      <c r="CB240" s="6">
        <f t="shared" si="23"/>
        <v>0.640191836657836</v>
      </c>
      <c r="CC240" s="7">
        <v>1025066720</v>
      </c>
      <c r="CD240" s="7">
        <f t="shared" si="18"/>
        <v>1.85598548043901</v>
      </c>
      <c r="CE240" s="8">
        <v>723.6</v>
      </c>
      <c r="CF240" s="8">
        <v>750.9</v>
      </c>
      <c r="CG240" s="8">
        <v>1641.4</v>
      </c>
      <c r="CH240" s="8">
        <v>34053</v>
      </c>
      <c r="CI240" s="14">
        <v>0</v>
      </c>
      <c r="CJ240" s="14">
        <v>0</v>
      </c>
      <c r="CK240" s="14">
        <f t="shared" si="19"/>
        <v>0</v>
      </c>
      <c r="CL240">
        <f t="shared" si="20"/>
        <v>1.91398219724656</v>
      </c>
      <c r="CM240">
        <f t="shared" si="21"/>
        <v>0.0303015967917484</v>
      </c>
      <c r="CN240" s="15">
        <v>35358</v>
      </c>
      <c r="CO240" s="15">
        <v>37683.44</v>
      </c>
      <c r="CP240" s="15">
        <v>3680.29</v>
      </c>
      <c r="CQ240" s="15">
        <v>6766.01</v>
      </c>
      <c r="CR240" s="15">
        <v>705.41</v>
      </c>
      <c r="CS240" s="15">
        <v>4.5</v>
      </c>
      <c r="CT240" s="15">
        <v>1262.92</v>
      </c>
      <c r="CU240" s="15">
        <v>2139.16</v>
      </c>
      <c r="CV240" s="15">
        <v>68.8</v>
      </c>
      <c r="CW240" s="15">
        <v>4083.12</v>
      </c>
    </row>
    <row r="241" spans="1:101">
      <c r="A241" s="6">
        <v>2014</v>
      </c>
      <c r="B241" s="6" t="s">
        <v>109</v>
      </c>
      <c r="C241" s="6">
        <v>0.36864417</v>
      </c>
      <c r="D241" s="6">
        <v>0.063698</v>
      </c>
      <c r="E241" s="6">
        <v>0.016199</v>
      </c>
      <c r="F241" s="6">
        <v>0.028521</v>
      </c>
      <c r="G241" s="6">
        <v>0.009616</v>
      </c>
      <c r="H241" s="6">
        <v>0.009361</v>
      </c>
      <c r="I241" s="6">
        <v>0.057331</v>
      </c>
      <c r="J241" s="6">
        <v>0.026585</v>
      </c>
      <c r="K241" s="6">
        <v>0.44808255</v>
      </c>
      <c r="L241" s="6">
        <v>0.34249957</v>
      </c>
      <c r="M241" s="6">
        <v>0.39544643</v>
      </c>
      <c r="N241" s="6">
        <v>0.25575919</v>
      </c>
      <c r="O241" s="6">
        <v>0.25018918</v>
      </c>
      <c r="P241" s="6">
        <v>0.54878359</v>
      </c>
      <c r="Q241" s="6">
        <v>0.40534816</v>
      </c>
      <c r="R241" s="6">
        <v>217.69486</v>
      </c>
      <c r="S241" s="6">
        <v>0.00205831</v>
      </c>
      <c r="T241" s="6">
        <v>169.97573</v>
      </c>
      <c r="U241" s="6">
        <v>0.00201499</v>
      </c>
      <c r="V241" s="6">
        <v>197.11803</v>
      </c>
      <c r="W241" s="6">
        <v>0.00200614</v>
      </c>
      <c r="X241" s="6">
        <v>134.47093</v>
      </c>
      <c r="Y241" s="6">
        <v>0.00190197</v>
      </c>
      <c r="Z241" s="6">
        <v>134.86767</v>
      </c>
      <c r="AA241" s="6">
        <v>0.00185507</v>
      </c>
      <c r="AB241" s="6">
        <v>294.9318</v>
      </c>
      <c r="AC241" s="6">
        <v>0.00186071</v>
      </c>
      <c r="AD241" s="6">
        <v>243.86163</v>
      </c>
      <c r="AE241" s="6">
        <v>0.00166221</v>
      </c>
      <c r="AF241" s="6">
        <v>775</v>
      </c>
      <c r="AG241" s="6">
        <v>-0.01273242</v>
      </c>
      <c r="AH241" s="6">
        <v>-0.01250733</v>
      </c>
      <c r="AI241" s="6">
        <v>-0.01246123</v>
      </c>
      <c r="AJ241" s="6">
        <v>-0.01191557</v>
      </c>
      <c r="AK241" s="6">
        <v>-0.01166809</v>
      </c>
      <c r="AL241" s="6">
        <v>-0.01169793</v>
      </c>
      <c r="AM241" s="6">
        <v>-0.01063747</v>
      </c>
      <c r="AN241" s="6">
        <v>-6.4762184</v>
      </c>
      <c r="AO241" s="6">
        <v>-6.4515561</v>
      </c>
      <c r="AP241" s="6">
        <v>-6.4739881</v>
      </c>
      <c r="AQ241" s="6">
        <v>-6.4253629</v>
      </c>
      <c r="AR241" s="6">
        <v>-6.4020076</v>
      </c>
      <c r="AS241" s="6">
        <v>-6.4618417</v>
      </c>
      <c r="AT241" s="6">
        <v>-6.4506396</v>
      </c>
      <c r="AU241" s="6">
        <v>0.97344833</v>
      </c>
      <c r="AV241" s="6">
        <v>0.96974131</v>
      </c>
      <c r="AW241" s="6">
        <v>0.97311308</v>
      </c>
      <c r="AX241" s="6">
        <v>0.96580418</v>
      </c>
      <c r="AY241" s="6">
        <v>0.96229362</v>
      </c>
      <c r="AZ241" s="6">
        <v>0.97128734</v>
      </c>
      <c r="BA241" s="6">
        <v>0.96960354</v>
      </c>
      <c r="BB241" s="6">
        <v>0.02655167</v>
      </c>
      <c r="BC241" s="6">
        <v>0.03025869</v>
      </c>
      <c r="BD241" s="6">
        <v>0.02688692</v>
      </c>
      <c r="BE241" s="6">
        <v>0.03419582</v>
      </c>
      <c r="BF241" s="6">
        <v>0.03770638</v>
      </c>
      <c r="BG241" s="6">
        <v>0.02871266</v>
      </c>
      <c r="BH241" s="6">
        <v>0.03039646</v>
      </c>
      <c r="BI241" s="6">
        <v>0.21470859</v>
      </c>
      <c r="BJ241" s="6">
        <v>0.12366373</v>
      </c>
      <c r="BK241" s="6">
        <v>0.1409291</v>
      </c>
      <c r="BL241" s="6">
        <v>0.12522516</v>
      </c>
      <c r="BM241" s="6">
        <v>0.1592662</v>
      </c>
      <c r="BN241" s="6">
        <v>0.17561655</v>
      </c>
      <c r="BO241" s="6">
        <v>0.1337285</v>
      </c>
      <c r="BP241" s="6">
        <v>0.14157076</v>
      </c>
      <c r="BQ241" s="6">
        <v>0.05541156</v>
      </c>
      <c r="BR241" s="6">
        <v>0.04826816</v>
      </c>
      <c r="BS241" s="6">
        <v>0.04951984</v>
      </c>
      <c r="BT241" s="6">
        <v>0.0407338</v>
      </c>
      <c r="BU241" s="6">
        <v>0.04393736</v>
      </c>
      <c r="BV241" s="6">
        <v>0.073388</v>
      </c>
      <c r="BW241" s="6">
        <v>0.05738545</v>
      </c>
      <c r="BX241" s="12">
        <v>36511</v>
      </c>
      <c r="BY241" s="13">
        <v>9808</v>
      </c>
      <c r="BZ241" s="12">
        <v>59426.59</v>
      </c>
      <c r="CA241" s="6">
        <f t="shared" si="22"/>
        <v>3.72257340946166</v>
      </c>
      <c r="CB241" s="6">
        <f t="shared" si="23"/>
        <v>0.614388272993621</v>
      </c>
      <c r="CC241" s="7">
        <v>1033078660</v>
      </c>
      <c r="CD241" s="7">
        <f t="shared" si="18"/>
        <v>1.73841147540184</v>
      </c>
      <c r="CE241" s="8">
        <v>793.2</v>
      </c>
      <c r="CF241" s="8">
        <v>826.5</v>
      </c>
      <c r="CG241" s="8">
        <v>1829.3</v>
      </c>
      <c r="CH241" s="8">
        <v>37166</v>
      </c>
      <c r="CI241" s="14">
        <v>0</v>
      </c>
      <c r="CJ241" s="14">
        <v>0</v>
      </c>
      <c r="CK241" s="14">
        <f t="shared" si="19"/>
        <v>0</v>
      </c>
      <c r="CL241">
        <f t="shared" si="20"/>
        <v>1.79640226266579</v>
      </c>
      <c r="CM241">
        <f t="shared" si="21"/>
        <v>0.0322816267097609</v>
      </c>
      <c r="CN241" s="15">
        <v>36510.99</v>
      </c>
      <c r="CO241" s="15">
        <v>39561.73</v>
      </c>
      <c r="CP241" s="15">
        <v>3761.51</v>
      </c>
      <c r="CQ241" s="15">
        <v>7815.9</v>
      </c>
      <c r="CR241" s="15">
        <v>705.32</v>
      </c>
      <c r="CS241" s="15">
        <v>4.57</v>
      </c>
      <c r="CT241" s="15">
        <v>1264.62</v>
      </c>
      <c r="CU241" s="15">
        <v>2472.46</v>
      </c>
      <c r="CV241" s="15">
        <v>74.96</v>
      </c>
      <c r="CW241" s="15">
        <v>4223.49</v>
      </c>
    </row>
    <row r="242" spans="1:101">
      <c r="A242" s="6">
        <v>2015</v>
      </c>
      <c r="B242" s="6" t="s">
        <v>109</v>
      </c>
      <c r="C242" s="6">
        <v>0.34445522</v>
      </c>
      <c r="D242" s="6">
        <v>0.056152</v>
      </c>
      <c r="E242" s="6">
        <v>0.01399</v>
      </c>
      <c r="F242" s="6">
        <v>0.025191</v>
      </c>
      <c r="G242" s="6">
        <v>0.0085</v>
      </c>
      <c r="H242" s="6">
        <v>0.00847</v>
      </c>
      <c r="I242" s="6">
        <v>0.057976</v>
      </c>
      <c r="J242" s="6">
        <v>0.028933</v>
      </c>
      <c r="K242" s="6">
        <v>0.38889435</v>
      </c>
      <c r="L242" s="6">
        <v>0.29027053</v>
      </c>
      <c r="M242" s="6">
        <v>0.34426347</v>
      </c>
      <c r="N242" s="6">
        <v>0.22278263</v>
      </c>
      <c r="O242" s="6">
        <v>0.22319496</v>
      </c>
      <c r="P242" s="6">
        <v>0.55596861</v>
      </c>
      <c r="Q242" s="6">
        <v>0.44725166</v>
      </c>
      <c r="R242" s="6">
        <v>217.69486</v>
      </c>
      <c r="S242" s="6">
        <v>0.00178642</v>
      </c>
      <c r="T242" s="6">
        <v>169.97573</v>
      </c>
      <c r="U242" s="6">
        <v>0.00170772</v>
      </c>
      <c r="V242" s="6">
        <v>197.11803</v>
      </c>
      <c r="W242" s="6">
        <v>0.00174648</v>
      </c>
      <c r="X242" s="6">
        <v>134.47093</v>
      </c>
      <c r="Y242" s="6">
        <v>0.00165673</v>
      </c>
      <c r="Z242" s="6">
        <v>134.86767</v>
      </c>
      <c r="AA242" s="6">
        <v>0.00165492</v>
      </c>
      <c r="AB242" s="6">
        <v>294.9318</v>
      </c>
      <c r="AC242" s="6">
        <v>0.00188508</v>
      </c>
      <c r="AD242" s="6">
        <v>243.86163</v>
      </c>
      <c r="AE242" s="6">
        <v>0.00183404</v>
      </c>
      <c r="AF242" s="6">
        <v>775</v>
      </c>
      <c r="AG242" s="6">
        <v>-0.01130364</v>
      </c>
      <c r="AH242" s="6">
        <v>-0.0108826</v>
      </c>
      <c r="AI242" s="6">
        <v>-0.01109044</v>
      </c>
      <c r="AJ242" s="6">
        <v>-0.01060792</v>
      </c>
      <c r="AK242" s="6">
        <v>-0.0105981</v>
      </c>
      <c r="AL242" s="6">
        <v>-0.01182656</v>
      </c>
      <c r="AM242" s="6">
        <v>-0.01155671</v>
      </c>
      <c r="AN242" s="6">
        <v>-6.4762184</v>
      </c>
      <c r="AO242" s="6">
        <v>-6.4515561</v>
      </c>
      <c r="AP242" s="6">
        <v>-6.4739881</v>
      </c>
      <c r="AQ242" s="6">
        <v>-6.4253629</v>
      </c>
      <c r="AR242" s="6">
        <v>-6.4020076</v>
      </c>
      <c r="AS242" s="6">
        <v>-6.4618417</v>
      </c>
      <c r="AT242" s="6">
        <v>-6.4506396</v>
      </c>
      <c r="AU242" s="6">
        <v>0.97344833</v>
      </c>
      <c r="AV242" s="6">
        <v>0.96974131</v>
      </c>
      <c r="AW242" s="6">
        <v>0.97311308</v>
      </c>
      <c r="AX242" s="6">
        <v>0.96580418</v>
      </c>
      <c r="AY242" s="6">
        <v>0.96229362</v>
      </c>
      <c r="AZ242" s="6">
        <v>0.97128734</v>
      </c>
      <c r="BA242" s="6">
        <v>0.96960354</v>
      </c>
      <c r="BB242" s="6">
        <v>0.02655167</v>
      </c>
      <c r="BC242" s="6">
        <v>0.03025869</v>
      </c>
      <c r="BD242" s="6">
        <v>0.02688692</v>
      </c>
      <c r="BE242" s="6">
        <v>0.03419582</v>
      </c>
      <c r="BF242" s="6">
        <v>0.03770638</v>
      </c>
      <c r="BG242" s="6">
        <v>0.02871266</v>
      </c>
      <c r="BH242" s="6">
        <v>0.03039646</v>
      </c>
      <c r="BI242" s="6">
        <v>0.21470859</v>
      </c>
      <c r="BJ242" s="6">
        <v>0.12366373</v>
      </c>
      <c r="BK242" s="6">
        <v>0.1409291</v>
      </c>
      <c r="BL242" s="6">
        <v>0.12522516</v>
      </c>
      <c r="BM242" s="6">
        <v>0.1592662</v>
      </c>
      <c r="BN242" s="6">
        <v>0.17561655</v>
      </c>
      <c r="BO242" s="6">
        <v>0.1337285</v>
      </c>
      <c r="BP242" s="6">
        <v>0.14157076</v>
      </c>
      <c r="BQ242" s="6">
        <v>0.04809213</v>
      </c>
      <c r="BR242" s="6">
        <v>0.04090756</v>
      </c>
      <c r="BS242" s="6">
        <v>0.04311045</v>
      </c>
      <c r="BT242" s="6">
        <v>0.03548174</v>
      </c>
      <c r="BU242" s="6">
        <v>0.03919673</v>
      </c>
      <c r="BV242" s="6">
        <v>0.07434885</v>
      </c>
      <c r="BW242" s="6">
        <v>0.06331776</v>
      </c>
      <c r="BX242" s="12">
        <v>39332</v>
      </c>
      <c r="BY242" s="13">
        <v>9866</v>
      </c>
      <c r="BZ242" s="12">
        <v>63002.33245</v>
      </c>
      <c r="CA242" s="6">
        <f t="shared" si="22"/>
        <v>3.98662071761606</v>
      </c>
      <c r="CB242" s="6">
        <f t="shared" si="23"/>
        <v>0.62429434705794</v>
      </c>
      <c r="CC242" s="7">
        <v>1040455002</v>
      </c>
      <c r="CD242" s="7">
        <f t="shared" si="18"/>
        <v>1.65145473435563</v>
      </c>
      <c r="CE242" s="8">
        <v>835.4</v>
      </c>
      <c r="CF242" s="8">
        <v>882.9</v>
      </c>
      <c r="CG242" s="8">
        <v>2016</v>
      </c>
      <c r="CH242" s="8">
        <v>39704</v>
      </c>
      <c r="CI242" s="14">
        <v>0</v>
      </c>
      <c r="CJ242" s="14">
        <v>0</v>
      </c>
      <c r="CK242" s="14">
        <f t="shared" si="19"/>
        <v>0</v>
      </c>
      <c r="CL242">
        <f t="shared" si="20"/>
        <v>1.71577514742415</v>
      </c>
      <c r="CM242">
        <f t="shared" si="21"/>
        <v>0.0374876703192013</v>
      </c>
      <c r="CN242" s="15">
        <v>39332</v>
      </c>
      <c r="CO242" s="15">
        <v>43515.9</v>
      </c>
      <c r="CP242" s="15">
        <v>3813.46</v>
      </c>
      <c r="CQ242" s="15">
        <v>8607.02</v>
      </c>
      <c r="CR242" s="15">
        <v>636.19</v>
      </c>
      <c r="CS242" s="15">
        <v>98.5</v>
      </c>
      <c r="CT242" s="15">
        <v>1191.85</v>
      </c>
      <c r="CU242" s="15">
        <v>3247.01</v>
      </c>
      <c r="CV242" s="15">
        <v>82.32</v>
      </c>
      <c r="CW242" s="15">
        <v>5117</v>
      </c>
    </row>
    <row r="243" spans="1:101">
      <c r="A243" s="6">
        <v>2016</v>
      </c>
      <c r="B243" s="6" t="s">
        <v>109</v>
      </c>
      <c r="C243" s="6">
        <v>0.34659949</v>
      </c>
      <c r="D243" s="6">
        <v>0.055353</v>
      </c>
      <c r="E243" s="6">
        <v>0.014098</v>
      </c>
      <c r="F243" s="6">
        <v>0.024522</v>
      </c>
      <c r="G243" s="6">
        <v>0.008313</v>
      </c>
      <c r="H243" s="6">
        <v>0.00842</v>
      </c>
      <c r="I243" s="6">
        <v>0.058533</v>
      </c>
      <c r="J243" s="6">
        <v>0.030585</v>
      </c>
      <c r="K243" s="6">
        <v>0.38262052</v>
      </c>
      <c r="L243" s="6">
        <v>0.29281256</v>
      </c>
      <c r="M243" s="6">
        <v>0.33397489</v>
      </c>
      <c r="N243" s="6">
        <v>0.21725069</v>
      </c>
      <c r="O243" s="6">
        <v>0.22165609</v>
      </c>
      <c r="P243" s="6">
        <v>0.5621666</v>
      </c>
      <c r="Q243" s="6">
        <v>0.47672606</v>
      </c>
      <c r="R243" s="6">
        <v>217.69486</v>
      </c>
      <c r="S243" s="6">
        <v>0.0017576</v>
      </c>
      <c r="T243" s="6">
        <v>169.97573</v>
      </c>
      <c r="U243" s="6">
        <v>0.00172267</v>
      </c>
      <c r="V243" s="6">
        <v>197.11803</v>
      </c>
      <c r="W243" s="6">
        <v>0.00169429</v>
      </c>
      <c r="X243" s="6">
        <v>134.47093</v>
      </c>
      <c r="Y243" s="6">
        <v>0.0016156</v>
      </c>
      <c r="Z243" s="6">
        <v>134.86767</v>
      </c>
      <c r="AA243" s="6">
        <v>0.00164351</v>
      </c>
      <c r="AB243" s="6">
        <v>294.9318</v>
      </c>
      <c r="AC243" s="6">
        <v>0.00190609</v>
      </c>
      <c r="AD243" s="6">
        <v>243.86163</v>
      </c>
      <c r="AE243" s="6">
        <v>0.0019549</v>
      </c>
      <c r="AF243" s="6">
        <v>775</v>
      </c>
      <c r="AG243" s="6">
        <v>-0.01114987</v>
      </c>
      <c r="AH243" s="6">
        <v>-0.01096288</v>
      </c>
      <c r="AI243" s="6">
        <v>-0.0108104</v>
      </c>
      <c r="AJ243" s="6">
        <v>-0.01038513</v>
      </c>
      <c r="AK243" s="6">
        <v>-0.0105364</v>
      </c>
      <c r="AL243" s="6">
        <v>-0.01193727</v>
      </c>
      <c r="AM243" s="6">
        <v>-0.01219355</v>
      </c>
      <c r="AN243" s="6">
        <v>-6.4762184</v>
      </c>
      <c r="AO243" s="6">
        <v>-6.4515561</v>
      </c>
      <c r="AP243" s="6">
        <v>-6.4739881</v>
      </c>
      <c r="AQ243" s="6">
        <v>-6.4253629</v>
      </c>
      <c r="AR243" s="6">
        <v>-6.4020076</v>
      </c>
      <c r="AS243" s="6">
        <v>-6.4618417</v>
      </c>
      <c r="AT243" s="6">
        <v>-6.4506396</v>
      </c>
      <c r="AU243" s="6">
        <v>0.97344833</v>
      </c>
      <c r="AV243" s="6">
        <v>0.96974131</v>
      </c>
      <c r="AW243" s="6">
        <v>0.97311308</v>
      </c>
      <c r="AX243" s="6">
        <v>0.96580418</v>
      </c>
      <c r="AY243" s="6">
        <v>0.96229362</v>
      </c>
      <c r="AZ243" s="6">
        <v>0.97128734</v>
      </c>
      <c r="BA243" s="6">
        <v>0.96960354</v>
      </c>
      <c r="BB243" s="6">
        <v>0.02655167</v>
      </c>
      <c r="BC243" s="6">
        <v>0.03025869</v>
      </c>
      <c r="BD243" s="6">
        <v>0.02688692</v>
      </c>
      <c r="BE243" s="6">
        <v>0.03419582</v>
      </c>
      <c r="BF243" s="6">
        <v>0.03770638</v>
      </c>
      <c r="BG243" s="6">
        <v>0.02871266</v>
      </c>
      <c r="BH243" s="6">
        <v>0.03039646</v>
      </c>
      <c r="BI243" s="6">
        <v>0.21470859</v>
      </c>
      <c r="BJ243" s="6">
        <v>0.12366373</v>
      </c>
      <c r="BK243" s="6">
        <v>0.1409291</v>
      </c>
      <c r="BL243" s="6">
        <v>0.12522516</v>
      </c>
      <c r="BM243" s="6">
        <v>0.1592662</v>
      </c>
      <c r="BN243" s="6">
        <v>0.17561655</v>
      </c>
      <c r="BO243" s="6">
        <v>0.1337285</v>
      </c>
      <c r="BP243" s="6">
        <v>0.14157076</v>
      </c>
      <c r="BQ243" s="6">
        <v>0.04731628</v>
      </c>
      <c r="BR243" s="6">
        <v>0.04126581</v>
      </c>
      <c r="BS243" s="6">
        <v>0.04182206</v>
      </c>
      <c r="BT243" s="6">
        <v>0.03460069</v>
      </c>
      <c r="BU243" s="6">
        <v>0.03892648</v>
      </c>
      <c r="BV243" s="6">
        <v>0.07517769</v>
      </c>
      <c r="BW243" s="6">
        <v>0.06749047</v>
      </c>
      <c r="BX243" s="12">
        <v>40138</v>
      </c>
      <c r="BY243" s="13">
        <v>9973</v>
      </c>
      <c r="BZ243" s="12">
        <v>68024.49</v>
      </c>
      <c r="CA243" s="6">
        <f t="shared" si="22"/>
        <v>4.02466659981951</v>
      </c>
      <c r="CB243" s="6">
        <f t="shared" si="23"/>
        <v>0.590052200317856</v>
      </c>
      <c r="CC243" s="7">
        <v>1059799650</v>
      </c>
      <c r="CD243" s="7">
        <f t="shared" si="18"/>
        <v>1.55796779953808</v>
      </c>
      <c r="CE243" s="8">
        <v>924.7</v>
      </c>
      <c r="CF243" s="8">
        <v>904</v>
      </c>
      <c r="CG243" s="8">
        <v>2261.5</v>
      </c>
      <c r="CH243" s="8">
        <v>43009</v>
      </c>
      <c r="CI243" s="14">
        <v>0</v>
      </c>
      <c r="CJ243" s="14">
        <v>0</v>
      </c>
      <c r="CK243" s="14">
        <f t="shared" si="19"/>
        <v>0</v>
      </c>
      <c r="CL243">
        <f t="shared" si="20"/>
        <v>1.62438398605541</v>
      </c>
      <c r="CM243">
        <f t="shared" si="21"/>
        <v>0.0408869990639407</v>
      </c>
      <c r="CN243" s="15">
        <v>40138</v>
      </c>
      <c r="CO243" s="15">
        <v>42160.4</v>
      </c>
      <c r="CP243" s="15">
        <v>3718.36</v>
      </c>
      <c r="CQ243" s="15">
        <v>10203.42</v>
      </c>
      <c r="CR243" s="15">
        <v>654.21</v>
      </c>
      <c r="CS243" s="15">
        <v>115.23</v>
      </c>
      <c r="CT243" s="15">
        <v>1197.86</v>
      </c>
      <c r="CU243" s="15">
        <v>4511.2</v>
      </c>
      <c r="CV243" s="15">
        <v>98.61</v>
      </c>
      <c r="CW243" s="15">
        <v>5390.75</v>
      </c>
    </row>
    <row r="244" spans="1:101">
      <c r="A244" s="6">
        <v>2017</v>
      </c>
      <c r="B244" s="6" t="s">
        <v>109</v>
      </c>
      <c r="C244" s="6">
        <v>0.38298216</v>
      </c>
      <c r="D244" s="6">
        <v>0.060511</v>
      </c>
      <c r="E244" s="6">
        <v>0.01544</v>
      </c>
      <c r="F244" s="6">
        <v>0.027603</v>
      </c>
      <c r="G244" s="6">
        <v>0.009121</v>
      </c>
      <c r="H244" s="6">
        <v>0.008347</v>
      </c>
      <c r="I244" s="6">
        <v>0.064772</v>
      </c>
      <c r="J244" s="6">
        <v>0.033859</v>
      </c>
      <c r="K244" s="6">
        <v>0.42308314</v>
      </c>
      <c r="L244" s="6">
        <v>0.32454787</v>
      </c>
      <c r="M244" s="6">
        <v>0.38133449</v>
      </c>
      <c r="N244" s="6">
        <v>0.24111058</v>
      </c>
      <c r="O244" s="6">
        <v>0.21945968</v>
      </c>
      <c r="P244" s="6">
        <v>0.63165561</v>
      </c>
      <c r="Q244" s="6">
        <v>0.53513408</v>
      </c>
      <c r="R244" s="6">
        <v>217.69486</v>
      </c>
      <c r="S244" s="6">
        <v>0.00194347</v>
      </c>
      <c r="T244" s="6">
        <v>169.97573</v>
      </c>
      <c r="U244" s="6">
        <v>0.00190938</v>
      </c>
      <c r="V244" s="6">
        <v>197.11803</v>
      </c>
      <c r="W244" s="6">
        <v>0.00193455</v>
      </c>
      <c r="X244" s="6">
        <v>134.47093</v>
      </c>
      <c r="Y244" s="6">
        <v>0.00179303</v>
      </c>
      <c r="Z244" s="6">
        <v>134.86767</v>
      </c>
      <c r="AA244" s="6">
        <v>0.00162722</v>
      </c>
      <c r="AB244" s="6">
        <v>294.9318</v>
      </c>
      <c r="AC244" s="6">
        <v>0.0021417</v>
      </c>
      <c r="AD244" s="6">
        <v>243.86163</v>
      </c>
      <c r="AE244" s="6">
        <v>0.00219442</v>
      </c>
      <c r="AF244" s="6">
        <v>775</v>
      </c>
      <c r="AG244" s="6">
        <v>-0.01213362</v>
      </c>
      <c r="AH244" s="6">
        <v>-0.01195457</v>
      </c>
      <c r="AI244" s="6">
        <v>-0.01208683</v>
      </c>
      <c r="AJ244" s="6">
        <v>-0.01133886</v>
      </c>
      <c r="AK244" s="6">
        <v>-0.0104482</v>
      </c>
      <c r="AL244" s="6">
        <v>-0.01316322</v>
      </c>
      <c r="AM244" s="6">
        <v>-0.01343387</v>
      </c>
      <c r="AN244" s="6">
        <v>-6.4762184</v>
      </c>
      <c r="AO244" s="6">
        <v>-6.4515561</v>
      </c>
      <c r="AP244" s="6">
        <v>-6.4739881</v>
      </c>
      <c r="AQ244" s="6">
        <v>-6.4253629</v>
      </c>
      <c r="AR244" s="6">
        <v>-6.4020076</v>
      </c>
      <c r="AS244" s="6">
        <v>-6.4618417</v>
      </c>
      <c r="AT244" s="6">
        <v>-6.4506396</v>
      </c>
      <c r="AU244" s="6">
        <v>0.97344833</v>
      </c>
      <c r="AV244" s="6">
        <v>0.96974131</v>
      </c>
      <c r="AW244" s="6">
        <v>0.97311308</v>
      </c>
      <c r="AX244" s="6">
        <v>0.96580418</v>
      </c>
      <c r="AY244" s="6">
        <v>0.96229362</v>
      </c>
      <c r="AZ244" s="6">
        <v>0.97128734</v>
      </c>
      <c r="BA244" s="6">
        <v>0.96960354</v>
      </c>
      <c r="BB244" s="6">
        <v>0.02655167</v>
      </c>
      <c r="BC244" s="6">
        <v>0.03025869</v>
      </c>
      <c r="BD244" s="6">
        <v>0.02688692</v>
      </c>
      <c r="BE244" s="6">
        <v>0.03419582</v>
      </c>
      <c r="BF244" s="6">
        <v>0.03770638</v>
      </c>
      <c r="BG244" s="6">
        <v>0.02871266</v>
      </c>
      <c r="BH244" s="6">
        <v>0.03039646</v>
      </c>
      <c r="BI244" s="6">
        <v>0.21470859</v>
      </c>
      <c r="BJ244" s="6">
        <v>0.12366373</v>
      </c>
      <c r="BK244" s="6">
        <v>0.1409291</v>
      </c>
      <c r="BL244" s="6">
        <v>0.12522516</v>
      </c>
      <c r="BM244" s="6">
        <v>0.1592662</v>
      </c>
      <c r="BN244" s="6">
        <v>0.17561655</v>
      </c>
      <c r="BO244" s="6">
        <v>0.1337285</v>
      </c>
      <c r="BP244" s="6">
        <v>0.14157076</v>
      </c>
      <c r="BQ244" s="6">
        <v>0.05232004</v>
      </c>
      <c r="BR244" s="6">
        <v>0.04573824</v>
      </c>
      <c r="BS244" s="6">
        <v>0.04775267</v>
      </c>
      <c r="BT244" s="6">
        <v>0.03840077</v>
      </c>
      <c r="BU244" s="6">
        <v>0.03854075</v>
      </c>
      <c r="BV244" s="6">
        <v>0.08447036</v>
      </c>
      <c r="BW244" s="6">
        <v>0.07575934</v>
      </c>
      <c r="BX244" s="12">
        <v>40098</v>
      </c>
      <c r="BY244" s="13">
        <v>10033</v>
      </c>
      <c r="BZ244" s="12">
        <v>72634.14913</v>
      </c>
      <c r="CA244" s="6">
        <f t="shared" si="22"/>
        <v>3.99661118309578</v>
      </c>
      <c r="CB244" s="6">
        <f t="shared" si="23"/>
        <v>0.552054377731237</v>
      </c>
      <c r="CC244" s="7">
        <v>1072009649</v>
      </c>
      <c r="CD244" s="7">
        <f t="shared" si="18"/>
        <v>1.47590308668905</v>
      </c>
      <c r="CE244" s="8">
        <v>962.8</v>
      </c>
      <c r="CF244" s="8">
        <v>996.4</v>
      </c>
      <c r="CG244" s="8">
        <v>2538.4</v>
      </c>
      <c r="CH244" s="8">
        <v>46631</v>
      </c>
      <c r="CI244" s="14">
        <v>1</v>
      </c>
      <c r="CJ244" s="14">
        <v>0</v>
      </c>
      <c r="CK244" s="14">
        <f t="shared" si="19"/>
        <v>0</v>
      </c>
      <c r="CL244">
        <f t="shared" si="20"/>
        <v>1.56738551218677</v>
      </c>
      <c r="CM244">
        <f t="shared" si="21"/>
        <v>0.0583662569204726</v>
      </c>
      <c r="CN244" s="15">
        <v>40098</v>
      </c>
      <c r="CO244" s="15">
        <v>42003.58</v>
      </c>
      <c r="CP244" s="15">
        <v>3333.6</v>
      </c>
      <c r="CQ244" s="15">
        <v>11487.18</v>
      </c>
      <c r="CR244" s="15">
        <v>655.99</v>
      </c>
      <c r="CS244" s="15">
        <v>113.01</v>
      </c>
      <c r="CT244" s="15">
        <v>1320.78</v>
      </c>
      <c r="CU244" s="15">
        <v>4686.43</v>
      </c>
      <c r="CV244" s="15">
        <v>126.91</v>
      </c>
      <c r="CW244" s="15">
        <v>5430.16</v>
      </c>
    </row>
    <row r="245" spans="1:101">
      <c r="A245" s="6">
        <v>2018</v>
      </c>
      <c r="B245" s="6" t="s">
        <v>109</v>
      </c>
      <c r="C245" s="6">
        <v>0.40070877</v>
      </c>
      <c r="D245" s="6">
        <v>0.063139</v>
      </c>
      <c r="E245" s="6">
        <v>0.015162</v>
      </c>
      <c r="F245" s="6">
        <v>0.028045</v>
      </c>
      <c r="G245" s="6">
        <v>0.009475</v>
      </c>
      <c r="H245" s="6">
        <v>0.010457</v>
      </c>
      <c r="I245" s="6">
        <v>0.064693</v>
      </c>
      <c r="J245" s="6">
        <v>0.034838</v>
      </c>
      <c r="K245" s="6">
        <v>0.44369782</v>
      </c>
      <c r="L245" s="6">
        <v>0.31798464</v>
      </c>
      <c r="M245" s="6">
        <v>0.38812014</v>
      </c>
      <c r="N245" s="6">
        <v>0.25159739</v>
      </c>
      <c r="O245" s="6">
        <v>0.28338417</v>
      </c>
      <c r="P245" s="6">
        <v>0.63077577</v>
      </c>
      <c r="Q245" s="6">
        <v>0.55260801</v>
      </c>
      <c r="R245" s="6">
        <v>217.69486</v>
      </c>
      <c r="S245" s="6">
        <v>0.00203816</v>
      </c>
      <c r="T245" s="6">
        <v>169.97573</v>
      </c>
      <c r="U245" s="6">
        <v>0.00187076</v>
      </c>
      <c r="V245" s="6">
        <v>197.11803</v>
      </c>
      <c r="W245" s="6">
        <v>0.00196897</v>
      </c>
      <c r="X245" s="6">
        <v>134.47093</v>
      </c>
      <c r="Y245" s="6">
        <v>0.00187102</v>
      </c>
      <c r="Z245" s="6">
        <v>134.86767</v>
      </c>
      <c r="AA245" s="6">
        <v>0.0021012</v>
      </c>
      <c r="AB245" s="6">
        <v>294.9318</v>
      </c>
      <c r="AC245" s="6">
        <v>0.00213872</v>
      </c>
      <c r="AD245" s="6">
        <v>243.86163</v>
      </c>
      <c r="AE245" s="6">
        <v>0.00226607</v>
      </c>
      <c r="AF245" s="6">
        <v>775</v>
      </c>
      <c r="AG245" s="6">
        <v>-0.01262786</v>
      </c>
      <c r="AH245" s="6">
        <v>-0.01175104</v>
      </c>
      <c r="AI245" s="6">
        <v>-0.01226718</v>
      </c>
      <c r="AJ245" s="6">
        <v>-0.01175237</v>
      </c>
      <c r="AK245" s="6">
        <v>-0.01295443</v>
      </c>
      <c r="AL245" s="6">
        <v>-0.01314787</v>
      </c>
      <c r="AM245" s="6">
        <v>-0.01379972</v>
      </c>
      <c r="AN245" s="6">
        <v>-6.4762184</v>
      </c>
      <c r="AO245" s="6">
        <v>-6.4515561</v>
      </c>
      <c r="AP245" s="6">
        <v>-6.4739881</v>
      </c>
      <c r="AQ245" s="6">
        <v>-6.4253629</v>
      </c>
      <c r="AR245" s="6">
        <v>-6.4020076</v>
      </c>
      <c r="AS245" s="6">
        <v>-6.4618417</v>
      </c>
      <c r="AT245" s="6">
        <v>-6.4506396</v>
      </c>
      <c r="AU245" s="6">
        <v>0.97344833</v>
      </c>
      <c r="AV245" s="6">
        <v>0.96974131</v>
      </c>
      <c r="AW245" s="6">
        <v>0.97311308</v>
      </c>
      <c r="AX245" s="6">
        <v>0.96580418</v>
      </c>
      <c r="AY245" s="6">
        <v>0.96229362</v>
      </c>
      <c r="AZ245" s="6">
        <v>0.97128734</v>
      </c>
      <c r="BA245" s="6">
        <v>0.96960354</v>
      </c>
      <c r="BB245" s="6">
        <v>0.02655167</v>
      </c>
      <c r="BC245" s="6">
        <v>0.03025869</v>
      </c>
      <c r="BD245" s="6">
        <v>0.02688692</v>
      </c>
      <c r="BE245" s="6">
        <v>0.03419582</v>
      </c>
      <c r="BF245" s="6">
        <v>0.03770638</v>
      </c>
      <c r="BG245" s="6">
        <v>0.02871266</v>
      </c>
      <c r="BH245" s="6">
        <v>0.03039646</v>
      </c>
      <c r="BI245" s="6">
        <v>0.21470859</v>
      </c>
      <c r="BJ245" s="6">
        <v>0.12366373</v>
      </c>
      <c r="BK245" s="6">
        <v>0.1409291</v>
      </c>
      <c r="BL245" s="6">
        <v>0.12522516</v>
      </c>
      <c r="BM245" s="6">
        <v>0.1592662</v>
      </c>
      <c r="BN245" s="6">
        <v>0.17561655</v>
      </c>
      <c r="BO245" s="6">
        <v>0.1337285</v>
      </c>
      <c r="BP245" s="6">
        <v>0.14157076</v>
      </c>
      <c r="BQ245" s="6">
        <v>0.05486933</v>
      </c>
      <c r="BR245" s="6">
        <v>0.04481329</v>
      </c>
      <c r="BS245" s="6">
        <v>0.04860241</v>
      </c>
      <c r="BT245" s="6">
        <v>0.04007096</v>
      </c>
      <c r="BU245" s="6">
        <v>0.04976695</v>
      </c>
      <c r="BV245" s="6">
        <v>0.08435269</v>
      </c>
      <c r="BW245" s="6">
        <v>0.07823314</v>
      </c>
      <c r="BX245" s="12">
        <v>40581</v>
      </c>
      <c r="BY245" s="13">
        <v>10077</v>
      </c>
      <c r="BZ245" s="12">
        <v>76469.67</v>
      </c>
      <c r="CA245" s="6">
        <f t="shared" si="22"/>
        <v>4.02709139624888</v>
      </c>
      <c r="CB245" s="6">
        <f t="shared" si="23"/>
        <v>0.530680987638628</v>
      </c>
      <c r="CC245" s="7">
        <v>1106405241</v>
      </c>
      <c r="CD245" s="7">
        <f t="shared" si="18"/>
        <v>1.44685499623576</v>
      </c>
      <c r="CE245" s="8">
        <v>986</v>
      </c>
      <c r="CF245" s="8">
        <v>1053.1</v>
      </c>
      <c r="CG245" s="8">
        <v>2871.6</v>
      </c>
      <c r="CH245" s="8">
        <v>50263</v>
      </c>
      <c r="CI245" s="14">
        <v>1</v>
      </c>
      <c r="CJ245" s="14">
        <v>0</v>
      </c>
      <c r="CK245" s="14">
        <f t="shared" si="19"/>
        <v>0</v>
      </c>
      <c r="CL245">
        <f t="shared" si="20"/>
        <v>1.51591455826218</v>
      </c>
      <c r="CM245">
        <f t="shared" si="21"/>
        <v>0.0455563683652362</v>
      </c>
      <c r="CN245" s="15">
        <v>40581</v>
      </c>
      <c r="CO245" s="15">
        <v>42319.48</v>
      </c>
      <c r="CP245" s="15">
        <v>3509.52</v>
      </c>
      <c r="CQ245" s="15">
        <v>13035.48</v>
      </c>
      <c r="CR245" s="15">
        <v>690.08</v>
      </c>
      <c r="CS245" s="15">
        <v>120.27</v>
      </c>
      <c r="CT245" s="15">
        <v>1273.74</v>
      </c>
      <c r="CU245" s="15">
        <v>2376.4</v>
      </c>
      <c r="CV245" s="15">
        <v>156.33</v>
      </c>
      <c r="CW245" s="15">
        <v>5916.77</v>
      </c>
    </row>
    <row r="246" spans="1:101">
      <c r="A246" s="6">
        <v>2019</v>
      </c>
      <c r="B246" s="6" t="s">
        <v>109</v>
      </c>
      <c r="C246" s="6">
        <v>0.41903028</v>
      </c>
      <c r="D246" s="6">
        <v>0.068192</v>
      </c>
      <c r="E246" s="6">
        <v>0.016756</v>
      </c>
      <c r="F246" s="6">
        <v>0.029568</v>
      </c>
      <c r="G246" s="6">
        <v>0.009212</v>
      </c>
      <c r="H246" s="6">
        <v>0.012656</v>
      </c>
      <c r="I246" s="6">
        <v>0.062273</v>
      </c>
      <c r="J246" s="6">
        <v>0.034171</v>
      </c>
      <c r="K246" s="6">
        <v>0.48333406</v>
      </c>
      <c r="L246" s="6">
        <v>0.35565571</v>
      </c>
      <c r="M246" s="6">
        <v>0.41153374</v>
      </c>
      <c r="N246" s="6">
        <v>0.24382297</v>
      </c>
      <c r="O246" s="6">
        <v>0.35003368</v>
      </c>
      <c r="P246" s="6">
        <v>0.60383144</v>
      </c>
      <c r="Q246" s="6">
        <v>0.54071077</v>
      </c>
      <c r="R246" s="6">
        <v>217.69486</v>
      </c>
      <c r="S246" s="6">
        <v>0.00222024</v>
      </c>
      <c r="T246" s="6">
        <v>169.97573</v>
      </c>
      <c r="U246" s="6">
        <v>0.00209239</v>
      </c>
      <c r="V246" s="6">
        <v>197.11803</v>
      </c>
      <c r="W246" s="6">
        <v>0.00208775</v>
      </c>
      <c r="X246" s="6">
        <v>134.47093</v>
      </c>
      <c r="Y246" s="6">
        <v>0.0018132</v>
      </c>
      <c r="Z246" s="6">
        <v>134.86767</v>
      </c>
      <c r="AA246" s="6">
        <v>0.00259539</v>
      </c>
      <c r="AB246" s="6">
        <v>294.9318</v>
      </c>
      <c r="AC246" s="6">
        <v>0.00204736</v>
      </c>
      <c r="AD246" s="6">
        <v>243.86163</v>
      </c>
      <c r="AE246" s="6">
        <v>0.00221729</v>
      </c>
      <c r="AF246" s="6">
        <v>775</v>
      </c>
      <c r="AG246" s="6">
        <v>-0.01356596</v>
      </c>
      <c r="AH246" s="6">
        <v>-0.0129089</v>
      </c>
      <c r="AI246" s="6">
        <v>-0.01288492</v>
      </c>
      <c r="AJ246" s="6">
        <v>-0.01144613</v>
      </c>
      <c r="AK246" s="6">
        <v>-0.01545298</v>
      </c>
      <c r="AL246" s="6">
        <v>-0.01267562</v>
      </c>
      <c r="AM246" s="6">
        <v>-0.01355088</v>
      </c>
      <c r="AN246" s="6">
        <v>-6.4762184</v>
      </c>
      <c r="AO246" s="6">
        <v>-6.4515561</v>
      </c>
      <c r="AP246" s="6">
        <v>-6.4739881</v>
      </c>
      <c r="AQ246" s="6">
        <v>-6.4253629</v>
      </c>
      <c r="AR246" s="6">
        <v>-6.4020076</v>
      </c>
      <c r="AS246" s="6">
        <v>-6.4618417</v>
      </c>
      <c r="AT246" s="6">
        <v>-6.4506396</v>
      </c>
      <c r="AU246" s="6">
        <v>0.97344833</v>
      </c>
      <c r="AV246" s="6">
        <v>0.96974131</v>
      </c>
      <c r="AW246" s="6">
        <v>0.97311308</v>
      </c>
      <c r="AX246" s="6">
        <v>0.96580418</v>
      </c>
      <c r="AY246" s="6">
        <v>0.96229362</v>
      </c>
      <c r="AZ246" s="6">
        <v>0.97128734</v>
      </c>
      <c r="BA246" s="6">
        <v>0.96960354</v>
      </c>
      <c r="BB246" s="6">
        <v>0.02655167</v>
      </c>
      <c r="BC246" s="6">
        <v>0.03025869</v>
      </c>
      <c r="BD246" s="6">
        <v>0.02688692</v>
      </c>
      <c r="BE246" s="6">
        <v>0.03419582</v>
      </c>
      <c r="BF246" s="6">
        <v>0.03770638</v>
      </c>
      <c r="BG246" s="6">
        <v>0.02871266</v>
      </c>
      <c r="BH246" s="6">
        <v>0.03039646</v>
      </c>
      <c r="BI246" s="6">
        <v>0.21470859</v>
      </c>
      <c r="BJ246" s="6">
        <v>0.12366373</v>
      </c>
      <c r="BK246" s="6">
        <v>0.1409291</v>
      </c>
      <c r="BL246" s="6">
        <v>0.12522516</v>
      </c>
      <c r="BM246" s="6">
        <v>0.1592662</v>
      </c>
      <c r="BN246" s="6">
        <v>0.17561655</v>
      </c>
      <c r="BO246" s="6">
        <v>0.1337285</v>
      </c>
      <c r="BP246" s="6">
        <v>0.14157076</v>
      </c>
      <c r="BQ246" s="6">
        <v>0.05977089</v>
      </c>
      <c r="BR246" s="6">
        <v>0.05012224</v>
      </c>
      <c r="BS246" s="6">
        <v>0.05153438</v>
      </c>
      <c r="BT246" s="6">
        <v>0.03883276</v>
      </c>
      <c r="BU246" s="6">
        <v>0.06147171</v>
      </c>
      <c r="BV246" s="6">
        <v>0.08074947</v>
      </c>
      <c r="BW246" s="6">
        <v>0.07654884</v>
      </c>
      <c r="BX246" s="12">
        <v>41390</v>
      </c>
      <c r="BY246" s="13">
        <v>10106</v>
      </c>
      <c r="BZ246" s="12">
        <v>71067.53</v>
      </c>
      <c r="CA246" s="6">
        <f t="shared" si="22"/>
        <v>4.09558678013062</v>
      </c>
      <c r="CB246" s="6">
        <f t="shared" si="23"/>
        <v>0.582403806632931</v>
      </c>
      <c r="CC246" s="7">
        <v>1135210096</v>
      </c>
      <c r="CD246" s="7">
        <f t="shared" si="18"/>
        <v>1.59736815955191</v>
      </c>
      <c r="CE246" s="8">
        <v>1079</v>
      </c>
      <c r="CF246" s="8">
        <v>1083.8</v>
      </c>
      <c r="CG246" s="8">
        <v>3168.1</v>
      </c>
      <c r="CH246" s="8">
        <v>53929</v>
      </c>
      <c r="CI246" s="14">
        <v>1</v>
      </c>
      <c r="CJ246" s="14">
        <v>0</v>
      </c>
      <c r="CK246" s="14">
        <f t="shared" si="19"/>
        <v>0</v>
      </c>
      <c r="CL246">
        <f t="shared" si="20"/>
        <v>1.5000536746505</v>
      </c>
      <c r="CM246">
        <f t="shared" si="21"/>
        <v>0</v>
      </c>
      <c r="CN246" s="15">
        <v>41390</v>
      </c>
      <c r="CO246" s="15">
        <v>43132.99</v>
      </c>
      <c r="CP246" s="15">
        <v>3619.44</v>
      </c>
      <c r="CQ246" s="15">
        <v>13632.1</v>
      </c>
      <c r="CR246" s="15">
        <v>707.02</v>
      </c>
      <c r="CS246" s="15">
        <v>125.92</v>
      </c>
      <c r="CT246" s="15">
        <v>1335.92</v>
      </c>
      <c r="CU246" s="15">
        <v>2096.32</v>
      </c>
      <c r="CV246" s="15">
        <v>189.98</v>
      </c>
      <c r="CW246" s="15">
        <v>6218.72</v>
      </c>
    </row>
    <row r="247" spans="1:101">
      <c r="A247" s="6">
        <v>2020</v>
      </c>
      <c r="B247" s="6" t="s">
        <v>109</v>
      </c>
      <c r="C247" s="6">
        <v>0.42018275</v>
      </c>
      <c r="D247" s="6">
        <v>0.065619</v>
      </c>
      <c r="E247" s="6">
        <v>0.015578</v>
      </c>
      <c r="F247" s="6">
        <v>0.030138</v>
      </c>
      <c r="G247" s="6">
        <v>0.009526</v>
      </c>
      <c r="H247" s="6">
        <v>0.010377</v>
      </c>
      <c r="I247" s="6">
        <v>0.067912</v>
      </c>
      <c r="J247" s="6">
        <v>0.037626</v>
      </c>
      <c r="K247" s="6">
        <v>0.46315274</v>
      </c>
      <c r="L247" s="6">
        <v>0.32780849</v>
      </c>
      <c r="M247" s="6">
        <v>0.42029751</v>
      </c>
      <c r="N247" s="6">
        <v>0.25309658</v>
      </c>
      <c r="O247" s="6">
        <v>0.2809722</v>
      </c>
      <c r="P247" s="6">
        <v>0.66663526</v>
      </c>
      <c r="Q247" s="6">
        <v>0.60236126</v>
      </c>
      <c r="R247" s="6">
        <v>217.69486</v>
      </c>
      <c r="S247" s="6">
        <v>0.00212753</v>
      </c>
      <c r="T247" s="6">
        <v>169.97573</v>
      </c>
      <c r="U247" s="6">
        <v>0.00192856</v>
      </c>
      <c r="V247" s="6">
        <v>197.11803</v>
      </c>
      <c r="W247" s="6">
        <v>0.00213221</v>
      </c>
      <c r="X247" s="6">
        <v>134.47093</v>
      </c>
      <c r="Y247" s="6">
        <v>0.00188217</v>
      </c>
      <c r="Z247" s="6">
        <v>134.86767</v>
      </c>
      <c r="AA247" s="6">
        <v>0.00208332</v>
      </c>
      <c r="AB247" s="6">
        <v>294.9318</v>
      </c>
      <c r="AC247" s="6">
        <v>0.0022603</v>
      </c>
      <c r="AD247" s="6">
        <v>243.86163</v>
      </c>
      <c r="AE247" s="6">
        <v>0.00247009</v>
      </c>
      <c r="AF247" s="6">
        <v>775</v>
      </c>
      <c r="AG247" s="6">
        <v>-0.01309026</v>
      </c>
      <c r="AH247" s="6">
        <v>-0.0120554</v>
      </c>
      <c r="AI247" s="6">
        <v>-0.01311438</v>
      </c>
      <c r="AJ247" s="6">
        <v>-0.01181122</v>
      </c>
      <c r="AK247" s="6">
        <v>-0.01286197</v>
      </c>
      <c r="AL247" s="6">
        <v>-0.01377035</v>
      </c>
      <c r="AM247" s="6">
        <v>-0.01482921</v>
      </c>
      <c r="AN247" s="6">
        <v>-6.4762184</v>
      </c>
      <c r="AO247" s="6">
        <v>-6.4515561</v>
      </c>
      <c r="AP247" s="6">
        <v>-6.4739881</v>
      </c>
      <c r="AQ247" s="6">
        <v>-6.4253629</v>
      </c>
      <c r="AR247" s="6">
        <v>-6.4020076</v>
      </c>
      <c r="AS247" s="6">
        <v>-6.4618417</v>
      </c>
      <c r="AT247" s="6">
        <v>-6.4506396</v>
      </c>
      <c r="AU247" s="6">
        <v>0.97344833</v>
      </c>
      <c r="AV247" s="6">
        <v>0.96974131</v>
      </c>
      <c r="AW247" s="6">
        <v>0.97311308</v>
      </c>
      <c r="AX247" s="6">
        <v>0.96580418</v>
      </c>
      <c r="AY247" s="6">
        <v>0.96229362</v>
      </c>
      <c r="AZ247" s="6">
        <v>0.97128734</v>
      </c>
      <c r="BA247" s="6">
        <v>0.96960354</v>
      </c>
      <c r="BB247" s="6">
        <v>0.02655167</v>
      </c>
      <c r="BC247" s="6">
        <v>0.03025869</v>
      </c>
      <c r="BD247" s="6">
        <v>0.02688692</v>
      </c>
      <c r="BE247" s="6">
        <v>0.03419582</v>
      </c>
      <c r="BF247" s="6">
        <v>0.03770638</v>
      </c>
      <c r="BG247" s="6">
        <v>0.02871266</v>
      </c>
      <c r="BH247" s="6">
        <v>0.03039646</v>
      </c>
      <c r="BI247" s="6">
        <v>0.21470859</v>
      </c>
      <c r="BJ247" s="6">
        <v>0.12366373</v>
      </c>
      <c r="BK247" s="6">
        <v>0.1409291</v>
      </c>
      <c r="BL247" s="6">
        <v>0.12522516</v>
      </c>
      <c r="BM247" s="6">
        <v>0.1592662</v>
      </c>
      <c r="BN247" s="6">
        <v>0.17561655</v>
      </c>
      <c r="BO247" s="6">
        <v>0.1337285</v>
      </c>
      <c r="BP247" s="6">
        <v>0.14157076</v>
      </c>
      <c r="BQ247" s="6">
        <v>0.0572752</v>
      </c>
      <c r="BR247" s="6">
        <v>0.04619775</v>
      </c>
      <c r="BS247" s="6">
        <v>0.05263182</v>
      </c>
      <c r="BT247" s="6">
        <v>0.04030973</v>
      </c>
      <c r="BU247" s="6">
        <v>0.04934337</v>
      </c>
      <c r="BV247" s="6">
        <v>0.08914813</v>
      </c>
      <c r="BW247" s="6">
        <v>0.08527674</v>
      </c>
      <c r="BX247" s="12">
        <v>47308.9</v>
      </c>
      <c r="BY247" s="13">
        <v>10164.51</v>
      </c>
      <c r="BZ247" s="12">
        <v>73129</v>
      </c>
      <c r="CA247" s="6">
        <f t="shared" si="22"/>
        <v>4.65432175284396</v>
      </c>
      <c r="CB247" s="6">
        <f t="shared" si="23"/>
        <v>0.646923928947476</v>
      </c>
      <c r="CC247" s="7">
        <v>1143572327</v>
      </c>
      <c r="CD247" s="7">
        <f t="shared" si="18"/>
        <v>1.56377405270139</v>
      </c>
      <c r="CE247" s="8">
        <v>1136</v>
      </c>
      <c r="CF247" s="8">
        <v>1072.2</v>
      </c>
      <c r="CG247" s="8">
        <v>3358</v>
      </c>
      <c r="CH247" s="8">
        <v>55438</v>
      </c>
      <c r="CI247" s="14">
        <v>1</v>
      </c>
      <c r="CJ247" s="14">
        <v>0</v>
      </c>
      <c r="CK247" s="14">
        <f t="shared" si="19"/>
        <v>0</v>
      </c>
      <c r="CL247">
        <f t="shared" si="20"/>
        <v>1.47141701078949</v>
      </c>
      <c r="CM247">
        <f t="shared" si="21"/>
        <v>0</v>
      </c>
      <c r="CN247" s="15">
        <v>43649.0102729099</v>
      </c>
      <c r="CO247" s="15">
        <v>38790.28</v>
      </c>
      <c r="CP247" s="15">
        <v>4775.91</v>
      </c>
      <c r="CQ247" s="15">
        <v>14708.95</v>
      </c>
      <c r="CR247" s="15">
        <v>673.58</v>
      </c>
      <c r="CS247" s="15">
        <v>100.8</v>
      </c>
      <c r="CT247" s="15">
        <v>1179.73</v>
      </c>
      <c r="CU247" s="15">
        <v>2260.34</v>
      </c>
      <c r="CV247" s="15">
        <v>214.13</v>
      </c>
      <c r="CW247" s="15">
        <v>6940</v>
      </c>
    </row>
    <row r="248" spans="1:101">
      <c r="A248" s="6">
        <v>2021</v>
      </c>
      <c r="B248" s="6" t="s">
        <v>109</v>
      </c>
      <c r="C248" s="6">
        <v>0.41936525</v>
      </c>
      <c r="D248" s="6">
        <v>0.072921</v>
      </c>
      <c r="E248" s="6">
        <v>0.01793</v>
      </c>
      <c r="F248" s="6">
        <v>0.032808</v>
      </c>
      <c r="G248" s="6">
        <v>0.011355</v>
      </c>
      <c r="H248" s="6">
        <v>0.010828</v>
      </c>
      <c r="I248" s="6">
        <v>0.060766</v>
      </c>
      <c r="J248" s="6">
        <v>0.029216</v>
      </c>
      <c r="K248" s="6">
        <v>0.52043097</v>
      </c>
      <c r="L248" s="6">
        <v>0.38341978</v>
      </c>
      <c r="M248" s="6">
        <v>0.46132584</v>
      </c>
      <c r="N248" s="6">
        <v>0.30716796</v>
      </c>
      <c r="O248" s="6">
        <v>0.29464765</v>
      </c>
      <c r="P248" s="6">
        <v>0.58704636</v>
      </c>
      <c r="Q248" s="6">
        <v>0.45228904</v>
      </c>
      <c r="R248" s="6">
        <v>217.69486</v>
      </c>
      <c r="S248" s="6">
        <v>0.00239064</v>
      </c>
      <c r="T248" s="6">
        <v>169.97573</v>
      </c>
      <c r="U248" s="6">
        <v>0.00225573</v>
      </c>
      <c r="V248" s="6">
        <v>197.11803</v>
      </c>
      <c r="W248" s="6">
        <v>0.00234035</v>
      </c>
      <c r="X248" s="6">
        <v>134.47093</v>
      </c>
      <c r="Y248" s="6">
        <v>0.00228427</v>
      </c>
      <c r="Z248" s="6">
        <v>134.86767</v>
      </c>
      <c r="AA248" s="6">
        <v>0.00218472</v>
      </c>
      <c r="AB248" s="6">
        <v>294.9318</v>
      </c>
      <c r="AC248" s="6">
        <v>0.00199045</v>
      </c>
      <c r="AD248" s="6">
        <v>243.86163</v>
      </c>
      <c r="AE248" s="6">
        <v>0.0018547</v>
      </c>
      <c r="AF248" s="6">
        <v>775</v>
      </c>
      <c r="AG248" s="6">
        <v>-0.01443039</v>
      </c>
      <c r="AH248" s="6">
        <v>-0.01374707</v>
      </c>
      <c r="AI248" s="6">
        <v>-0.01417658</v>
      </c>
      <c r="AJ248" s="6">
        <v>-0.01389227</v>
      </c>
      <c r="AK248" s="6">
        <v>-0.01338416</v>
      </c>
      <c r="AL248" s="6">
        <v>-0.01237938</v>
      </c>
      <c r="AM248" s="6">
        <v>-0.0116661</v>
      </c>
      <c r="AN248" s="6">
        <v>-6.4762184</v>
      </c>
      <c r="AO248" s="6">
        <v>-6.4515561</v>
      </c>
      <c r="AP248" s="6">
        <v>-6.4739881</v>
      </c>
      <c r="AQ248" s="6">
        <v>-6.4253629</v>
      </c>
      <c r="AR248" s="6">
        <v>-6.4020076</v>
      </c>
      <c r="AS248" s="6">
        <v>-6.4618417</v>
      </c>
      <c r="AT248" s="6">
        <v>-6.4506396</v>
      </c>
      <c r="AU248" s="6">
        <v>0.97344833</v>
      </c>
      <c r="AV248" s="6">
        <v>0.96974131</v>
      </c>
      <c r="AW248" s="6">
        <v>0.97311308</v>
      </c>
      <c r="AX248" s="6">
        <v>0.96580418</v>
      </c>
      <c r="AY248" s="6">
        <v>0.96229362</v>
      </c>
      <c r="AZ248" s="6">
        <v>0.97128734</v>
      </c>
      <c r="BA248" s="6">
        <v>0.96960354</v>
      </c>
      <c r="BB248" s="6">
        <v>0.02655167</v>
      </c>
      <c r="BC248" s="6">
        <v>0.03025869</v>
      </c>
      <c r="BD248" s="6">
        <v>0.02688692</v>
      </c>
      <c r="BE248" s="6">
        <v>0.03419582</v>
      </c>
      <c r="BF248" s="6">
        <v>0.03770638</v>
      </c>
      <c r="BG248" s="6">
        <v>0.02871266</v>
      </c>
      <c r="BH248" s="6">
        <v>0.03039646</v>
      </c>
      <c r="BI248" s="6">
        <v>0.21470859</v>
      </c>
      <c r="BJ248" s="6">
        <v>0.12366373</v>
      </c>
      <c r="BK248" s="6">
        <v>0.1409291</v>
      </c>
      <c r="BL248" s="6">
        <v>0.12522516</v>
      </c>
      <c r="BM248" s="6">
        <v>0.1592662</v>
      </c>
      <c r="BN248" s="6">
        <v>0.17561655</v>
      </c>
      <c r="BO248" s="6">
        <v>0.1337285</v>
      </c>
      <c r="BP248" s="6">
        <v>0.14157076</v>
      </c>
      <c r="BQ248" s="6">
        <v>0.06435844</v>
      </c>
      <c r="BR248" s="6">
        <v>0.054035</v>
      </c>
      <c r="BS248" s="6">
        <v>0.0577696</v>
      </c>
      <c r="BT248" s="6">
        <v>0.04892147</v>
      </c>
      <c r="BU248" s="6">
        <v>0.051745</v>
      </c>
      <c r="BV248" s="6">
        <v>0.07850483</v>
      </c>
      <c r="BW248" s="6">
        <v>0.06403091</v>
      </c>
      <c r="BX248" s="12">
        <v>50061.8</v>
      </c>
      <c r="BY248" s="13">
        <v>10170</v>
      </c>
      <c r="BZ248" s="12">
        <v>83095.9</v>
      </c>
      <c r="CA248" s="6">
        <f t="shared" si="22"/>
        <v>4.92249754178958</v>
      </c>
      <c r="CB248" s="6">
        <f t="shared" si="23"/>
        <v>0.602458123686006</v>
      </c>
      <c r="CC248" s="7">
        <v>1172524683</v>
      </c>
      <c r="CD248" s="7">
        <f t="shared" si="18"/>
        <v>1.41104998321217</v>
      </c>
      <c r="CE248" s="8">
        <v>1254.4</v>
      </c>
      <c r="CF248" s="8">
        <v>1240.8</v>
      </c>
      <c r="CG248" s="8">
        <v>4008.8</v>
      </c>
      <c r="CH248" s="8">
        <v>63991</v>
      </c>
      <c r="CI248" s="14">
        <v>1</v>
      </c>
      <c r="CJ248" s="14">
        <v>0</v>
      </c>
      <c r="CK248" s="14">
        <f t="shared" si="19"/>
        <v>0</v>
      </c>
      <c r="CL248">
        <f t="shared" si="20"/>
        <v>1.36781889095748</v>
      </c>
      <c r="CM248">
        <f t="shared" si="21"/>
        <v>0</v>
      </c>
      <c r="CN248" s="15">
        <v>45935.1199923356</v>
      </c>
      <c r="CO248" s="15">
        <v>39997.2</v>
      </c>
      <c r="CP248" s="15">
        <v>4387.77</v>
      </c>
      <c r="CQ248" s="15">
        <v>14875.64</v>
      </c>
      <c r="CR248" s="15">
        <v>738.35</v>
      </c>
      <c r="CS248" s="15">
        <v>103.38</v>
      </c>
      <c r="CT248" s="15">
        <v>1318.37</v>
      </c>
      <c r="CU248" s="15">
        <v>1790.56</v>
      </c>
      <c r="CV248" s="15">
        <v>226.8</v>
      </c>
      <c r="CW248" s="15">
        <v>7383</v>
      </c>
    </row>
    <row r="249" spans="1:101">
      <c r="A249" s="6">
        <v>2022</v>
      </c>
      <c r="B249" s="6" t="s">
        <v>109</v>
      </c>
      <c r="C249" s="6">
        <v>0.43060789</v>
      </c>
      <c r="D249" s="6">
        <v>0.069907</v>
      </c>
      <c r="E249" s="6">
        <v>0.018437</v>
      </c>
      <c r="F249" s="6">
        <v>0.031502</v>
      </c>
      <c r="G249" s="6">
        <v>0.010973</v>
      </c>
      <c r="H249" s="6">
        <v>0.008995</v>
      </c>
      <c r="I249" s="6">
        <v>0.067816</v>
      </c>
      <c r="J249" s="6">
        <v>0.035568</v>
      </c>
      <c r="K249" s="6">
        <v>0.4967879</v>
      </c>
      <c r="L249" s="6">
        <v>0.39539723</v>
      </c>
      <c r="M249" s="6">
        <v>0.44126394</v>
      </c>
      <c r="N249" s="6">
        <v>0.29587693</v>
      </c>
      <c r="O249" s="6">
        <v>0.2390851</v>
      </c>
      <c r="P249" s="6">
        <v>0.66556776</v>
      </c>
      <c r="Q249" s="6">
        <v>0.56563272</v>
      </c>
      <c r="R249" s="6">
        <v>217.69486</v>
      </c>
      <c r="S249" s="6">
        <v>0.00228204</v>
      </c>
      <c r="T249" s="6">
        <v>169.97573</v>
      </c>
      <c r="U249" s="6">
        <v>0.0023262</v>
      </c>
      <c r="V249" s="6">
        <v>197.11803</v>
      </c>
      <c r="W249" s="6">
        <v>0.00223858</v>
      </c>
      <c r="X249" s="6">
        <v>134.47093</v>
      </c>
      <c r="Y249" s="6">
        <v>0.0022003</v>
      </c>
      <c r="Z249" s="6">
        <v>134.86767</v>
      </c>
      <c r="AA249" s="6">
        <v>0.00177274</v>
      </c>
      <c r="AB249" s="6">
        <v>294.9318</v>
      </c>
      <c r="AC249" s="6">
        <v>0.00225668</v>
      </c>
      <c r="AD249" s="6">
        <v>243.86163</v>
      </c>
      <c r="AE249" s="6">
        <v>0.00231948</v>
      </c>
      <c r="AF249" s="6">
        <v>775</v>
      </c>
      <c r="AG249" s="6">
        <v>-0.01388092</v>
      </c>
      <c r="AH249" s="6">
        <v>-0.01410495</v>
      </c>
      <c r="AI249" s="6">
        <v>-0.01365961</v>
      </c>
      <c r="AJ249" s="6">
        <v>-0.01346401</v>
      </c>
      <c r="AK249" s="6">
        <v>-0.01123071</v>
      </c>
      <c r="AL249" s="6">
        <v>-0.01375191</v>
      </c>
      <c r="AM249" s="6">
        <v>-0.01407093</v>
      </c>
      <c r="AN249" s="6">
        <v>-6.4762184</v>
      </c>
      <c r="AO249" s="6">
        <v>-6.4515561</v>
      </c>
      <c r="AP249" s="6">
        <v>-6.4739881</v>
      </c>
      <c r="AQ249" s="6">
        <v>-6.4253629</v>
      </c>
      <c r="AR249" s="6">
        <v>-6.4020076</v>
      </c>
      <c r="AS249" s="6">
        <v>-6.4618417</v>
      </c>
      <c r="AT249" s="6">
        <v>-6.4506396</v>
      </c>
      <c r="AU249" s="6">
        <v>0.97344833</v>
      </c>
      <c r="AV249" s="6">
        <v>0.96974131</v>
      </c>
      <c r="AW249" s="6">
        <v>0.97311308</v>
      </c>
      <c r="AX249" s="6">
        <v>0.96580418</v>
      </c>
      <c r="AY249" s="6">
        <v>0.96229362</v>
      </c>
      <c r="AZ249" s="6">
        <v>0.97128734</v>
      </c>
      <c r="BA249" s="6">
        <v>0.96960354</v>
      </c>
      <c r="BB249" s="6">
        <v>0.02655167</v>
      </c>
      <c r="BC249" s="6">
        <v>0.03025869</v>
      </c>
      <c r="BD249" s="6">
        <v>0.02688692</v>
      </c>
      <c r="BE249" s="6">
        <v>0.03419582</v>
      </c>
      <c r="BF249" s="6">
        <v>0.03770638</v>
      </c>
      <c r="BG249" s="6">
        <v>0.02871266</v>
      </c>
      <c r="BH249" s="6">
        <v>0.03039646</v>
      </c>
      <c r="BI249" s="6">
        <v>0.21470859</v>
      </c>
      <c r="BJ249" s="6">
        <v>0.12366373</v>
      </c>
      <c r="BK249" s="6">
        <v>0.1409291</v>
      </c>
      <c r="BL249" s="6">
        <v>0.12522516</v>
      </c>
      <c r="BM249" s="6">
        <v>0.1592662</v>
      </c>
      <c r="BN249" s="6">
        <v>0.17561655</v>
      </c>
      <c r="BO249" s="6">
        <v>0.1337285</v>
      </c>
      <c r="BP249" s="6">
        <v>0.14157076</v>
      </c>
      <c r="BQ249" s="6">
        <v>0.06143465</v>
      </c>
      <c r="BR249" s="6">
        <v>0.05572298</v>
      </c>
      <c r="BS249" s="6">
        <v>0.05525735</v>
      </c>
      <c r="BT249" s="6">
        <v>0.04712319</v>
      </c>
      <c r="BU249" s="6">
        <v>0.0419873</v>
      </c>
      <c r="BV249" s="6">
        <v>0.08900537</v>
      </c>
      <c r="BW249" s="6">
        <v>0.08007706</v>
      </c>
      <c r="BX249" s="12">
        <v>50698.1</v>
      </c>
      <c r="BY249" s="13">
        <v>10163</v>
      </c>
      <c r="BZ249" s="12">
        <v>87435.1</v>
      </c>
      <c r="CA249" s="6">
        <f t="shared" si="22"/>
        <v>4.98849749089836</v>
      </c>
      <c r="CB249" s="6">
        <f t="shared" si="23"/>
        <v>0.579836930477577</v>
      </c>
      <c r="CC249" s="7">
        <v>1153747970</v>
      </c>
      <c r="CD249" s="7">
        <f t="shared" si="18"/>
        <v>1.31954783605211</v>
      </c>
      <c r="CE249" s="8">
        <v>1417.9</v>
      </c>
      <c r="CF249" s="8">
        <v>1308.7</v>
      </c>
      <c r="CG249" s="8">
        <v>4163.1</v>
      </c>
      <c r="CH249" s="8">
        <v>67314</v>
      </c>
      <c r="CI249" s="14">
        <v>1</v>
      </c>
      <c r="CJ249" s="14">
        <v>0</v>
      </c>
      <c r="CK249" s="14">
        <f t="shared" si="19"/>
        <v>0</v>
      </c>
      <c r="CL249">
        <f t="shared" si="20"/>
        <v>1.27047633725244</v>
      </c>
      <c r="CM249">
        <f t="shared" si="21"/>
        <v>0</v>
      </c>
      <c r="CN249" s="15">
        <v>48166.8516915138</v>
      </c>
      <c r="CO249" s="15">
        <v>40014.17</v>
      </c>
      <c r="CP249" s="15">
        <v>3791.19</v>
      </c>
      <c r="CQ249" s="15">
        <v>13486.09</v>
      </c>
      <c r="CR249" s="15">
        <v>854.17</v>
      </c>
      <c r="CS249" s="15">
        <v>57.73</v>
      </c>
      <c r="CT249" s="15">
        <v>1365.84</v>
      </c>
      <c r="CU249" s="15">
        <v>1840.5</v>
      </c>
      <c r="CV249" s="15">
        <v>213.39</v>
      </c>
      <c r="CW249" s="15">
        <v>7521.81</v>
      </c>
    </row>
    <row r="250" spans="1:101">
      <c r="A250" s="6">
        <v>2023</v>
      </c>
      <c r="B250" s="6" t="s">
        <v>109</v>
      </c>
      <c r="C250" s="6">
        <v>0.64246103</v>
      </c>
      <c r="D250" s="6">
        <v>0.076789</v>
      </c>
      <c r="E250" s="6">
        <v>0.028839</v>
      </c>
      <c r="F250" s="6">
        <v>0.040093</v>
      </c>
      <c r="G250" s="6">
        <v>0.020487</v>
      </c>
      <c r="H250" s="6">
        <v>0.017057</v>
      </c>
      <c r="I250" s="6">
        <v>0.084762</v>
      </c>
      <c r="J250" s="6">
        <v>0.051816</v>
      </c>
      <c r="K250" s="6">
        <v>0.55076943</v>
      </c>
      <c r="L250" s="6">
        <v>0.64134182</v>
      </c>
      <c r="M250" s="6">
        <v>0.57329929</v>
      </c>
      <c r="N250" s="6">
        <v>0.57710474</v>
      </c>
      <c r="O250" s="6">
        <v>0.48341658</v>
      </c>
      <c r="P250" s="6">
        <v>0.85431332</v>
      </c>
      <c r="Q250" s="6">
        <v>0.8555463</v>
      </c>
      <c r="R250" s="6">
        <v>217.69486</v>
      </c>
      <c r="S250" s="6">
        <v>0.00253001</v>
      </c>
      <c r="T250" s="6">
        <v>169.97573</v>
      </c>
      <c r="U250" s="6">
        <v>0.00377314</v>
      </c>
      <c r="V250" s="6">
        <v>197.11803</v>
      </c>
      <c r="W250" s="6">
        <v>0.00290841</v>
      </c>
      <c r="X250" s="6">
        <v>134.47093</v>
      </c>
      <c r="Y250" s="6">
        <v>0.00429167</v>
      </c>
      <c r="Z250" s="6">
        <v>134.86767</v>
      </c>
      <c r="AA250" s="6">
        <v>0.00358438</v>
      </c>
      <c r="AB250" s="6">
        <v>294.9318</v>
      </c>
      <c r="AC250" s="6">
        <v>0.00289665</v>
      </c>
      <c r="AD250" s="6">
        <v>243.86163</v>
      </c>
      <c r="AE250" s="6">
        <v>0.00350833</v>
      </c>
      <c r="AF250" s="6">
        <v>775</v>
      </c>
      <c r="AG250" s="6">
        <v>-0.01512826</v>
      </c>
      <c r="AH250" s="6">
        <v>-0.02105354</v>
      </c>
      <c r="AI250" s="6">
        <v>-0.01698553</v>
      </c>
      <c r="AJ250" s="6">
        <v>-0.02339423</v>
      </c>
      <c r="AK250" s="6">
        <v>-0.02018424</v>
      </c>
      <c r="AL250" s="6">
        <v>-0.01692859</v>
      </c>
      <c r="AM250" s="6">
        <v>-0.01983122</v>
      </c>
      <c r="AN250" s="6">
        <v>-6.4762184</v>
      </c>
      <c r="AO250" s="6">
        <v>-6.4515561</v>
      </c>
      <c r="AP250" s="6">
        <v>-6.4739881</v>
      </c>
      <c r="AQ250" s="6">
        <v>-6.4253629</v>
      </c>
      <c r="AR250" s="6">
        <v>-6.4020076</v>
      </c>
      <c r="AS250" s="6">
        <v>-6.4618417</v>
      </c>
      <c r="AT250" s="6">
        <v>-6.4506396</v>
      </c>
      <c r="AU250" s="6">
        <v>0.97344833</v>
      </c>
      <c r="AV250" s="6">
        <v>0.96974131</v>
      </c>
      <c r="AW250" s="6">
        <v>0.97311308</v>
      </c>
      <c r="AX250" s="6">
        <v>0.96580418</v>
      </c>
      <c r="AY250" s="6">
        <v>0.96229362</v>
      </c>
      <c r="AZ250" s="6">
        <v>0.97128734</v>
      </c>
      <c r="BA250" s="6">
        <v>0.96960354</v>
      </c>
      <c r="BB250" s="6">
        <v>0.02655167</v>
      </c>
      <c r="BC250" s="6">
        <v>0.03025869</v>
      </c>
      <c r="BD250" s="6">
        <v>0.02688692</v>
      </c>
      <c r="BE250" s="6">
        <v>0.03419582</v>
      </c>
      <c r="BF250" s="6">
        <v>0.03770638</v>
      </c>
      <c r="BG250" s="6">
        <v>0.02871266</v>
      </c>
      <c r="BH250" s="6">
        <v>0.03039646</v>
      </c>
      <c r="BI250" s="6">
        <v>0.21470859</v>
      </c>
      <c r="BJ250" s="6">
        <v>0.12366373</v>
      </c>
      <c r="BK250" s="6">
        <v>0.1409291</v>
      </c>
      <c r="BL250" s="6">
        <v>0.12522516</v>
      </c>
      <c r="BM250" s="6">
        <v>0.1592662</v>
      </c>
      <c r="BN250" s="6">
        <v>0.17561655</v>
      </c>
      <c r="BO250" s="6">
        <v>0.1337285</v>
      </c>
      <c r="BP250" s="6">
        <v>0.14157076</v>
      </c>
      <c r="BQ250" s="6">
        <v>0.0681102</v>
      </c>
      <c r="BR250" s="6">
        <v>0.09038372</v>
      </c>
      <c r="BS250" s="6">
        <v>0.07179149</v>
      </c>
      <c r="BT250" s="6">
        <v>0.09191328</v>
      </c>
      <c r="BU250" s="6">
        <v>0.08489595</v>
      </c>
      <c r="BV250" s="6">
        <v>0.11424603</v>
      </c>
      <c r="BW250" s="6">
        <v>0.12112034</v>
      </c>
      <c r="BX250" s="12">
        <v>53310.2</v>
      </c>
      <c r="BY250" s="13">
        <v>10123</v>
      </c>
      <c r="BZ250" s="12">
        <v>92068.7</v>
      </c>
      <c r="CA250" s="6">
        <f t="shared" si="22"/>
        <v>5.26624518423392</v>
      </c>
      <c r="CB250" s="6">
        <f t="shared" si="23"/>
        <v>0.579026314045924</v>
      </c>
      <c r="CC250" s="7">
        <v>1163547950</v>
      </c>
      <c r="CD250" s="7">
        <f t="shared" si="18"/>
        <v>1.26378231690031</v>
      </c>
      <c r="CE250" s="8">
        <v>1507.4</v>
      </c>
      <c r="CF250" s="8">
        <v>1448.5</v>
      </c>
      <c r="CG250" s="8">
        <v>4595.3</v>
      </c>
      <c r="CH250" s="8">
        <v>72958</v>
      </c>
      <c r="CI250" s="14">
        <v>1</v>
      </c>
      <c r="CJ250" s="14">
        <v>0</v>
      </c>
      <c r="CK250" s="14">
        <f t="shared" si="19"/>
        <v>0</v>
      </c>
      <c r="CL250">
        <f t="shared" si="20"/>
        <v>1.2756783895882</v>
      </c>
      <c r="CM250">
        <f t="shared" si="21"/>
        <v>0.0093252913782812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</row>
    <row r="251" spans="1:101">
      <c r="A251" s="6">
        <v>2024</v>
      </c>
      <c r="B251" s="6" t="s">
        <v>109</v>
      </c>
      <c r="C251" s="6">
        <v>0.72296353</v>
      </c>
      <c r="D251" s="6">
        <v>0.080025</v>
      </c>
      <c r="E251" s="6">
        <v>0.033328</v>
      </c>
      <c r="F251" s="6">
        <v>0.043261</v>
      </c>
      <c r="G251" s="6">
        <v>0.024715</v>
      </c>
      <c r="H251" s="6">
        <v>0.019789</v>
      </c>
      <c r="I251" s="6">
        <v>0.090082</v>
      </c>
      <c r="J251" s="6">
        <v>0.057337</v>
      </c>
      <c r="K251" s="6">
        <v>0.57615071</v>
      </c>
      <c r="L251" s="6">
        <v>0.74747255</v>
      </c>
      <c r="M251" s="6">
        <v>0.62199136</v>
      </c>
      <c r="N251" s="6">
        <v>0.70206258</v>
      </c>
      <c r="O251" s="6">
        <v>0.56620391</v>
      </c>
      <c r="P251" s="6">
        <v>0.91356956</v>
      </c>
      <c r="Q251" s="6">
        <v>0.95404644</v>
      </c>
      <c r="R251" s="6">
        <v>217.69486</v>
      </c>
      <c r="S251" s="6">
        <v>0.0026466</v>
      </c>
      <c r="T251" s="6">
        <v>169.97573</v>
      </c>
      <c r="U251" s="6">
        <v>0.00439753</v>
      </c>
      <c r="V251" s="6">
        <v>197.11803</v>
      </c>
      <c r="W251" s="6">
        <v>0.00315543</v>
      </c>
      <c r="X251" s="6">
        <v>134.47093</v>
      </c>
      <c r="Y251" s="6">
        <v>0.00522092</v>
      </c>
      <c r="Z251" s="6">
        <v>134.86767</v>
      </c>
      <c r="AA251" s="6">
        <v>0.00419822</v>
      </c>
      <c r="AB251" s="6">
        <v>294.9318</v>
      </c>
      <c r="AC251" s="6">
        <v>0.00309756</v>
      </c>
      <c r="AD251" s="6">
        <v>243.86163</v>
      </c>
      <c r="AE251" s="6">
        <v>0.00391225</v>
      </c>
      <c r="AF251" s="6">
        <v>775</v>
      </c>
      <c r="AG251" s="6">
        <v>-0.01570618</v>
      </c>
      <c r="AH251" s="6">
        <v>-0.02386411</v>
      </c>
      <c r="AI251" s="6">
        <v>-0.01817094</v>
      </c>
      <c r="AJ251" s="6">
        <v>-0.02743638</v>
      </c>
      <c r="AK251" s="6">
        <v>-0.02297725</v>
      </c>
      <c r="AL251" s="6">
        <v>-0.01789505</v>
      </c>
      <c r="AM251" s="6">
        <v>-0.02168809</v>
      </c>
      <c r="AN251" s="6">
        <v>-6.4762184</v>
      </c>
      <c r="AO251" s="6">
        <v>-6.4515561</v>
      </c>
      <c r="AP251" s="6">
        <v>-6.4739881</v>
      </c>
      <c r="AQ251" s="6">
        <v>-6.4253629</v>
      </c>
      <c r="AR251" s="6">
        <v>-6.4020076</v>
      </c>
      <c r="AS251" s="6">
        <v>-6.4618417</v>
      </c>
      <c r="AT251" s="6">
        <v>-6.4506396</v>
      </c>
      <c r="AU251" s="6">
        <v>0.97344833</v>
      </c>
      <c r="AV251" s="6">
        <v>0.96974131</v>
      </c>
      <c r="AW251" s="6">
        <v>0.97311308</v>
      </c>
      <c r="AX251" s="6">
        <v>0.96580418</v>
      </c>
      <c r="AY251" s="6">
        <v>0.96229362</v>
      </c>
      <c r="AZ251" s="6">
        <v>0.97128734</v>
      </c>
      <c r="BA251" s="6">
        <v>0.96960354</v>
      </c>
      <c r="BB251" s="6">
        <v>0.02655167</v>
      </c>
      <c r="BC251" s="6">
        <v>0.03025869</v>
      </c>
      <c r="BD251" s="6">
        <v>0.02688692</v>
      </c>
      <c r="BE251" s="6">
        <v>0.03419582</v>
      </c>
      <c r="BF251" s="6">
        <v>0.03770638</v>
      </c>
      <c r="BG251" s="6">
        <v>0.02871266</v>
      </c>
      <c r="BH251" s="6">
        <v>0.03039646</v>
      </c>
      <c r="BI251" s="6">
        <v>0.21470859</v>
      </c>
      <c r="BJ251" s="6">
        <v>0.12366373</v>
      </c>
      <c r="BK251" s="6">
        <v>0.1409291</v>
      </c>
      <c r="BL251" s="6">
        <v>0.12522516</v>
      </c>
      <c r="BM251" s="6">
        <v>0.1592662</v>
      </c>
      <c r="BN251" s="6">
        <v>0.17561655</v>
      </c>
      <c r="BO251" s="6">
        <v>0.1337285</v>
      </c>
      <c r="BP251" s="6">
        <v>0.14157076</v>
      </c>
      <c r="BQ251" s="6">
        <v>0.07124895</v>
      </c>
      <c r="BR251" s="6">
        <v>0.10534063</v>
      </c>
      <c r="BS251" s="6">
        <v>0.07788897</v>
      </c>
      <c r="BT251" s="6">
        <v>0.11181484</v>
      </c>
      <c r="BU251" s="6">
        <v>0.09943478</v>
      </c>
      <c r="BV251" s="6">
        <v>0.12217028</v>
      </c>
      <c r="BW251" s="6">
        <v>0.13506508</v>
      </c>
      <c r="BX251" s="12">
        <v>54900.1</v>
      </c>
      <c r="BY251" s="13">
        <v>10080</v>
      </c>
      <c r="BZ251" s="12">
        <v>98565.8</v>
      </c>
      <c r="CA251" s="6">
        <f t="shared" si="22"/>
        <v>5.44643849206349</v>
      </c>
      <c r="CB251" s="6">
        <f t="shared" si="23"/>
        <v>0.556989341130493</v>
      </c>
      <c r="CC251" s="7">
        <v>1172259390</v>
      </c>
      <c r="CD251" s="7">
        <f t="shared" si="18"/>
        <v>1.18931656822143</v>
      </c>
      <c r="CE251" s="8">
        <v>1627.6</v>
      </c>
      <c r="CF251" s="8">
        <v>1497.9</v>
      </c>
      <c r="CG251" s="8">
        <v>4810.1</v>
      </c>
      <c r="CH251" s="8">
        <v>75903</v>
      </c>
      <c r="CI251" s="14">
        <v>1</v>
      </c>
      <c r="CJ251" s="14">
        <v>0</v>
      </c>
      <c r="CK251" s="14">
        <f t="shared" si="19"/>
        <v>0</v>
      </c>
      <c r="CL251">
        <f t="shared" si="20"/>
        <v>1.21200651315194</v>
      </c>
      <c r="CM251">
        <f t="shared" si="21"/>
        <v>0.0187209760709147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</row>
    <row r="252" spans="1:101">
      <c r="A252" s="6">
        <v>2000</v>
      </c>
      <c r="B252" s="6" t="s">
        <v>110</v>
      </c>
      <c r="C252" s="6">
        <v>0.09240723</v>
      </c>
      <c r="D252" s="6">
        <v>0.019685</v>
      </c>
      <c r="E252" s="6">
        <v>0.005106</v>
      </c>
      <c r="F252" s="6">
        <v>0.009069</v>
      </c>
      <c r="G252" s="6">
        <v>0.002989</v>
      </c>
      <c r="H252" s="6">
        <v>0.002521</v>
      </c>
      <c r="I252" s="6">
        <v>0.022257</v>
      </c>
      <c r="J252" s="6">
        <v>0.011028</v>
      </c>
      <c r="K252" s="6">
        <v>0.10284223</v>
      </c>
      <c r="L252" s="6">
        <v>0.08021387</v>
      </c>
      <c r="M252" s="6">
        <v>0.09647538</v>
      </c>
      <c r="N252" s="6">
        <v>0.05987718</v>
      </c>
      <c r="O252" s="6">
        <v>0.0428933</v>
      </c>
      <c r="P252" s="6">
        <v>0.15811497</v>
      </c>
      <c r="Q252" s="6">
        <v>0.12778134</v>
      </c>
      <c r="R252" s="6">
        <v>217.69486</v>
      </c>
      <c r="S252" s="6">
        <v>0.00047241</v>
      </c>
      <c r="T252" s="6">
        <v>169.97573</v>
      </c>
      <c r="U252" s="6">
        <v>0.00047191</v>
      </c>
      <c r="V252" s="6">
        <v>197.11803</v>
      </c>
      <c r="W252" s="6">
        <v>0.00048943</v>
      </c>
      <c r="X252" s="6">
        <v>134.47093</v>
      </c>
      <c r="Y252" s="6">
        <v>0.00044528</v>
      </c>
      <c r="Z252" s="6">
        <v>134.86767</v>
      </c>
      <c r="AA252" s="6">
        <v>0.00031804</v>
      </c>
      <c r="AB252" s="6">
        <v>294.9318</v>
      </c>
      <c r="AC252" s="6">
        <v>0.00053611</v>
      </c>
      <c r="AD252" s="6">
        <v>243.86163</v>
      </c>
      <c r="AE252" s="6">
        <v>0.00052399</v>
      </c>
      <c r="AF252" s="6">
        <v>775</v>
      </c>
      <c r="AG252" s="6">
        <v>-0.00361759</v>
      </c>
      <c r="AH252" s="6">
        <v>-0.00361425</v>
      </c>
      <c r="AI252" s="6">
        <v>-0.00373056</v>
      </c>
      <c r="AJ252" s="6">
        <v>-0.00343614</v>
      </c>
      <c r="AK252" s="6">
        <v>-0.00256128</v>
      </c>
      <c r="AL252" s="6">
        <v>-0.00403752</v>
      </c>
      <c r="AM252" s="6">
        <v>-0.00395825</v>
      </c>
      <c r="AN252" s="6">
        <v>-6.4762184</v>
      </c>
      <c r="AO252" s="6">
        <v>-6.4515561</v>
      </c>
      <c r="AP252" s="6">
        <v>-6.4739881</v>
      </c>
      <c r="AQ252" s="6">
        <v>-6.4253629</v>
      </c>
      <c r="AR252" s="6">
        <v>-6.4020076</v>
      </c>
      <c r="AS252" s="6">
        <v>-6.4618417</v>
      </c>
      <c r="AT252" s="6">
        <v>-6.4506396</v>
      </c>
      <c r="AU252" s="6">
        <v>0.97344833</v>
      </c>
      <c r="AV252" s="6">
        <v>0.96974131</v>
      </c>
      <c r="AW252" s="6">
        <v>0.97311308</v>
      </c>
      <c r="AX252" s="6">
        <v>0.96580418</v>
      </c>
      <c r="AY252" s="6">
        <v>0.96229362</v>
      </c>
      <c r="AZ252" s="6">
        <v>0.97128734</v>
      </c>
      <c r="BA252" s="6">
        <v>0.96960354</v>
      </c>
      <c r="BB252" s="6">
        <v>0.02655167</v>
      </c>
      <c r="BC252" s="6">
        <v>0.03025869</v>
      </c>
      <c r="BD252" s="6">
        <v>0.02688692</v>
      </c>
      <c r="BE252" s="6">
        <v>0.03419582</v>
      </c>
      <c r="BF252" s="6">
        <v>0.03770638</v>
      </c>
      <c r="BG252" s="6">
        <v>0.02871266</v>
      </c>
      <c r="BH252" s="6">
        <v>0.03039646</v>
      </c>
      <c r="BI252" s="6">
        <v>0.21470859</v>
      </c>
      <c r="BJ252" s="6">
        <v>0.12366373</v>
      </c>
      <c r="BK252" s="6">
        <v>0.1409291</v>
      </c>
      <c r="BL252" s="6">
        <v>0.12522516</v>
      </c>
      <c r="BM252" s="6">
        <v>0.1592662</v>
      </c>
      <c r="BN252" s="6">
        <v>0.17561655</v>
      </c>
      <c r="BO252" s="6">
        <v>0.1337285</v>
      </c>
      <c r="BP252" s="6">
        <v>0.14157076</v>
      </c>
      <c r="BQ252" s="6">
        <v>0.01271785</v>
      </c>
      <c r="BR252" s="6">
        <v>0.01130447</v>
      </c>
      <c r="BS252" s="6">
        <v>0.01208114</v>
      </c>
      <c r="BT252" s="6">
        <v>0.00953641</v>
      </c>
      <c r="BU252" s="6">
        <v>0.00753277</v>
      </c>
      <c r="BV252" s="6">
        <v>0.02114448</v>
      </c>
      <c r="BW252" s="6">
        <v>0.0180901</v>
      </c>
      <c r="BX252" s="12">
        <v>6728</v>
      </c>
      <c r="BY252" s="13">
        <v>3247</v>
      </c>
      <c r="BZ252" s="12">
        <v>1643.81</v>
      </c>
      <c r="CA252" s="6">
        <f t="shared" si="22"/>
        <v>2.07206652294426</v>
      </c>
      <c r="CB252" s="6">
        <f t="shared" si="23"/>
        <v>4.09293044816615</v>
      </c>
      <c r="CC252" s="7">
        <v>164027899.3</v>
      </c>
      <c r="CD252" s="7">
        <f t="shared" si="18"/>
        <v>9.97851937267689</v>
      </c>
      <c r="CE252" s="8">
        <v>280.5</v>
      </c>
      <c r="CF252" s="8">
        <v>774.6</v>
      </c>
      <c r="CG252" s="8">
        <v>767</v>
      </c>
      <c r="CH252" s="8">
        <v>6383</v>
      </c>
      <c r="CI252" s="14">
        <v>0</v>
      </c>
      <c r="CJ252" s="14">
        <v>0</v>
      </c>
      <c r="CK252" s="14">
        <f t="shared" si="19"/>
        <v>0</v>
      </c>
      <c r="CL252">
        <f t="shared" si="20"/>
        <v>4.53658228674969</v>
      </c>
      <c r="CM252">
        <f t="shared" si="21"/>
        <v>0</v>
      </c>
      <c r="CN252">
        <v>6728</v>
      </c>
      <c r="CO252">
        <v>14262.48</v>
      </c>
      <c r="CP252">
        <v>1283.72</v>
      </c>
      <c r="CQ252">
        <v>0</v>
      </c>
      <c r="CR252">
        <v>88.84</v>
      </c>
      <c r="CS252">
        <v>6.36</v>
      </c>
      <c r="CT252">
        <v>80.67</v>
      </c>
      <c r="CU252">
        <v>12.42</v>
      </c>
      <c r="CV252">
        <v>1.14</v>
      </c>
      <c r="CW252">
        <v>501.99</v>
      </c>
    </row>
    <row r="253" spans="1:101">
      <c r="A253" s="6">
        <v>2001</v>
      </c>
      <c r="B253" s="6" t="s">
        <v>110</v>
      </c>
      <c r="C253" s="6">
        <v>0.0921168</v>
      </c>
      <c r="D253" s="6">
        <v>0.019738</v>
      </c>
      <c r="E253" s="6">
        <v>0.004687</v>
      </c>
      <c r="F253" s="6">
        <v>0.00891</v>
      </c>
      <c r="G253" s="6">
        <v>0.002669</v>
      </c>
      <c r="H253" s="6">
        <v>0.003471</v>
      </c>
      <c r="I253" s="6">
        <v>0.022493</v>
      </c>
      <c r="J253" s="6">
        <v>0.010021</v>
      </c>
      <c r="K253" s="6">
        <v>0.10325771</v>
      </c>
      <c r="L253" s="6">
        <v>0.07032783</v>
      </c>
      <c r="M253" s="6">
        <v>0.09402959</v>
      </c>
      <c r="N253" s="6">
        <v>0.05042187</v>
      </c>
      <c r="O253" s="6">
        <v>0.07168628</v>
      </c>
      <c r="P253" s="6">
        <v>0.16074107</v>
      </c>
      <c r="Q253" s="6">
        <v>0.1098108</v>
      </c>
      <c r="R253" s="6">
        <v>217.69486</v>
      </c>
      <c r="S253" s="6">
        <v>0.00047432</v>
      </c>
      <c r="T253" s="6">
        <v>169.97573</v>
      </c>
      <c r="U253" s="6">
        <v>0.00041375</v>
      </c>
      <c r="V253" s="6">
        <v>197.11803</v>
      </c>
      <c r="W253" s="6">
        <v>0.00047702</v>
      </c>
      <c r="X253" s="6">
        <v>134.47093</v>
      </c>
      <c r="Y253" s="6">
        <v>0.00037496</v>
      </c>
      <c r="Z253" s="6">
        <v>134.86767</v>
      </c>
      <c r="AA253" s="6">
        <v>0.00053153</v>
      </c>
      <c r="AB253" s="6">
        <v>294.9318</v>
      </c>
      <c r="AC253" s="6">
        <v>0.00054501</v>
      </c>
      <c r="AD253" s="6">
        <v>243.86163</v>
      </c>
      <c r="AE253" s="6">
        <v>0.0004503</v>
      </c>
      <c r="AF253" s="6">
        <v>775</v>
      </c>
      <c r="AG253" s="6">
        <v>-0.00363029</v>
      </c>
      <c r="AH253" s="6">
        <v>-0.00322323</v>
      </c>
      <c r="AI253" s="6">
        <v>-0.00364824</v>
      </c>
      <c r="AJ253" s="6">
        <v>-0.00295798</v>
      </c>
      <c r="AK253" s="6">
        <v>-0.00400761</v>
      </c>
      <c r="AL253" s="6">
        <v>-0.0040956</v>
      </c>
      <c r="AM253" s="6">
        <v>-0.00346983</v>
      </c>
      <c r="AN253" s="6">
        <v>-6.4762184</v>
      </c>
      <c r="AO253" s="6">
        <v>-6.4515561</v>
      </c>
      <c r="AP253" s="6">
        <v>-6.4739881</v>
      </c>
      <c r="AQ253" s="6">
        <v>-6.4253629</v>
      </c>
      <c r="AR253" s="6">
        <v>-6.4020076</v>
      </c>
      <c r="AS253" s="6">
        <v>-6.4618417</v>
      </c>
      <c r="AT253" s="6">
        <v>-6.4506396</v>
      </c>
      <c r="AU253" s="6">
        <v>0.97344833</v>
      </c>
      <c r="AV253" s="6">
        <v>0.96974131</v>
      </c>
      <c r="AW253" s="6">
        <v>0.97311308</v>
      </c>
      <c r="AX253" s="6">
        <v>0.96580418</v>
      </c>
      <c r="AY253" s="6">
        <v>0.96229362</v>
      </c>
      <c r="AZ253" s="6">
        <v>0.97128734</v>
      </c>
      <c r="BA253" s="6">
        <v>0.96960354</v>
      </c>
      <c r="BB253" s="6">
        <v>0.02655167</v>
      </c>
      <c r="BC253" s="6">
        <v>0.03025869</v>
      </c>
      <c r="BD253" s="6">
        <v>0.02688692</v>
      </c>
      <c r="BE253" s="6">
        <v>0.03419582</v>
      </c>
      <c r="BF253" s="6">
        <v>0.03770638</v>
      </c>
      <c r="BG253" s="6">
        <v>0.02871266</v>
      </c>
      <c r="BH253" s="6">
        <v>0.03039646</v>
      </c>
      <c r="BI253" s="6">
        <v>0.21470859</v>
      </c>
      <c r="BJ253" s="6">
        <v>0.12366373</v>
      </c>
      <c r="BK253" s="6">
        <v>0.1409291</v>
      </c>
      <c r="BL253" s="6">
        <v>0.12522516</v>
      </c>
      <c r="BM253" s="6">
        <v>0.1592662</v>
      </c>
      <c r="BN253" s="6">
        <v>0.17561655</v>
      </c>
      <c r="BO253" s="6">
        <v>0.1337285</v>
      </c>
      <c r="BP253" s="6">
        <v>0.14157076</v>
      </c>
      <c r="BQ253" s="6">
        <v>0.01276923</v>
      </c>
      <c r="BR253" s="6">
        <v>0.00991124</v>
      </c>
      <c r="BS253" s="6">
        <v>0.01177487</v>
      </c>
      <c r="BT253" s="6">
        <v>0.0080305</v>
      </c>
      <c r="BU253" s="6">
        <v>0.0125893</v>
      </c>
      <c r="BV253" s="6">
        <v>0.02149566</v>
      </c>
      <c r="BW253" s="6">
        <v>0.015546</v>
      </c>
      <c r="BX253" s="12">
        <v>7968</v>
      </c>
      <c r="BY253" s="13">
        <v>3271.63</v>
      </c>
      <c r="BZ253" s="12">
        <v>2029.53</v>
      </c>
      <c r="CA253" s="6">
        <f t="shared" si="22"/>
        <v>2.43548323007186</v>
      </c>
      <c r="CB253" s="6">
        <f t="shared" si="23"/>
        <v>3.92603213551906</v>
      </c>
      <c r="CC253" s="7">
        <v>171505545.2</v>
      </c>
      <c r="CD253" s="7">
        <f t="shared" si="18"/>
        <v>8.45050554561893</v>
      </c>
      <c r="CE253" s="8">
        <v>290.1</v>
      </c>
      <c r="CF253" s="8">
        <v>859.9</v>
      </c>
      <c r="CG253" s="8">
        <v>864.6</v>
      </c>
      <c r="CH253" s="8">
        <v>7096</v>
      </c>
      <c r="CI253" s="14">
        <v>0</v>
      </c>
      <c r="CJ253" s="14">
        <v>0</v>
      </c>
      <c r="CK253" s="14">
        <f t="shared" si="19"/>
        <v>0</v>
      </c>
      <c r="CL253">
        <f t="shared" si="20"/>
        <v>4.16809156222866</v>
      </c>
      <c r="CM253">
        <f t="shared" si="21"/>
        <v>0</v>
      </c>
      <c r="CN253">
        <v>7968</v>
      </c>
      <c r="CO253">
        <v>14856</v>
      </c>
      <c r="CP253">
        <v>2170.47</v>
      </c>
      <c r="CQ253">
        <v>0</v>
      </c>
      <c r="CR253">
        <v>88.77</v>
      </c>
      <c r="CS253">
        <v>6.34</v>
      </c>
      <c r="CT253">
        <v>110.77</v>
      </c>
      <c r="CU253">
        <v>12.62</v>
      </c>
      <c r="CV253">
        <v>1.58</v>
      </c>
      <c r="CW253">
        <v>557.08</v>
      </c>
    </row>
    <row r="254" spans="1:101">
      <c r="A254" s="6">
        <v>2002</v>
      </c>
      <c r="B254" s="6" t="s">
        <v>110</v>
      </c>
      <c r="C254" s="6">
        <v>0.10301874</v>
      </c>
      <c r="D254" s="6">
        <v>0.02347</v>
      </c>
      <c r="E254" s="6">
        <v>0.005831</v>
      </c>
      <c r="F254" s="6">
        <v>0.01028</v>
      </c>
      <c r="G254" s="6">
        <v>0.003805</v>
      </c>
      <c r="H254" s="6">
        <v>0.003554</v>
      </c>
      <c r="I254" s="6">
        <v>0.02143</v>
      </c>
      <c r="J254" s="6">
        <v>0.008687</v>
      </c>
      <c r="K254" s="6">
        <v>0.13253373</v>
      </c>
      <c r="L254" s="6">
        <v>0.09736316</v>
      </c>
      <c r="M254" s="6">
        <v>0.11509123</v>
      </c>
      <c r="N254" s="6">
        <v>0.08399485</v>
      </c>
      <c r="O254" s="6">
        <v>0.07419044</v>
      </c>
      <c r="P254" s="6">
        <v>0.14890769</v>
      </c>
      <c r="Q254" s="6">
        <v>0.08600428</v>
      </c>
      <c r="R254" s="6">
        <v>217.69486</v>
      </c>
      <c r="S254" s="6">
        <v>0.00060881</v>
      </c>
      <c r="T254" s="6">
        <v>169.97573</v>
      </c>
      <c r="U254" s="6">
        <v>0.00057281</v>
      </c>
      <c r="V254" s="6">
        <v>197.11803</v>
      </c>
      <c r="W254" s="6">
        <v>0.00058387</v>
      </c>
      <c r="X254" s="6">
        <v>134.47093</v>
      </c>
      <c r="Y254" s="6">
        <v>0.00062463</v>
      </c>
      <c r="Z254" s="6">
        <v>134.86767</v>
      </c>
      <c r="AA254" s="6">
        <v>0.0005501</v>
      </c>
      <c r="AB254" s="6">
        <v>294.9318</v>
      </c>
      <c r="AC254" s="6">
        <v>0.00050489</v>
      </c>
      <c r="AD254" s="6">
        <v>243.86163</v>
      </c>
      <c r="AE254" s="6">
        <v>0.00035268</v>
      </c>
      <c r="AF254" s="6">
        <v>775</v>
      </c>
      <c r="AG254" s="6">
        <v>-0.0045076</v>
      </c>
      <c r="AH254" s="6">
        <v>-0.00427598</v>
      </c>
      <c r="AI254" s="6">
        <v>-0.0043474</v>
      </c>
      <c r="AJ254" s="6">
        <v>-0.00460875</v>
      </c>
      <c r="AK254" s="6">
        <v>-0.00412871</v>
      </c>
      <c r="AL254" s="6">
        <v>-0.0038327</v>
      </c>
      <c r="AM254" s="6">
        <v>-0.00280376</v>
      </c>
      <c r="AN254" s="6">
        <v>-6.4762184</v>
      </c>
      <c r="AO254" s="6">
        <v>-6.4515561</v>
      </c>
      <c r="AP254" s="6">
        <v>-6.4739881</v>
      </c>
      <c r="AQ254" s="6">
        <v>-6.4253629</v>
      </c>
      <c r="AR254" s="6">
        <v>-6.4020076</v>
      </c>
      <c r="AS254" s="6">
        <v>-6.4618417</v>
      </c>
      <c r="AT254" s="6">
        <v>-6.4506396</v>
      </c>
      <c r="AU254" s="6">
        <v>0.97344833</v>
      </c>
      <c r="AV254" s="6">
        <v>0.96974131</v>
      </c>
      <c r="AW254" s="6">
        <v>0.97311308</v>
      </c>
      <c r="AX254" s="6">
        <v>0.96580418</v>
      </c>
      <c r="AY254" s="6">
        <v>0.96229362</v>
      </c>
      <c r="AZ254" s="6">
        <v>0.97128734</v>
      </c>
      <c r="BA254" s="6">
        <v>0.96960354</v>
      </c>
      <c r="BB254" s="6">
        <v>0.02655167</v>
      </c>
      <c r="BC254" s="6">
        <v>0.03025869</v>
      </c>
      <c r="BD254" s="6">
        <v>0.02688692</v>
      </c>
      <c r="BE254" s="6">
        <v>0.03419582</v>
      </c>
      <c r="BF254" s="6">
        <v>0.03770638</v>
      </c>
      <c r="BG254" s="6">
        <v>0.02871266</v>
      </c>
      <c r="BH254" s="6">
        <v>0.03039646</v>
      </c>
      <c r="BI254" s="6">
        <v>0.21470859</v>
      </c>
      <c r="BJ254" s="6">
        <v>0.12366373</v>
      </c>
      <c r="BK254" s="6">
        <v>0.1409291</v>
      </c>
      <c r="BL254" s="6">
        <v>0.12522516</v>
      </c>
      <c r="BM254" s="6">
        <v>0.1592662</v>
      </c>
      <c r="BN254" s="6">
        <v>0.17561655</v>
      </c>
      <c r="BO254" s="6">
        <v>0.1337285</v>
      </c>
      <c r="BP254" s="6">
        <v>0.14157076</v>
      </c>
      <c r="BQ254" s="6">
        <v>0.01638962</v>
      </c>
      <c r="BR254" s="6">
        <v>0.0137213</v>
      </c>
      <c r="BS254" s="6">
        <v>0.01441232</v>
      </c>
      <c r="BT254" s="6">
        <v>0.01337754</v>
      </c>
      <c r="BU254" s="6">
        <v>0.01302907</v>
      </c>
      <c r="BV254" s="6">
        <v>0.0199132</v>
      </c>
      <c r="BW254" s="6">
        <v>0.01217569</v>
      </c>
      <c r="BX254" s="12">
        <v>9340</v>
      </c>
      <c r="BY254" s="13">
        <v>3293.71</v>
      </c>
      <c r="BZ254" s="12">
        <v>2324.8</v>
      </c>
      <c r="CA254" s="6">
        <f t="shared" si="22"/>
        <v>2.83570806172978</v>
      </c>
      <c r="CB254" s="6">
        <f t="shared" si="23"/>
        <v>4.01754989676531</v>
      </c>
      <c r="CC254" s="7">
        <v>197438757.7</v>
      </c>
      <c r="CD254" s="7">
        <f t="shared" si="18"/>
        <v>8.49272013506538</v>
      </c>
      <c r="CE254" s="8">
        <v>312.6</v>
      </c>
      <c r="CF254" s="8">
        <v>981.3</v>
      </c>
      <c r="CG254" s="8">
        <v>985.9</v>
      </c>
      <c r="CH254" s="8">
        <v>8079</v>
      </c>
      <c r="CI254" s="14">
        <v>0</v>
      </c>
      <c r="CJ254" s="14">
        <v>0</v>
      </c>
      <c r="CK254" s="14">
        <f t="shared" si="19"/>
        <v>0</v>
      </c>
      <c r="CL254">
        <f t="shared" si="20"/>
        <v>4.06804884448575</v>
      </c>
      <c r="CM254">
        <f t="shared" si="21"/>
        <v>0</v>
      </c>
      <c r="CN254">
        <v>9340</v>
      </c>
      <c r="CO254">
        <v>18055</v>
      </c>
      <c r="CP254">
        <v>2761.58</v>
      </c>
      <c r="CQ254">
        <v>0</v>
      </c>
      <c r="CR254">
        <v>89.23</v>
      </c>
      <c r="CS254">
        <v>6.66</v>
      </c>
      <c r="CT254">
        <v>127.33</v>
      </c>
      <c r="CU254">
        <v>9.07</v>
      </c>
      <c r="CV254">
        <v>1.92</v>
      </c>
      <c r="CW254">
        <v>628.83</v>
      </c>
    </row>
    <row r="255" spans="1:101">
      <c r="A255" s="6">
        <v>2003</v>
      </c>
      <c r="B255" s="6" t="s">
        <v>110</v>
      </c>
      <c r="C255" s="6">
        <v>0.11232222</v>
      </c>
      <c r="D255" s="6">
        <v>0.022698</v>
      </c>
      <c r="E255" s="6">
        <v>0.005801</v>
      </c>
      <c r="F255" s="6">
        <v>0.010049</v>
      </c>
      <c r="G255" s="6">
        <v>0.003961</v>
      </c>
      <c r="H255" s="6">
        <v>0.002887</v>
      </c>
      <c r="I255" s="6">
        <v>0.023548</v>
      </c>
      <c r="J255" s="6">
        <v>0.012748</v>
      </c>
      <c r="K255" s="6">
        <v>0.12647477</v>
      </c>
      <c r="L255" s="6">
        <v>0.09664332</v>
      </c>
      <c r="M255" s="6">
        <v>0.11153894</v>
      </c>
      <c r="N255" s="6">
        <v>0.08859437</v>
      </c>
      <c r="O255" s="6">
        <v>0.05399365</v>
      </c>
      <c r="P255" s="6">
        <v>0.17249849</v>
      </c>
      <c r="Q255" s="6">
        <v>0.1584671</v>
      </c>
      <c r="R255" s="6">
        <v>217.69486</v>
      </c>
      <c r="S255" s="6">
        <v>0.00058097</v>
      </c>
      <c r="T255" s="6">
        <v>169.97573</v>
      </c>
      <c r="U255" s="6">
        <v>0.00056857</v>
      </c>
      <c r="V255" s="6">
        <v>197.11803</v>
      </c>
      <c r="W255" s="6">
        <v>0.00056585</v>
      </c>
      <c r="X255" s="6">
        <v>134.47093</v>
      </c>
      <c r="Y255" s="6">
        <v>0.00065884</v>
      </c>
      <c r="Z255" s="6">
        <v>134.86767</v>
      </c>
      <c r="AA255" s="6">
        <v>0.00040035</v>
      </c>
      <c r="AB255" s="6">
        <v>294.9318</v>
      </c>
      <c r="AC255" s="6">
        <v>0.00058488</v>
      </c>
      <c r="AD255" s="6">
        <v>243.86163</v>
      </c>
      <c r="AE255" s="6">
        <v>0.00064982</v>
      </c>
      <c r="AF255" s="6">
        <v>775</v>
      </c>
      <c r="AG255" s="6">
        <v>-0.00432872</v>
      </c>
      <c r="AH255" s="6">
        <v>-0.00424858</v>
      </c>
      <c r="AI255" s="6">
        <v>-0.00423095</v>
      </c>
      <c r="AJ255" s="6">
        <v>-0.004826</v>
      </c>
      <c r="AK255" s="6">
        <v>-0.00313198</v>
      </c>
      <c r="AL255" s="6">
        <v>-0.00435388</v>
      </c>
      <c r="AM255" s="6">
        <v>-0.00476893</v>
      </c>
      <c r="AN255" s="6">
        <v>-6.4762184</v>
      </c>
      <c r="AO255" s="6">
        <v>-6.4515561</v>
      </c>
      <c r="AP255" s="6">
        <v>-6.4739881</v>
      </c>
      <c r="AQ255" s="6">
        <v>-6.4253629</v>
      </c>
      <c r="AR255" s="6">
        <v>-6.4020076</v>
      </c>
      <c r="AS255" s="6">
        <v>-6.4618417</v>
      </c>
      <c r="AT255" s="6">
        <v>-6.4506396</v>
      </c>
      <c r="AU255" s="6">
        <v>0.97344833</v>
      </c>
      <c r="AV255" s="6">
        <v>0.96974131</v>
      </c>
      <c r="AW255" s="6">
        <v>0.97311308</v>
      </c>
      <c r="AX255" s="6">
        <v>0.96580418</v>
      </c>
      <c r="AY255" s="6">
        <v>0.96229362</v>
      </c>
      <c r="AZ255" s="6">
        <v>0.97128734</v>
      </c>
      <c r="BA255" s="6">
        <v>0.96960354</v>
      </c>
      <c r="BB255" s="6">
        <v>0.02655167</v>
      </c>
      <c r="BC255" s="6">
        <v>0.03025869</v>
      </c>
      <c r="BD255" s="6">
        <v>0.02688692</v>
      </c>
      <c r="BE255" s="6">
        <v>0.03419582</v>
      </c>
      <c r="BF255" s="6">
        <v>0.03770638</v>
      </c>
      <c r="BG255" s="6">
        <v>0.02871266</v>
      </c>
      <c r="BH255" s="6">
        <v>0.03039646</v>
      </c>
      <c r="BI255" s="6">
        <v>0.21470859</v>
      </c>
      <c r="BJ255" s="6">
        <v>0.12366373</v>
      </c>
      <c r="BK255" s="6">
        <v>0.1409291</v>
      </c>
      <c r="BL255" s="6">
        <v>0.12522516</v>
      </c>
      <c r="BM255" s="6">
        <v>0.1592662</v>
      </c>
      <c r="BN255" s="6">
        <v>0.17561655</v>
      </c>
      <c r="BO255" s="6">
        <v>0.1337285</v>
      </c>
      <c r="BP255" s="6">
        <v>0.14157076</v>
      </c>
      <c r="BQ255" s="6">
        <v>0.01564034</v>
      </c>
      <c r="BR255" s="6">
        <v>0.01361986</v>
      </c>
      <c r="BS255" s="6">
        <v>0.01396748</v>
      </c>
      <c r="BT255" s="6">
        <v>0.01411009</v>
      </c>
      <c r="BU255" s="6">
        <v>0.00948218</v>
      </c>
      <c r="BV255" s="6">
        <v>0.02306796</v>
      </c>
      <c r="BW255" s="6">
        <v>0.02243431</v>
      </c>
      <c r="BX255" s="12">
        <v>10386</v>
      </c>
      <c r="BY255" s="13">
        <v>3314.29</v>
      </c>
      <c r="BZ255" s="12">
        <v>2855.23</v>
      </c>
      <c r="CA255" s="6">
        <f t="shared" si="22"/>
        <v>3.13370284434977</v>
      </c>
      <c r="CB255" s="6">
        <f t="shared" si="23"/>
        <v>3.63753532990337</v>
      </c>
      <c r="CC255" s="7">
        <v>225896780.6</v>
      </c>
      <c r="CD255" s="7">
        <f t="shared" si="18"/>
        <v>7.91168419356759</v>
      </c>
      <c r="CE255" s="8">
        <v>332.9</v>
      </c>
      <c r="CF255" s="8">
        <v>1164.1</v>
      </c>
      <c r="CG255" s="8">
        <v>1118.6</v>
      </c>
      <c r="CH255" s="8">
        <v>9311</v>
      </c>
      <c r="CI255" s="14">
        <v>0</v>
      </c>
      <c r="CJ255" s="14">
        <v>0</v>
      </c>
      <c r="CK255" s="14">
        <f t="shared" si="19"/>
        <v>0</v>
      </c>
      <c r="CL255">
        <f t="shared" si="20"/>
        <v>4.08414499624993</v>
      </c>
      <c r="CM255">
        <f t="shared" si="21"/>
        <v>0</v>
      </c>
      <c r="CN255">
        <v>10386</v>
      </c>
      <c r="CO255">
        <v>20501.93</v>
      </c>
      <c r="CP255">
        <v>3085.29</v>
      </c>
      <c r="CQ255">
        <v>0</v>
      </c>
      <c r="CR255">
        <v>89.27</v>
      </c>
      <c r="CS255">
        <v>5.2</v>
      </c>
      <c r="CT255">
        <v>141.05</v>
      </c>
      <c r="CU255">
        <v>10.66</v>
      </c>
      <c r="CV255">
        <v>2.5</v>
      </c>
      <c r="CW255">
        <v>731.77</v>
      </c>
    </row>
    <row r="256" spans="1:101">
      <c r="A256" s="6">
        <v>2004</v>
      </c>
      <c r="B256" s="6" t="s">
        <v>110</v>
      </c>
      <c r="C256" s="6">
        <v>0.12563531</v>
      </c>
      <c r="D256" s="6">
        <v>0.026165</v>
      </c>
      <c r="E256" s="6">
        <v>0.00671</v>
      </c>
      <c r="F256" s="6">
        <v>0.012003</v>
      </c>
      <c r="G256" s="6">
        <v>0.003951</v>
      </c>
      <c r="H256" s="6">
        <v>0.003501</v>
      </c>
      <c r="I256" s="6">
        <v>0.02542</v>
      </c>
      <c r="J256" s="6">
        <v>0.011621</v>
      </c>
      <c r="K256" s="6">
        <v>0.1536687</v>
      </c>
      <c r="L256" s="6">
        <v>0.11815529</v>
      </c>
      <c r="M256" s="6">
        <v>0.14156233</v>
      </c>
      <c r="N256" s="6">
        <v>0.08829023</v>
      </c>
      <c r="O256" s="6">
        <v>0.07259475</v>
      </c>
      <c r="P256" s="6">
        <v>0.19334949</v>
      </c>
      <c r="Q256" s="6">
        <v>0.13835173</v>
      </c>
      <c r="R256" s="6">
        <v>217.69486</v>
      </c>
      <c r="S256" s="6">
        <v>0.00070589</v>
      </c>
      <c r="T256" s="6">
        <v>169.97573</v>
      </c>
      <c r="U256" s="6">
        <v>0.00069513</v>
      </c>
      <c r="V256" s="6">
        <v>197.11803</v>
      </c>
      <c r="W256" s="6">
        <v>0.00071816</v>
      </c>
      <c r="X256" s="6">
        <v>134.47093</v>
      </c>
      <c r="Y256" s="6">
        <v>0.00065657</v>
      </c>
      <c r="Z256" s="6">
        <v>134.86767</v>
      </c>
      <c r="AA256" s="6">
        <v>0.00053827</v>
      </c>
      <c r="AB256" s="6">
        <v>294.9318</v>
      </c>
      <c r="AC256" s="6">
        <v>0.00065557</v>
      </c>
      <c r="AD256" s="6">
        <v>243.86163</v>
      </c>
      <c r="AE256" s="6">
        <v>0.00056734</v>
      </c>
      <c r="AF256" s="6">
        <v>775</v>
      </c>
      <c r="AG256" s="6">
        <v>-0.00512198</v>
      </c>
      <c r="AH256" s="6">
        <v>-0.00505458</v>
      </c>
      <c r="AI256" s="6">
        <v>-0.00519863</v>
      </c>
      <c r="AJ256" s="6">
        <v>-0.00481169</v>
      </c>
      <c r="AK256" s="6">
        <v>-0.00405162</v>
      </c>
      <c r="AL256" s="6">
        <v>-0.00480535</v>
      </c>
      <c r="AM256" s="6">
        <v>-0.00424059</v>
      </c>
      <c r="AN256" s="6">
        <v>-6.4762184</v>
      </c>
      <c r="AO256" s="6">
        <v>-6.4515561</v>
      </c>
      <c r="AP256" s="6">
        <v>-6.4739881</v>
      </c>
      <c r="AQ256" s="6">
        <v>-6.4253629</v>
      </c>
      <c r="AR256" s="6">
        <v>-6.4020076</v>
      </c>
      <c r="AS256" s="6">
        <v>-6.4618417</v>
      </c>
      <c r="AT256" s="6">
        <v>-6.4506396</v>
      </c>
      <c r="AU256" s="6">
        <v>0.97344833</v>
      </c>
      <c r="AV256" s="6">
        <v>0.96974131</v>
      </c>
      <c r="AW256" s="6">
        <v>0.97311308</v>
      </c>
      <c r="AX256" s="6">
        <v>0.96580418</v>
      </c>
      <c r="AY256" s="6">
        <v>0.96229362</v>
      </c>
      <c r="AZ256" s="6">
        <v>0.97128734</v>
      </c>
      <c r="BA256" s="6">
        <v>0.96960354</v>
      </c>
      <c r="BB256" s="6">
        <v>0.02655167</v>
      </c>
      <c r="BC256" s="6">
        <v>0.03025869</v>
      </c>
      <c r="BD256" s="6">
        <v>0.02688692</v>
      </c>
      <c r="BE256" s="6">
        <v>0.03419582</v>
      </c>
      <c r="BF256" s="6">
        <v>0.03770638</v>
      </c>
      <c r="BG256" s="6">
        <v>0.02871266</v>
      </c>
      <c r="BH256" s="6">
        <v>0.03039646</v>
      </c>
      <c r="BI256" s="6">
        <v>0.21470859</v>
      </c>
      <c r="BJ256" s="6">
        <v>0.12366373</v>
      </c>
      <c r="BK256" s="6">
        <v>0.1409291</v>
      </c>
      <c r="BL256" s="6">
        <v>0.12522516</v>
      </c>
      <c r="BM256" s="6">
        <v>0.1592662</v>
      </c>
      <c r="BN256" s="6">
        <v>0.17561655</v>
      </c>
      <c r="BO256" s="6">
        <v>0.1337285</v>
      </c>
      <c r="BP256" s="6">
        <v>0.14157076</v>
      </c>
      <c r="BQ256" s="6">
        <v>0.01900324</v>
      </c>
      <c r="BR256" s="6">
        <v>0.01665152</v>
      </c>
      <c r="BS256" s="6">
        <v>0.01772717</v>
      </c>
      <c r="BT256" s="6">
        <v>0.01406165</v>
      </c>
      <c r="BU256" s="6">
        <v>0.01274884</v>
      </c>
      <c r="BV256" s="6">
        <v>0.02585634</v>
      </c>
      <c r="BW256" s="6">
        <v>0.01958656</v>
      </c>
      <c r="BX256" s="12">
        <v>11251</v>
      </c>
      <c r="BY256" s="13">
        <v>3335.07</v>
      </c>
      <c r="BZ256" s="12">
        <v>3571.37</v>
      </c>
      <c r="CA256" s="6">
        <f t="shared" si="22"/>
        <v>3.37354238441772</v>
      </c>
      <c r="CB256" s="6">
        <f t="shared" si="23"/>
        <v>3.15033166543931</v>
      </c>
      <c r="CC256" s="7">
        <v>256838976.3</v>
      </c>
      <c r="CD256" s="7">
        <f t="shared" si="18"/>
        <v>7.19160927879217</v>
      </c>
      <c r="CE256" s="8">
        <v>420.4</v>
      </c>
      <c r="CF256" s="8">
        <v>1392.6</v>
      </c>
      <c r="CG256" s="8">
        <v>1246.6</v>
      </c>
      <c r="CH256" s="8">
        <v>10934</v>
      </c>
      <c r="CI256" s="14">
        <v>0</v>
      </c>
      <c r="CJ256" s="14">
        <v>0</v>
      </c>
      <c r="CK256" s="14">
        <f t="shared" si="19"/>
        <v>0</v>
      </c>
      <c r="CL256">
        <f t="shared" si="20"/>
        <v>3.89549779892895</v>
      </c>
      <c r="CM256">
        <f t="shared" si="21"/>
        <v>0</v>
      </c>
      <c r="CN256">
        <v>11251</v>
      </c>
      <c r="CO256">
        <v>22432.67</v>
      </c>
      <c r="CP256">
        <v>2724.31</v>
      </c>
      <c r="CQ256">
        <v>0</v>
      </c>
      <c r="CR256">
        <v>79.78</v>
      </c>
      <c r="CS256">
        <v>8.11</v>
      </c>
      <c r="CT256">
        <v>190.53</v>
      </c>
      <c r="CU256">
        <v>10.25</v>
      </c>
      <c r="CV256">
        <v>2.96</v>
      </c>
      <c r="CW256">
        <v>841.55</v>
      </c>
    </row>
    <row r="257" spans="1:101">
      <c r="A257" s="6">
        <v>2005</v>
      </c>
      <c r="B257" s="6" t="s">
        <v>110</v>
      </c>
      <c r="C257" s="6">
        <v>0.14538946</v>
      </c>
      <c r="D257" s="6">
        <v>0.027679</v>
      </c>
      <c r="E257" s="6">
        <v>0.00687</v>
      </c>
      <c r="F257" s="6">
        <v>0.012504</v>
      </c>
      <c r="G257" s="6">
        <v>0.004085</v>
      </c>
      <c r="H257" s="6">
        <v>0.004219</v>
      </c>
      <c r="I257" s="6">
        <v>0.028472</v>
      </c>
      <c r="J257" s="6">
        <v>0.014704</v>
      </c>
      <c r="K257" s="6">
        <v>0.16554441</v>
      </c>
      <c r="L257" s="6">
        <v>0.12193477</v>
      </c>
      <c r="M257" s="6">
        <v>0.14927318</v>
      </c>
      <c r="N257" s="6">
        <v>0.09227166</v>
      </c>
      <c r="O257" s="6">
        <v>0.09434528</v>
      </c>
      <c r="P257" s="6">
        <v>0.22734037</v>
      </c>
      <c r="Q257" s="6">
        <v>0.19336244</v>
      </c>
      <c r="R257" s="6">
        <v>217.69486</v>
      </c>
      <c r="S257" s="6">
        <v>0.00076044</v>
      </c>
      <c r="T257" s="6">
        <v>169.97573</v>
      </c>
      <c r="U257" s="6">
        <v>0.00071737</v>
      </c>
      <c r="V257" s="6">
        <v>197.11803</v>
      </c>
      <c r="W257" s="6">
        <v>0.00075728</v>
      </c>
      <c r="X257" s="6">
        <v>134.47093</v>
      </c>
      <c r="Y257" s="6">
        <v>0.00068618</v>
      </c>
      <c r="Z257" s="6">
        <v>134.86767</v>
      </c>
      <c r="AA257" s="6">
        <v>0.00069954</v>
      </c>
      <c r="AB257" s="6">
        <v>294.9318</v>
      </c>
      <c r="AC257" s="6">
        <v>0.00077082</v>
      </c>
      <c r="AD257" s="6">
        <v>243.86163</v>
      </c>
      <c r="AE257" s="6">
        <v>0.00079292</v>
      </c>
      <c r="AF257" s="6">
        <v>775</v>
      </c>
      <c r="AG257" s="6">
        <v>-0.0054612</v>
      </c>
      <c r="AH257" s="6">
        <v>-0.00519367</v>
      </c>
      <c r="AI257" s="6">
        <v>-0.00544163</v>
      </c>
      <c r="AJ257" s="6">
        <v>-0.00499841</v>
      </c>
      <c r="AK257" s="6">
        <v>-0.00508222</v>
      </c>
      <c r="AL257" s="6">
        <v>-0.0055253</v>
      </c>
      <c r="AM257" s="6">
        <v>-0.00566127</v>
      </c>
      <c r="AN257" s="6">
        <v>-6.4762184</v>
      </c>
      <c r="AO257" s="6">
        <v>-6.4515561</v>
      </c>
      <c r="AP257" s="6">
        <v>-6.4739881</v>
      </c>
      <c r="AQ257" s="6">
        <v>-6.4253629</v>
      </c>
      <c r="AR257" s="6">
        <v>-6.4020076</v>
      </c>
      <c r="AS257" s="6">
        <v>-6.4618417</v>
      </c>
      <c r="AT257" s="6">
        <v>-6.4506396</v>
      </c>
      <c r="AU257" s="6">
        <v>0.97344833</v>
      </c>
      <c r="AV257" s="6">
        <v>0.96974131</v>
      </c>
      <c r="AW257" s="6">
        <v>0.97311308</v>
      </c>
      <c r="AX257" s="6">
        <v>0.96580418</v>
      </c>
      <c r="AY257" s="6">
        <v>0.96229362</v>
      </c>
      <c r="AZ257" s="6">
        <v>0.97128734</v>
      </c>
      <c r="BA257" s="6">
        <v>0.96960354</v>
      </c>
      <c r="BB257" s="6">
        <v>0.02655167</v>
      </c>
      <c r="BC257" s="6">
        <v>0.03025869</v>
      </c>
      <c r="BD257" s="6">
        <v>0.02688692</v>
      </c>
      <c r="BE257" s="6">
        <v>0.03419582</v>
      </c>
      <c r="BF257" s="6">
        <v>0.03770638</v>
      </c>
      <c r="BG257" s="6">
        <v>0.02871266</v>
      </c>
      <c r="BH257" s="6">
        <v>0.03039646</v>
      </c>
      <c r="BI257" s="6">
        <v>0.21470859</v>
      </c>
      <c r="BJ257" s="6">
        <v>0.12366373</v>
      </c>
      <c r="BK257" s="6">
        <v>0.1409291</v>
      </c>
      <c r="BL257" s="6">
        <v>0.12522516</v>
      </c>
      <c r="BM257" s="6">
        <v>0.1592662</v>
      </c>
      <c r="BN257" s="6">
        <v>0.17561655</v>
      </c>
      <c r="BO257" s="6">
        <v>0.1337285</v>
      </c>
      <c r="BP257" s="6">
        <v>0.14157076</v>
      </c>
      <c r="BQ257" s="6">
        <v>0.02047184</v>
      </c>
      <c r="BR257" s="6">
        <v>0.01718416</v>
      </c>
      <c r="BS257" s="6">
        <v>0.01869276</v>
      </c>
      <c r="BT257" s="6">
        <v>0.01469576</v>
      </c>
      <c r="BU257" s="6">
        <v>0.01656859</v>
      </c>
      <c r="BV257" s="6">
        <v>0.03040189</v>
      </c>
      <c r="BW257" s="6">
        <v>0.02737447</v>
      </c>
      <c r="BX257" s="12">
        <v>12750</v>
      </c>
      <c r="BY257" s="13">
        <v>3355.21</v>
      </c>
      <c r="BZ257" s="12">
        <v>4230.53</v>
      </c>
      <c r="CA257" s="6">
        <f t="shared" si="22"/>
        <v>3.8000602048754</v>
      </c>
      <c r="CB257" s="6">
        <f t="shared" si="23"/>
        <v>3.01380678071069</v>
      </c>
      <c r="CC257" s="7">
        <v>310473261.3</v>
      </c>
      <c r="CD257" s="7">
        <f t="shared" si="18"/>
        <v>7.33887388341414</v>
      </c>
      <c r="CE257" s="8">
        <v>455.1</v>
      </c>
      <c r="CF257" s="8">
        <v>1559.2</v>
      </c>
      <c r="CG257" s="8">
        <v>1434.1</v>
      </c>
      <c r="CH257" s="8">
        <v>12335</v>
      </c>
      <c r="CI257" s="14">
        <v>0</v>
      </c>
      <c r="CJ257" s="14">
        <v>0</v>
      </c>
      <c r="CK257" s="14">
        <f t="shared" si="19"/>
        <v>0</v>
      </c>
      <c r="CL257">
        <f t="shared" si="20"/>
        <v>3.71995059106252</v>
      </c>
      <c r="CM257">
        <f t="shared" si="21"/>
        <v>0</v>
      </c>
      <c r="CN257">
        <v>12311.9</v>
      </c>
      <c r="CO257">
        <v>25681.4</v>
      </c>
      <c r="CP257">
        <v>2139.9</v>
      </c>
      <c r="CQ257">
        <v>0</v>
      </c>
      <c r="CR257">
        <v>95.23</v>
      </c>
      <c r="CS257">
        <v>8.45</v>
      </c>
      <c r="CT257">
        <v>246.42</v>
      </c>
      <c r="CU257">
        <v>8.95</v>
      </c>
      <c r="CV257">
        <v>3.24</v>
      </c>
      <c r="CW257">
        <v>946.33</v>
      </c>
    </row>
    <row r="258" spans="1:101">
      <c r="A258" s="6">
        <v>2006</v>
      </c>
      <c r="B258" s="6" t="s">
        <v>110</v>
      </c>
      <c r="C258" s="6">
        <v>0.13586979</v>
      </c>
      <c r="D258" s="6">
        <v>0.026387</v>
      </c>
      <c r="E258" s="6">
        <v>0.006625</v>
      </c>
      <c r="F258" s="6">
        <v>0.011792</v>
      </c>
      <c r="G258" s="6">
        <v>0.004118</v>
      </c>
      <c r="H258" s="6">
        <v>0.003852</v>
      </c>
      <c r="I258" s="6">
        <v>0.027317</v>
      </c>
      <c r="J258" s="6">
        <v>0.013689</v>
      </c>
      <c r="K258" s="6">
        <v>0.15541695</v>
      </c>
      <c r="L258" s="6">
        <v>0.11613231</v>
      </c>
      <c r="M258" s="6">
        <v>0.1383271</v>
      </c>
      <c r="N258" s="6">
        <v>0.09324632</v>
      </c>
      <c r="O258" s="6">
        <v>0.08323984</v>
      </c>
      <c r="P258" s="6">
        <v>0.21447732</v>
      </c>
      <c r="Q258" s="6">
        <v>0.17525432</v>
      </c>
      <c r="R258" s="6">
        <v>217.69486</v>
      </c>
      <c r="S258" s="6">
        <v>0.00071392</v>
      </c>
      <c r="T258" s="6">
        <v>169.97573</v>
      </c>
      <c r="U258" s="6">
        <v>0.00068323</v>
      </c>
      <c r="V258" s="6">
        <v>197.11803</v>
      </c>
      <c r="W258" s="6">
        <v>0.00070175</v>
      </c>
      <c r="X258" s="6">
        <v>134.47093</v>
      </c>
      <c r="Y258" s="6">
        <v>0.00069343</v>
      </c>
      <c r="Z258" s="6">
        <v>134.86767</v>
      </c>
      <c r="AA258" s="6">
        <v>0.0006172</v>
      </c>
      <c r="AB258" s="6">
        <v>294.9318</v>
      </c>
      <c r="AC258" s="6">
        <v>0.00072721</v>
      </c>
      <c r="AD258" s="6">
        <v>243.86163</v>
      </c>
      <c r="AE258" s="6">
        <v>0.00071866</v>
      </c>
      <c r="AF258" s="6">
        <v>775</v>
      </c>
      <c r="AG258" s="6">
        <v>-0.00517217</v>
      </c>
      <c r="AH258" s="6">
        <v>-0.00497984</v>
      </c>
      <c r="AI258" s="6">
        <v>-0.00509605</v>
      </c>
      <c r="AJ258" s="6">
        <v>-0.00504392</v>
      </c>
      <c r="AK258" s="6">
        <v>-0.00456128</v>
      </c>
      <c r="AL258" s="6">
        <v>-0.00525503</v>
      </c>
      <c r="AM258" s="6">
        <v>-0.00520177</v>
      </c>
      <c r="AN258" s="6">
        <v>-6.4762184</v>
      </c>
      <c r="AO258" s="6">
        <v>-6.4515561</v>
      </c>
      <c r="AP258" s="6">
        <v>-6.4739881</v>
      </c>
      <c r="AQ258" s="6">
        <v>-6.4253629</v>
      </c>
      <c r="AR258" s="6">
        <v>-6.4020076</v>
      </c>
      <c r="AS258" s="6">
        <v>-6.4618417</v>
      </c>
      <c r="AT258" s="6">
        <v>-6.4506396</v>
      </c>
      <c r="AU258" s="6">
        <v>0.97344833</v>
      </c>
      <c r="AV258" s="6">
        <v>0.96974131</v>
      </c>
      <c r="AW258" s="6">
        <v>0.97311308</v>
      </c>
      <c r="AX258" s="6">
        <v>0.96580418</v>
      </c>
      <c r="AY258" s="6">
        <v>0.96229362</v>
      </c>
      <c r="AZ258" s="6">
        <v>0.97128734</v>
      </c>
      <c r="BA258" s="6">
        <v>0.96960354</v>
      </c>
      <c r="BB258" s="6">
        <v>0.02655167</v>
      </c>
      <c r="BC258" s="6">
        <v>0.03025869</v>
      </c>
      <c r="BD258" s="6">
        <v>0.02688692</v>
      </c>
      <c r="BE258" s="6">
        <v>0.03419582</v>
      </c>
      <c r="BF258" s="6">
        <v>0.03770638</v>
      </c>
      <c r="BG258" s="6">
        <v>0.02871266</v>
      </c>
      <c r="BH258" s="6">
        <v>0.03039646</v>
      </c>
      <c r="BI258" s="6">
        <v>0.21470859</v>
      </c>
      <c r="BJ258" s="6">
        <v>0.12366373</v>
      </c>
      <c r="BK258" s="6">
        <v>0.1409291</v>
      </c>
      <c r="BL258" s="6">
        <v>0.12522516</v>
      </c>
      <c r="BM258" s="6">
        <v>0.1592662</v>
      </c>
      <c r="BN258" s="6">
        <v>0.17561655</v>
      </c>
      <c r="BO258" s="6">
        <v>0.1337285</v>
      </c>
      <c r="BP258" s="6">
        <v>0.14157076</v>
      </c>
      <c r="BQ258" s="6">
        <v>0.01921944</v>
      </c>
      <c r="BR258" s="6">
        <v>0.01636642</v>
      </c>
      <c r="BS258" s="6">
        <v>0.01732203</v>
      </c>
      <c r="BT258" s="6">
        <v>0.01485099</v>
      </c>
      <c r="BU258" s="6">
        <v>0.01461829</v>
      </c>
      <c r="BV258" s="6">
        <v>0.02868173</v>
      </c>
      <c r="BW258" s="6">
        <v>0.02481089</v>
      </c>
      <c r="BX258" s="12">
        <v>14098</v>
      </c>
      <c r="BY258" s="13">
        <v>3374.55</v>
      </c>
      <c r="BZ258" s="12">
        <v>4878.61</v>
      </c>
      <c r="CA258" s="6">
        <f t="shared" si="22"/>
        <v>4.17774221748085</v>
      </c>
      <c r="CB258" s="6">
        <f t="shared" si="23"/>
        <v>2.88975753339578</v>
      </c>
      <c r="CC258" s="7">
        <v>336017908.8</v>
      </c>
      <c r="CD258" s="7">
        <f t="shared" si="18"/>
        <v>6.88757471492905</v>
      </c>
      <c r="CE258" s="8">
        <v>379.7</v>
      </c>
      <c r="CF258" s="8">
        <v>1873.4</v>
      </c>
      <c r="CG258" s="8">
        <v>1647.2</v>
      </c>
      <c r="CH258" s="8">
        <v>13915</v>
      </c>
      <c r="CI258" s="14">
        <v>0</v>
      </c>
      <c r="CJ258" s="14">
        <v>0</v>
      </c>
      <c r="CK258" s="14">
        <f t="shared" si="19"/>
        <v>0</v>
      </c>
      <c r="CL258">
        <f t="shared" si="20"/>
        <v>3.57740717995078</v>
      </c>
      <c r="CM258">
        <f t="shared" si="21"/>
        <v>0</v>
      </c>
      <c r="CN258">
        <v>13496.67</v>
      </c>
      <c r="CO258">
        <v>28351.22</v>
      </c>
      <c r="CP258">
        <v>2417.14</v>
      </c>
      <c r="CQ258">
        <v>0</v>
      </c>
      <c r="CR258">
        <v>113.41</v>
      </c>
      <c r="CS258">
        <v>10.43</v>
      </c>
      <c r="CT258">
        <v>266.79</v>
      </c>
      <c r="CU258">
        <v>10.1</v>
      </c>
      <c r="CV258">
        <v>6.02</v>
      </c>
      <c r="CW258">
        <v>1097.67</v>
      </c>
    </row>
    <row r="259" spans="1:101">
      <c r="A259" s="6">
        <v>2007</v>
      </c>
      <c r="B259" s="6" t="s">
        <v>110</v>
      </c>
      <c r="C259" s="6">
        <v>0.14162407</v>
      </c>
      <c r="D259" s="6">
        <v>0.027864</v>
      </c>
      <c r="E259" s="6">
        <v>0.007265</v>
      </c>
      <c r="F259" s="6">
        <v>0.012693</v>
      </c>
      <c r="G259" s="6">
        <v>0.004184</v>
      </c>
      <c r="H259" s="6">
        <v>0.003722</v>
      </c>
      <c r="I259" s="6">
        <v>0.026824</v>
      </c>
      <c r="J259" s="6">
        <v>0.014313</v>
      </c>
      <c r="K259" s="6">
        <v>0.16699519</v>
      </c>
      <c r="L259" s="6">
        <v>0.13126029</v>
      </c>
      <c r="M259" s="6">
        <v>0.15217505</v>
      </c>
      <c r="N259" s="6">
        <v>0.09519026</v>
      </c>
      <c r="O259" s="6">
        <v>0.07928309</v>
      </c>
      <c r="P259" s="6">
        <v>0.20898719</v>
      </c>
      <c r="Q259" s="6">
        <v>0.18638542</v>
      </c>
      <c r="R259" s="6">
        <v>217.69486</v>
      </c>
      <c r="S259" s="6">
        <v>0.00076711</v>
      </c>
      <c r="T259" s="6">
        <v>169.97573</v>
      </c>
      <c r="U259" s="6">
        <v>0.00077223</v>
      </c>
      <c r="V259" s="6">
        <v>197.11803</v>
      </c>
      <c r="W259" s="6">
        <v>0.000772</v>
      </c>
      <c r="X259" s="6">
        <v>134.47093</v>
      </c>
      <c r="Y259" s="6">
        <v>0.00070789</v>
      </c>
      <c r="Z259" s="6">
        <v>134.86767</v>
      </c>
      <c r="AA259" s="6">
        <v>0.00058786</v>
      </c>
      <c r="AB259" s="6">
        <v>294.9318</v>
      </c>
      <c r="AC259" s="6">
        <v>0.00070859</v>
      </c>
      <c r="AD259" s="6">
        <v>243.86163</v>
      </c>
      <c r="AE259" s="6">
        <v>0.00076431</v>
      </c>
      <c r="AF259" s="6">
        <v>775</v>
      </c>
      <c r="AG259" s="6">
        <v>-0.00550237</v>
      </c>
      <c r="AH259" s="6">
        <v>-0.00553397</v>
      </c>
      <c r="AI259" s="6">
        <v>-0.00553256</v>
      </c>
      <c r="AJ259" s="6">
        <v>-0.00513447</v>
      </c>
      <c r="AK259" s="6">
        <v>-0.00437309</v>
      </c>
      <c r="AL259" s="6">
        <v>-0.00513889</v>
      </c>
      <c r="AM259" s="6">
        <v>-0.00548509</v>
      </c>
      <c r="AN259" s="6">
        <v>-6.4762184</v>
      </c>
      <c r="AO259" s="6">
        <v>-6.4515561</v>
      </c>
      <c r="AP259" s="6">
        <v>-6.4739881</v>
      </c>
      <c r="AQ259" s="6">
        <v>-6.4253629</v>
      </c>
      <c r="AR259" s="6">
        <v>-6.4020076</v>
      </c>
      <c r="AS259" s="6">
        <v>-6.4618417</v>
      </c>
      <c r="AT259" s="6">
        <v>-6.4506396</v>
      </c>
      <c r="AU259" s="6">
        <v>0.97344833</v>
      </c>
      <c r="AV259" s="6">
        <v>0.96974131</v>
      </c>
      <c r="AW259" s="6">
        <v>0.97311308</v>
      </c>
      <c r="AX259" s="6">
        <v>0.96580418</v>
      </c>
      <c r="AY259" s="6">
        <v>0.96229362</v>
      </c>
      <c r="AZ259" s="6">
        <v>0.97128734</v>
      </c>
      <c r="BA259" s="6">
        <v>0.96960354</v>
      </c>
      <c r="BB259" s="6">
        <v>0.02655167</v>
      </c>
      <c r="BC259" s="6">
        <v>0.03025869</v>
      </c>
      <c r="BD259" s="6">
        <v>0.02688692</v>
      </c>
      <c r="BE259" s="6">
        <v>0.03419582</v>
      </c>
      <c r="BF259" s="6">
        <v>0.03770638</v>
      </c>
      <c r="BG259" s="6">
        <v>0.02871266</v>
      </c>
      <c r="BH259" s="6">
        <v>0.03039646</v>
      </c>
      <c r="BI259" s="6">
        <v>0.21470859</v>
      </c>
      <c r="BJ259" s="6">
        <v>0.12366373</v>
      </c>
      <c r="BK259" s="6">
        <v>0.1409291</v>
      </c>
      <c r="BL259" s="6">
        <v>0.12522516</v>
      </c>
      <c r="BM259" s="6">
        <v>0.1592662</v>
      </c>
      <c r="BN259" s="6">
        <v>0.17561655</v>
      </c>
      <c r="BO259" s="6">
        <v>0.1337285</v>
      </c>
      <c r="BP259" s="6">
        <v>0.14157076</v>
      </c>
      <c r="BQ259" s="6">
        <v>0.02065125</v>
      </c>
      <c r="BR259" s="6">
        <v>0.01849839</v>
      </c>
      <c r="BS259" s="6">
        <v>0.01905614</v>
      </c>
      <c r="BT259" s="6">
        <v>0.01516059</v>
      </c>
      <c r="BU259" s="6">
        <v>0.01392342</v>
      </c>
      <c r="BV259" s="6">
        <v>0.02794754</v>
      </c>
      <c r="BW259" s="6">
        <v>0.02638673</v>
      </c>
      <c r="BX259" s="12">
        <v>15601</v>
      </c>
      <c r="BY259" s="13">
        <v>3392.58</v>
      </c>
      <c r="BZ259" s="12">
        <v>6024.45</v>
      </c>
      <c r="CA259" s="6">
        <f t="shared" si="22"/>
        <v>4.59856510384427</v>
      </c>
      <c r="CB259" s="6">
        <f t="shared" si="23"/>
        <v>2.58961398965881</v>
      </c>
      <c r="CC259" s="7">
        <v>366609580</v>
      </c>
      <c r="CD259" s="7">
        <f t="shared" ref="CD259:CD322" si="24">CC259/10000/BZ259</f>
        <v>6.08536181726133</v>
      </c>
      <c r="CE259" s="8">
        <v>469.4</v>
      </c>
      <c r="CF259" s="8">
        <v>2237.3</v>
      </c>
      <c r="CG259" s="8">
        <v>2064</v>
      </c>
      <c r="CH259" s="8">
        <v>16966</v>
      </c>
      <c r="CI259" s="14">
        <v>0</v>
      </c>
      <c r="CJ259" s="14">
        <v>0</v>
      </c>
      <c r="CK259" s="14">
        <f t="shared" ref="CK259:CK322" si="25">CI259*CJ259</f>
        <v>0</v>
      </c>
      <c r="CL259">
        <f t="shared" ref="CL259:CL322" si="26">AVERAGEIF($A:$A,$A259,$CD:$CD)</f>
        <v>3.23986794305777</v>
      </c>
      <c r="CM259">
        <f t="shared" ref="CM259:CM322" si="27">MAX(0,1-CD259/CL259)</f>
        <v>0</v>
      </c>
      <c r="CN259">
        <v>14619.76</v>
      </c>
      <c r="CO259">
        <v>29203.48</v>
      </c>
      <c r="CP259">
        <v>2526.37</v>
      </c>
      <c r="CQ259">
        <v>0</v>
      </c>
      <c r="CR259">
        <v>124.82</v>
      </c>
      <c r="CS259">
        <v>11.9</v>
      </c>
      <c r="CT259">
        <v>272.21</v>
      </c>
      <c r="CU259">
        <v>14.39</v>
      </c>
      <c r="CV259">
        <v>6.91</v>
      </c>
      <c r="CW259">
        <v>1348.81</v>
      </c>
    </row>
    <row r="260" spans="1:101">
      <c r="A260" s="6">
        <v>2008</v>
      </c>
      <c r="B260" s="6" t="s">
        <v>110</v>
      </c>
      <c r="C260" s="6">
        <v>0.14251347</v>
      </c>
      <c r="D260" s="6">
        <v>0.027718</v>
      </c>
      <c r="E260" s="6">
        <v>0.007249</v>
      </c>
      <c r="F260" s="6">
        <v>0.012133</v>
      </c>
      <c r="G260" s="6">
        <v>0.004258</v>
      </c>
      <c r="H260" s="6">
        <v>0.004078</v>
      </c>
      <c r="I260" s="6">
        <v>0.027637</v>
      </c>
      <c r="J260" s="6">
        <v>0.0138</v>
      </c>
      <c r="K260" s="6">
        <v>0.16585334</v>
      </c>
      <c r="L260" s="6">
        <v>0.13089558</v>
      </c>
      <c r="M260" s="6">
        <v>0.14356228</v>
      </c>
      <c r="N260" s="6">
        <v>0.09738634</v>
      </c>
      <c r="O260" s="6">
        <v>0.09006973</v>
      </c>
      <c r="P260" s="6">
        <v>0.21804014</v>
      </c>
      <c r="Q260" s="6">
        <v>0.17724389</v>
      </c>
      <c r="R260" s="6">
        <v>217.69486</v>
      </c>
      <c r="S260" s="6">
        <v>0.00076186</v>
      </c>
      <c r="T260" s="6">
        <v>169.97573</v>
      </c>
      <c r="U260" s="6">
        <v>0.00077008</v>
      </c>
      <c r="V260" s="6">
        <v>197.11803</v>
      </c>
      <c r="W260" s="6">
        <v>0.00072831</v>
      </c>
      <c r="X260" s="6">
        <v>134.47093</v>
      </c>
      <c r="Y260" s="6">
        <v>0.00072422</v>
      </c>
      <c r="Z260" s="6">
        <v>134.86767</v>
      </c>
      <c r="AA260" s="6">
        <v>0.00066784</v>
      </c>
      <c r="AB260" s="6">
        <v>294.9318</v>
      </c>
      <c r="AC260" s="6">
        <v>0.00073929</v>
      </c>
      <c r="AD260" s="6">
        <v>243.86163</v>
      </c>
      <c r="AE260" s="6">
        <v>0.00072682</v>
      </c>
      <c r="AF260" s="6">
        <v>775</v>
      </c>
      <c r="AG260" s="6">
        <v>-0.00546997</v>
      </c>
      <c r="AH260" s="6">
        <v>-0.00552074</v>
      </c>
      <c r="AI260" s="6">
        <v>-0.00526186</v>
      </c>
      <c r="AJ260" s="6">
        <v>-0.0052364</v>
      </c>
      <c r="AK260" s="6">
        <v>-0.00488287</v>
      </c>
      <c r="AL260" s="6">
        <v>-0.00533015</v>
      </c>
      <c r="AM260" s="6">
        <v>-0.00525262</v>
      </c>
      <c r="AN260" s="6">
        <v>-6.4762184</v>
      </c>
      <c r="AO260" s="6">
        <v>-6.4515561</v>
      </c>
      <c r="AP260" s="6">
        <v>-6.4739881</v>
      </c>
      <c r="AQ260" s="6">
        <v>-6.4253629</v>
      </c>
      <c r="AR260" s="6">
        <v>-6.4020076</v>
      </c>
      <c r="AS260" s="6">
        <v>-6.4618417</v>
      </c>
      <c r="AT260" s="6">
        <v>-6.4506396</v>
      </c>
      <c r="AU260" s="6">
        <v>0.97344833</v>
      </c>
      <c r="AV260" s="6">
        <v>0.96974131</v>
      </c>
      <c r="AW260" s="6">
        <v>0.97311308</v>
      </c>
      <c r="AX260" s="6">
        <v>0.96580418</v>
      </c>
      <c r="AY260" s="6">
        <v>0.96229362</v>
      </c>
      <c r="AZ260" s="6">
        <v>0.97128734</v>
      </c>
      <c r="BA260" s="6">
        <v>0.96960354</v>
      </c>
      <c r="BB260" s="6">
        <v>0.02655167</v>
      </c>
      <c r="BC260" s="6">
        <v>0.03025869</v>
      </c>
      <c r="BD260" s="6">
        <v>0.02688692</v>
      </c>
      <c r="BE260" s="6">
        <v>0.03419582</v>
      </c>
      <c r="BF260" s="6">
        <v>0.03770638</v>
      </c>
      <c r="BG260" s="6">
        <v>0.02871266</v>
      </c>
      <c r="BH260" s="6">
        <v>0.03039646</v>
      </c>
      <c r="BI260" s="6">
        <v>0.21470859</v>
      </c>
      <c r="BJ260" s="6">
        <v>0.12366373</v>
      </c>
      <c r="BK260" s="6">
        <v>0.1409291</v>
      </c>
      <c r="BL260" s="6">
        <v>0.12522516</v>
      </c>
      <c r="BM260" s="6">
        <v>0.1592662</v>
      </c>
      <c r="BN260" s="6">
        <v>0.17561655</v>
      </c>
      <c r="BO260" s="6">
        <v>0.1337285</v>
      </c>
      <c r="BP260" s="6">
        <v>0.14157076</v>
      </c>
      <c r="BQ260" s="6">
        <v>0.02051004</v>
      </c>
      <c r="BR260" s="6">
        <v>0.018447</v>
      </c>
      <c r="BS260" s="6">
        <v>0.01797761</v>
      </c>
      <c r="BT260" s="6">
        <v>0.01551035</v>
      </c>
      <c r="BU260" s="6">
        <v>0.01581774</v>
      </c>
      <c r="BV260" s="6">
        <v>0.02915818</v>
      </c>
      <c r="BW260" s="6">
        <v>0.02509255</v>
      </c>
      <c r="BX260" s="12">
        <v>15675</v>
      </c>
      <c r="BY260" s="13">
        <v>3410.64</v>
      </c>
      <c r="BZ260" s="12">
        <v>7315.4</v>
      </c>
      <c r="CA260" s="6">
        <f t="shared" si="22"/>
        <v>4.59591161776089</v>
      </c>
      <c r="CB260" s="6">
        <f t="shared" si="23"/>
        <v>2.14273997320721</v>
      </c>
      <c r="CC260" s="7">
        <v>378431345.2</v>
      </c>
      <c r="CD260" s="7">
        <f t="shared" si="24"/>
        <v>5.17307796156054</v>
      </c>
      <c r="CE260" s="8">
        <v>555.1</v>
      </c>
      <c r="CF260" s="8">
        <v>2651.8</v>
      </c>
      <c r="CG260" s="8">
        <v>2692.7</v>
      </c>
      <c r="CH260" s="8">
        <v>20865</v>
      </c>
      <c r="CI260" s="14">
        <v>0</v>
      </c>
      <c r="CJ260" s="14">
        <v>0</v>
      </c>
      <c r="CK260" s="14">
        <f t="shared" si="25"/>
        <v>0</v>
      </c>
      <c r="CL260">
        <f t="shared" si="26"/>
        <v>2.71728515287532</v>
      </c>
      <c r="CM260">
        <f t="shared" si="27"/>
        <v>0</v>
      </c>
      <c r="CN260">
        <v>15675</v>
      </c>
      <c r="CO260">
        <v>28373</v>
      </c>
      <c r="CP260">
        <v>2358.76</v>
      </c>
      <c r="CQ260">
        <v>0</v>
      </c>
      <c r="CR260">
        <v>236.63</v>
      </c>
      <c r="CS260">
        <v>14.67</v>
      </c>
      <c r="CT260">
        <v>472.75</v>
      </c>
      <c r="CU260">
        <v>12.09</v>
      </c>
      <c r="CV260">
        <v>6.6</v>
      </c>
      <c r="CW260">
        <v>1313.49</v>
      </c>
    </row>
    <row r="261" spans="1:101">
      <c r="A261" s="6">
        <v>2009</v>
      </c>
      <c r="B261" s="6" t="s">
        <v>110</v>
      </c>
      <c r="C261" s="6">
        <v>0.1591784</v>
      </c>
      <c r="D261" s="6">
        <v>0.027911</v>
      </c>
      <c r="E261" s="6">
        <v>0.00693</v>
      </c>
      <c r="F261" s="6">
        <v>0.012522</v>
      </c>
      <c r="G261" s="6">
        <v>0.004209</v>
      </c>
      <c r="H261" s="6">
        <v>0.00425</v>
      </c>
      <c r="I261" s="6">
        <v>0.034449</v>
      </c>
      <c r="J261" s="6">
        <v>0.01616</v>
      </c>
      <c r="K261" s="6">
        <v>0.16736913</v>
      </c>
      <c r="L261" s="6">
        <v>0.12335815</v>
      </c>
      <c r="M261" s="6">
        <v>0.14954331</v>
      </c>
      <c r="N261" s="6">
        <v>0.09591704</v>
      </c>
      <c r="O261" s="6">
        <v>0.09530048</v>
      </c>
      <c r="P261" s="6">
        <v>0.29391652</v>
      </c>
      <c r="Q261" s="6">
        <v>0.2193382</v>
      </c>
      <c r="R261" s="6">
        <v>217.69486</v>
      </c>
      <c r="S261" s="6">
        <v>0.00076882</v>
      </c>
      <c r="T261" s="6">
        <v>169.97573</v>
      </c>
      <c r="U261" s="6">
        <v>0.00072574</v>
      </c>
      <c r="V261" s="6">
        <v>197.11803</v>
      </c>
      <c r="W261" s="6">
        <v>0.00075865</v>
      </c>
      <c r="X261" s="6">
        <v>134.47093</v>
      </c>
      <c r="Y261" s="6">
        <v>0.00071329</v>
      </c>
      <c r="Z261" s="6">
        <v>134.86767</v>
      </c>
      <c r="AA261" s="6">
        <v>0.00070662</v>
      </c>
      <c r="AB261" s="6">
        <v>294.9318</v>
      </c>
      <c r="AC261" s="6">
        <v>0.00099656</v>
      </c>
      <c r="AD261" s="6">
        <v>243.86163</v>
      </c>
      <c r="AE261" s="6">
        <v>0.00089944</v>
      </c>
      <c r="AF261" s="6">
        <v>775</v>
      </c>
      <c r="AG261" s="6">
        <v>-0.00551297</v>
      </c>
      <c r="AH261" s="6">
        <v>-0.00524588</v>
      </c>
      <c r="AI261" s="6">
        <v>-0.00545011</v>
      </c>
      <c r="AJ261" s="6">
        <v>-0.00516824</v>
      </c>
      <c r="AK261" s="6">
        <v>-0.00512655</v>
      </c>
      <c r="AL261" s="6">
        <v>-0.00688741</v>
      </c>
      <c r="AM261" s="6">
        <v>-0.00630842</v>
      </c>
      <c r="AN261" s="6">
        <v>-6.4762184</v>
      </c>
      <c r="AO261" s="6">
        <v>-6.4515561</v>
      </c>
      <c r="AP261" s="6">
        <v>-6.4739881</v>
      </c>
      <c r="AQ261" s="6">
        <v>-6.4253629</v>
      </c>
      <c r="AR261" s="6">
        <v>-6.4020076</v>
      </c>
      <c r="AS261" s="6">
        <v>-6.4618417</v>
      </c>
      <c r="AT261" s="6">
        <v>-6.4506396</v>
      </c>
      <c r="AU261" s="6">
        <v>0.97344833</v>
      </c>
      <c r="AV261" s="6">
        <v>0.96974131</v>
      </c>
      <c r="AW261" s="6">
        <v>0.97311308</v>
      </c>
      <c r="AX261" s="6">
        <v>0.96580418</v>
      </c>
      <c r="AY261" s="6">
        <v>0.96229362</v>
      </c>
      <c r="AZ261" s="6">
        <v>0.97128734</v>
      </c>
      <c r="BA261" s="6">
        <v>0.96960354</v>
      </c>
      <c r="BB261" s="6">
        <v>0.02655167</v>
      </c>
      <c r="BC261" s="6">
        <v>0.03025869</v>
      </c>
      <c r="BD261" s="6">
        <v>0.02688692</v>
      </c>
      <c r="BE261" s="6">
        <v>0.03419582</v>
      </c>
      <c r="BF261" s="6">
        <v>0.03770638</v>
      </c>
      <c r="BG261" s="6">
        <v>0.02871266</v>
      </c>
      <c r="BH261" s="6">
        <v>0.03039646</v>
      </c>
      <c r="BI261" s="6">
        <v>0.21470859</v>
      </c>
      <c r="BJ261" s="6">
        <v>0.12366373</v>
      </c>
      <c r="BK261" s="6">
        <v>0.1409291</v>
      </c>
      <c r="BL261" s="6">
        <v>0.12522516</v>
      </c>
      <c r="BM261" s="6">
        <v>0.1592662</v>
      </c>
      <c r="BN261" s="6">
        <v>0.17561655</v>
      </c>
      <c r="BO261" s="6">
        <v>0.1337285</v>
      </c>
      <c r="BP261" s="6">
        <v>0.14157076</v>
      </c>
      <c r="BQ261" s="6">
        <v>0.02069749</v>
      </c>
      <c r="BR261" s="6">
        <v>0.01738475</v>
      </c>
      <c r="BS261" s="6">
        <v>0.01872659</v>
      </c>
      <c r="BT261" s="6">
        <v>0.01527634</v>
      </c>
      <c r="BU261" s="6">
        <v>0.01673634</v>
      </c>
      <c r="BV261" s="6">
        <v>0.03930501</v>
      </c>
      <c r="BW261" s="6">
        <v>0.03105188</v>
      </c>
      <c r="BX261" s="12">
        <v>15576</v>
      </c>
      <c r="BY261" s="13">
        <v>3427.36</v>
      </c>
      <c r="BZ261" s="12">
        <v>7358.31</v>
      </c>
      <c r="CA261" s="6">
        <f t="shared" si="22"/>
        <v>4.54460576070211</v>
      </c>
      <c r="CB261" s="6">
        <f t="shared" si="23"/>
        <v>2.11679040431838</v>
      </c>
      <c r="CC261" s="7">
        <v>415685131</v>
      </c>
      <c r="CD261" s="7">
        <f t="shared" si="24"/>
        <v>5.64919296686331</v>
      </c>
      <c r="CE261" s="8">
        <v>581.1</v>
      </c>
      <c r="CF261" s="8">
        <v>3016.8</v>
      </c>
      <c r="CG261" s="8">
        <v>3053.4</v>
      </c>
      <c r="CH261" s="8">
        <v>23346</v>
      </c>
      <c r="CI261" s="14">
        <v>0</v>
      </c>
      <c r="CJ261" s="14">
        <v>0</v>
      </c>
      <c r="CK261" s="14">
        <f t="shared" si="25"/>
        <v>0</v>
      </c>
      <c r="CL261">
        <f t="shared" si="26"/>
        <v>2.66960201713366</v>
      </c>
      <c r="CM261">
        <f t="shared" si="27"/>
        <v>0</v>
      </c>
      <c r="CN261">
        <v>15576</v>
      </c>
      <c r="CO261">
        <v>27762</v>
      </c>
      <c r="CP261">
        <v>2438.39</v>
      </c>
      <c r="CQ261">
        <v>0</v>
      </c>
      <c r="CR261">
        <v>262.41</v>
      </c>
      <c r="CS261">
        <v>16.28</v>
      </c>
      <c r="CT261">
        <v>506.67</v>
      </c>
      <c r="CU261">
        <v>12.06</v>
      </c>
      <c r="CV261">
        <v>13.76</v>
      </c>
      <c r="CW261">
        <v>1267.54</v>
      </c>
    </row>
    <row r="262" spans="1:101">
      <c r="A262" s="6">
        <v>2010</v>
      </c>
      <c r="B262" s="6" t="s">
        <v>110</v>
      </c>
      <c r="C262" s="6">
        <v>0.1518219</v>
      </c>
      <c r="D262" s="6">
        <v>0.028606</v>
      </c>
      <c r="E262" s="6">
        <v>0.006959</v>
      </c>
      <c r="F262" s="6">
        <v>0.012636</v>
      </c>
      <c r="G262" s="6">
        <v>0.004524</v>
      </c>
      <c r="H262" s="6">
        <v>0.004487</v>
      </c>
      <c r="I262" s="6">
        <v>0.031877</v>
      </c>
      <c r="J262" s="6">
        <v>0.013287</v>
      </c>
      <c r="K262" s="6">
        <v>0.17281565</v>
      </c>
      <c r="L262" s="6">
        <v>0.12404168</v>
      </c>
      <c r="M262" s="6">
        <v>0.15129243</v>
      </c>
      <c r="N262" s="6">
        <v>0.10522588</v>
      </c>
      <c r="O262" s="6">
        <v>0.10247409</v>
      </c>
      <c r="P262" s="6">
        <v>0.26526746</v>
      </c>
      <c r="Q262" s="6">
        <v>0.16808044</v>
      </c>
      <c r="R262" s="6">
        <v>217.69486</v>
      </c>
      <c r="S262" s="6">
        <v>0.00079384</v>
      </c>
      <c r="T262" s="6">
        <v>169.97573</v>
      </c>
      <c r="U262" s="6">
        <v>0.00072976</v>
      </c>
      <c r="V262" s="6">
        <v>197.11803</v>
      </c>
      <c r="W262" s="6">
        <v>0.00076752</v>
      </c>
      <c r="X262" s="6">
        <v>134.47093</v>
      </c>
      <c r="Y262" s="6">
        <v>0.00078252</v>
      </c>
      <c r="Z262" s="6">
        <v>134.86767</v>
      </c>
      <c r="AA262" s="6">
        <v>0.00075981</v>
      </c>
      <c r="AB262" s="6">
        <v>294.9318</v>
      </c>
      <c r="AC262" s="6">
        <v>0.00089942</v>
      </c>
      <c r="AD262" s="6">
        <v>243.86163</v>
      </c>
      <c r="AE262" s="6">
        <v>0.00068925</v>
      </c>
      <c r="AF262" s="6">
        <v>775</v>
      </c>
      <c r="AG262" s="6">
        <v>-0.00566695</v>
      </c>
      <c r="AH262" s="6">
        <v>-0.00527091</v>
      </c>
      <c r="AI262" s="6">
        <v>-0.00550493</v>
      </c>
      <c r="AJ262" s="6">
        <v>-0.00559734</v>
      </c>
      <c r="AK262" s="6">
        <v>-0.0054573</v>
      </c>
      <c r="AL262" s="6">
        <v>-0.00630831</v>
      </c>
      <c r="AM262" s="6">
        <v>-0.00501764</v>
      </c>
      <c r="AN262" s="6">
        <v>-6.4762184</v>
      </c>
      <c r="AO262" s="6">
        <v>-6.4515561</v>
      </c>
      <c r="AP262" s="6">
        <v>-6.4739881</v>
      </c>
      <c r="AQ262" s="6">
        <v>-6.4253629</v>
      </c>
      <c r="AR262" s="6">
        <v>-6.4020076</v>
      </c>
      <c r="AS262" s="6">
        <v>-6.4618417</v>
      </c>
      <c r="AT262" s="6">
        <v>-6.4506396</v>
      </c>
      <c r="AU262" s="6">
        <v>0.97344833</v>
      </c>
      <c r="AV262" s="6">
        <v>0.96974131</v>
      </c>
      <c r="AW262" s="6">
        <v>0.97311308</v>
      </c>
      <c r="AX262" s="6">
        <v>0.96580418</v>
      </c>
      <c r="AY262" s="6">
        <v>0.96229362</v>
      </c>
      <c r="AZ262" s="6">
        <v>0.97128734</v>
      </c>
      <c r="BA262" s="6">
        <v>0.96960354</v>
      </c>
      <c r="BB262" s="6">
        <v>0.02655167</v>
      </c>
      <c r="BC262" s="6">
        <v>0.03025869</v>
      </c>
      <c r="BD262" s="6">
        <v>0.02688692</v>
      </c>
      <c r="BE262" s="6">
        <v>0.03419582</v>
      </c>
      <c r="BF262" s="6">
        <v>0.03770638</v>
      </c>
      <c r="BG262" s="6">
        <v>0.02871266</v>
      </c>
      <c r="BH262" s="6">
        <v>0.03039646</v>
      </c>
      <c r="BI262" s="6">
        <v>0.21470859</v>
      </c>
      <c r="BJ262" s="6">
        <v>0.12366373</v>
      </c>
      <c r="BK262" s="6">
        <v>0.1409291</v>
      </c>
      <c r="BL262" s="6">
        <v>0.12522516</v>
      </c>
      <c r="BM262" s="6">
        <v>0.1592662</v>
      </c>
      <c r="BN262" s="6">
        <v>0.17561655</v>
      </c>
      <c r="BO262" s="6">
        <v>0.1337285</v>
      </c>
      <c r="BP262" s="6">
        <v>0.14157076</v>
      </c>
      <c r="BQ262" s="6">
        <v>0.02137103</v>
      </c>
      <c r="BR262" s="6">
        <v>0.01748108</v>
      </c>
      <c r="BS262" s="6">
        <v>0.01894562</v>
      </c>
      <c r="BT262" s="6">
        <v>0.01675893</v>
      </c>
      <c r="BU262" s="6">
        <v>0.01799615</v>
      </c>
      <c r="BV262" s="6">
        <v>0.03547382</v>
      </c>
      <c r="BW262" s="6">
        <v>0.02379528</v>
      </c>
      <c r="BX262" s="12">
        <v>16808</v>
      </c>
      <c r="BY262" s="13">
        <v>3574.11</v>
      </c>
      <c r="BZ262" s="12">
        <v>9200.86</v>
      </c>
      <c r="CA262" s="6">
        <f t="shared" si="22"/>
        <v>4.70270920592819</v>
      </c>
      <c r="CB262" s="6">
        <f t="shared" si="23"/>
        <v>1.82678575698359</v>
      </c>
      <c r="CC262" s="7">
        <v>445967883.9</v>
      </c>
      <c r="CD262" s="7">
        <f t="shared" si="24"/>
        <v>4.84702390754777</v>
      </c>
      <c r="CE262" s="8">
        <v>649.5</v>
      </c>
      <c r="CF262" s="8">
        <v>3624.1</v>
      </c>
      <c r="CG262" s="8">
        <v>3791.7</v>
      </c>
      <c r="CH262" s="8">
        <v>28084</v>
      </c>
      <c r="CI262" s="14">
        <v>0</v>
      </c>
      <c r="CJ262" s="14">
        <v>0</v>
      </c>
      <c r="CK262" s="14">
        <f t="shared" si="25"/>
        <v>0</v>
      </c>
      <c r="CL262">
        <f t="shared" si="26"/>
        <v>2.40850270516871</v>
      </c>
      <c r="CM262">
        <f t="shared" si="27"/>
        <v>0</v>
      </c>
      <c r="CN262">
        <v>16808.03</v>
      </c>
      <c r="CO262">
        <v>29865.1</v>
      </c>
      <c r="CP262">
        <v>2589.22</v>
      </c>
      <c r="CQ262">
        <v>0</v>
      </c>
      <c r="CR262">
        <v>228.35</v>
      </c>
      <c r="CS262">
        <v>14.64</v>
      </c>
      <c r="CT262">
        <v>474.38</v>
      </c>
      <c r="CU262">
        <v>12.25</v>
      </c>
      <c r="CV262">
        <v>28.93</v>
      </c>
      <c r="CW262">
        <v>1460</v>
      </c>
    </row>
    <row r="263" spans="1:101">
      <c r="A263" s="6">
        <v>2011</v>
      </c>
      <c r="B263" s="6" t="s">
        <v>110</v>
      </c>
      <c r="C263" s="6">
        <v>0.15830803</v>
      </c>
      <c r="D263" s="6">
        <v>0.029253</v>
      </c>
      <c r="E263" s="6">
        <v>0.007158</v>
      </c>
      <c r="F263" s="6">
        <v>0.012817</v>
      </c>
      <c r="G263" s="6">
        <v>0.004366</v>
      </c>
      <c r="H263" s="6">
        <v>0.004913</v>
      </c>
      <c r="I263" s="6">
        <v>0.030601</v>
      </c>
      <c r="J263" s="6">
        <v>0.015356</v>
      </c>
      <c r="K263" s="6">
        <v>0.17789055</v>
      </c>
      <c r="L263" s="6">
        <v>0.12872727</v>
      </c>
      <c r="M263" s="6">
        <v>0.15406914</v>
      </c>
      <c r="N263" s="6">
        <v>0.10055669</v>
      </c>
      <c r="O263" s="6">
        <v>0.11538647</v>
      </c>
      <c r="P263" s="6">
        <v>0.25105489</v>
      </c>
      <c r="Q263" s="6">
        <v>0.20500294</v>
      </c>
      <c r="R263" s="6">
        <v>217.69486</v>
      </c>
      <c r="S263" s="6">
        <v>0.00081716</v>
      </c>
      <c r="T263" s="6">
        <v>169.97573</v>
      </c>
      <c r="U263" s="6">
        <v>0.00075733</v>
      </c>
      <c r="V263" s="6">
        <v>197.11803</v>
      </c>
      <c r="W263" s="6">
        <v>0.00078161</v>
      </c>
      <c r="X263" s="6">
        <v>134.47093</v>
      </c>
      <c r="Y263" s="6">
        <v>0.0007478</v>
      </c>
      <c r="Z263" s="6">
        <v>134.86767</v>
      </c>
      <c r="AA263" s="6">
        <v>0.00085555</v>
      </c>
      <c r="AB263" s="6">
        <v>294.9318</v>
      </c>
      <c r="AC263" s="6">
        <v>0.00085123</v>
      </c>
      <c r="AD263" s="6">
        <v>243.86163</v>
      </c>
      <c r="AE263" s="6">
        <v>0.00084065</v>
      </c>
      <c r="AF263" s="6">
        <v>775</v>
      </c>
      <c r="AG263" s="6">
        <v>-0.00580971</v>
      </c>
      <c r="AH263" s="6">
        <v>-0.00544194</v>
      </c>
      <c r="AI263" s="6">
        <v>-0.00559175</v>
      </c>
      <c r="AJ263" s="6">
        <v>-0.00538291</v>
      </c>
      <c r="AK263" s="6">
        <v>-0.00604342</v>
      </c>
      <c r="AL263" s="6">
        <v>-0.0060172</v>
      </c>
      <c r="AM263" s="6">
        <v>-0.00595294</v>
      </c>
      <c r="AN263" s="6">
        <v>-6.4762184</v>
      </c>
      <c r="AO263" s="6">
        <v>-6.4515561</v>
      </c>
      <c r="AP263" s="6">
        <v>-6.4739881</v>
      </c>
      <c r="AQ263" s="6">
        <v>-6.4253629</v>
      </c>
      <c r="AR263" s="6">
        <v>-6.4020076</v>
      </c>
      <c r="AS263" s="6">
        <v>-6.4618417</v>
      </c>
      <c r="AT263" s="6">
        <v>-6.4506396</v>
      </c>
      <c r="AU263" s="6">
        <v>0.97344833</v>
      </c>
      <c r="AV263" s="6">
        <v>0.96974131</v>
      </c>
      <c r="AW263" s="6">
        <v>0.97311308</v>
      </c>
      <c r="AX263" s="6">
        <v>0.96580418</v>
      </c>
      <c r="AY263" s="6">
        <v>0.96229362</v>
      </c>
      <c r="AZ263" s="6">
        <v>0.97128734</v>
      </c>
      <c r="BA263" s="6">
        <v>0.96960354</v>
      </c>
      <c r="BB263" s="6">
        <v>0.02655167</v>
      </c>
      <c r="BC263" s="6">
        <v>0.03025869</v>
      </c>
      <c r="BD263" s="6">
        <v>0.02688692</v>
      </c>
      <c r="BE263" s="6">
        <v>0.03419582</v>
      </c>
      <c r="BF263" s="6">
        <v>0.03770638</v>
      </c>
      <c r="BG263" s="6">
        <v>0.02871266</v>
      </c>
      <c r="BH263" s="6">
        <v>0.03039646</v>
      </c>
      <c r="BI263" s="6">
        <v>0.21470859</v>
      </c>
      <c r="BJ263" s="6">
        <v>0.12366373</v>
      </c>
      <c r="BK263" s="6">
        <v>0.1409291</v>
      </c>
      <c r="BL263" s="6">
        <v>0.12522516</v>
      </c>
      <c r="BM263" s="6">
        <v>0.1592662</v>
      </c>
      <c r="BN263" s="6">
        <v>0.17561655</v>
      </c>
      <c r="BO263" s="6">
        <v>0.1337285</v>
      </c>
      <c r="BP263" s="6">
        <v>0.14157076</v>
      </c>
      <c r="BQ263" s="6">
        <v>0.02199861</v>
      </c>
      <c r="BR263" s="6">
        <v>0.01814142</v>
      </c>
      <c r="BS263" s="6">
        <v>0.01929333</v>
      </c>
      <c r="BT263" s="6">
        <v>0.01601528</v>
      </c>
      <c r="BU263" s="6">
        <v>0.02026377</v>
      </c>
      <c r="BV263" s="6">
        <v>0.03357319</v>
      </c>
      <c r="BW263" s="6">
        <v>0.02902242</v>
      </c>
      <c r="BX263" s="12">
        <v>18315</v>
      </c>
      <c r="BY263" s="13">
        <v>3562</v>
      </c>
      <c r="BZ263" s="12">
        <v>11237.55</v>
      </c>
      <c r="CA263" s="6">
        <f t="shared" si="22"/>
        <v>5.14177428411005</v>
      </c>
      <c r="CB263" s="6">
        <f t="shared" si="23"/>
        <v>1.62980364937197</v>
      </c>
      <c r="CC263" s="7">
        <v>492907902.2</v>
      </c>
      <c r="CD263" s="7">
        <f t="shared" si="24"/>
        <v>4.38625770029944</v>
      </c>
      <c r="CE263" s="8">
        <v>794.1</v>
      </c>
      <c r="CF263" s="8">
        <v>4571.3</v>
      </c>
      <c r="CG263" s="8">
        <v>4795.8</v>
      </c>
      <c r="CH263" s="8">
        <v>34864</v>
      </c>
      <c r="CI263" s="14">
        <v>0</v>
      </c>
      <c r="CJ263" s="14">
        <v>0</v>
      </c>
      <c r="CK263" s="14">
        <f t="shared" si="25"/>
        <v>0</v>
      </c>
      <c r="CL263">
        <f t="shared" si="26"/>
        <v>2.18035126729488</v>
      </c>
      <c r="CM263">
        <f t="shared" si="27"/>
        <v>0</v>
      </c>
      <c r="CN263">
        <v>18315</v>
      </c>
      <c r="CO263">
        <v>33479</v>
      </c>
      <c r="CP263">
        <v>2558.55</v>
      </c>
      <c r="CQ263">
        <v>0</v>
      </c>
      <c r="CR263">
        <v>216.88</v>
      </c>
      <c r="CS263">
        <v>15.18</v>
      </c>
      <c r="CT263">
        <v>488.64</v>
      </c>
      <c r="CU263">
        <v>12.6</v>
      </c>
      <c r="CV263">
        <v>31.93</v>
      </c>
      <c r="CW263">
        <v>1650</v>
      </c>
    </row>
    <row r="264" spans="1:101">
      <c r="A264" s="6">
        <v>2012</v>
      </c>
      <c r="B264" s="6" t="s">
        <v>110</v>
      </c>
      <c r="C264" s="6">
        <v>0.15027255</v>
      </c>
      <c r="D264" s="6">
        <v>0.029642</v>
      </c>
      <c r="E264" s="6">
        <v>0.007487</v>
      </c>
      <c r="F264" s="6">
        <v>0.013449</v>
      </c>
      <c r="G264" s="6">
        <v>0.004608</v>
      </c>
      <c r="H264" s="6">
        <v>0.004099</v>
      </c>
      <c r="I264" s="6">
        <v>0.028703</v>
      </c>
      <c r="J264" s="6">
        <v>0.013492</v>
      </c>
      <c r="K264" s="6">
        <v>0.18094817</v>
      </c>
      <c r="L264" s="6">
        <v>0.13651358</v>
      </c>
      <c r="M264" s="6">
        <v>0.16378599</v>
      </c>
      <c r="N264" s="6">
        <v>0.1077193</v>
      </c>
      <c r="O264" s="6">
        <v>0.0907168</v>
      </c>
      <c r="P264" s="6">
        <v>0.22991454</v>
      </c>
      <c r="Q264" s="6">
        <v>0.17174041</v>
      </c>
      <c r="R264" s="6">
        <v>217.69486</v>
      </c>
      <c r="S264" s="6">
        <v>0.0008312</v>
      </c>
      <c r="T264" s="6">
        <v>169.97573</v>
      </c>
      <c r="U264" s="6">
        <v>0.00080314</v>
      </c>
      <c r="V264" s="6">
        <v>197.11803</v>
      </c>
      <c r="W264" s="6">
        <v>0.0008309</v>
      </c>
      <c r="X264" s="6">
        <v>134.47093</v>
      </c>
      <c r="Y264" s="6">
        <v>0.00080106</v>
      </c>
      <c r="Z264" s="6">
        <v>134.86767</v>
      </c>
      <c r="AA264" s="6">
        <v>0.00067264</v>
      </c>
      <c r="AB264" s="6">
        <v>294.9318</v>
      </c>
      <c r="AC264" s="6">
        <v>0.00077955</v>
      </c>
      <c r="AD264" s="6">
        <v>243.86163</v>
      </c>
      <c r="AE264" s="6">
        <v>0.00070425</v>
      </c>
      <c r="AF264" s="6">
        <v>775</v>
      </c>
      <c r="AG264" s="6">
        <v>-0.00589541</v>
      </c>
      <c r="AH264" s="6">
        <v>-0.00572394</v>
      </c>
      <c r="AI264" s="6">
        <v>-0.00589359</v>
      </c>
      <c r="AJ264" s="6">
        <v>-0.00571122</v>
      </c>
      <c r="AK264" s="6">
        <v>-0.00491314</v>
      </c>
      <c r="AL264" s="6">
        <v>-0.00557909</v>
      </c>
      <c r="AM264" s="6">
        <v>-0.00511173</v>
      </c>
      <c r="AN264" s="6">
        <v>-6.4762184</v>
      </c>
      <c r="AO264" s="6">
        <v>-6.4515561</v>
      </c>
      <c r="AP264" s="6">
        <v>-6.4739881</v>
      </c>
      <c r="AQ264" s="6">
        <v>-6.4253629</v>
      </c>
      <c r="AR264" s="6">
        <v>-6.4020076</v>
      </c>
      <c r="AS264" s="6">
        <v>-6.4618417</v>
      </c>
      <c r="AT264" s="6">
        <v>-6.4506396</v>
      </c>
      <c r="AU264" s="6">
        <v>0.97344833</v>
      </c>
      <c r="AV264" s="6">
        <v>0.96974131</v>
      </c>
      <c r="AW264" s="6">
        <v>0.97311308</v>
      </c>
      <c r="AX264" s="6">
        <v>0.96580418</v>
      </c>
      <c r="AY264" s="6">
        <v>0.96229362</v>
      </c>
      <c r="AZ264" s="6">
        <v>0.97128734</v>
      </c>
      <c r="BA264" s="6">
        <v>0.96960354</v>
      </c>
      <c r="BB264" s="6">
        <v>0.02655167</v>
      </c>
      <c r="BC264" s="6">
        <v>0.03025869</v>
      </c>
      <c r="BD264" s="6">
        <v>0.02688692</v>
      </c>
      <c r="BE264" s="6">
        <v>0.03419582</v>
      </c>
      <c r="BF264" s="6">
        <v>0.03770638</v>
      </c>
      <c r="BG264" s="6">
        <v>0.02871266</v>
      </c>
      <c r="BH264" s="6">
        <v>0.03039646</v>
      </c>
      <c r="BI264" s="6">
        <v>0.21470859</v>
      </c>
      <c r="BJ264" s="6">
        <v>0.12366373</v>
      </c>
      <c r="BK264" s="6">
        <v>0.1409291</v>
      </c>
      <c r="BL264" s="6">
        <v>0.12522516</v>
      </c>
      <c r="BM264" s="6">
        <v>0.1592662</v>
      </c>
      <c r="BN264" s="6">
        <v>0.17561655</v>
      </c>
      <c r="BO264" s="6">
        <v>0.1337285</v>
      </c>
      <c r="BP264" s="6">
        <v>0.14157076</v>
      </c>
      <c r="BQ264" s="6">
        <v>0.02237673</v>
      </c>
      <c r="BR264" s="6">
        <v>0.01923874</v>
      </c>
      <c r="BS264" s="6">
        <v>0.02051013</v>
      </c>
      <c r="BT264" s="6">
        <v>0.01715604</v>
      </c>
      <c r="BU264" s="6">
        <v>0.01593137</v>
      </c>
      <c r="BV264" s="6">
        <v>0.03074613</v>
      </c>
      <c r="BW264" s="6">
        <v>0.02431342</v>
      </c>
      <c r="BX264" s="12">
        <v>19336</v>
      </c>
      <c r="BY264" s="13">
        <v>3548</v>
      </c>
      <c r="BZ264" s="12">
        <v>12112.83</v>
      </c>
      <c r="CA264" s="6">
        <f t="shared" si="22"/>
        <v>5.44983089064262</v>
      </c>
      <c r="CB264" s="6">
        <f t="shared" si="23"/>
        <v>1.59632389788348</v>
      </c>
      <c r="CC264" s="7">
        <v>515912259.6</v>
      </c>
      <c r="CD264" s="7">
        <f t="shared" si="24"/>
        <v>4.25922149984768</v>
      </c>
      <c r="CE264" s="8">
        <v>879.7</v>
      </c>
      <c r="CF264" s="8">
        <v>5308.1</v>
      </c>
      <c r="CG264" s="8">
        <v>5407.6</v>
      </c>
      <c r="CH264" s="8">
        <v>39180</v>
      </c>
      <c r="CI264" s="14">
        <v>0</v>
      </c>
      <c r="CJ264" s="14">
        <v>0</v>
      </c>
      <c r="CK264" s="14">
        <f t="shared" si="25"/>
        <v>0</v>
      </c>
      <c r="CL264">
        <f t="shared" si="26"/>
        <v>2.01609935715007</v>
      </c>
      <c r="CM264">
        <f t="shared" si="27"/>
        <v>0</v>
      </c>
      <c r="CN264">
        <v>19335.59</v>
      </c>
      <c r="CO264">
        <v>34551</v>
      </c>
      <c r="CP264">
        <v>2938.55</v>
      </c>
      <c r="CQ264">
        <v>0</v>
      </c>
      <c r="CR264">
        <v>224.61</v>
      </c>
      <c r="CS264">
        <v>18</v>
      </c>
      <c r="CT264">
        <v>498.08</v>
      </c>
      <c r="CU264">
        <v>1.2</v>
      </c>
      <c r="CV264">
        <v>37.39</v>
      </c>
      <c r="CW264">
        <v>1765.78</v>
      </c>
    </row>
    <row r="265" spans="1:101">
      <c r="A265" s="6">
        <v>2013</v>
      </c>
      <c r="B265" s="6" t="s">
        <v>110</v>
      </c>
      <c r="C265" s="6">
        <v>0.196967</v>
      </c>
      <c r="D265" s="6">
        <v>0.035411</v>
      </c>
      <c r="E265" s="6">
        <v>0.008977</v>
      </c>
      <c r="F265" s="6">
        <v>0.016306</v>
      </c>
      <c r="G265" s="6">
        <v>0.005703</v>
      </c>
      <c r="H265" s="6">
        <v>0.004424</v>
      </c>
      <c r="I265" s="6">
        <v>0.036123</v>
      </c>
      <c r="J265" s="6">
        <v>0.018517</v>
      </c>
      <c r="K265" s="6">
        <v>0.22619462</v>
      </c>
      <c r="L265" s="6">
        <v>0.17175206</v>
      </c>
      <c r="M265" s="6">
        <v>0.20769971</v>
      </c>
      <c r="N265" s="6">
        <v>0.14009646</v>
      </c>
      <c r="O265" s="6">
        <v>0.10057418</v>
      </c>
      <c r="P265" s="6">
        <v>0.31256478</v>
      </c>
      <c r="Q265" s="6">
        <v>0.26140211</v>
      </c>
      <c r="R265" s="6">
        <v>217.69486</v>
      </c>
      <c r="S265" s="6">
        <v>0.00103904</v>
      </c>
      <c r="T265" s="6">
        <v>169.97573</v>
      </c>
      <c r="U265" s="6">
        <v>0.00101045</v>
      </c>
      <c r="V265" s="6">
        <v>197.11803</v>
      </c>
      <c r="W265" s="6">
        <v>0.00105368</v>
      </c>
      <c r="X265" s="6">
        <v>134.47093</v>
      </c>
      <c r="Y265" s="6">
        <v>0.00104183</v>
      </c>
      <c r="Z265" s="6">
        <v>134.86767</v>
      </c>
      <c r="AA265" s="6">
        <v>0.00074572</v>
      </c>
      <c r="AB265" s="6">
        <v>294.9318</v>
      </c>
      <c r="AC265" s="6">
        <v>0.00105979</v>
      </c>
      <c r="AD265" s="6">
        <v>243.86163</v>
      </c>
      <c r="AE265" s="6">
        <v>0.00107193</v>
      </c>
      <c r="AF265" s="6">
        <v>775</v>
      </c>
      <c r="AG265" s="6">
        <v>-0.00713767</v>
      </c>
      <c r="AH265" s="6">
        <v>-0.00696944</v>
      </c>
      <c r="AI265" s="6">
        <v>-0.00722348</v>
      </c>
      <c r="AJ265" s="6">
        <v>-0.00715404</v>
      </c>
      <c r="AK265" s="6">
        <v>-0.00537008</v>
      </c>
      <c r="AL265" s="6">
        <v>-0.00725921</v>
      </c>
      <c r="AM265" s="6">
        <v>-0.00733016</v>
      </c>
      <c r="AN265" s="6">
        <v>-6.4762184</v>
      </c>
      <c r="AO265" s="6">
        <v>-6.4515561</v>
      </c>
      <c r="AP265" s="6">
        <v>-6.4739881</v>
      </c>
      <c r="AQ265" s="6">
        <v>-6.4253629</v>
      </c>
      <c r="AR265" s="6">
        <v>-6.4020076</v>
      </c>
      <c r="AS265" s="6">
        <v>-6.4618417</v>
      </c>
      <c r="AT265" s="6">
        <v>-6.4506396</v>
      </c>
      <c r="AU265" s="6">
        <v>0.97344833</v>
      </c>
      <c r="AV265" s="6">
        <v>0.96974131</v>
      </c>
      <c r="AW265" s="6">
        <v>0.97311308</v>
      </c>
      <c r="AX265" s="6">
        <v>0.96580418</v>
      </c>
      <c r="AY265" s="6">
        <v>0.96229362</v>
      </c>
      <c r="AZ265" s="6">
        <v>0.97128734</v>
      </c>
      <c r="BA265" s="6">
        <v>0.96960354</v>
      </c>
      <c r="BB265" s="6">
        <v>0.02655167</v>
      </c>
      <c r="BC265" s="6">
        <v>0.03025869</v>
      </c>
      <c r="BD265" s="6">
        <v>0.02688692</v>
      </c>
      <c r="BE265" s="6">
        <v>0.03419582</v>
      </c>
      <c r="BF265" s="6">
        <v>0.03770638</v>
      </c>
      <c r="BG265" s="6">
        <v>0.02871266</v>
      </c>
      <c r="BH265" s="6">
        <v>0.03039646</v>
      </c>
      <c r="BI265" s="6">
        <v>0.21470859</v>
      </c>
      <c r="BJ265" s="6">
        <v>0.12366373</v>
      </c>
      <c r="BK265" s="6">
        <v>0.1409291</v>
      </c>
      <c r="BL265" s="6">
        <v>0.12522516</v>
      </c>
      <c r="BM265" s="6">
        <v>0.1592662</v>
      </c>
      <c r="BN265" s="6">
        <v>0.17561655</v>
      </c>
      <c r="BO265" s="6">
        <v>0.1337285</v>
      </c>
      <c r="BP265" s="6">
        <v>0.14157076</v>
      </c>
      <c r="BQ265" s="6">
        <v>0.02797207</v>
      </c>
      <c r="BR265" s="6">
        <v>0.02420486</v>
      </c>
      <c r="BS265" s="6">
        <v>0.02600923</v>
      </c>
      <c r="BT265" s="6">
        <v>0.02231263</v>
      </c>
      <c r="BU265" s="6">
        <v>0.01766249</v>
      </c>
      <c r="BV265" s="6">
        <v>0.04179882</v>
      </c>
      <c r="BW265" s="6">
        <v>0.0370069</v>
      </c>
      <c r="BX265" s="12">
        <v>19761</v>
      </c>
      <c r="BY265" s="13">
        <v>3535</v>
      </c>
      <c r="BZ265" s="12">
        <v>12665.25</v>
      </c>
      <c r="CA265" s="6">
        <f t="shared" si="22"/>
        <v>5.59009900990099</v>
      </c>
      <c r="CB265" s="6">
        <f t="shared" si="23"/>
        <v>1.56025344939895</v>
      </c>
      <c r="CC265" s="7">
        <v>532777868</v>
      </c>
      <c r="CD265" s="7">
        <f t="shared" si="24"/>
        <v>4.20661153944849</v>
      </c>
      <c r="CE265" s="8">
        <v>941.2</v>
      </c>
      <c r="CF265" s="8">
        <v>5988.6</v>
      </c>
      <c r="CG265" s="8">
        <v>6097.7</v>
      </c>
      <c r="CH265" s="8">
        <v>43527</v>
      </c>
      <c r="CI265" s="14">
        <v>0</v>
      </c>
      <c r="CJ265" s="14">
        <v>0</v>
      </c>
      <c r="CK265" s="14">
        <f t="shared" si="25"/>
        <v>0</v>
      </c>
      <c r="CL265">
        <f t="shared" si="26"/>
        <v>1.91398219724656</v>
      </c>
      <c r="CM265">
        <f t="shared" si="27"/>
        <v>0</v>
      </c>
      <c r="CN265">
        <v>19761</v>
      </c>
      <c r="CO265">
        <v>36636.51</v>
      </c>
      <c r="CP265">
        <v>2145.59</v>
      </c>
      <c r="CQ265">
        <v>0</v>
      </c>
      <c r="CR265">
        <v>215.87</v>
      </c>
      <c r="CS265">
        <v>20.49</v>
      </c>
      <c r="CT265">
        <v>516.02</v>
      </c>
      <c r="CU265">
        <v>0.99</v>
      </c>
      <c r="CV265">
        <v>45.08</v>
      </c>
      <c r="CW265">
        <v>1832.35</v>
      </c>
    </row>
    <row r="266" spans="1:101">
      <c r="A266" s="6">
        <v>2014</v>
      </c>
      <c r="B266" s="6" t="s">
        <v>110</v>
      </c>
      <c r="C266" s="6">
        <v>0.19772136</v>
      </c>
      <c r="D266" s="6">
        <v>0.035445</v>
      </c>
      <c r="E266" s="6">
        <v>0.008533</v>
      </c>
      <c r="F266" s="6">
        <v>0.01583</v>
      </c>
      <c r="G266" s="6">
        <v>0.005561</v>
      </c>
      <c r="H266" s="6">
        <v>0.005521</v>
      </c>
      <c r="I266" s="6">
        <v>0.03699</v>
      </c>
      <c r="J266" s="6">
        <v>0.017194</v>
      </c>
      <c r="K266" s="6">
        <v>0.2264641</v>
      </c>
      <c r="L266" s="6">
        <v>0.16125175</v>
      </c>
      <c r="M266" s="6">
        <v>0.20037821</v>
      </c>
      <c r="N266" s="6">
        <v>0.13588556</v>
      </c>
      <c r="O266" s="6">
        <v>0.13382747</v>
      </c>
      <c r="P266" s="6">
        <v>0.32221731</v>
      </c>
      <c r="Q266" s="6">
        <v>0.23779331</v>
      </c>
      <c r="R266" s="6">
        <v>217.69486</v>
      </c>
      <c r="S266" s="6">
        <v>0.00104028</v>
      </c>
      <c r="T266" s="6">
        <v>169.97573</v>
      </c>
      <c r="U266" s="6">
        <v>0.00094868</v>
      </c>
      <c r="V266" s="6">
        <v>197.11803</v>
      </c>
      <c r="W266" s="6">
        <v>0.00101654</v>
      </c>
      <c r="X266" s="6">
        <v>134.47093</v>
      </c>
      <c r="Y266" s="6">
        <v>0.00101052</v>
      </c>
      <c r="Z266" s="6">
        <v>134.86767</v>
      </c>
      <c r="AA266" s="6">
        <v>0.00099229</v>
      </c>
      <c r="AB266" s="6">
        <v>294.9318</v>
      </c>
      <c r="AC266" s="6">
        <v>0.00109251</v>
      </c>
      <c r="AD266" s="6">
        <v>243.86163</v>
      </c>
      <c r="AE266" s="6">
        <v>0.00097512</v>
      </c>
      <c r="AF266" s="6">
        <v>775</v>
      </c>
      <c r="AG266" s="6">
        <v>-0.00714493</v>
      </c>
      <c r="AH266" s="6">
        <v>-0.0066032</v>
      </c>
      <c r="AI266" s="6">
        <v>-0.00700533</v>
      </c>
      <c r="AJ266" s="6">
        <v>-0.00696985</v>
      </c>
      <c r="AK266" s="6">
        <v>-0.00686216</v>
      </c>
      <c r="AL266" s="6">
        <v>-0.00745016</v>
      </c>
      <c r="AM266" s="6">
        <v>-0.00676043</v>
      </c>
      <c r="AN266" s="6">
        <v>-6.4762184</v>
      </c>
      <c r="AO266" s="6">
        <v>-6.4515561</v>
      </c>
      <c r="AP266" s="6">
        <v>-6.4739881</v>
      </c>
      <c r="AQ266" s="6">
        <v>-6.4253629</v>
      </c>
      <c r="AR266" s="6">
        <v>-6.4020076</v>
      </c>
      <c r="AS266" s="6">
        <v>-6.4618417</v>
      </c>
      <c r="AT266" s="6">
        <v>-6.4506396</v>
      </c>
      <c r="AU266" s="6">
        <v>0.97344833</v>
      </c>
      <c r="AV266" s="6">
        <v>0.96974131</v>
      </c>
      <c r="AW266" s="6">
        <v>0.97311308</v>
      </c>
      <c r="AX266" s="6">
        <v>0.96580418</v>
      </c>
      <c r="AY266" s="6">
        <v>0.96229362</v>
      </c>
      <c r="AZ266" s="6">
        <v>0.97128734</v>
      </c>
      <c r="BA266" s="6">
        <v>0.96960354</v>
      </c>
      <c r="BB266" s="6">
        <v>0.02655167</v>
      </c>
      <c r="BC266" s="6">
        <v>0.03025869</v>
      </c>
      <c r="BD266" s="6">
        <v>0.02688692</v>
      </c>
      <c r="BE266" s="6">
        <v>0.03419582</v>
      </c>
      <c r="BF266" s="6">
        <v>0.03770638</v>
      </c>
      <c r="BG266" s="6">
        <v>0.02871266</v>
      </c>
      <c r="BH266" s="6">
        <v>0.03039646</v>
      </c>
      <c r="BI266" s="6">
        <v>0.21470859</v>
      </c>
      <c r="BJ266" s="6">
        <v>0.12366373</v>
      </c>
      <c r="BK266" s="6">
        <v>0.1409291</v>
      </c>
      <c r="BL266" s="6">
        <v>0.12522516</v>
      </c>
      <c r="BM266" s="6">
        <v>0.1592662</v>
      </c>
      <c r="BN266" s="6">
        <v>0.17561655</v>
      </c>
      <c r="BO266" s="6">
        <v>0.1337285</v>
      </c>
      <c r="BP266" s="6">
        <v>0.14157076</v>
      </c>
      <c r="BQ266" s="6">
        <v>0.0280054</v>
      </c>
      <c r="BR266" s="6">
        <v>0.02272506</v>
      </c>
      <c r="BS266" s="6">
        <v>0.02509239</v>
      </c>
      <c r="BT266" s="6">
        <v>0.02164198</v>
      </c>
      <c r="BU266" s="6">
        <v>0.02350232</v>
      </c>
      <c r="BV266" s="6">
        <v>0.04308964</v>
      </c>
      <c r="BW266" s="6">
        <v>0.03366458</v>
      </c>
      <c r="BX266" s="12">
        <v>19863</v>
      </c>
      <c r="BY266" s="13">
        <v>3528</v>
      </c>
      <c r="BZ266" s="12">
        <v>12761.49</v>
      </c>
      <c r="CA266" s="6">
        <f t="shared" si="22"/>
        <v>5.63010204081633</v>
      </c>
      <c r="CB266" s="6">
        <f t="shared" si="23"/>
        <v>1.55647969006754</v>
      </c>
      <c r="CC266" s="7">
        <v>522105710.7</v>
      </c>
      <c r="CD266" s="7">
        <f t="shared" si="24"/>
        <v>4.09125980351824</v>
      </c>
      <c r="CE266" s="8">
        <v>990.8</v>
      </c>
      <c r="CF266" s="8">
        <v>6774.6</v>
      </c>
      <c r="CG266" s="8">
        <v>6858.5</v>
      </c>
      <c r="CH266" s="8">
        <v>48311</v>
      </c>
      <c r="CI266" s="14">
        <v>0</v>
      </c>
      <c r="CJ266" s="14">
        <v>0</v>
      </c>
      <c r="CK266" s="14">
        <f t="shared" si="25"/>
        <v>0</v>
      </c>
      <c r="CL266">
        <f t="shared" si="26"/>
        <v>1.79640226266579</v>
      </c>
      <c r="CM266">
        <f t="shared" si="27"/>
        <v>0</v>
      </c>
      <c r="CN266">
        <v>19862.76</v>
      </c>
      <c r="CO266">
        <v>37587.43</v>
      </c>
      <c r="CP266">
        <v>2177.69</v>
      </c>
      <c r="CQ266">
        <v>0</v>
      </c>
      <c r="CR266">
        <v>202.32</v>
      </c>
      <c r="CS266">
        <v>20.93</v>
      </c>
      <c r="CT266">
        <v>497.55</v>
      </c>
      <c r="CU266">
        <v>2.24</v>
      </c>
      <c r="CV266">
        <v>50.35</v>
      </c>
      <c r="CW266">
        <v>1822.63</v>
      </c>
    </row>
    <row r="267" spans="1:101">
      <c r="A267" s="6">
        <v>2015</v>
      </c>
      <c r="B267" s="6" t="s">
        <v>110</v>
      </c>
      <c r="C267" s="6">
        <v>0.22074776</v>
      </c>
      <c r="D267" s="6">
        <v>0.039747</v>
      </c>
      <c r="E267" s="6">
        <v>0.009991</v>
      </c>
      <c r="F267" s="6">
        <v>0.017722</v>
      </c>
      <c r="G267" s="6">
        <v>0.006152</v>
      </c>
      <c r="H267" s="6">
        <v>0.005882</v>
      </c>
      <c r="I267" s="6">
        <v>0.037783</v>
      </c>
      <c r="J267" s="6">
        <v>0.018965</v>
      </c>
      <c r="K267" s="6">
        <v>0.26020684</v>
      </c>
      <c r="L267" s="6">
        <v>0.19571282</v>
      </c>
      <c r="M267" s="6">
        <v>0.22946833</v>
      </c>
      <c r="N267" s="6">
        <v>0.15336515</v>
      </c>
      <c r="O267" s="6">
        <v>0.1447393</v>
      </c>
      <c r="P267" s="6">
        <v>0.33104608</v>
      </c>
      <c r="Q267" s="6">
        <v>0.2693916</v>
      </c>
      <c r="R267" s="6">
        <v>217.69486</v>
      </c>
      <c r="S267" s="6">
        <v>0.00119528</v>
      </c>
      <c r="T267" s="6">
        <v>169.97573</v>
      </c>
      <c r="U267" s="6">
        <v>0.00115142</v>
      </c>
      <c r="V267" s="6">
        <v>197.11803</v>
      </c>
      <c r="W267" s="6">
        <v>0.00116412</v>
      </c>
      <c r="X267" s="6">
        <v>134.47093</v>
      </c>
      <c r="Y267" s="6">
        <v>0.00114051</v>
      </c>
      <c r="Z267" s="6">
        <v>134.86767</v>
      </c>
      <c r="AA267" s="6">
        <v>0.00107319</v>
      </c>
      <c r="AB267" s="6">
        <v>294.9318</v>
      </c>
      <c r="AC267" s="6">
        <v>0.00112245</v>
      </c>
      <c r="AD267" s="6">
        <v>243.86163</v>
      </c>
      <c r="AE267" s="6">
        <v>0.00110469</v>
      </c>
      <c r="AF267" s="6">
        <v>775</v>
      </c>
      <c r="AG267" s="6">
        <v>-0.0080435</v>
      </c>
      <c r="AH267" s="6">
        <v>-0.00779136</v>
      </c>
      <c r="AI267" s="6">
        <v>-0.00786453</v>
      </c>
      <c r="AJ267" s="6">
        <v>-0.0077284</v>
      </c>
      <c r="AK267" s="6">
        <v>-0.00733756</v>
      </c>
      <c r="AL267" s="6">
        <v>-0.00762395</v>
      </c>
      <c r="AM267" s="6">
        <v>-0.00752094</v>
      </c>
      <c r="AN267" s="6">
        <v>-6.4762184</v>
      </c>
      <c r="AO267" s="6">
        <v>-6.4515561</v>
      </c>
      <c r="AP267" s="6">
        <v>-6.4739881</v>
      </c>
      <c r="AQ267" s="6">
        <v>-6.4253629</v>
      </c>
      <c r="AR267" s="6">
        <v>-6.4020076</v>
      </c>
      <c r="AS267" s="6">
        <v>-6.4618417</v>
      </c>
      <c r="AT267" s="6">
        <v>-6.4506396</v>
      </c>
      <c r="AU267" s="6">
        <v>0.97344833</v>
      </c>
      <c r="AV267" s="6">
        <v>0.96974131</v>
      </c>
      <c r="AW267" s="6">
        <v>0.97311308</v>
      </c>
      <c r="AX267" s="6">
        <v>0.96580418</v>
      </c>
      <c r="AY267" s="6">
        <v>0.96229362</v>
      </c>
      <c r="AZ267" s="6">
        <v>0.97128734</v>
      </c>
      <c r="BA267" s="6">
        <v>0.96960354</v>
      </c>
      <c r="BB267" s="6">
        <v>0.02655167</v>
      </c>
      <c r="BC267" s="6">
        <v>0.03025869</v>
      </c>
      <c r="BD267" s="6">
        <v>0.02688692</v>
      </c>
      <c r="BE267" s="6">
        <v>0.03419582</v>
      </c>
      <c r="BF267" s="6">
        <v>0.03770638</v>
      </c>
      <c r="BG267" s="6">
        <v>0.02871266</v>
      </c>
      <c r="BH267" s="6">
        <v>0.03039646</v>
      </c>
      <c r="BI267" s="6">
        <v>0.21470859</v>
      </c>
      <c r="BJ267" s="6">
        <v>0.12366373</v>
      </c>
      <c r="BK267" s="6">
        <v>0.1409291</v>
      </c>
      <c r="BL267" s="6">
        <v>0.12522516</v>
      </c>
      <c r="BM267" s="6">
        <v>0.1592662</v>
      </c>
      <c r="BN267" s="6">
        <v>0.17561655</v>
      </c>
      <c r="BO267" s="6">
        <v>0.1337285</v>
      </c>
      <c r="BP267" s="6">
        <v>0.14157076</v>
      </c>
      <c r="BQ267" s="6">
        <v>0.03217815</v>
      </c>
      <c r="BR267" s="6">
        <v>0.02758163</v>
      </c>
      <c r="BS267" s="6">
        <v>0.02873521</v>
      </c>
      <c r="BT267" s="6">
        <v>0.02442589</v>
      </c>
      <c r="BU267" s="6">
        <v>0.02541862</v>
      </c>
      <c r="BV267" s="6">
        <v>0.04427029</v>
      </c>
      <c r="BW267" s="6">
        <v>0.03813797</v>
      </c>
      <c r="BX267" s="12">
        <v>19029</v>
      </c>
      <c r="BY267" s="13">
        <v>3519</v>
      </c>
      <c r="BZ267" s="12">
        <v>12766.49</v>
      </c>
      <c r="CA267" s="6">
        <f t="shared" si="22"/>
        <v>5.4075021312873</v>
      </c>
      <c r="CB267" s="6">
        <f t="shared" si="23"/>
        <v>1.49054281952205</v>
      </c>
      <c r="CC267" s="7">
        <v>501404690.6</v>
      </c>
      <c r="CD267" s="7">
        <f t="shared" si="24"/>
        <v>3.92750623389828</v>
      </c>
      <c r="CE267" s="8">
        <v>1067.7</v>
      </c>
      <c r="CF267" s="8">
        <v>7208</v>
      </c>
      <c r="CG267" s="8">
        <v>7764.8</v>
      </c>
      <c r="CH267" s="8">
        <v>52480</v>
      </c>
      <c r="CI267" s="14">
        <v>0</v>
      </c>
      <c r="CJ267" s="14">
        <v>0</v>
      </c>
      <c r="CK267" s="14">
        <f t="shared" si="25"/>
        <v>0</v>
      </c>
      <c r="CL267">
        <f t="shared" si="26"/>
        <v>1.71577514742415</v>
      </c>
      <c r="CM267">
        <f t="shared" si="27"/>
        <v>0</v>
      </c>
      <c r="CN267">
        <v>19029</v>
      </c>
      <c r="CO267">
        <v>43880.62</v>
      </c>
      <c r="CP267">
        <v>2083.43</v>
      </c>
      <c r="CQ267">
        <v>0</v>
      </c>
      <c r="CR267">
        <v>204.3</v>
      </c>
      <c r="CS267">
        <v>26.51</v>
      </c>
      <c r="CT267">
        <v>486.45</v>
      </c>
      <c r="CU267">
        <v>0.61</v>
      </c>
      <c r="CV267">
        <v>64.92</v>
      </c>
      <c r="CW267">
        <v>1737</v>
      </c>
    </row>
    <row r="268" spans="1:101">
      <c r="A268" s="6">
        <v>2016</v>
      </c>
      <c r="B268" s="6" t="s">
        <v>110</v>
      </c>
      <c r="C268" s="6">
        <v>0.20323354</v>
      </c>
      <c r="D268" s="6">
        <v>0.035134</v>
      </c>
      <c r="E268" s="6">
        <v>0.008502</v>
      </c>
      <c r="F268" s="6">
        <v>0.016189</v>
      </c>
      <c r="G268" s="6">
        <v>0.005315</v>
      </c>
      <c r="H268" s="6">
        <v>0.005128</v>
      </c>
      <c r="I268" s="6">
        <v>0.038801</v>
      </c>
      <c r="J268" s="6">
        <v>0.019482</v>
      </c>
      <c r="K268" s="6">
        <v>0.22402412</v>
      </c>
      <c r="L268" s="6">
        <v>0.16051126</v>
      </c>
      <c r="M268" s="6">
        <v>0.20590968</v>
      </c>
      <c r="N268" s="6">
        <v>0.1286132</v>
      </c>
      <c r="O268" s="6">
        <v>0.12189917</v>
      </c>
      <c r="P268" s="6">
        <v>0.34239458</v>
      </c>
      <c r="Q268" s="6">
        <v>0.27862349</v>
      </c>
      <c r="R268" s="6">
        <v>217.69486</v>
      </c>
      <c r="S268" s="6">
        <v>0.00102907</v>
      </c>
      <c r="T268" s="6">
        <v>169.97573</v>
      </c>
      <c r="U268" s="6">
        <v>0.00094432</v>
      </c>
      <c r="V268" s="6">
        <v>197.11803</v>
      </c>
      <c r="W268" s="6">
        <v>0.0010446</v>
      </c>
      <c r="X268" s="6">
        <v>134.47093</v>
      </c>
      <c r="Y268" s="6">
        <v>0.00095644</v>
      </c>
      <c r="Z268" s="6">
        <v>134.86767</v>
      </c>
      <c r="AA268" s="6">
        <v>0.00090384</v>
      </c>
      <c r="AB268" s="6">
        <v>294.9318</v>
      </c>
      <c r="AC268" s="6">
        <v>0.00116093</v>
      </c>
      <c r="AD268" s="6">
        <v>243.86163</v>
      </c>
      <c r="AE268" s="6">
        <v>0.00114255</v>
      </c>
      <c r="AF268" s="6">
        <v>775</v>
      </c>
      <c r="AG268" s="6">
        <v>-0.0070791</v>
      </c>
      <c r="AH268" s="6">
        <v>-0.00657722</v>
      </c>
      <c r="AI268" s="6">
        <v>-0.00717027</v>
      </c>
      <c r="AJ268" s="6">
        <v>-0.00664944</v>
      </c>
      <c r="AK268" s="6">
        <v>-0.0063349</v>
      </c>
      <c r="AL268" s="6">
        <v>-0.00784617</v>
      </c>
      <c r="AM268" s="6">
        <v>-0.00774018</v>
      </c>
      <c r="AN268" s="6">
        <v>-6.4762184</v>
      </c>
      <c r="AO268" s="6">
        <v>-6.4515561</v>
      </c>
      <c r="AP268" s="6">
        <v>-6.4739881</v>
      </c>
      <c r="AQ268" s="6">
        <v>-6.4253629</v>
      </c>
      <c r="AR268" s="6">
        <v>-6.4020076</v>
      </c>
      <c r="AS268" s="6">
        <v>-6.4618417</v>
      </c>
      <c r="AT268" s="6">
        <v>-6.4506396</v>
      </c>
      <c r="AU268" s="6">
        <v>0.97344833</v>
      </c>
      <c r="AV268" s="6">
        <v>0.96974131</v>
      </c>
      <c r="AW268" s="6">
        <v>0.97311308</v>
      </c>
      <c r="AX268" s="6">
        <v>0.96580418</v>
      </c>
      <c r="AY268" s="6">
        <v>0.96229362</v>
      </c>
      <c r="AZ268" s="6">
        <v>0.97128734</v>
      </c>
      <c r="BA268" s="6">
        <v>0.96960354</v>
      </c>
      <c r="BB268" s="6">
        <v>0.02655167</v>
      </c>
      <c r="BC268" s="6">
        <v>0.03025869</v>
      </c>
      <c r="BD268" s="6">
        <v>0.02688692</v>
      </c>
      <c r="BE268" s="6">
        <v>0.03419582</v>
      </c>
      <c r="BF268" s="6">
        <v>0.03770638</v>
      </c>
      <c r="BG268" s="6">
        <v>0.02871266</v>
      </c>
      <c r="BH268" s="6">
        <v>0.03039646</v>
      </c>
      <c r="BI268" s="6">
        <v>0.21470859</v>
      </c>
      <c r="BJ268" s="6">
        <v>0.12366373</v>
      </c>
      <c r="BK268" s="6">
        <v>0.1409291</v>
      </c>
      <c r="BL268" s="6">
        <v>0.12522516</v>
      </c>
      <c r="BM268" s="6">
        <v>0.1592662</v>
      </c>
      <c r="BN268" s="6">
        <v>0.17561655</v>
      </c>
      <c r="BO268" s="6">
        <v>0.1337285</v>
      </c>
      <c r="BP268" s="6">
        <v>0.14157076</v>
      </c>
      <c r="BQ268" s="6">
        <v>0.02770366</v>
      </c>
      <c r="BR268" s="6">
        <v>0.02262071</v>
      </c>
      <c r="BS268" s="6">
        <v>0.02578507</v>
      </c>
      <c r="BT268" s="6">
        <v>0.02048374</v>
      </c>
      <c r="BU268" s="6">
        <v>0.02140751</v>
      </c>
      <c r="BV268" s="6">
        <v>0.04578791</v>
      </c>
      <c r="BW268" s="6">
        <v>0.03944494</v>
      </c>
      <c r="BX268" s="12">
        <v>18974</v>
      </c>
      <c r="BY268" s="13">
        <v>3514</v>
      </c>
      <c r="BZ268" s="12">
        <v>13050.41</v>
      </c>
      <c r="CA268" s="6">
        <f t="shared" si="22"/>
        <v>5.39954467842914</v>
      </c>
      <c r="CB268" s="6">
        <f t="shared" si="23"/>
        <v>1.45390068204754</v>
      </c>
      <c r="CC268" s="7">
        <v>497586236.6</v>
      </c>
      <c r="CD268" s="7">
        <f t="shared" si="24"/>
        <v>3.81280156408879</v>
      </c>
      <c r="CE268" s="8">
        <v>1237</v>
      </c>
      <c r="CF268" s="8">
        <v>7765.4</v>
      </c>
      <c r="CG268" s="8">
        <v>9020.7</v>
      </c>
      <c r="CH268" s="8">
        <v>58327</v>
      </c>
      <c r="CI268" s="14">
        <v>0</v>
      </c>
      <c r="CJ268" s="14">
        <v>0</v>
      </c>
      <c r="CK268" s="14">
        <f t="shared" si="25"/>
        <v>0</v>
      </c>
      <c r="CL268">
        <f t="shared" si="26"/>
        <v>1.62438398605541</v>
      </c>
      <c r="CM268">
        <f t="shared" si="27"/>
        <v>0</v>
      </c>
      <c r="CN268">
        <v>18974</v>
      </c>
      <c r="CO268">
        <v>43566.14</v>
      </c>
      <c r="CP268">
        <v>1898.1</v>
      </c>
      <c r="CQ268">
        <v>0</v>
      </c>
      <c r="CR268">
        <v>210.29</v>
      </c>
      <c r="CS268">
        <v>26.96</v>
      </c>
      <c r="CT268">
        <v>501.11</v>
      </c>
      <c r="CU268">
        <v>0.6</v>
      </c>
      <c r="CV268">
        <v>69.35</v>
      </c>
      <c r="CW268">
        <v>1797.18</v>
      </c>
    </row>
    <row r="269" spans="1:101">
      <c r="A269" s="6">
        <v>2017</v>
      </c>
      <c r="B269" s="6" t="s">
        <v>110</v>
      </c>
      <c r="C269" s="6">
        <v>0.20642018</v>
      </c>
      <c r="D269" s="6">
        <v>0.035712</v>
      </c>
      <c r="E269" s="6">
        <v>0.00877</v>
      </c>
      <c r="F269" s="6">
        <v>0.016133</v>
      </c>
      <c r="G269" s="6">
        <v>0.005627</v>
      </c>
      <c r="H269" s="6">
        <v>0.005182</v>
      </c>
      <c r="I269" s="6">
        <v>0.038155</v>
      </c>
      <c r="J269" s="6">
        <v>0.019897</v>
      </c>
      <c r="K269" s="6">
        <v>0.22856021</v>
      </c>
      <c r="L269" s="6">
        <v>0.1668601</v>
      </c>
      <c r="M269" s="6">
        <v>0.20504601</v>
      </c>
      <c r="N269" s="6">
        <v>0.13783402</v>
      </c>
      <c r="O269" s="6">
        <v>0.12353568</v>
      </c>
      <c r="P269" s="6">
        <v>0.33518911</v>
      </c>
      <c r="Q269" s="6">
        <v>0.28601714</v>
      </c>
      <c r="R269" s="6">
        <v>217.69486</v>
      </c>
      <c r="S269" s="6">
        <v>0.00104991</v>
      </c>
      <c r="T269" s="6">
        <v>169.97573</v>
      </c>
      <c r="U269" s="6">
        <v>0.00098167</v>
      </c>
      <c r="V269" s="6">
        <v>197.11803</v>
      </c>
      <c r="W269" s="6">
        <v>0.00104022</v>
      </c>
      <c r="X269" s="6">
        <v>134.47093</v>
      </c>
      <c r="Y269" s="6">
        <v>0.00102501</v>
      </c>
      <c r="Z269" s="6">
        <v>134.86767</v>
      </c>
      <c r="AA269" s="6">
        <v>0.00091598</v>
      </c>
      <c r="AB269" s="6">
        <v>294.9318</v>
      </c>
      <c r="AC269" s="6">
        <v>0.0011365</v>
      </c>
      <c r="AD269" s="6">
        <v>243.86163</v>
      </c>
      <c r="AE269" s="6">
        <v>0.00117287</v>
      </c>
      <c r="AF269" s="6">
        <v>775</v>
      </c>
      <c r="AG269" s="6">
        <v>-0.00720139</v>
      </c>
      <c r="AH269" s="6">
        <v>-0.0067993</v>
      </c>
      <c r="AI269" s="6">
        <v>-0.00714456</v>
      </c>
      <c r="AJ269" s="6">
        <v>-0.0070552</v>
      </c>
      <c r="AK269" s="6">
        <v>-0.00640773</v>
      </c>
      <c r="AL269" s="6">
        <v>-0.00770523</v>
      </c>
      <c r="AM269" s="6">
        <v>-0.00791486</v>
      </c>
      <c r="AN269" s="6">
        <v>-6.4762184</v>
      </c>
      <c r="AO269" s="6">
        <v>-6.4515561</v>
      </c>
      <c r="AP269" s="6">
        <v>-6.4739881</v>
      </c>
      <c r="AQ269" s="6">
        <v>-6.4253629</v>
      </c>
      <c r="AR269" s="6">
        <v>-6.4020076</v>
      </c>
      <c r="AS269" s="6">
        <v>-6.4618417</v>
      </c>
      <c r="AT269" s="6">
        <v>-6.4506396</v>
      </c>
      <c r="AU269" s="6">
        <v>0.97344833</v>
      </c>
      <c r="AV269" s="6">
        <v>0.96974131</v>
      </c>
      <c r="AW269" s="6">
        <v>0.97311308</v>
      </c>
      <c r="AX269" s="6">
        <v>0.96580418</v>
      </c>
      <c r="AY269" s="6">
        <v>0.96229362</v>
      </c>
      <c r="AZ269" s="6">
        <v>0.97128734</v>
      </c>
      <c r="BA269" s="6">
        <v>0.96960354</v>
      </c>
      <c r="BB269" s="6">
        <v>0.02655167</v>
      </c>
      <c r="BC269" s="6">
        <v>0.03025869</v>
      </c>
      <c r="BD269" s="6">
        <v>0.02688692</v>
      </c>
      <c r="BE269" s="6">
        <v>0.03419582</v>
      </c>
      <c r="BF269" s="6">
        <v>0.03770638</v>
      </c>
      <c r="BG269" s="6">
        <v>0.02871266</v>
      </c>
      <c r="BH269" s="6">
        <v>0.03039646</v>
      </c>
      <c r="BI269" s="6">
        <v>0.21470859</v>
      </c>
      <c r="BJ269" s="6">
        <v>0.12366373</v>
      </c>
      <c r="BK269" s="6">
        <v>0.1409291</v>
      </c>
      <c r="BL269" s="6">
        <v>0.12522516</v>
      </c>
      <c r="BM269" s="6">
        <v>0.1592662</v>
      </c>
      <c r="BN269" s="6">
        <v>0.17561655</v>
      </c>
      <c r="BO269" s="6">
        <v>0.1337285</v>
      </c>
      <c r="BP269" s="6">
        <v>0.14157076</v>
      </c>
      <c r="BQ269" s="6">
        <v>0.02826461</v>
      </c>
      <c r="BR269" s="6">
        <v>0.02351544</v>
      </c>
      <c r="BS269" s="6">
        <v>0.02567692</v>
      </c>
      <c r="BT269" s="6">
        <v>0.0219523</v>
      </c>
      <c r="BU269" s="6">
        <v>0.02169491</v>
      </c>
      <c r="BV269" s="6">
        <v>0.04482434</v>
      </c>
      <c r="BW269" s="6">
        <v>0.04049167</v>
      </c>
      <c r="BX269" s="12">
        <v>19581</v>
      </c>
      <c r="BY269" s="13">
        <v>3510</v>
      </c>
      <c r="BZ269" s="12">
        <v>15528.42</v>
      </c>
      <c r="CA269" s="6">
        <f t="shared" si="22"/>
        <v>5.57863247863248</v>
      </c>
      <c r="CB269" s="6">
        <f t="shared" si="23"/>
        <v>1.26097825792965</v>
      </c>
      <c r="CC269" s="7">
        <v>502360269.2</v>
      </c>
      <c r="CD269" s="7">
        <f t="shared" si="24"/>
        <v>3.23510227827429</v>
      </c>
      <c r="CE269" s="8">
        <v>1276.1</v>
      </c>
      <c r="CF269" s="8">
        <v>8455</v>
      </c>
      <c r="CG269" s="8">
        <v>10335.2</v>
      </c>
      <c r="CH269" s="8">
        <v>64171</v>
      </c>
      <c r="CI269" s="14">
        <v>1</v>
      </c>
      <c r="CJ269" s="14">
        <v>0</v>
      </c>
      <c r="CK269" s="14">
        <f t="shared" si="25"/>
        <v>0</v>
      </c>
      <c r="CL269">
        <f t="shared" si="26"/>
        <v>1.56738551218677</v>
      </c>
      <c r="CM269">
        <f t="shared" si="27"/>
        <v>0</v>
      </c>
      <c r="CN269">
        <v>19581</v>
      </c>
      <c r="CO269">
        <v>45916.08</v>
      </c>
      <c r="CP269">
        <v>1958.27</v>
      </c>
      <c r="CQ269">
        <v>0</v>
      </c>
      <c r="CR269">
        <v>233.86</v>
      </c>
      <c r="CS269">
        <v>32.29</v>
      </c>
      <c r="CT269">
        <v>530.46</v>
      </c>
      <c r="CU269">
        <v>0.47</v>
      </c>
      <c r="CV269">
        <v>74.9</v>
      </c>
      <c r="CW269">
        <v>1990.61</v>
      </c>
    </row>
    <row r="270" spans="1:101">
      <c r="A270" s="6">
        <v>2018</v>
      </c>
      <c r="B270" s="6" t="s">
        <v>110</v>
      </c>
      <c r="C270" s="6">
        <v>0.2316131</v>
      </c>
      <c r="D270" s="6">
        <v>0.041565</v>
      </c>
      <c r="E270" s="6">
        <v>0.01044</v>
      </c>
      <c r="F270" s="6">
        <v>0.018232</v>
      </c>
      <c r="G270" s="6">
        <v>0.006717</v>
      </c>
      <c r="H270" s="6">
        <v>0.006177</v>
      </c>
      <c r="I270" s="6">
        <v>0.038796</v>
      </c>
      <c r="J270" s="6">
        <v>0.019315</v>
      </c>
      <c r="K270" s="6">
        <v>0.27447215</v>
      </c>
      <c r="L270" s="6">
        <v>0.20632936</v>
      </c>
      <c r="M270" s="6">
        <v>0.23729728</v>
      </c>
      <c r="N270" s="6">
        <v>0.17006657</v>
      </c>
      <c r="O270" s="6">
        <v>0.15368463</v>
      </c>
      <c r="P270" s="6">
        <v>0.34233592</v>
      </c>
      <c r="Q270" s="6">
        <v>0.2756357</v>
      </c>
      <c r="R270" s="6">
        <v>217.69486</v>
      </c>
      <c r="S270" s="6">
        <v>0.00126081</v>
      </c>
      <c r="T270" s="6">
        <v>169.97573</v>
      </c>
      <c r="U270" s="6">
        <v>0.00121388</v>
      </c>
      <c r="V270" s="6">
        <v>197.11803</v>
      </c>
      <c r="W270" s="6">
        <v>0.00120383</v>
      </c>
      <c r="X270" s="6">
        <v>134.47093</v>
      </c>
      <c r="Y270" s="6">
        <v>0.00126471</v>
      </c>
      <c r="Z270" s="6">
        <v>134.86767</v>
      </c>
      <c r="AA270" s="6">
        <v>0.00113952</v>
      </c>
      <c r="AB270" s="6">
        <v>294.9318</v>
      </c>
      <c r="AC270" s="6">
        <v>0.00116073</v>
      </c>
      <c r="AD270" s="6">
        <v>243.86163</v>
      </c>
      <c r="AE270" s="6">
        <v>0.0011303</v>
      </c>
      <c r="AF270" s="6">
        <v>775</v>
      </c>
      <c r="AG270" s="6">
        <v>-0.00841718</v>
      </c>
      <c r="AH270" s="6">
        <v>-0.00814988</v>
      </c>
      <c r="AI270" s="6">
        <v>-0.00809246</v>
      </c>
      <c r="AJ270" s="6">
        <v>-0.00843929</v>
      </c>
      <c r="AK270" s="6">
        <v>-0.00772271</v>
      </c>
      <c r="AL270" s="6">
        <v>-0.00784503</v>
      </c>
      <c r="AM270" s="6">
        <v>-0.00766937</v>
      </c>
      <c r="AN270" s="6">
        <v>-6.4762184</v>
      </c>
      <c r="AO270" s="6">
        <v>-6.4515561</v>
      </c>
      <c r="AP270" s="6">
        <v>-6.4739881</v>
      </c>
      <c r="AQ270" s="6">
        <v>-6.4253629</v>
      </c>
      <c r="AR270" s="6">
        <v>-6.4020076</v>
      </c>
      <c r="AS270" s="6">
        <v>-6.4618417</v>
      </c>
      <c r="AT270" s="6">
        <v>-6.4506396</v>
      </c>
      <c r="AU270" s="6">
        <v>0.97344833</v>
      </c>
      <c r="AV270" s="6">
        <v>0.96974131</v>
      </c>
      <c r="AW270" s="6">
        <v>0.97311308</v>
      </c>
      <c r="AX270" s="6">
        <v>0.96580418</v>
      </c>
      <c r="AY270" s="6">
        <v>0.96229362</v>
      </c>
      <c r="AZ270" s="6">
        <v>0.97128734</v>
      </c>
      <c r="BA270" s="6">
        <v>0.96960354</v>
      </c>
      <c r="BB270" s="6">
        <v>0.02655167</v>
      </c>
      <c r="BC270" s="6">
        <v>0.03025869</v>
      </c>
      <c r="BD270" s="6">
        <v>0.02688692</v>
      </c>
      <c r="BE270" s="6">
        <v>0.03419582</v>
      </c>
      <c r="BF270" s="6">
        <v>0.03770638</v>
      </c>
      <c r="BG270" s="6">
        <v>0.02871266</v>
      </c>
      <c r="BH270" s="6">
        <v>0.03039646</v>
      </c>
      <c r="BI270" s="6">
        <v>0.21470859</v>
      </c>
      <c r="BJ270" s="6">
        <v>0.12366373</v>
      </c>
      <c r="BK270" s="6">
        <v>0.1409291</v>
      </c>
      <c r="BL270" s="6">
        <v>0.12522516</v>
      </c>
      <c r="BM270" s="6">
        <v>0.1592662</v>
      </c>
      <c r="BN270" s="6">
        <v>0.17561655</v>
      </c>
      <c r="BO270" s="6">
        <v>0.1337285</v>
      </c>
      <c r="BP270" s="6">
        <v>0.14157076</v>
      </c>
      <c r="BQ270" s="6">
        <v>0.03394225</v>
      </c>
      <c r="BR270" s="6">
        <v>0.02907781</v>
      </c>
      <c r="BS270" s="6">
        <v>0.02971559</v>
      </c>
      <c r="BT270" s="6">
        <v>0.02708586</v>
      </c>
      <c r="BU270" s="6">
        <v>0.02698956</v>
      </c>
      <c r="BV270" s="6">
        <v>0.04578007</v>
      </c>
      <c r="BW270" s="6">
        <v>0.03902196</v>
      </c>
      <c r="BX270" s="12">
        <v>20199</v>
      </c>
      <c r="BY270" s="13">
        <v>3502</v>
      </c>
      <c r="BZ270" s="12">
        <v>16818.11</v>
      </c>
      <c r="CA270" s="6">
        <f t="shared" si="22"/>
        <v>5.76784694460308</v>
      </c>
      <c r="CB270" s="6">
        <f t="shared" si="23"/>
        <v>1.20102675033045</v>
      </c>
      <c r="CC270" s="7">
        <v>518178182</v>
      </c>
      <c r="CD270" s="7">
        <f t="shared" si="24"/>
        <v>3.08107261755334</v>
      </c>
      <c r="CE270" s="8">
        <v>1378.7</v>
      </c>
      <c r="CF270" s="8">
        <v>8842.2</v>
      </c>
      <c r="CG270" s="8">
        <v>11367.9</v>
      </c>
      <c r="CH270" s="8">
        <v>68460</v>
      </c>
      <c r="CI270" s="14">
        <v>1</v>
      </c>
      <c r="CJ270" s="14">
        <v>0</v>
      </c>
      <c r="CK270" s="14">
        <f t="shared" si="25"/>
        <v>0</v>
      </c>
      <c r="CL270">
        <f t="shared" si="26"/>
        <v>1.51591455826218</v>
      </c>
      <c r="CM270">
        <f t="shared" si="27"/>
        <v>0</v>
      </c>
      <c r="CN270">
        <v>20199</v>
      </c>
      <c r="CO270">
        <v>48940.14</v>
      </c>
      <c r="CP270">
        <v>2385.72</v>
      </c>
      <c r="CQ270">
        <v>0</v>
      </c>
      <c r="CR270">
        <v>235.24</v>
      </c>
      <c r="CS270">
        <v>36.26</v>
      </c>
      <c r="CT270">
        <v>489.26</v>
      </c>
      <c r="CU270">
        <v>0.54</v>
      </c>
      <c r="CV270">
        <v>75.21</v>
      </c>
      <c r="CW270">
        <v>2160.53</v>
      </c>
    </row>
    <row r="271" spans="1:101">
      <c r="A271" s="6">
        <v>2019</v>
      </c>
      <c r="B271" s="6" t="s">
        <v>110</v>
      </c>
      <c r="C271" s="6">
        <v>0.23278504</v>
      </c>
      <c r="D271" s="6">
        <v>0.041092</v>
      </c>
      <c r="E271" s="6">
        <v>0.010289</v>
      </c>
      <c r="F271" s="6">
        <v>0.01899</v>
      </c>
      <c r="G271" s="6">
        <v>0.005994</v>
      </c>
      <c r="H271" s="6">
        <v>0.005819</v>
      </c>
      <c r="I271" s="6">
        <v>0.04051</v>
      </c>
      <c r="J271" s="6">
        <v>0.020672</v>
      </c>
      <c r="K271" s="6">
        <v>0.27076378</v>
      </c>
      <c r="L271" s="6">
        <v>0.20276398</v>
      </c>
      <c r="M271" s="6">
        <v>0.24895949</v>
      </c>
      <c r="N271" s="6">
        <v>0.1487009</v>
      </c>
      <c r="O271" s="6">
        <v>0.14283745</v>
      </c>
      <c r="P271" s="6">
        <v>0.36142644</v>
      </c>
      <c r="Q271" s="6">
        <v>0.29984566</v>
      </c>
      <c r="R271" s="6">
        <v>217.69486</v>
      </c>
      <c r="S271" s="6">
        <v>0.00124378</v>
      </c>
      <c r="T271" s="6">
        <v>169.97573</v>
      </c>
      <c r="U271" s="6">
        <v>0.0011929</v>
      </c>
      <c r="V271" s="6">
        <v>197.11803</v>
      </c>
      <c r="W271" s="6">
        <v>0.001263</v>
      </c>
      <c r="X271" s="6">
        <v>134.47093</v>
      </c>
      <c r="Y271" s="6">
        <v>0.00110582</v>
      </c>
      <c r="Z271" s="6">
        <v>134.86767</v>
      </c>
      <c r="AA271" s="6">
        <v>0.00105909</v>
      </c>
      <c r="AB271" s="6">
        <v>294.9318</v>
      </c>
      <c r="AC271" s="6">
        <v>0.00122546</v>
      </c>
      <c r="AD271" s="6">
        <v>243.86163</v>
      </c>
      <c r="AE271" s="6">
        <v>0.00122957</v>
      </c>
      <c r="AF271" s="6">
        <v>775</v>
      </c>
      <c r="AG271" s="6">
        <v>-0.00832037</v>
      </c>
      <c r="AH271" s="6">
        <v>-0.00802985</v>
      </c>
      <c r="AI271" s="6">
        <v>-0.00842958</v>
      </c>
      <c r="AJ271" s="6">
        <v>-0.00752751</v>
      </c>
      <c r="AK271" s="6">
        <v>-0.00725515</v>
      </c>
      <c r="AL271" s="6">
        <v>-0.00821601</v>
      </c>
      <c r="AM271" s="6">
        <v>-0.00823948</v>
      </c>
      <c r="AN271" s="6">
        <v>-6.4762184</v>
      </c>
      <c r="AO271" s="6">
        <v>-6.4515561</v>
      </c>
      <c r="AP271" s="6">
        <v>-6.4739881</v>
      </c>
      <c r="AQ271" s="6">
        <v>-6.4253629</v>
      </c>
      <c r="AR271" s="6">
        <v>-6.4020076</v>
      </c>
      <c r="AS271" s="6">
        <v>-6.4618417</v>
      </c>
      <c r="AT271" s="6">
        <v>-6.4506396</v>
      </c>
      <c r="AU271" s="6">
        <v>0.97344833</v>
      </c>
      <c r="AV271" s="6">
        <v>0.96974131</v>
      </c>
      <c r="AW271" s="6">
        <v>0.97311308</v>
      </c>
      <c r="AX271" s="6">
        <v>0.96580418</v>
      </c>
      <c r="AY271" s="6">
        <v>0.96229362</v>
      </c>
      <c r="AZ271" s="6">
        <v>0.97128734</v>
      </c>
      <c r="BA271" s="6">
        <v>0.96960354</v>
      </c>
      <c r="BB271" s="6">
        <v>0.02655167</v>
      </c>
      <c r="BC271" s="6">
        <v>0.03025869</v>
      </c>
      <c r="BD271" s="6">
        <v>0.02688692</v>
      </c>
      <c r="BE271" s="6">
        <v>0.03419582</v>
      </c>
      <c r="BF271" s="6">
        <v>0.03770638</v>
      </c>
      <c r="BG271" s="6">
        <v>0.02871266</v>
      </c>
      <c r="BH271" s="6">
        <v>0.03039646</v>
      </c>
      <c r="BI271" s="6">
        <v>0.21470859</v>
      </c>
      <c r="BJ271" s="6">
        <v>0.12366373</v>
      </c>
      <c r="BK271" s="6">
        <v>0.1409291</v>
      </c>
      <c r="BL271" s="6">
        <v>0.12522516</v>
      </c>
      <c r="BM271" s="6">
        <v>0.1592662</v>
      </c>
      <c r="BN271" s="6">
        <v>0.17561655</v>
      </c>
      <c r="BO271" s="6">
        <v>0.1337285</v>
      </c>
      <c r="BP271" s="6">
        <v>0.14157076</v>
      </c>
      <c r="BQ271" s="6">
        <v>0.03348366</v>
      </c>
      <c r="BR271" s="6">
        <v>0.02857535</v>
      </c>
      <c r="BS271" s="6">
        <v>0.03117599</v>
      </c>
      <c r="BT271" s="6">
        <v>0.02368303</v>
      </c>
      <c r="BU271" s="6">
        <v>0.02508462</v>
      </c>
      <c r="BV271" s="6">
        <v>0.04833301</v>
      </c>
      <c r="BW271" s="6">
        <v>0.04244938</v>
      </c>
      <c r="BX271" s="12">
        <v>20859</v>
      </c>
      <c r="BY271" s="13">
        <v>3497</v>
      </c>
      <c r="BZ271" s="12">
        <v>17026.68</v>
      </c>
      <c r="CA271" s="6">
        <f t="shared" si="22"/>
        <v>5.96482699456677</v>
      </c>
      <c r="CB271" s="6">
        <f t="shared" si="23"/>
        <v>1.2250773491955</v>
      </c>
      <c r="CC271" s="7">
        <v>524894936.6</v>
      </c>
      <c r="CD271" s="7">
        <f t="shared" si="24"/>
        <v>3.08277912429199</v>
      </c>
      <c r="CE271" s="8">
        <v>1551.6</v>
      </c>
      <c r="CF271" s="8">
        <v>9392</v>
      </c>
      <c r="CG271" s="8">
        <v>12662.2</v>
      </c>
      <c r="CH271" s="8">
        <v>74337</v>
      </c>
      <c r="CI271" s="14">
        <v>1</v>
      </c>
      <c r="CJ271" s="14">
        <v>0</v>
      </c>
      <c r="CK271" s="14">
        <f t="shared" si="25"/>
        <v>0</v>
      </c>
      <c r="CL271">
        <f t="shared" si="26"/>
        <v>1.5000536746505</v>
      </c>
      <c r="CM271">
        <f t="shared" si="27"/>
        <v>0</v>
      </c>
      <c r="CN271">
        <v>20859</v>
      </c>
      <c r="CO271">
        <v>51331.61</v>
      </c>
      <c r="CP271">
        <v>2526.53</v>
      </c>
      <c r="CQ271">
        <v>0</v>
      </c>
      <c r="CR271">
        <v>247.64</v>
      </c>
      <c r="CS271">
        <v>45.69</v>
      </c>
      <c r="CT271">
        <v>500.2</v>
      </c>
      <c r="CU271">
        <v>0.48</v>
      </c>
      <c r="CV271">
        <v>91.7</v>
      </c>
      <c r="CW271">
        <v>2261.9</v>
      </c>
    </row>
    <row r="272" spans="1:101">
      <c r="A272" s="6">
        <v>2020</v>
      </c>
      <c r="B272" s="6" t="s">
        <v>110</v>
      </c>
      <c r="C272" s="6">
        <v>0.26231394</v>
      </c>
      <c r="D272" s="6">
        <v>0.043726</v>
      </c>
      <c r="E272" s="6">
        <v>0.011294</v>
      </c>
      <c r="F272" s="6">
        <v>0.020198</v>
      </c>
      <c r="G272" s="6">
        <v>0.006063</v>
      </c>
      <c r="H272" s="6">
        <v>0.00617</v>
      </c>
      <c r="I272" s="6">
        <v>0.046121</v>
      </c>
      <c r="J272" s="6">
        <v>0.024927</v>
      </c>
      <c r="K272" s="6">
        <v>0.29142053</v>
      </c>
      <c r="L272" s="6">
        <v>0.22652858</v>
      </c>
      <c r="M272" s="6">
        <v>0.26752674</v>
      </c>
      <c r="N272" s="6">
        <v>0.1507397</v>
      </c>
      <c r="O272" s="6">
        <v>0.15348184</v>
      </c>
      <c r="P272" s="6">
        <v>0.42392632</v>
      </c>
      <c r="Q272" s="6">
        <v>0.37576629</v>
      </c>
      <c r="R272" s="6">
        <v>217.69486</v>
      </c>
      <c r="S272" s="6">
        <v>0.00133867</v>
      </c>
      <c r="T272" s="6">
        <v>169.97573</v>
      </c>
      <c r="U272" s="6">
        <v>0.00133271</v>
      </c>
      <c r="V272" s="6">
        <v>197.11803</v>
      </c>
      <c r="W272" s="6">
        <v>0.00135719</v>
      </c>
      <c r="X272" s="6">
        <v>134.47093</v>
      </c>
      <c r="Y272" s="6">
        <v>0.00112098</v>
      </c>
      <c r="Z272" s="6">
        <v>134.86767</v>
      </c>
      <c r="AA272" s="6">
        <v>0.00113802</v>
      </c>
      <c r="AB272" s="6">
        <v>294.9318</v>
      </c>
      <c r="AC272" s="6">
        <v>0.00143737</v>
      </c>
      <c r="AD272" s="6">
        <v>243.86163</v>
      </c>
      <c r="AE272" s="6">
        <v>0.0015409</v>
      </c>
      <c r="AF272" s="6">
        <v>775</v>
      </c>
      <c r="AG272" s="6">
        <v>-0.00885672</v>
      </c>
      <c r="AH272" s="6">
        <v>-0.00882327</v>
      </c>
      <c r="AI272" s="6">
        <v>-0.00896063</v>
      </c>
      <c r="AJ272" s="6">
        <v>-0.00761546</v>
      </c>
      <c r="AK272" s="6">
        <v>-0.00771402</v>
      </c>
      <c r="AL272" s="6">
        <v>-0.0094075</v>
      </c>
      <c r="AM272" s="6">
        <v>-0.00997792</v>
      </c>
      <c r="AN272" s="6">
        <v>-6.4762184</v>
      </c>
      <c r="AO272" s="6">
        <v>-6.4515561</v>
      </c>
      <c r="AP272" s="6">
        <v>-6.4739881</v>
      </c>
      <c r="AQ272" s="6">
        <v>-6.4253629</v>
      </c>
      <c r="AR272" s="6">
        <v>-6.4020076</v>
      </c>
      <c r="AS272" s="6">
        <v>-6.4618417</v>
      </c>
      <c r="AT272" s="6">
        <v>-6.4506396</v>
      </c>
      <c r="AU272" s="6">
        <v>0.97344833</v>
      </c>
      <c r="AV272" s="6">
        <v>0.96974131</v>
      </c>
      <c r="AW272" s="6">
        <v>0.97311308</v>
      </c>
      <c r="AX272" s="6">
        <v>0.96580418</v>
      </c>
      <c r="AY272" s="6">
        <v>0.96229362</v>
      </c>
      <c r="AZ272" s="6">
        <v>0.97128734</v>
      </c>
      <c r="BA272" s="6">
        <v>0.96960354</v>
      </c>
      <c r="BB272" s="6">
        <v>0.02655167</v>
      </c>
      <c r="BC272" s="6">
        <v>0.03025869</v>
      </c>
      <c r="BD272" s="6">
        <v>0.02688692</v>
      </c>
      <c r="BE272" s="6">
        <v>0.03419582</v>
      </c>
      <c r="BF272" s="6">
        <v>0.03770638</v>
      </c>
      <c r="BG272" s="6">
        <v>0.02871266</v>
      </c>
      <c r="BH272" s="6">
        <v>0.03039646</v>
      </c>
      <c r="BI272" s="6">
        <v>0.21470859</v>
      </c>
      <c r="BJ272" s="6">
        <v>0.12366373</v>
      </c>
      <c r="BK272" s="6">
        <v>0.1409291</v>
      </c>
      <c r="BL272" s="6">
        <v>0.12522516</v>
      </c>
      <c r="BM272" s="6">
        <v>0.1592662</v>
      </c>
      <c r="BN272" s="6">
        <v>0.17561655</v>
      </c>
      <c r="BO272" s="6">
        <v>0.1337285</v>
      </c>
      <c r="BP272" s="6">
        <v>0.14157076</v>
      </c>
      <c r="BQ272" s="6">
        <v>0.03603815</v>
      </c>
      <c r="BR272" s="6">
        <v>0.03192447</v>
      </c>
      <c r="BS272" s="6">
        <v>0.03350108</v>
      </c>
      <c r="BT272" s="6">
        <v>0.02400774</v>
      </c>
      <c r="BU272" s="6">
        <v>0.02695395</v>
      </c>
      <c r="BV272" s="6">
        <v>0.05669103</v>
      </c>
      <c r="BW272" s="6">
        <v>0.05319752</v>
      </c>
      <c r="BX272" s="12">
        <v>20980.55</v>
      </c>
      <c r="BY272" s="13">
        <v>3490.39</v>
      </c>
      <c r="BZ272" s="12">
        <v>17651.93</v>
      </c>
      <c r="CA272" s="6">
        <f t="shared" si="22"/>
        <v>6.01094720074261</v>
      </c>
      <c r="CB272" s="6">
        <f t="shared" si="23"/>
        <v>1.18856974846377</v>
      </c>
      <c r="CC272" s="7">
        <v>524341112.3</v>
      </c>
      <c r="CD272" s="7">
        <f t="shared" si="24"/>
        <v>2.97044636082287</v>
      </c>
      <c r="CE272" s="8">
        <v>1803.5</v>
      </c>
      <c r="CF272" s="8">
        <v>9969.6</v>
      </c>
      <c r="CG272" s="8">
        <v>13268.3</v>
      </c>
      <c r="CH272" s="8">
        <v>78294</v>
      </c>
      <c r="CI272" s="14">
        <v>1</v>
      </c>
      <c r="CJ272" s="14">
        <v>0</v>
      </c>
      <c r="CK272" s="14">
        <f t="shared" si="25"/>
        <v>0</v>
      </c>
      <c r="CL272">
        <f t="shared" si="26"/>
        <v>1.47141701078949</v>
      </c>
      <c r="CM272">
        <f t="shared" si="27"/>
        <v>0</v>
      </c>
      <c r="CN272">
        <v>20980.55</v>
      </c>
      <c r="CO272">
        <v>53739.03</v>
      </c>
      <c r="CP272">
        <v>2698.99</v>
      </c>
      <c r="CQ272">
        <v>0</v>
      </c>
      <c r="CR272">
        <v>227.24</v>
      </c>
      <c r="CS272">
        <v>40.31</v>
      </c>
      <c r="CT272">
        <v>399.28</v>
      </c>
      <c r="CU272">
        <v>0.97</v>
      </c>
      <c r="CV272">
        <v>93.41</v>
      </c>
      <c r="CW272">
        <v>2342</v>
      </c>
    </row>
    <row r="273" spans="1:101">
      <c r="A273" s="6">
        <v>2021</v>
      </c>
      <c r="B273" s="6" t="s">
        <v>110</v>
      </c>
      <c r="C273" s="6">
        <v>0.25659584</v>
      </c>
      <c r="D273" s="6">
        <v>0.043195</v>
      </c>
      <c r="E273" s="6">
        <v>0.010668</v>
      </c>
      <c r="F273" s="6">
        <v>0.020118</v>
      </c>
      <c r="G273" s="6">
        <v>0.006062</v>
      </c>
      <c r="H273" s="6">
        <v>0.006348</v>
      </c>
      <c r="I273" s="6">
        <v>0.045135</v>
      </c>
      <c r="J273" s="6">
        <v>0.023964</v>
      </c>
      <c r="K273" s="6">
        <v>0.28725956</v>
      </c>
      <c r="L273" s="6">
        <v>0.21172807</v>
      </c>
      <c r="M273" s="6">
        <v>0.26628843</v>
      </c>
      <c r="N273" s="6">
        <v>0.15069618</v>
      </c>
      <c r="O273" s="6">
        <v>0.15886359</v>
      </c>
      <c r="P273" s="6">
        <v>0.4129421</v>
      </c>
      <c r="Q273" s="6">
        <v>0.358588</v>
      </c>
      <c r="R273" s="6">
        <v>217.69486</v>
      </c>
      <c r="S273" s="6">
        <v>0.00131955</v>
      </c>
      <c r="T273" s="6">
        <v>169.97573</v>
      </c>
      <c r="U273" s="6">
        <v>0.00124564</v>
      </c>
      <c r="V273" s="6">
        <v>197.11803</v>
      </c>
      <c r="W273" s="6">
        <v>0.00135091</v>
      </c>
      <c r="X273" s="6">
        <v>134.47093</v>
      </c>
      <c r="Y273" s="6">
        <v>0.00112066</v>
      </c>
      <c r="Z273" s="6">
        <v>134.86767</v>
      </c>
      <c r="AA273" s="6">
        <v>0.00117792</v>
      </c>
      <c r="AB273" s="6">
        <v>294.9318</v>
      </c>
      <c r="AC273" s="6">
        <v>0.00140013</v>
      </c>
      <c r="AD273" s="6">
        <v>243.86163</v>
      </c>
      <c r="AE273" s="6">
        <v>0.00147046</v>
      </c>
      <c r="AF273" s="6">
        <v>775</v>
      </c>
      <c r="AG273" s="6">
        <v>-0.00874924</v>
      </c>
      <c r="AH273" s="6">
        <v>-0.00833096</v>
      </c>
      <c r="AI273" s="6">
        <v>-0.00892542</v>
      </c>
      <c r="AJ273" s="6">
        <v>-0.00761358</v>
      </c>
      <c r="AK273" s="6">
        <v>-0.00794391</v>
      </c>
      <c r="AL273" s="6">
        <v>-0.00920051</v>
      </c>
      <c r="AM273" s="6">
        <v>-0.00959059</v>
      </c>
      <c r="AN273" s="6">
        <v>-6.4762184</v>
      </c>
      <c r="AO273" s="6">
        <v>-6.4515561</v>
      </c>
      <c r="AP273" s="6">
        <v>-6.4739881</v>
      </c>
      <c r="AQ273" s="6">
        <v>-6.4253629</v>
      </c>
      <c r="AR273" s="6">
        <v>-6.4020076</v>
      </c>
      <c r="AS273" s="6">
        <v>-6.4618417</v>
      </c>
      <c r="AT273" s="6">
        <v>-6.4506396</v>
      </c>
      <c r="AU273" s="6">
        <v>0.97344833</v>
      </c>
      <c r="AV273" s="6">
        <v>0.96974131</v>
      </c>
      <c r="AW273" s="6">
        <v>0.97311308</v>
      </c>
      <c r="AX273" s="6">
        <v>0.96580418</v>
      </c>
      <c r="AY273" s="6">
        <v>0.96229362</v>
      </c>
      <c r="AZ273" s="6">
        <v>0.97128734</v>
      </c>
      <c r="BA273" s="6">
        <v>0.96960354</v>
      </c>
      <c r="BB273" s="6">
        <v>0.02655167</v>
      </c>
      <c r="BC273" s="6">
        <v>0.03025869</v>
      </c>
      <c r="BD273" s="6">
        <v>0.02688692</v>
      </c>
      <c r="BE273" s="6">
        <v>0.03419582</v>
      </c>
      <c r="BF273" s="6">
        <v>0.03770638</v>
      </c>
      <c r="BG273" s="6">
        <v>0.02871266</v>
      </c>
      <c r="BH273" s="6">
        <v>0.03039646</v>
      </c>
      <c r="BI273" s="6">
        <v>0.21470859</v>
      </c>
      <c r="BJ273" s="6">
        <v>0.12366373</v>
      </c>
      <c r="BK273" s="6">
        <v>0.1409291</v>
      </c>
      <c r="BL273" s="6">
        <v>0.12522516</v>
      </c>
      <c r="BM273" s="6">
        <v>0.1592662</v>
      </c>
      <c r="BN273" s="6">
        <v>0.17561655</v>
      </c>
      <c r="BO273" s="6">
        <v>0.1337285</v>
      </c>
      <c r="BP273" s="6">
        <v>0.14157076</v>
      </c>
      <c r="BQ273" s="6">
        <v>0.03552359</v>
      </c>
      <c r="BR273" s="6">
        <v>0.02983865</v>
      </c>
      <c r="BS273" s="6">
        <v>0.03334601</v>
      </c>
      <c r="BT273" s="6">
        <v>0.02400081</v>
      </c>
      <c r="BU273" s="6">
        <v>0.02789908</v>
      </c>
      <c r="BV273" s="6">
        <v>0.05522213</v>
      </c>
      <c r="BW273" s="6">
        <v>0.05076558</v>
      </c>
      <c r="BX273" s="12">
        <v>21643.94</v>
      </c>
      <c r="BY273" s="13">
        <v>3480</v>
      </c>
      <c r="BZ273" s="12">
        <v>22590.2</v>
      </c>
      <c r="CA273" s="6">
        <f t="shared" si="22"/>
        <v>6.21952298850575</v>
      </c>
      <c r="CB273" s="6">
        <f t="shared" si="23"/>
        <v>0.958111924639888</v>
      </c>
      <c r="CC273" s="7">
        <v>571628748.4</v>
      </c>
      <c r="CD273" s="7">
        <f t="shared" si="24"/>
        <v>2.53042801037618</v>
      </c>
      <c r="CE273" s="8">
        <v>1921.9</v>
      </c>
      <c r="CF273" s="8">
        <v>11217.3</v>
      </c>
      <c r="CG273" s="8">
        <v>14938.1</v>
      </c>
      <c r="CH273" s="8">
        <v>87450</v>
      </c>
      <c r="CI273" s="14">
        <v>1</v>
      </c>
      <c r="CJ273" s="14">
        <v>0</v>
      </c>
      <c r="CK273" s="14">
        <f t="shared" si="25"/>
        <v>0</v>
      </c>
      <c r="CL273">
        <f t="shared" si="26"/>
        <v>1.36781889095748</v>
      </c>
      <c r="CM273">
        <f t="shared" si="27"/>
        <v>0</v>
      </c>
      <c r="CN273">
        <v>21643.94</v>
      </c>
      <c r="CO273">
        <v>113548.72</v>
      </c>
      <c r="CP273">
        <v>2809.89</v>
      </c>
      <c r="CQ273">
        <v>0</v>
      </c>
      <c r="CR273">
        <v>221.12</v>
      </c>
      <c r="CS273">
        <v>38.19</v>
      </c>
      <c r="CT273">
        <v>406.05</v>
      </c>
      <c r="CU273">
        <v>1.55</v>
      </c>
      <c r="CV273">
        <v>96.74</v>
      </c>
      <c r="CW273">
        <v>2608</v>
      </c>
    </row>
    <row r="274" spans="1:101">
      <c r="A274" s="6">
        <v>2022</v>
      </c>
      <c r="B274" s="6" t="s">
        <v>110</v>
      </c>
      <c r="C274" s="6">
        <v>0.22325415</v>
      </c>
      <c r="D274" s="6">
        <v>0.039614</v>
      </c>
      <c r="E274" s="6">
        <v>0.010053</v>
      </c>
      <c r="F274" s="6">
        <v>0.017543</v>
      </c>
      <c r="G274" s="6">
        <v>0.006313</v>
      </c>
      <c r="H274" s="6">
        <v>0.005706</v>
      </c>
      <c r="I274" s="6">
        <v>0.038844</v>
      </c>
      <c r="J274" s="6">
        <v>0.019508</v>
      </c>
      <c r="K274" s="6">
        <v>0.25916666</v>
      </c>
      <c r="L274" s="6">
        <v>0.19717757</v>
      </c>
      <c r="M274" s="6">
        <v>0.22670961</v>
      </c>
      <c r="N274" s="6">
        <v>0.15812124</v>
      </c>
      <c r="O274" s="6">
        <v>0.1394066</v>
      </c>
      <c r="P274" s="6">
        <v>0.34286319</v>
      </c>
      <c r="Q274" s="6">
        <v>0.27908852</v>
      </c>
      <c r="R274" s="6">
        <v>217.69486</v>
      </c>
      <c r="S274" s="6">
        <v>0.0011905</v>
      </c>
      <c r="T274" s="6">
        <v>169.97573</v>
      </c>
      <c r="U274" s="6">
        <v>0.00116003</v>
      </c>
      <c r="V274" s="6">
        <v>197.11803</v>
      </c>
      <c r="W274" s="6">
        <v>0.00115012</v>
      </c>
      <c r="X274" s="6">
        <v>134.47093</v>
      </c>
      <c r="Y274" s="6">
        <v>0.00117588</v>
      </c>
      <c r="Z274" s="6">
        <v>134.86767</v>
      </c>
      <c r="AA274" s="6">
        <v>0.00103365</v>
      </c>
      <c r="AB274" s="6">
        <v>294.9318</v>
      </c>
      <c r="AC274" s="6">
        <v>0.00116252</v>
      </c>
      <c r="AD274" s="6">
        <v>243.86163</v>
      </c>
      <c r="AE274" s="6">
        <v>0.00114445</v>
      </c>
      <c r="AF274" s="6">
        <v>775</v>
      </c>
      <c r="AG274" s="6">
        <v>-0.00801612</v>
      </c>
      <c r="AH274" s="6">
        <v>-0.00784102</v>
      </c>
      <c r="AI274" s="6">
        <v>-0.00778389</v>
      </c>
      <c r="AJ274" s="6">
        <v>-0.00793216</v>
      </c>
      <c r="AK274" s="6">
        <v>-0.00710602</v>
      </c>
      <c r="AL274" s="6">
        <v>-0.00785532</v>
      </c>
      <c r="AM274" s="6">
        <v>-0.00775119</v>
      </c>
      <c r="AN274" s="6">
        <v>-6.4762184</v>
      </c>
      <c r="AO274" s="6">
        <v>-6.4515561</v>
      </c>
      <c r="AP274" s="6">
        <v>-6.4739881</v>
      </c>
      <c r="AQ274" s="6">
        <v>-6.4253629</v>
      </c>
      <c r="AR274" s="6">
        <v>-6.4020076</v>
      </c>
      <c r="AS274" s="6">
        <v>-6.4618417</v>
      </c>
      <c r="AT274" s="6">
        <v>-6.4506396</v>
      </c>
      <c r="AU274" s="6">
        <v>0.97344833</v>
      </c>
      <c r="AV274" s="6">
        <v>0.96974131</v>
      </c>
      <c r="AW274" s="6">
        <v>0.97311308</v>
      </c>
      <c r="AX274" s="6">
        <v>0.96580418</v>
      </c>
      <c r="AY274" s="6">
        <v>0.96229362</v>
      </c>
      <c r="AZ274" s="6">
        <v>0.97128734</v>
      </c>
      <c r="BA274" s="6">
        <v>0.96960354</v>
      </c>
      <c r="BB274" s="6">
        <v>0.02655167</v>
      </c>
      <c r="BC274" s="6">
        <v>0.03025869</v>
      </c>
      <c r="BD274" s="6">
        <v>0.02688692</v>
      </c>
      <c r="BE274" s="6">
        <v>0.03419582</v>
      </c>
      <c r="BF274" s="6">
        <v>0.03770638</v>
      </c>
      <c r="BG274" s="6">
        <v>0.02871266</v>
      </c>
      <c r="BH274" s="6">
        <v>0.03039646</v>
      </c>
      <c r="BI274" s="6">
        <v>0.21470859</v>
      </c>
      <c r="BJ274" s="6">
        <v>0.12366373</v>
      </c>
      <c r="BK274" s="6">
        <v>0.1409291</v>
      </c>
      <c r="BL274" s="6">
        <v>0.12522516</v>
      </c>
      <c r="BM274" s="6">
        <v>0.1592662</v>
      </c>
      <c r="BN274" s="6">
        <v>0.17561655</v>
      </c>
      <c r="BO274" s="6">
        <v>0.1337285</v>
      </c>
      <c r="BP274" s="6">
        <v>0.14157076</v>
      </c>
      <c r="BQ274" s="6">
        <v>0.03204952</v>
      </c>
      <c r="BR274" s="6">
        <v>0.02778806</v>
      </c>
      <c r="BS274" s="6">
        <v>0.02838975</v>
      </c>
      <c r="BT274" s="6">
        <v>0.02518337</v>
      </c>
      <c r="BU274" s="6">
        <v>0.02448211</v>
      </c>
      <c r="BV274" s="6">
        <v>0.04585058</v>
      </c>
      <c r="BW274" s="6">
        <v>0.03951078</v>
      </c>
      <c r="BX274" s="12">
        <v>21918.5</v>
      </c>
      <c r="BY274" s="13">
        <v>3481</v>
      </c>
      <c r="BZ274" s="12">
        <v>25642.6</v>
      </c>
      <c r="CA274" s="6">
        <f t="shared" si="22"/>
        <v>6.29661016949153</v>
      </c>
      <c r="CB274" s="6">
        <f t="shared" si="23"/>
        <v>0.854769017182345</v>
      </c>
      <c r="CC274" s="7">
        <v>581007678.2</v>
      </c>
      <c r="CD274" s="7">
        <f t="shared" si="24"/>
        <v>2.26579082542332</v>
      </c>
      <c r="CE274" s="8">
        <v>2012.6</v>
      </c>
      <c r="CF274" s="8">
        <v>11047.4</v>
      </c>
      <c r="CG274" s="8">
        <v>15516.1</v>
      </c>
      <c r="CH274" s="8">
        <v>88953</v>
      </c>
      <c r="CI274" s="14">
        <v>1</v>
      </c>
      <c r="CJ274" s="14">
        <v>0</v>
      </c>
      <c r="CK274" s="14">
        <f t="shared" si="25"/>
        <v>0</v>
      </c>
      <c r="CL274">
        <f t="shared" si="26"/>
        <v>1.27047633725244</v>
      </c>
      <c r="CM274">
        <f t="shared" si="27"/>
        <v>0</v>
      </c>
      <c r="CN274">
        <v>19582.6196483054</v>
      </c>
      <c r="CO274">
        <v>121625.2</v>
      </c>
      <c r="CP274">
        <v>2752.44</v>
      </c>
      <c r="CQ274">
        <v>0</v>
      </c>
      <c r="CR274">
        <v>228.57</v>
      </c>
      <c r="CS274">
        <v>22.83</v>
      </c>
      <c r="CT274">
        <v>416.48</v>
      </c>
      <c r="CU274">
        <v>1.62</v>
      </c>
      <c r="CV274">
        <v>99.46</v>
      </c>
      <c r="CW274">
        <v>2835.11</v>
      </c>
    </row>
    <row r="275" spans="1:101">
      <c r="A275" s="6">
        <v>2023</v>
      </c>
      <c r="B275" s="6" t="s">
        <v>110</v>
      </c>
      <c r="C275" s="6">
        <v>0.24770759</v>
      </c>
      <c r="D275" s="6">
        <v>0.038884</v>
      </c>
      <c r="E275" s="6">
        <v>0.012288</v>
      </c>
      <c r="F275" s="6">
        <v>0.017819</v>
      </c>
      <c r="G275" s="6">
        <v>0.009415</v>
      </c>
      <c r="H275" s="6">
        <v>0.007914</v>
      </c>
      <c r="I275" s="6">
        <v>0.035403</v>
      </c>
      <c r="J275" s="6">
        <v>0.017904</v>
      </c>
      <c r="K275" s="6">
        <v>0.25343712</v>
      </c>
      <c r="L275" s="6">
        <v>0.25003211</v>
      </c>
      <c r="M275" s="6">
        <v>0.23094943</v>
      </c>
      <c r="N275" s="6">
        <v>0.24981987</v>
      </c>
      <c r="O275" s="6">
        <v>0.20634795</v>
      </c>
      <c r="P275" s="6">
        <v>0.30453944</v>
      </c>
      <c r="Q275" s="6">
        <v>0.25045817</v>
      </c>
      <c r="R275" s="6">
        <v>217.69486</v>
      </c>
      <c r="S275" s="6">
        <v>0.00116419</v>
      </c>
      <c r="T275" s="6">
        <v>169.97573</v>
      </c>
      <c r="U275" s="6">
        <v>0.00147099</v>
      </c>
      <c r="V275" s="6">
        <v>197.11803</v>
      </c>
      <c r="W275" s="6">
        <v>0.00117163</v>
      </c>
      <c r="X275" s="6">
        <v>134.47093</v>
      </c>
      <c r="Y275" s="6">
        <v>0.0018578</v>
      </c>
      <c r="Z275" s="6">
        <v>134.86767</v>
      </c>
      <c r="AA275" s="6">
        <v>0.00153</v>
      </c>
      <c r="AB275" s="6">
        <v>294.9318</v>
      </c>
      <c r="AC275" s="6">
        <v>0.00103258</v>
      </c>
      <c r="AD275" s="6">
        <v>243.86163</v>
      </c>
      <c r="AE275" s="6">
        <v>0.00102705</v>
      </c>
      <c r="AF275" s="6">
        <v>775</v>
      </c>
      <c r="AG275" s="6">
        <v>-0.00786493</v>
      </c>
      <c r="AH275" s="6">
        <v>-0.00959352</v>
      </c>
      <c r="AI275" s="6">
        <v>-0.00790775</v>
      </c>
      <c r="AJ275" s="6">
        <v>-0.01168251</v>
      </c>
      <c r="AK275" s="6">
        <v>-0.00991822</v>
      </c>
      <c r="AL275" s="6">
        <v>-0.00709968</v>
      </c>
      <c r="AM275" s="6">
        <v>-0.0070672</v>
      </c>
      <c r="AN275" s="6">
        <v>-6.4762184</v>
      </c>
      <c r="AO275" s="6">
        <v>-6.4515561</v>
      </c>
      <c r="AP275" s="6">
        <v>-6.4739881</v>
      </c>
      <c r="AQ275" s="6">
        <v>-6.4253629</v>
      </c>
      <c r="AR275" s="6">
        <v>-6.4020076</v>
      </c>
      <c r="AS275" s="6">
        <v>-6.4618417</v>
      </c>
      <c r="AT275" s="6">
        <v>-6.4506396</v>
      </c>
      <c r="AU275" s="6">
        <v>0.97344833</v>
      </c>
      <c r="AV275" s="6">
        <v>0.96974131</v>
      </c>
      <c r="AW275" s="6">
        <v>0.97311308</v>
      </c>
      <c r="AX275" s="6">
        <v>0.96580418</v>
      </c>
      <c r="AY275" s="6">
        <v>0.96229362</v>
      </c>
      <c r="AZ275" s="6">
        <v>0.97128734</v>
      </c>
      <c r="BA275" s="6">
        <v>0.96960354</v>
      </c>
      <c r="BB275" s="6">
        <v>0.02655167</v>
      </c>
      <c r="BC275" s="6">
        <v>0.03025869</v>
      </c>
      <c r="BD275" s="6">
        <v>0.02688692</v>
      </c>
      <c r="BE275" s="6">
        <v>0.03419582</v>
      </c>
      <c r="BF275" s="6">
        <v>0.03770638</v>
      </c>
      <c r="BG275" s="6">
        <v>0.02871266</v>
      </c>
      <c r="BH275" s="6">
        <v>0.03039646</v>
      </c>
      <c r="BI275" s="6">
        <v>0.21470859</v>
      </c>
      <c r="BJ275" s="6">
        <v>0.12366373</v>
      </c>
      <c r="BK275" s="6">
        <v>0.1409291</v>
      </c>
      <c r="BL275" s="6">
        <v>0.12522516</v>
      </c>
      <c r="BM275" s="6">
        <v>0.1592662</v>
      </c>
      <c r="BN275" s="6">
        <v>0.17561655</v>
      </c>
      <c r="BO275" s="6">
        <v>0.1337285</v>
      </c>
      <c r="BP275" s="6">
        <v>0.14157076</v>
      </c>
      <c r="BQ275" s="6">
        <v>0.03134098</v>
      </c>
      <c r="BR275" s="6">
        <v>0.0352368</v>
      </c>
      <c r="BS275" s="6">
        <v>0.02892068</v>
      </c>
      <c r="BT275" s="6">
        <v>0.03978786</v>
      </c>
      <c r="BU275" s="6">
        <v>0.03623811</v>
      </c>
      <c r="BV275" s="6">
        <v>0.0407256</v>
      </c>
      <c r="BW275" s="6">
        <v>0.03545755</v>
      </c>
      <c r="BX275" s="12">
        <v>21918.5</v>
      </c>
      <c r="BY275" s="13">
        <v>3466</v>
      </c>
      <c r="BZ275" s="12">
        <v>25698.2</v>
      </c>
      <c r="CA275" s="6">
        <f t="shared" si="22"/>
        <v>6.32386035776111</v>
      </c>
      <c r="CB275" s="6">
        <f t="shared" si="23"/>
        <v>0.852919659742706</v>
      </c>
      <c r="CC275" s="7">
        <v>615194038.8</v>
      </c>
      <c r="CD275" s="7">
        <f t="shared" si="24"/>
        <v>2.39391879119938</v>
      </c>
      <c r="CE275" s="8">
        <v>2074.7</v>
      </c>
      <c r="CF275" s="8">
        <v>11699.1</v>
      </c>
      <c r="CG275" s="8">
        <v>16372</v>
      </c>
      <c r="CH275" s="8">
        <v>94147</v>
      </c>
      <c r="CI275" s="14">
        <v>1</v>
      </c>
      <c r="CJ275" s="14">
        <v>0</v>
      </c>
      <c r="CK275" s="14">
        <f t="shared" si="25"/>
        <v>0</v>
      </c>
      <c r="CL275">
        <f t="shared" si="26"/>
        <v>1.2756783895882</v>
      </c>
      <c r="CM275">
        <f t="shared" si="27"/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</row>
    <row r="276" spans="1:101">
      <c r="A276" s="6">
        <v>2024</v>
      </c>
      <c r="B276" s="6" t="s">
        <v>110</v>
      </c>
      <c r="C276" s="6">
        <v>0.25431073</v>
      </c>
      <c r="D276" s="6">
        <v>0.038411</v>
      </c>
      <c r="E276" s="6">
        <v>0.012761</v>
      </c>
      <c r="F276" s="6">
        <v>0.017779</v>
      </c>
      <c r="G276" s="6">
        <v>0.010237</v>
      </c>
      <c r="H276" s="6">
        <v>0.008417</v>
      </c>
      <c r="I276" s="6">
        <v>0.034931</v>
      </c>
      <c r="J276" s="6">
        <v>0.017794</v>
      </c>
      <c r="K276" s="6">
        <v>0.24973004</v>
      </c>
      <c r="L276" s="6">
        <v>0.26121825</v>
      </c>
      <c r="M276" s="6">
        <v>0.23034509</v>
      </c>
      <c r="N276" s="6">
        <v>0.27411567</v>
      </c>
      <c r="O276" s="6">
        <v>0.22156413</v>
      </c>
      <c r="P276" s="6">
        <v>0.29928193</v>
      </c>
      <c r="Q276" s="6">
        <v>0.24849561</v>
      </c>
      <c r="R276" s="6">
        <v>217.69486</v>
      </c>
      <c r="S276" s="6">
        <v>0.00114716</v>
      </c>
      <c r="T276" s="6">
        <v>169.97573</v>
      </c>
      <c r="U276" s="6">
        <v>0.0015368</v>
      </c>
      <c r="V276" s="6">
        <v>197.11803</v>
      </c>
      <c r="W276" s="6">
        <v>0.00116856</v>
      </c>
      <c r="X276" s="6">
        <v>134.47093</v>
      </c>
      <c r="Y276" s="6">
        <v>0.00203848</v>
      </c>
      <c r="Z276" s="6">
        <v>134.86767</v>
      </c>
      <c r="AA276" s="6">
        <v>0.00164283</v>
      </c>
      <c r="AB276" s="6">
        <v>294.9318</v>
      </c>
      <c r="AC276" s="6">
        <v>0.00101475</v>
      </c>
      <c r="AD276" s="6">
        <v>243.86163</v>
      </c>
      <c r="AE276" s="6">
        <v>0.001019</v>
      </c>
      <c r="AF276" s="6">
        <v>775</v>
      </c>
      <c r="AG276" s="6">
        <v>-0.00776679</v>
      </c>
      <c r="AH276" s="6">
        <v>-0.00995546</v>
      </c>
      <c r="AI276" s="6">
        <v>-0.00789012</v>
      </c>
      <c r="AJ276" s="6">
        <v>-0.01262948</v>
      </c>
      <c r="AK276" s="6">
        <v>-0.01053271</v>
      </c>
      <c r="AL276" s="6">
        <v>-0.00699478</v>
      </c>
      <c r="AM276" s="6">
        <v>-0.00701984</v>
      </c>
      <c r="AN276" s="6">
        <v>-6.4762184</v>
      </c>
      <c r="AO276" s="6">
        <v>-6.4515561</v>
      </c>
      <c r="AP276" s="6">
        <v>-6.4739881</v>
      </c>
      <c r="AQ276" s="6">
        <v>-6.4253629</v>
      </c>
      <c r="AR276" s="6">
        <v>-6.4020076</v>
      </c>
      <c r="AS276" s="6">
        <v>-6.4618417</v>
      </c>
      <c r="AT276" s="6">
        <v>-6.4506396</v>
      </c>
      <c r="AU276" s="6">
        <v>0.97344833</v>
      </c>
      <c r="AV276" s="6">
        <v>0.96974131</v>
      </c>
      <c r="AW276" s="6">
        <v>0.97311308</v>
      </c>
      <c r="AX276" s="6">
        <v>0.96580418</v>
      </c>
      <c r="AY276" s="6">
        <v>0.96229362</v>
      </c>
      <c r="AZ276" s="6">
        <v>0.97128734</v>
      </c>
      <c r="BA276" s="6">
        <v>0.96960354</v>
      </c>
      <c r="BB276" s="6">
        <v>0.02655167</v>
      </c>
      <c r="BC276" s="6">
        <v>0.03025869</v>
      </c>
      <c r="BD276" s="6">
        <v>0.02688692</v>
      </c>
      <c r="BE276" s="6">
        <v>0.03419582</v>
      </c>
      <c r="BF276" s="6">
        <v>0.03770638</v>
      </c>
      <c r="BG276" s="6">
        <v>0.02871266</v>
      </c>
      <c r="BH276" s="6">
        <v>0.03039646</v>
      </c>
      <c r="BI276" s="6">
        <v>0.21470859</v>
      </c>
      <c r="BJ276" s="6">
        <v>0.12366373</v>
      </c>
      <c r="BK276" s="6">
        <v>0.1409291</v>
      </c>
      <c r="BL276" s="6">
        <v>0.12522516</v>
      </c>
      <c r="BM276" s="6">
        <v>0.1592662</v>
      </c>
      <c r="BN276" s="6">
        <v>0.17561655</v>
      </c>
      <c r="BO276" s="6">
        <v>0.1337285</v>
      </c>
      <c r="BP276" s="6">
        <v>0.14157076</v>
      </c>
      <c r="BQ276" s="6">
        <v>0.03088255</v>
      </c>
      <c r="BR276" s="6">
        <v>0.03681325</v>
      </c>
      <c r="BS276" s="6">
        <v>0.028845</v>
      </c>
      <c r="BT276" s="6">
        <v>0.04365736</v>
      </c>
      <c r="BU276" s="6">
        <v>0.03891033</v>
      </c>
      <c r="BV276" s="6">
        <v>0.04002252</v>
      </c>
      <c r="BW276" s="6">
        <v>0.03517971</v>
      </c>
      <c r="BX276" s="12">
        <v>21325</v>
      </c>
      <c r="BY276" s="13">
        <v>3446</v>
      </c>
      <c r="BZ276" s="12">
        <v>25494.7</v>
      </c>
      <c r="CA276" s="6">
        <f t="shared" si="22"/>
        <v>6.18833430063842</v>
      </c>
      <c r="CB276" s="6">
        <f t="shared" si="23"/>
        <v>0.836448359855186</v>
      </c>
      <c r="CC276" s="7">
        <v>614368831</v>
      </c>
      <c r="CD276" s="7">
        <f t="shared" si="24"/>
        <v>2.40979039172848</v>
      </c>
      <c r="CE276" s="8">
        <v>2135.8</v>
      </c>
      <c r="CF276" s="8">
        <v>11690.7</v>
      </c>
      <c r="CG276" s="8">
        <v>18366.7</v>
      </c>
      <c r="CH276" s="8">
        <v>100903</v>
      </c>
      <c r="CI276" s="14">
        <v>1</v>
      </c>
      <c r="CJ276" s="14">
        <v>0</v>
      </c>
      <c r="CK276" s="14">
        <f t="shared" si="25"/>
        <v>0</v>
      </c>
      <c r="CL276">
        <f t="shared" si="26"/>
        <v>1.21200651315194</v>
      </c>
      <c r="CM276">
        <f t="shared" si="27"/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</row>
    <row r="277" spans="1:101">
      <c r="A277" s="6">
        <v>2000</v>
      </c>
      <c r="B277" s="6" t="s">
        <v>111</v>
      </c>
      <c r="C277" s="6">
        <v>0.17813095</v>
      </c>
      <c r="D277" s="6">
        <v>0.032935</v>
      </c>
      <c r="E277" s="6">
        <v>0.008155</v>
      </c>
      <c r="F277" s="6">
        <v>0.01462</v>
      </c>
      <c r="G277" s="6">
        <v>0.00517</v>
      </c>
      <c r="H277" s="6">
        <v>0.00499</v>
      </c>
      <c r="I277" s="6">
        <v>0.033623</v>
      </c>
      <c r="J277" s="6">
        <v>0.015657</v>
      </c>
      <c r="K277" s="6">
        <v>0.20677458</v>
      </c>
      <c r="L277" s="6">
        <v>0.15231241</v>
      </c>
      <c r="M277" s="6">
        <v>0.18179248</v>
      </c>
      <c r="N277" s="6">
        <v>0.12433168</v>
      </c>
      <c r="O277" s="6">
        <v>0.11770859</v>
      </c>
      <c r="P277" s="6">
        <v>0.28471304</v>
      </c>
      <c r="Q277" s="6">
        <v>0.21037203</v>
      </c>
      <c r="R277" s="6">
        <v>217.69486</v>
      </c>
      <c r="S277" s="6">
        <v>0.00094984</v>
      </c>
      <c r="T277" s="6">
        <v>169.97573</v>
      </c>
      <c r="U277" s="6">
        <v>0.00089608</v>
      </c>
      <c r="V277" s="6">
        <v>197.11803</v>
      </c>
      <c r="W277" s="6">
        <v>0.00092225</v>
      </c>
      <c r="X277" s="6">
        <v>134.47093</v>
      </c>
      <c r="Y277" s="6">
        <v>0.0009246</v>
      </c>
      <c r="Z277" s="6">
        <v>134.86767</v>
      </c>
      <c r="AA277" s="6">
        <v>0.00087277</v>
      </c>
      <c r="AB277" s="6">
        <v>294.9318</v>
      </c>
      <c r="AC277" s="6">
        <v>0.00096535</v>
      </c>
      <c r="AD277" s="6">
        <v>243.86163</v>
      </c>
      <c r="AE277" s="6">
        <v>0.00086267</v>
      </c>
      <c r="AF277" s="6">
        <v>775</v>
      </c>
      <c r="AG277" s="6">
        <v>-0.00661012</v>
      </c>
      <c r="AH277" s="6">
        <v>-0.00628824</v>
      </c>
      <c r="AI277" s="6">
        <v>-0.00644533</v>
      </c>
      <c r="AJ277" s="6">
        <v>-0.00645939</v>
      </c>
      <c r="AK277" s="6">
        <v>-0.00614766</v>
      </c>
      <c r="AL277" s="6">
        <v>-0.00670246</v>
      </c>
      <c r="AM277" s="6">
        <v>-0.00608655</v>
      </c>
      <c r="AN277" s="6">
        <v>-6.4762184</v>
      </c>
      <c r="AO277" s="6">
        <v>-6.4515561</v>
      </c>
      <c r="AP277" s="6">
        <v>-6.4739881</v>
      </c>
      <c r="AQ277" s="6">
        <v>-6.4253629</v>
      </c>
      <c r="AR277" s="6">
        <v>-6.4020076</v>
      </c>
      <c r="AS277" s="6">
        <v>-6.4618417</v>
      </c>
      <c r="AT277" s="6">
        <v>-6.4506396</v>
      </c>
      <c r="AU277" s="6">
        <v>0.97344833</v>
      </c>
      <c r="AV277" s="6">
        <v>0.96974131</v>
      </c>
      <c r="AW277" s="6">
        <v>0.97311308</v>
      </c>
      <c r="AX277" s="6">
        <v>0.96580418</v>
      </c>
      <c r="AY277" s="6">
        <v>0.96229362</v>
      </c>
      <c r="AZ277" s="6">
        <v>0.97128734</v>
      </c>
      <c r="BA277" s="6">
        <v>0.96960354</v>
      </c>
      <c r="BB277" s="6">
        <v>0.02655167</v>
      </c>
      <c r="BC277" s="6">
        <v>0.03025869</v>
      </c>
      <c r="BD277" s="6">
        <v>0.02688692</v>
      </c>
      <c r="BE277" s="6">
        <v>0.03419582</v>
      </c>
      <c r="BF277" s="6">
        <v>0.03770638</v>
      </c>
      <c r="BG277" s="6">
        <v>0.02871266</v>
      </c>
      <c r="BH277" s="6">
        <v>0.03039646</v>
      </c>
      <c r="BI277" s="6">
        <v>0.21470859</v>
      </c>
      <c r="BJ277" s="6">
        <v>0.12366373</v>
      </c>
      <c r="BK277" s="6">
        <v>0.1409291</v>
      </c>
      <c r="BL277" s="6">
        <v>0.12522516</v>
      </c>
      <c r="BM277" s="6">
        <v>0.1592662</v>
      </c>
      <c r="BN277" s="6">
        <v>0.17561655</v>
      </c>
      <c r="BO277" s="6">
        <v>0.1337285</v>
      </c>
      <c r="BP277" s="6">
        <v>0.14157076</v>
      </c>
      <c r="BQ277" s="6">
        <v>0.02557052</v>
      </c>
      <c r="BR277" s="6">
        <v>0.02146525</v>
      </c>
      <c r="BS277" s="6">
        <v>0.02276499</v>
      </c>
      <c r="BT277" s="6">
        <v>0.01980183</v>
      </c>
      <c r="BU277" s="6">
        <v>0.02067158</v>
      </c>
      <c r="BV277" s="6">
        <v>0.03807425</v>
      </c>
      <c r="BW277" s="6">
        <v>0.02978253</v>
      </c>
      <c r="BX277" s="12">
        <v>9448</v>
      </c>
      <c r="BY277" s="13">
        <v>8650.03</v>
      </c>
      <c r="BZ277" s="12">
        <v>9662.23</v>
      </c>
      <c r="CA277" s="6">
        <f t="shared" si="22"/>
        <v>1.09225054710793</v>
      </c>
      <c r="CB277" s="6">
        <f t="shared" si="23"/>
        <v>0.977828099724391</v>
      </c>
      <c r="CC277" s="7">
        <v>242928777.1</v>
      </c>
      <c r="CD277" s="7">
        <f t="shared" si="24"/>
        <v>2.51421025063572</v>
      </c>
      <c r="CE277" s="8">
        <v>192</v>
      </c>
      <c r="CF277" s="8">
        <v>104</v>
      </c>
      <c r="CG277" s="8">
        <v>230.9</v>
      </c>
      <c r="CH277" s="8">
        <v>6798</v>
      </c>
      <c r="CI277" s="14">
        <v>0</v>
      </c>
      <c r="CJ277" s="14">
        <v>1</v>
      </c>
      <c r="CK277" s="14">
        <f t="shared" si="25"/>
        <v>0</v>
      </c>
      <c r="CL277">
        <f t="shared" si="26"/>
        <v>4.53658228674969</v>
      </c>
      <c r="CM277">
        <f t="shared" si="27"/>
        <v>0.445791987951117</v>
      </c>
      <c r="CN277" s="15">
        <v>9447.7</v>
      </c>
      <c r="CO277" s="15">
        <v>5890.24</v>
      </c>
      <c r="CP277" s="15">
        <v>146.57</v>
      </c>
      <c r="CQ277" s="15">
        <v>1956.41</v>
      </c>
      <c r="CR277" s="15">
        <v>301.16</v>
      </c>
      <c r="CS277" s="15">
        <v>89.51</v>
      </c>
      <c r="CT277" s="15">
        <v>766.23</v>
      </c>
      <c r="CU277" s="15">
        <v>941.95</v>
      </c>
      <c r="CV277" s="15">
        <v>1.43</v>
      </c>
      <c r="CW277" s="15">
        <v>1334.58</v>
      </c>
    </row>
    <row r="278" spans="1:101">
      <c r="A278" s="6">
        <v>2001</v>
      </c>
      <c r="B278" s="6" t="s">
        <v>111</v>
      </c>
      <c r="C278" s="6">
        <v>0.2001899</v>
      </c>
      <c r="D278" s="6">
        <v>0.036721</v>
      </c>
      <c r="E278" s="6">
        <v>0.008973</v>
      </c>
      <c r="F278" s="6">
        <v>0.016614</v>
      </c>
      <c r="G278" s="6">
        <v>0.005729</v>
      </c>
      <c r="H278" s="6">
        <v>0.005405</v>
      </c>
      <c r="I278" s="6">
        <v>0.034443</v>
      </c>
      <c r="J278" s="6">
        <v>0.017937</v>
      </c>
      <c r="K278" s="6">
        <v>0.23647656</v>
      </c>
      <c r="L278" s="6">
        <v>0.17166073</v>
      </c>
      <c r="M278" s="6">
        <v>0.21243797</v>
      </c>
      <c r="N278" s="6">
        <v>0.14085332</v>
      </c>
      <c r="O278" s="6">
        <v>0.13029596</v>
      </c>
      <c r="P278" s="6">
        <v>0.29384415</v>
      </c>
      <c r="Q278" s="6">
        <v>0.25104843</v>
      </c>
      <c r="R278" s="6">
        <v>217.69486</v>
      </c>
      <c r="S278" s="6">
        <v>0.00108628</v>
      </c>
      <c r="T278" s="6">
        <v>169.97573</v>
      </c>
      <c r="U278" s="6">
        <v>0.00100991</v>
      </c>
      <c r="V278" s="6">
        <v>197.11803</v>
      </c>
      <c r="W278" s="6">
        <v>0.00107772</v>
      </c>
      <c r="X278" s="6">
        <v>134.47093</v>
      </c>
      <c r="Y278" s="6">
        <v>0.00104746</v>
      </c>
      <c r="Z278" s="6">
        <v>134.86767</v>
      </c>
      <c r="AA278" s="6">
        <v>0.0009661</v>
      </c>
      <c r="AB278" s="6">
        <v>294.9318</v>
      </c>
      <c r="AC278" s="6">
        <v>0.00099631</v>
      </c>
      <c r="AD278" s="6">
        <v>243.86163</v>
      </c>
      <c r="AE278" s="6">
        <v>0.00102947</v>
      </c>
      <c r="AF278" s="6">
        <v>775</v>
      </c>
      <c r="AG278" s="6">
        <v>-0.00741383</v>
      </c>
      <c r="AH278" s="6">
        <v>-0.00696627</v>
      </c>
      <c r="AI278" s="6">
        <v>-0.00736396</v>
      </c>
      <c r="AJ278" s="6">
        <v>-0.00718705</v>
      </c>
      <c r="AK278" s="6">
        <v>-0.00670691</v>
      </c>
      <c r="AL278" s="6">
        <v>-0.00688596</v>
      </c>
      <c r="AM278" s="6">
        <v>-0.00708143</v>
      </c>
      <c r="AN278" s="6">
        <v>-6.4762184</v>
      </c>
      <c r="AO278" s="6">
        <v>-6.4515561</v>
      </c>
      <c r="AP278" s="6">
        <v>-6.4739881</v>
      </c>
      <c r="AQ278" s="6">
        <v>-6.4253629</v>
      </c>
      <c r="AR278" s="6">
        <v>-6.4020076</v>
      </c>
      <c r="AS278" s="6">
        <v>-6.4618417</v>
      </c>
      <c r="AT278" s="6">
        <v>-6.4506396</v>
      </c>
      <c r="AU278" s="6">
        <v>0.97344833</v>
      </c>
      <c r="AV278" s="6">
        <v>0.96974131</v>
      </c>
      <c r="AW278" s="6">
        <v>0.97311308</v>
      </c>
      <c r="AX278" s="6">
        <v>0.96580418</v>
      </c>
      <c r="AY278" s="6">
        <v>0.96229362</v>
      </c>
      <c r="AZ278" s="6">
        <v>0.97128734</v>
      </c>
      <c r="BA278" s="6">
        <v>0.96960354</v>
      </c>
      <c r="BB278" s="6">
        <v>0.02655167</v>
      </c>
      <c r="BC278" s="6">
        <v>0.03025869</v>
      </c>
      <c r="BD278" s="6">
        <v>0.02688692</v>
      </c>
      <c r="BE278" s="6">
        <v>0.03419582</v>
      </c>
      <c r="BF278" s="6">
        <v>0.03770638</v>
      </c>
      <c r="BG278" s="6">
        <v>0.02871266</v>
      </c>
      <c r="BH278" s="6">
        <v>0.03039646</v>
      </c>
      <c r="BI278" s="6">
        <v>0.21470859</v>
      </c>
      <c r="BJ278" s="6">
        <v>0.12366373</v>
      </c>
      <c r="BK278" s="6">
        <v>0.1409291</v>
      </c>
      <c r="BL278" s="6">
        <v>0.12522516</v>
      </c>
      <c r="BM278" s="6">
        <v>0.1592662</v>
      </c>
      <c r="BN278" s="6">
        <v>0.17561655</v>
      </c>
      <c r="BO278" s="6">
        <v>0.1337285</v>
      </c>
      <c r="BP278" s="6">
        <v>0.14157076</v>
      </c>
      <c r="BQ278" s="6">
        <v>0.02924357</v>
      </c>
      <c r="BR278" s="6">
        <v>0.02419199</v>
      </c>
      <c r="BS278" s="6">
        <v>0.02660258</v>
      </c>
      <c r="BT278" s="6">
        <v>0.02243317</v>
      </c>
      <c r="BU278" s="6">
        <v>0.02288213</v>
      </c>
      <c r="BV278" s="6">
        <v>0.03929534</v>
      </c>
      <c r="BW278" s="6">
        <v>0.03554112</v>
      </c>
      <c r="BX278" s="12">
        <v>10179</v>
      </c>
      <c r="BY278" s="13">
        <v>8733.18</v>
      </c>
      <c r="BZ278" s="12">
        <v>12039.25356</v>
      </c>
      <c r="CA278" s="6">
        <f t="shared" si="22"/>
        <v>1.16555481508454</v>
      </c>
      <c r="CB278" s="6">
        <f t="shared" si="23"/>
        <v>0.845484310906066</v>
      </c>
      <c r="CC278" s="7">
        <v>252208078.5</v>
      </c>
      <c r="CD278" s="7">
        <f t="shared" si="24"/>
        <v>2.09488135824261</v>
      </c>
      <c r="CE278" s="8">
        <v>196.8</v>
      </c>
      <c r="CF278" s="8">
        <v>133.8</v>
      </c>
      <c r="CG278" s="8">
        <v>248.6</v>
      </c>
      <c r="CH278" s="8">
        <v>7315</v>
      </c>
      <c r="CI278" s="14">
        <v>0</v>
      </c>
      <c r="CJ278" s="14">
        <v>1</v>
      </c>
      <c r="CK278" s="14">
        <f t="shared" si="25"/>
        <v>0</v>
      </c>
      <c r="CL278">
        <f t="shared" si="26"/>
        <v>4.16809156222866</v>
      </c>
      <c r="CM278">
        <f t="shared" si="27"/>
        <v>0.497400350504181</v>
      </c>
      <c r="CN278" s="15">
        <v>10179</v>
      </c>
      <c r="CO278" s="15">
        <v>6088</v>
      </c>
      <c r="CP278" s="15">
        <v>175.12</v>
      </c>
      <c r="CQ278" s="15">
        <v>1943.03</v>
      </c>
      <c r="CR278" s="15">
        <v>324.82</v>
      </c>
      <c r="CS278" s="15">
        <v>95.98</v>
      </c>
      <c r="CT278" s="15">
        <v>816.33</v>
      </c>
      <c r="CU278" s="15">
        <v>1039.5</v>
      </c>
      <c r="CV278">
        <v>0</v>
      </c>
      <c r="CW278" s="15">
        <v>1458.43</v>
      </c>
    </row>
    <row r="279" spans="1:101">
      <c r="A279" s="6">
        <v>2002</v>
      </c>
      <c r="B279" s="6" t="s">
        <v>111</v>
      </c>
      <c r="C279" s="6">
        <v>0.19466621</v>
      </c>
      <c r="D279" s="6">
        <v>0.03538</v>
      </c>
      <c r="E279" s="6">
        <v>0.009223</v>
      </c>
      <c r="F279" s="6">
        <v>0.016003</v>
      </c>
      <c r="G279" s="6">
        <v>0.005582</v>
      </c>
      <c r="H279" s="6">
        <v>0.004571</v>
      </c>
      <c r="I279" s="6">
        <v>0.03574</v>
      </c>
      <c r="J279" s="6">
        <v>0.017666</v>
      </c>
      <c r="K279" s="6">
        <v>0.22595367</v>
      </c>
      <c r="L279" s="6">
        <v>0.17757143</v>
      </c>
      <c r="M279" s="6">
        <v>0.2030465</v>
      </c>
      <c r="N279" s="6">
        <v>0.13651328</v>
      </c>
      <c r="O279" s="6">
        <v>0.10503258</v>
      </c>
      <c r="P279" s="6">
        <v>0.30830025</v>
      </c>
      <c r="Q279" s="6">
        <v>0.24621246</v>
      </c>
      <c r="R279" s="6">
        <v>217.69486</v>
      </c>
      <c r="S279" s="6">
        <v>0.00103794</v>
      </c>
      <c r="T279" s="6">
        <v>169.97573</v>
      </c>
      <c r="U279" s="6">
        <v>0.00104469</v>
      </c>
      <c r="V279" s="6">
        <v>197.11803</v>
      </c>
      <c r="W279" s="6">
        <v>0.00103008</v>
      </c>
      <c r="X279" s="6">
        <v>134.47093</v>
      </c>
      <c r="Y279" s="6">
        <v>0.00101519</v>
      </c>
      <c r="Z279" s="6">
        <v>134.86767</v>
      </c>
      <c r="AA279" s="6">
        <v>0.00077878</v>
      </c>
      <c r="AB279" s="6">
        <v>294.9318</v>
      </c>
      <c r="AC279" s="6">
        <v>0.00104533</v>
      </c>
      <c r="AD279" s="6">
        <v>243.86163</v>
      </c>
      <c r="AE279" s="6">
        <v>0.00100964</v>
      </c>
      <c r="AF279" s="6">
        <v>775</v>
      </c>
      <c r="AG279" s="6">
        <v>-0.00713117</v>
      </c>
      <c r="AH279" s="6">
        <v>-0.00717077</v>
      </c>
      <c r="AI279" s="6">
        <v>-0.00708499</v>
      </c>
      <c r="AJ279" s="6">
        <v>-0.00699737</v>
      </c>
      <c r="AK279" s="6">
        <v>-0.00557435</v>
      </c>
      <c r="AL279" s="6">
        <v>-0.00717453</v>
      </c>
      <c r="AM279" s="6">
        <v>-0.00696466</v>
      </c>
      <c r="AN279" s="6">
        <v>-6.4762184</v>
      </c>
      <c r="AO279" s="6">
        <v>-6.4515561</v>
      </c>
      <c r="AP279" s="6">
        <v>-6.4739881</v>
      </c>
      <c r="AQ279" s="6">
        <v>-6.4253629</v>
      </c>
      <c r="AR279" s="6">
        <v>-6.4020076</v>
      </c>
      <c r="AS279" s="6">
        <v>-6.4618417</v>
      </c>
      <c r="AT279" s="6">
        <v>-6.4506396</v>
      </c>
      <c r="AU279" s="6">
        <v>0.97344833</v>
      </c>
      <c r="AV279" s="6">
        <v>0.96974131</v>
      </c>
      <c r="AW279" s="6">
        <v>0.97311308</v>
      </c>
      <c r="AX279" s="6">
        <v>0.96580418</v>
      </c>
      <c r="AY279" s="6">
        <v>0.96229362</v>
      </c>
      <c r="AZ279" s="6">
        <v>0.97128734</v>
      </c>
      <c r="BA279" s="6">
        <v>0.96960354</v>
      </c>
      <c r="BB279" s="6">
        <v>0.02655167</v>
      </c>
      <c r="BC279" s="6">
        <v>0.03025869</v>
      </c>
      <c r="BD279" s="6">
        <v>0.02688692</v>
      </c>
      <c r="BE279" s="6">
        <v>0.03419582</v>
      </c>
      <c r="BF279" s="6">
        <v>0.03770638</v>
      </c>
      <c r="BG279" s="6">
        <v>0.02871266</v>
      </c>
      <c r="BH279" s="6">
        <v>0.03039646</v>
      </c>
      <c r="BI279" s="6">
        <v>0.21470859</v>
      </c>
      <c r="BJ279" s="6">
        <v>0.12366373</v>
      </c>
      <c r="BK279" s="6">
        <v>0.1409291</v>
      </c>
      <c r="BL279" s="6">
        <v>0.12522516</v>
      </c>
      <c r="BM279" s="6">
        <v>0.1592662</v>
      </c>
      <c r="BN279" s="6">
        <v>0.17561655</v>
      </c>
      <c r="BO279" s="6">
        <v>0.1337285</v>
      </c>
      <c r="BP279" s="6">
        <v>0.14157076</v>
      </c>
      <c r="BQ279" s="6">
        <v>0.02794227</v>
      </c>
      <c r="BR279" s="6">
        <v>0.02502498</v>
      </c>
      <c r="BS279" s="6">
        <v>0.02542653</v>
      </c>
      <c r="BT279" s="6">
        <v>0.02174195</v>
      </c>
      <c r="BU279" s="6">
        <v>0.01844546</v>
      </c>
      <c r="BV279" s="6">
        <v>0.04122853</v>
      </c>
      <c r="BW279" s="6">
        <v>0.03485649</v>
      </c>
      <c r="BX279" s="12">
        <v>11355</v>
      </c>
      <c r="BY279" s="13">
        <v>8842.08</v>
      </c>
      <c r="BZ279" s="12">
        <v>13502.42486</v>
      </c>
      <c r="CA279" s="6">
        <f t="shared" si="22"/>
        <v>1.28420009771456</v>
      </c>
      <c r="CB279" s="6">
        <f t="shared" si="23"/>
        <v>0.840960058488339</v>
      </c>
      <c r="CC279" s="7">
        <v>265360462.2</v>
      </c>
      <c r="CD279" s="7">
        <f t="shared" si="24"/>
        <v>1.9652800511863</v>
      </c>
      <c r="CE279" s="8">
        <v>222.9</v>
      </c>
      <c r="CF279" s="8">
        <v>148.9</v>
      </c>
      <c r="CG279" s="8">
        <v>271</v>
      </c>
      <c r="CH279" s="8">
        <v>8041</v>
      </c>
      <c r="CI279" s="14">
        <v>0</v>
      </c>
      <c r="CJ279" s="14">
        <v>1</v>
      </c>
      <c r="CK279" s="14">
        <f t="shared" si="25"/>
        <v>0</v>
      </c>
      <c r="CL279">
        <f t="shared" si="26"/>
        <v>4.06804884448575</v>
      </c>
      <c r="CM279">
        <f t="shared" si="27"/>
        <v>0.516898610042443</v>
      </c>
      <c r="CN279" s="15">
        <v>11355</v>
      </c>
      <c r="CO279" s="15">
        <v>6649</v>
      </c>
      <c r="CP279" s="15">
        <v>179.11</v>
      </c>
      <c r="CQ279" s="15">
        <v>1961.91</v>
      </c>
      <c r="CR279" s="15">
        <v>344.58</v>
      </c>
      <c r="CS279" s="15">
        <v>103.15</v>
      </c>
      <c r="CT279" s="15">
        <v>848.12</v>
      </c>
      <c r="CU279" s="15">
        <v>1154.19</v>
      </c>
      <c r="CV279">
        <v>0</v>
      </c>
      <c r="CW279" s="15">
        <v>1687.83</v>
      </c>
    </row>
    <row r="280" spans="1:101">
      <c r="A280" s="6">
        <v>2003</v>
      </c>
      <c r="B280" s="6" t="s">
        <v>111</v>
      </c>
      <c r="C280" s="6">
        <v>0.23934942</v>
      </c>
      <c r="D280" s="6">
        <v>0.042918</v>
      </c>
      <c r="E280" s="6">
        <v>0.010875</v>
      </c>
      <c r="F280" s="6">
        <v>0.019349</v>
      </c>
      <c r="G280" s="6">
        <v>0.006327</v>
      </c>
      <c r="H280" s="6">
        <v>0.006367</v>
      </c>
      <c r="I280" s="6">
        <v>0.040172</v>
      </c>
      <c r="J280" s="6">
        <v>0.019947</v>
      </c>
      <c r="K280" s="6">
        <v>0.28508448</v>
      </c>
      <c r="L280" s="6">
        <v>0.21662448</v>
      </c>
      <c r="M280" s="6">
        <v>0.25446802</v>
      </c>
      <c r="N280" s="6">
        <v>0.15853434</v>
      </c>
      <c r="O280" s="6">
        <v>0.15945514</v>
      </c>
      <c r="P280" s="6">
        <v>0.3576588</v>
      </c>
      <c r="Q280" s="6">
        <v>0.28691673</v>
      </c>
      <c r="R280" s="6">
        <v>217.69486</v>
      </c>
      <c r="S280" s="6">
        <v>0.00130956</v>
      </c>
      <c r="T280" s="6">
        <v>169.97573</v>
      </c>
      <c r="U280" s="6">
        <v>0.00127444</v>
      </c>
      <c r="V280" s="6">
        <v>197.11803</v>
      </c>
      <c r="W280" s="6">
        <v>0.00129094</v>
      </c>
      <c r="X280" s="6">
        <v>134.47093</v>
      </c>
      <c r="Y280" s="6">
        <v>0.00117895</v>
      </c>
      <c r="Z280" s="6">
        <v>134.86767</v>
      </c>
      <c r="AA280" s="6">
        <v>0.00118231</v>
      </c>
      <c r="AB280" s="6">
        <v>294.9318</v>
      </c>
      <c r="AC280" s="6">
        <v>0.00121268</v>
      </c>
      <c r="AD280" s="6">
        <v>243.86163</v>
      </c>
      <c r="AE280" s="6">
        <v>0.00117656</v>
      </c>
      <c r="AF280" s="6">
        <v>775</v>
      </c>
      <c r="AG280" s="6">
        <v>-0.00869294</v>
      </c>
      <c r="AH280" s="6">
        <v>-0.00849448</v>
      </c>
      <c r="AI280" s="6">
        <v>-0.00858784</v>
      </c>
      <c r="AJ280" s="6">
        <v>-0.00794981</v>
      </c>
      <c r="AK280" s="6">
        <v>-0.0079691</v>
      </c>
      <c r="AL280" s="6">
        <v>-0.00814307</v>
      </c>
      <c r="AM280" s="6">
        <v>-0.00793606</v>
      </c>
      <c r="AN280" s="6">
        <v>-6.4762184</v>
      </c>
      <c r="AO280" s="6">
        <v>-6.4515561</v>
      </c>
      <c r="AP280" s="6">
        <v>-6.4739881</v>
      </c>
      <c r="AQ280" s="6">
        <v>-6.4253629</v>
      </c>
      <c r="AR280" s="6">
        <v>-6.4020076</v>
      </c>
      <c r="AS280" s="6">
        <v>-6.4618417</v>
      </c>
      <c r="AT280" s="6">
        <v>-6.4506396</v>
      </c>
      <c r="AU280" s="6">
        <v>0.97344833</v>
      </c>
      <c r="AV280" s="6">
        <v>0.96974131</v>
      </c>
      <c r="AW280" s="6">
        <v>0.97311308</v>
      </c>
      <c r="AX280" s="6">
        <v>0.96580418</v>
      </c>
      <c r="AY280" s="6">
        <v>0.96229362</v>
      </c>
      <c r="AZ280" s="6">
        <v>0.97128734</v>
      </c>
      <c r="BA280" s="6">
        <v>0.96960354</v>
      </c>
      <c r="BB280" s="6">
        <v>0.02655167</v>
      </c>
      <c r="BC280" s="6">
        <v>0.03025869</v>
      </c>
      <c r="BD280" s="6">
        <v>0.02688692</v>
      </c>
      <c r="BE280" s="6">
        <v>0.03419582</v>
      </c>
      <c r="BF280" s="6">
        <v>0.03770638</v>
      </c>
      <c r="BG280" s="6">
        <v>0.02871266</v>
      </c>
      <c r="BH280" s="6">
        <v>0.03039646</v>
      </c>
      <c r="BI280" s="6">
        <v>0.21470859</v>
      </c>
      <c r="BJ280" s="6">
        <v>0.12366373</v>
      </c>
      <c r="BK280" s="6">
        <v>0.1409291</v>
      </c>
      <c r="BL280" s="6">
        <v>0.12522516</v>
      </c>
      <c r="BM280" s="6">
        <v>0.1592662</v>
      </c>
      <c r="BN280" s="6">
        <v>0.17561655</v>
      </c>
      <c r="BO280" s="6">
        <v>0.1337285</v>
      </c>
      <c r="BP280" s="6">
        <v>0.14157076</v>
      </c>
      <c r="BQ280" s="6">
        <v>0.03525461</v>
      </c>
      <c r="BR280" s="6">
        <v>0.03052869</v>
      </c>
      <c r="BS280" s="6">
        <v>0.0318658</v>
      </c>
      <c r="BT280" s="6">
        <v>0.02524916</v>
      </c>
      <c r="BU280" s="6">
        <v>0.02800296</v>
      </c>
      <c r="BV280" s="6">
        <v>0.04782917</v>
      </c>
      <c r="BW280" s="6">
        <v>0.04061902</v>
      </c>
      <c r="BX280" s="12">
        <v>13099</v>
      </c>
      <c r="BY280" s="13">
        <v>8962.69</v>
      </c>
      <c r="BZ280" s="12">
        <v>15844.64</v>
      </c>
      <c r="CA280" s="6">
        <f t="shared" si="22"/>
        <v>1.46150318710119</v>
      </c>
      <c r="CB280" s="6">
        <f t="shared" si="23"/>
        <v>0.826714901695463</v>
      </c>
      <c r="CC280" s="7">
        <v>305227109.2</v>
      </c>
      <c r="CD280" s="7">
        <f t="shared" si="24"/>
        <v>1.92637452917832</v>
      </c>
      <c r="CE280" s="8">
        <v>244.3</v>
      </c>
      <c r="CF280" s="8">
        <v>175.8</v>
      </c>
      <c r="CG280" s="8">
        <v>293.9</v>
      </c>
      <c r="CH280" s="8">
        <v>8849</v>
      </c>
      <c r="CI280" s="14">
        <v>0</v>
      </c>
      <c r="CJ280" s="14">
        <v>1</v>
      </c>
      <c r="CK280" s="14">
        <f t="shared" si="25"/>
        <v>0</v>
      </c>
      <c r="CL280">
        <f t="shared" si="26"/>
        <v>4.08414499624993</v>
      </c>
      <c r="CM280">
        <f t="shared" si="27"/>
        <v>0.52832856547769</v>
      </c>
      <c r="CN280" s="15">
        <v>13099.29</v>
      </c>
      <c r="CO280" s="15">
        <v>7910.25</v>
      </c>
      <c r="CP280" s="15">
        <v>227.99</v>
      </c>
      <c r="CQ280" s="15">
        <v>2095.15</v>
      </c>
      <c r="CR280" s="15">
        <v>375.04</v>
      </c>
      <c r="CS280" s="15">
        <v>119.64</v>
      </c>
      <c r="CT280" s="15">
        <v>935.87</v>
      </c>
      <c r="CU280" s="15">
        <v>1241.65</v>
      </c>
      <c r="CV280" s="15">
        <v>1.26</v>
      </c>
      <c r="CW280" s="15">
        <v>2031.29</v>
      </c>
    </row>
    <row r="281" spans="1:101">
      <c r="A281" s="6">
        <v>2004</v>
      </c>
      <c r="B281" s="6" t="s">
        <v>111</v>
      </c>
      <c r="C281" s="6">
        <v>0.23710888</v>
      </c>
      <c r="D281" s="6">
        <v>0.041829</v>
      </c>
      <c r="E281" s="6">
        <v>0.010546</v>
      </c>
      <c r="F281" s="6">
        <v>0.018823</v>
      </c>
      <c r="G281" s="6">
        <v>0.006119</v>
      </c>
      <c r="H281" s="6">
        <v>0.006342</v>
      </c>
      <c r="I281" s="6">
        <v>0.040696</v>
      </c>
      <c r="J281" s="6">
        <v>0.020445</v>
      </c>
      <c r="K281" s="6">
        <v>0.27654297</v>
      </c>
      <c r="L281" s="6">
        <v>0.20883101</v>
      </c>
      <c r="M281" s="6">
        <v>0.24637935</v>
      </c>
      <c r="N281" s="6">
        <v>0.15239067</v>
      </c>
      <c r="O281" s="6">
        <v>0.15869268</v>
      </c>
      <c r="P281" s="6">
        <v>0.36349666</v>
      </c>
      <c r="Q281" s="6">
        <v>0.29580739</v>
      </c>
      <c r="R281" s="6">
        <v>217.69486</v>
      </c>
      <c r="S281" s="6">
        <v>0.00127032</v>
      </c>
      <c r="T281" s="6">
        <v>169.97573</v>
      </c>
      <c r="U281" s="6">
        <v>0.00122859</v>
      </c>
      <c r="V281" s="6">
        <v>197.11803</v>
      </c>
      <c r="W281" s="6">
        <v>0.00124991</v>
      </c>
      <c r="X281" s="6">
        <v>134.47093</v>
      </c>
      <c r="Y281" s="6">
        <v>0.00113326</v>
      </c>
      <c r="Z281" s="6">
        <v>134.86767</v>
      </c>
      <c r="AA281" s="6">
        <v>0.00117665</v>
      </c>
      <c r="AB281" s="6">
        <v>294.9318</v>
      </c>
      <c r="AC281" s="6">
        <v>0.00123248</v>
      </c>
      <c r="AD281" s="6">
        <v>243.86163</v>
      </c>
      <c r="AE281" s="6">
        <v>0.00121301</v>
      </c>
      <c r="AF281" s="6">
        <v>775</v>
      </c>
      <c r="AG281" s="6">
        <v>-0.00847113</v>
      </c>
      <c r="AH281" s="6">
        <v>-0.00823389</v>
      </c>
      <c r="AI281" s="6">
        <v>-0.00835524</v>
      </c>
      <c r="AJ281" s="6">
        <v>-0.00768652</v>
      </c>
      <c r="AK281" s="6">
        <v>-0.00793663</v>
      </c>
      <c r="AL281" s="6">
        <v>-0.00825603</v>
      </c>
      <c r="AM281" s="6">
        <v>-0.00814496</v>
      </c>
      <c r="AN281" s="6">
        <v>-6.4762184</v>
      </c>
      <c r="AO281" s="6">
        <v>-6.4515561</v>
      </c>
      <c r="AP281" s="6">
        <v>-6.4739881</v>
      </c>
      <c r="AQ281" s="6">
        <v>-6.4253629</v>
      </c>
      <c r="AR281" s="6">
        <v>-6.4020076</v>
      </c>
      <c r="AS281" s="6">
        <v>-6.4618417</v>
      </c>
      <c r="AT281" s="6">
        <v>-6.4506396</v>
      </c>
      <c r="AU281" s="6">
        <v>0.97344833</v>
      </c>
      <c r="AV281" s="6">
        <v>0.96974131</v>
      </c>
      <c r="AW281" s="6">
        <v>0.97311308</v>
      </c>
      <c r="AX281" s="6">
        <v>0.96580418</v>
      </c>
      <c r="AY281" s="6">
        <v>0.96229362</v>
      </c>
      <c r="AZ281" s="6">
        <v>0.97128734</v>
      </c>
      <c r="BA281" s="6">
        <v>0.96960354</v>
      </c>
      <c r="BB281" s="6">
        <v>0.02655167</v>
      </c>
      <c r="BC281" s="6">
        <v>0.03025869</v>
      </c>
      <c r="BD281" s="6">
        <v>0.02688692</v>
      </c>
      <c r="BE281" s="6">
        <v>0.03419582</v>
      </c>
      <c r="BF281" s="6">
        <v>0.03770638</v>
      </c>
      <c r="BG281" s="6">
        <v>0.02871266</v>
      </c>
      <c r="BH281" s="6">
        <v>0.03039646</v>
      </c>
      <c r="BI281" s="6">
        <v>0.21470859</v>
      </c>
      <c r="BJ281" s="6">
        <v>0.12366373</v>
      </c>
      <c r="BK281" s="6">
        <v>0.1409291</v>
      </c>
      <c r="BL281" s="6">
        <v>0.12522516</v>
      </c>
      <c r="BM281" s="6">
        <v>0.1592662</v>
      </c>
      <c r="BN281" s="6">
        <v>0.17561655</v>
      </c>
      <c r="BO281" s="6">
        <v>0.1337285</v>
      </c>
      <c r="BP281" s="6">
        <v>0.14157076</v>
      </c>
      <c r="BQ281" s="6">
        <v>0.03419834</v>
      </c>
      <c r="BR281" s="6">
        <v>0.02943037</v>
      </c>
      <c r="BS281" s="6">
        <v>0.03085289</v>
      </c>
      <c r="BT281" s="6">
        <v>0.02427068</v>
      </c>
      <c r="BU281" s="6">
        <v>0.02786906</v>
      </c>
      <c r="BV281" s="6">
        <v>0.04860986</v>
      </c>
      <c r="BW281" s="6">
        <v>0.04187768</v>
      </c>
      <c r="BX281" s="12">
        <v>15210</v>
      </c>
      <c r="BY281" s="13">
        <v>9110.66</v>
      </c>
      <c r="BZ281" s="12">
        <v>18864.62</v>
      </c>
      <c r="CA281" s="6">
        <f t="shared" si="22"/>
        <v>1.66947290317057</v>
      </c>
      <c r="CB281" s="6">
        <f t="shared" si="23"/>
        <v>0.806271210339779</v>
      </c>
      <c r="CC281" s="7">
        <v>348203151.8</v>
      </c>
      <c r="CD281" s="7">
        <f t="shared" si="24"/>
        <v>1.84579997794814</v>
      </c>
      <c r="CE281" s="8">
        <v>272</v>
      </c>
      <c r="CF281" s="8">
        <v>199.6</v>
      </c>
      <c r="CG281" s="8">
        <v>331.1</v>
      </c>
      <c r="CH281" s="8">
        <v>9859</v>
      </c>
      <c r="CI281" s="14">
        <v>0</v>
      </c>
      <c r="CJ281" s="14">
        <v>1</v>
      </c>
      <c r="CK281" s="14">
        <f t="shared" si="25"/>
        <v>0</v>
      </c>
      <c r="CL281">
        <f t="shared" si="26"/>
        <v>3.89549779892895</v>
      </c>
      <c r="CM281">
        <f t="shared" si="27"/>
        <v>0.526170961139899</v>
      </c>
      <c r="CN281" s="15">
        <v>15210.47</v>
      </c>
      <c r="CO281" s="15">
        <v>8790.24</v>
      </c>
      <c r="CP281" s="15">
        <v>278.03</v>
      </c>
      <c r="CQ281" s="15">
        <v>2391.35</v>
      </c>
      <c r="CR281" s="15">
        <v>447.44</v>
      </c>
      <c r="CS281" s="15">
        <v>130.97</v>
      </c>
      <c r="CT281" s="15">
        <v>1023.69</v>
      </c>
      <c r="CU281" s="15">
        <v>1533.95</v>
      </c>
      <c r="CV281" s="15">
        <v>1.62</v>
      </c>
      <c r="CW281" s="15">
        <v>2387.14</v>
      </c>
    </row>
    <row r="282" spans="1:101">
      <c r="A282" s="6">
        <v>2005</v>
      </c>
      <c r="B282" s="6" t="s">
        <v>111</v>
      </c>
      <c r="C282" s="6">
        <v>0.2377465</v>
      </c>
      <c r="D282" s="6">
        <v>0.041813</v>
      </c>
      <c r="E282" s="6">
        <v>0.010398</v>
      </c>
      <c r="F282" s="6">
        <v>0.018399</v>
      </c>
      <c r="G282" s="6">
        <v>0.006376</v>
      </c>
      <c r="H282" s="6">
        <v>0.00664</v>
      </c>
      <c r="I282" s="6">
        <v>0.042146</v>
      </c>
      <c r="J282" s="6">
        <v>0.01926</v>
      </c>
      <c r="K282" s="6">
        <v>0.27641472</v>
      </c>
      <c r="L282" s="6">
        <v>0.20535063</v>
      </c>
      <c r="M282" s="6">
        <v>0.2398639</v>
      </c>
      <c r="N282" s="6">
        <v>0.15997166</v>
      </c>
      <c r="O282" s="6">
        <v>0.16773283</v>
      </c>
      <c r="P282" s="6">
        <v>0.37964821</v>
      </c>
      <c r="Q282" s="6">
        <v>0.27465149</v>
      </c>
      <c r="R282" s="6">
        <v>217.69486</v>
      </c>
      <c r="S282" s="6">
        <v>0.00126973</v>
      </c>
      <c r="T282" s="6">
        <v>169.97573</v>
      </c>
      <c r="U282" s="6">
        <v>0.00120812</v>
      </c>
      <c r="V282" s="6">
        <v>197.11803</v>
      </c>
      <c r="W282" s="6">
        <v>0.00121685</v>
      </c>
      <c r="X282" s="6">
        <v>134.47093</v>
      </c>
      <c r="Y282" s="6">
        <v>0.00118964</v>
      </c>
      <c r="Z282" s="6">
        <v>134.86767</v>
      </c>
      <c r="AA282" s="6">
        <v>0.00124368</v>
      </c>
      <c r="AB282" s="6">
        <v>294.9318</v>
      </c>
      <c r="AC282" s="6">
        <v>0.00128724</v>
      </c>
      <c r="AD282" s="6">
        <v>243.86163</v>
      </c>
      <c r="AE282" s="6">
        <v>0.00112626</v>
      </c>
      <c r="AF282" s="6">
        <v>775</v>
      </c>
      <c r="AG282" s="6">
        <v>-0.00846779</v>
      </c>
      <c r="AH282" s="6">
        <v>-0.00811697</v>
      </c>
      <c r="AI282" s="6">
        <v>-0.0081669</v>
      </c>
      <c r="AJ282" s="6">
        <v>-0.00801115</v>
      </c>
      <c r="AK282" s="6">
        <v>-0.00831985</v>
      </c>
      <c r="AL282" s="6">
        <v>-0.00856691</v>
      </c>
      <c r="AM282" s="6">
        <v>-0.00764601</v>
      </c>
      <c r="AN282" s="6">
        <v>-6.4762184</v>
      </c>
      <c r="AO282" s="6">
        <v>-6.4515561</v>
      </c>
      <c r="AP282" s="6">
        <v>-6.4739881</v>
      </c>
      <c r="AQ282" s="6">
        <v>-6.4253629</v>
      </c>
      <c r="AR282" s="6">
        <v>-6.4020076</v>
      </c>
      <c r="AS282" s="6">
        <v>-6.4618417</v>
      </c>
      <c r="AT282" s="6">
        <v>-6.4506396</v>
      </c>
      <c r="AU282" s="6">
        <v>0.97344833</v>
      </c>
      <c r="AV282" s="6">
        <v>0.96974131</v>
      </c>
      <c r="AW282" s="6">
        <v>0.97311308</v>
      </c>
      <c r="AX282" s="6">
        <v>0.96580418</v>
      </c>
      <c r="AY282" s="6">
        <v>0.96229362</v>
      </c>
      <c r="AZ282" s="6">
        <v>0.97128734</v>
      </c>
      <c r="BA282" s="6">
        <v>0.96960354</v>
      </c>
      <c r="BB282" s="6">
        <v>0.02655167</v>
      </c>
      <c r="BC282" s="6">
        <v>0.03025869</v>
      </c>
      <c r="BD282" s="6">
        <v>0.02688692</v>
      </c>
      <c r="BE282" s="6">
        <v>0.03419582</v>
      </c>
      <c r="BF282" s="6">
        <v>0.03770638</v>
      </c>
      <c r="BG282" s="6">
        <v>0.02871266</v>
      </c>
      <c r="BH282" s="6">
        <v>0.03039646</v>
      </c>
      <c r="BI282" s="6">
        <v>0.21470859</v>
      </c>
      <c r="BJ282" s="6">
        <v>0.12366373</v>
      </c>
      <c r="BK282" s="6">
        <v>0.1409291</v>
      </c>
      <c r="BL282" s="6">
        <v>0.12522516</v>
      </c>
      <c r="BM282" s="6">
        <v>0.1592662</v>
      </c>
      <c r="BN282" s="6">
        <v>0.17561655</v>
      </c>
      <c r="BO282" s="6">
        <v>0.1337285</v>
      </c>
      <c r="BP282" s="6">
        <v>0.14157076</v>
      </c>
      <c r="BQ282" s="6">
        <v>0.03418248</v>
      </c>
      <c r="BR282" s="6">
        <v>0.02893988</v>
      </c>
      <c r="BS282" s="6">
        <v>0.030037</v>
      </c>
      <c r="BT282" s="6">
        <v>0.02547808</v>
      </c>
      <c r="BU282" s="6">
        <v>0.02945666</v>
      </c>
      <c r="BV282" s="6">
        <v>0.05076978</v>
      </c>
      <c r="BW282" s="6">
        <v>0.03888262</v>
      </c>
      <c r="BX282" s="12">
        <v>17921</v>
      </c>
      <c r="BY282" s="13">
        <v>9194</v>
      </c>
      <c r="BZ282" s="12">
        <v>22557.37</v>
      </c>
      <c r="CA282" s="6">
        <f t="shared" si="22"/>
        <v>1.9492060039156</v>
      </c>
      <c r="CB282" s="6">
        <f t="shared" si="23"/>
        <v>0.794463184316257</v>
      </c>
      <c r="CC282" s="7">
        <v>371269377.3</v>
      </c>
      <c r="CD282" s="7">
        <f t="shared" si="24"/>
        <v>1.64588946894075</v>
      </c>
      <c r="CE282" s="8">
        <v>289.9</v>
      </c>
      <c r="CF282" s="8">
        <v>229.8</v>
      </c>
      <c r="CG282" s="8">
        <v>365.2</v>
      </c>
      <c r="CH282" s="8">
        <v>10753</v>
      </c>
      <c r="CI282" s="14">
        <v>0</v>
      </c>
      <c r="CJ282" s="14">
        <v>1</v>
      </c>
      <c r="CK282" s="14">
        <f t="shared" si="25"/>
        <v>0</v>
      </c>
      <c r="CL282">
        <f t="shared" si="26"/>
        <v>3.71995059106252</v>
      </c>
      <c r="CM282">
        <f t="shared" si="27"/>
        <v>0.557550717771593</v>
      </c>
      <c r="CN282" s="15">
        <v>17769.4</v>
      </c>
      <c r="CO282" s="15">
        <v>9942.37</v>
      </c>
      <c r="CP282" s="15">
        <v>300.16</v>
      </c>
      <c r="CQ282" s="15">
        <v>2388.37</v>
      </c>
      <c r="CR282" s="15">
        <v>706.22</v>
      </c>
      <c r="CS282" s="15">
        <v>153.72</v>
      </c>
      <c r="CT282" s="15">
        <v>1306.66</v>
      </c>
      <c r="CU282" s="15">
        <v>1600.05</v>
      </c>
      <c r="CV282" s="15">
        <v>2.49</v>
      </c>
      <c r="CW282" s="15">
        <v>2673.56</v>
      </c>
    </row>
    <row r="283" spans="1:101">
      <c r="A283" s="6">
        <v>2006</v>
      </c>
      <c r="B283" s="6" t="s">
        <v>111</v>
      </c>
      <c r="C283" s="6">
        <v>0.25745088</v>
      </c>
      <c r="D283" s="6">
        <v>0.041944</v>
      </c>
      <c r="E283" s="6">
        <v>0.010485</v>
      </c>
      <c r="F283" s="6">
        <v>0.018646</v>
      </c>
      <c r="G283" s="6">
        <v>0.006452</v>
      </c>
      <c r="H283" s="6">
        <v>0.00636</v>
      </c>
      <c r="I283" s="6">
        <v>0.047943</v>
      </c>
      <c r="J283" s="6">
        <v>0.023736</v>
      </c>
      <c r="K283" s="6">
        <v>0.27744208</v>
      </c>
      <c r="L283" s="6">
        <v>0.20739947</v>
      </c>
      <c r="M283" s="6">
        <v>0.2436656</v>
      </c>
      <c r="N283" s="6">
        <v>0.1622403</v>
      </c>
      <c r="O283" s="6">
        <v>0.15925404</v>
      </c>
      <c r="P283" s="6">
        <v>0.44421404</v>
      </c>
      <c r="Q283" s="6">
        <v>0.35451214</v>
      </c>
      <c r="R283" s="6">
        <v>217.69486</v>
      </c>
      <c r="S283" s="6">
        <v>0.00127445</v>
      </c>
      <c r="T283" s="6">
        <v>169.97573</v>
      </c>
      <c r="U283" s="6">
        <v>0.00122017</v>
      </c>
      <c r="V283" s="6">
        <v>197.11803</v>
      </c>
      <c r="W283" s="6">
        <v>0.00123614</v>
      </c>
      <c r="X283" s="6">
        <v>134.47093</v>
      </c>
      <c r="Y283" s="6">
        <v>0.00120651</v>
      </c>
      <c r="Z283" s="6">
        <v>134.86767</v>
      </c>
      <c r="AA283" s="6">
        <v>0.00118082</v>
      </c>
      <c r="AB283" s="6">
        <v>294.9318</v>
      </c>
      <c r="AC283" s="6">
        <v>0.00150616</v>
      </c>
      <c r="AD283" s="6">
        <v>243.86163</v>
      </c>
      <c r="AE283" s="6">
        <v>0.00145374</v>
      </c>
      <c r="AF283" s="6">
        <v>775</v>
      </c>
      <c r="AG283" s="6">
        <v>-0.00849454</v>
      </c>
      <c r="AH283" s="6">
        <v>-0.00818584</v>
      </c>
      <c r="AI283" s="6">
        <v>-0.0082769</v>
      </c>
      <c r="AJ283" s="6">
        <v>-0.00810777</v>
      </c>
      <c r="AK283" s="6">
        <v>-0.00796054</v>
      </c>
      <c r="AL283" s="6">
        <v>-0.00978731</v>
      </c>
      <c r="AM283" s="6">
        <v>-0.0094982</v>
      </c>
      <c r="AN283" s="6">
        <v>-6.4762184</v>
      </c>
      <c r="AO283" s="6">
        <v>-6.4515561</v>
      </c>
      <c r="AP283" s="6">
        <v>-6.4739881</v>
      </c>
      <c r="AQ283" s="6">
        <v>-6.4253629</v>
      </c>
      <c r="AR283" s="6">
        <v>-6.4020076</v>
      </c>
      <c r="AS283" s="6">
        <v>-6.4618417</v>
      </c>
      <c r="AT283" s="6">
        <v>-6.4506396</v>
      </c>
      <c r="AU283" s="6">
        <v>0.97344833</v>
      </c>
      <c r="AV283" s="6">
        <v>0.96974131</v>
      </c>
      <c r="AW283" s="6">
        <v>0.97311308</v>
      </c>
      <c r="AX283" s="6">
        <v>0.96580418</v>
      </c>
      <c r="AY283" s="6">
        <v>0.96229362</v>
      </c>
      <c r="AZ283" s="6">
        <v>0.97128734</v>
      </c>
      <c r="BA283" s="6">
        <v>0.96960354</v>
      </c>
      <c r="BB283" s="6">
        <v>0.02655167</v>
      </c>
      <c r="BC283" s="6">
        <v>0.03025869</v>
      </c>
      <c r="BD283" s="6">
        <v>0.02688692</v>
      </c>
      <c r="BE283" s="6">
        <v>0.03419582</v>
      </c>
      <c r="BF283" s="6">
        <v>0.03770638</v>
      </c>
      <c r="BG283" s="6">
        <v>0.02871266</v>
      </c>
      <c r="BH283" s="6">
        <v>0.03039646</v>
      </c>
      <c r="BI283" s="6">
        <v>0.21470859</v>
      </c>
      <c r="BJ283" s="6">
        <v>0.12366373</v>
      </c>
      <c r="BK283" s="6">
        <v>0.1409291</v>
      </c>
      <c r="BL283" s="6">
        <v>0.12522516</v>
      </c>
      <c r="BM283" s="6">
        <v>0.1592662</v>
      </c>
      <c r="BN283" s="6">
        <v>0.17561655</v>
      </c>
      <c r="BO283" s="6">
        <v>0.1337285</v>
      </c>
      <c r="BP283" s="6">
        <v>0.14157076</v>
      </c>
      <c r="BQ283" s="6">
        <v>0.03430952</v>
      </c>
      <c r="BR283" s="6">
        <v>0.02922862</v>
      </c>
      <c r="BS283" s="6">
        <v>0.03051306</v>
      </c>
      <c r="BT283" s="6">
        <v>0.0258394</v>
      </c>
      <c r="BU283" s="6">
        <v>0.02796764</v>
      </c>
      <c r="BV283" s="6">
        <v>0.05940408</v>
      </c>
      <c r="BW283" s="6">
        <v>0.05018855</v>
      </c>
      <c r="BX283" s="12">
        <v>19971</v>
      </c>
      <c r="BY283" s="13">
        <v>9442.07</v>
      </c>
      <c r="BZ283" s="12">
        <v>26587.76</v>
      </c>
      <c r="CA283" s="6">
        <f t="shared" ref="CA283:CA301" si="28">BX283/BY283</f>
        <v>2.11510823368181</v>
      </c>
      <c r="CB283" s="6">
        <f t="shared" ref="CB283:CB301" si="29">BX283/BZ283</f>
        <v>0.7511351087869</v>
      </c>
      <c r="CC283" s="7">
        <v>383168353.8</v>
      </c>
      <c r="CD283" s="7">
        <f t="shared" si="24"/>
        <v>1.44114567680767</v>
      </c>
      <c r="CE283" s="8">
        <v>310.7</v>
      </c>
      <c r="CF283" s="8">
        <v>291.6</v>
      </c>
      <c r="CG283" s="8">
        <v>425.1</v>
      </c>
      <c r="CH283" s="8">
        <v>12350</v>
      </c>
      <c r="CI283" s="14">
        <v>0</v>
      </c>
      <c r="CJ283" s="14">
        <v>1</v>
      </c>
      <c r="CK283" s="14">
        <f t="shared" si="25"/>
        <v>0</v>
      </c>
      <c r="CL283">
        <f t="shared" si="26"/>
        <v>3.57740717995078</v>
      </c>
      <c r="CM283">
        <f t="shared" si="27"/>
        <v>0.597153579585677</v>
      </c>
      <c r="CN283" s="15">
        <v>19765.22</v>
      </c>
      <c r="CO283" s="15">
        <v>11125.98</v>
      </c>
      <c r="CP283" s="15">
        <v>410.78</v>
      </c>
      <c r="CQ283" s="15">
        <v>2805.71</v>
      </c>
      <c r="CR283" s="15">
        <v>771.39</v>
      </c>
      <c r="CS283" s="15">
        <v>157.4</v>
      </c>
      <c r="CT283" s="15">
        <v>1367.6</v>
      </c>
      <c r="CU283" s="15">
        <v>1573.72</v>
      </c>
      <c r="CV283" s="15">
        <v>14.46</v>
      </c>
      <c r="CW283" s="15">
        <v>3004.03</v>
      </c>
    </row>
    <row r="284" spans="1:101">
      <c r="A284" s="6">
        <v>2007</v>
      </c>
      <c r="B284" s="6" t="s">
        <v>111</v>
      </c>
      <c r="C284" s="6">
        <v>0.27315968</v>
      </c>
      <c r="D284" s="6">
        <v>0.045123</v>
      </c>
      <c r="E284" s="6">
        <v>0.011276</v>
      </c>
      <c r="F284" s="6">
        <v>0.019774</v>
      </c>
      <c r="G284" s="6">
        <v>0.006661</v>
      </c>
      <c r="H284" s="6">
        <v>0.007413</v>
      </c>
      <c r="I284" s="6">
        <v>0.047268</v>
      </c>
      <c r="J284" s="6">
        <v>0.024623</v>
      </c>
      <c r="K284" s="6">
        <v>0.30238181</v>
      </c>
      <c r="L284" s="6">
        <v>0.22610173</v>
      </c>
      <c r="M284" s="6">
        <v>0.26099551</v>
      </c>
      <c r="N284" s="6">
        <v>0.16839872</v>
      </c>
      <c r="O284" s="6">
        <v>0.19115018</v>
      </c>
      <c r="P284" s="6">
        <v>0.43669777</v>
      </c>
      <c r="Q284" s="6">
        <v>0.37034629</v>
      </c>
      <c r="R284" s="6">
        <v>217.69486</v>
      </c>
      <c r="S284" s="6">
        <v>0.00138902</v>
      </c>
      <c r="T284" s="6">
        <v>169.97573</v>
      </c>
      <c r="U284" s="6">
        <v>0.0013302</v>
      </c>
      <c r="V284" s="6">
        <v>197.11803</v>
      </c>
      <c r="W284" s="6">
        <v>0.00132406</v>
      </c>
      <c r="X284" s="6">
        <v>134.47093</v>
      </c>
      <c r="Y284" s="6">
        <v>0.00125231</v>
      </c>
      <c r="Z284" s="6">
        <v>134.86767</v>
      </c>
      <c r="AA284" s="6">
        <v>0.00141732</v>
      </c>
      <c r="AB284" s="6">
        <v>294.9318</v>
      </c>
      <c r="AC284" s="6">
        <v>0.00148067</v>
      </c>
      <c r="AD284" s="6">
        <v>243.86163</v>
      </c>
      <c r="AE284" s="6">
        <v>0.00151867</v>
      </c>
      <c r="AF284" s="6">
        <v>775</v>
      </c>
      <c r="AG284" s="6">
        <v>-0.00913856</v>
      </c>
      <c r="AH284" s="6">
        <v>-0.00880915</v>
      </c>
      <c r="AI284" s="6">
        <v>-0.0087746</v>
      </c>
      <c r="AJ284" s="6">
        <v>-0.00836887</v>
      </c>
      <c r="AK284" s="6">
        <v>-0.00929616</v>
      </c>
      <c r="AL284" s="6">
        <v>-0.00964697</v>
      </c>
      <c r="AM284" s="6">
        <v>-0.00985607</v>
      </c>
      <c r="AN284" s="6">
        <v>-6.4762184</v>
      </c>
      <c r="AO284" s="6">
        <v>-6.4515561</v>
      </c>
      <c r="AP284" s="6">
        <v>-6.4739881</v>
      </c>
      <c r="AQ284" s="6">
        <v>-6.4253629</v>
      </c>
      <c r="AR284" s="6">
        <v>-6.4020076</v>
      </c>
      <c r="AS284" s="6">
        <v>-6.4618417</v>
      </c>
      <c r="AT284" s="6">
        <v>-6.4506396</v>
      </c>
      <c r="AU284" s="6">
        <v>0.97344833</v>
      </c>
      <c r="AV284" s="6">
        <v>0.96974131</v>
      </c>
      <c r="AW284" s="6">
        <v>0.97311308</v>
      </c>
      <c r="AX284" s="6">
        <v>0.96580418</v>
      </c>
      <c r="AY284" s="6">
        <v>0.96229362</v>
      </c>
      <c r="AZ284" s="6">
        <v>0.97128734</v>
      </c>
      <c r="BA284" s="6">
        <v>0.96960354</v>
      </c>
      <c r="BB284" s="6">
        <v>0.02655167</v>
      </c>
      <c r="BC284" s="6">
        <v>0.03025869</v>
      </c>
      <c r="BD284" s="6">
        <v>0.02688692</v>
      </c>
      <c r="BE284" s="6">
        <v>0.03419582</v>
      </c>
      <c r="BF284" s="6">
        <v>0.03770638</v>
      </c>
      <c r="BG284" s="6">
        <v>0.02871266</v>
      </c>
      <c r="BH284" s="6">
        <v>0.03039646</v>
      </c>
      <c r="BI284" s="6">
        <v>0.21470859</v>
      </c>
      <c r="BJ284" s="6">
        <v>0.12366373</v>
      </c>
      <c r="BK284" s="6">
        <v>0.1409291</v>
      </c>
      <c r="BL284" s="6">
        <v>0.12522516</v>
      </c>
      <c r="BM284" s="6">
        <v>0.1592662</v>
      </c>
      <c r="BN284" s="6">
        <v>0.17561655</v>
      </c>
      <c r="BO284" s="6">
        <v>0.1337285</v>
      </c>
      <c r="BP284" s="6">
        <v>0.14157076</v>
      </c>
      <c r="BQ284" s="6">
        <v>0.03739366</v>
      </c>
      <c r="BR284" s="6">
        <v>0.03186431</v>
      </c>
      <c r="BS284" s="6">
        <v>0.0326832</v>
      </c>
      <c r="BT284" s="6">
        <v>0.02682022</v>
      </c>
      <c r="BU284" s="6">
        <v>0.03356913</v>
      </c>
      <c r="BV284" s="6">
        <v>0.05839894</v>
      </c>
      <c r="BW284" s="6">
        <v>0.05243021</v>
      </c>
      <c r="BX284" s="12">
        <v>22217</v>
      </c>
      <c r="BY284" s="13">
        <v>9659.52</v>
      </c>
      <c r="BZ284" s="12">
        <v>31777.01</v>
      </c>
      <c r="CA284" s="6">
        <f t="shared" si="28"/>
        <v>2.30001076658053</v>
      </c>
      <c r="CB284" s="6">
        <f t="shared" si="29"/>
        <v>0.699153255765725</v>
      </c>
      <c r="CC284" s="7">
        <v>392735143.4</v>
      </c>
      <c r="CD284" s="7">
        <f t="shared" si="24"/>
        <v>1.23590968250317</v>
      </c>
      <c r="CE284" s="8">
        <v>351.3</v>
      </c>
      <c r="CF284" s="8">
        <v>354.3</v>
      </c>
      <c r="CG284" s="8">
        <v>528.4</v>
      </c>
      <c r="CH284" s="8">
        <v>14683</v>
      </c>
      <c r="CI284" s="14">
        <v>0</v>
      </c>
      <c r="CJ284" s="14">
        <v>1</v>
      </c>
      <c r="CK284" s="14">
        <f t="shared" si="25"/>
        <v>0</v>
      </c>
      <c r="CL284">
        <f t="shared" si="26"/>
        <v>3.23986794305777</v>
      </c>
      <c r="CM284">
        <f t="shared" si="27"/>
        <v>0.618530846249021</v>
      </c>
      <c r="CN284" s="15">
        <v>21912.11</v>
      </c>
      <c r="CO284" s="15">
        <v>12593.97</v>
      </c>
      <c r="CP284" s="15">
        <v>460.97</v>
      </c>
      <c r="CQ284" s="15">
        <v>2940.1</v>
      </c>
      <c r="CR284" s="15">
        <v>837.73</v>
      </c>
      <c r="CS284" s="15">
        <v>171.14</v>
      </c>
      <c r="CT284" s="15">
        <v>1438.21</v>
      </c>
      <c r="CU284" s="15">
        <v>1316.44</v>
      </c>
      <c r="CV284" s="15">
        <v>45.69</v>
      </c>
      <c r="CW284" s="15">
        <v>3394.05</v>
      </c>
    </row>
    <row r="285" spans="1:101">
      <c r="A285" s="6">
        <v>2008</v>
      </c>
      <c r="B285" s="6" t="s">
        <v>111</v>
      </c>
      <c r="C285" s="6">
        <v>0.29878417</v>
      </c>
      <c r="D285" s="6">
        <v>0.049104</v>
      </c>
      <c r="E285" s="6">
        <v>0.012424</v>
      </c>
      <c r="F285" s="6">
        <v>0.021783</v>
      </c>
      <c r="G285" s="6">
        <v>0.007972</v>
      </c>
      <c r="H285" s="6">
        <v>0.006924</v>
      </c>
      <c r="I285" s="6">
        <v>0.051775</v>
      </c>
      <c r="J285" s="6">
        <v>0.026121</v>
      </c>
      <c r="K285" s="6">
        <v>0.33360284</v>
      </c>
      <c r="L285" s="6">
        <v>0.25324353</v>
      </c>
      <c r="M285" s="6">
        <v>0.29187704</v>
      </c>
      <c r="N285" s="6">
        <v>0.2071749</v>
      </c>
      <c r="O285" s="6">
        <v>0.17633563</v>
      </c>
      <c r="P285" s="6">
        <v>0.48689288</v>
      </c>
      <c r="Q285" s="6">
        <v>0.39708054</v>
      </c>
      <c r="R285" s="6">
        <v>217.69486</v>
      </c>
      <c r="S285" s="6">
        <v>0.00153243</v>
      </c>
      <c r="T285" s="6">
        <v>169.97573</v>
      </c>
      <c r="U285" s="6">
        <v>0.00148988</v>
      </c>
      <c r="V285" s="6">
        <v>197.11803</v>
      </c>
      <c r="W285" s="6">
        <v>0.00148072</v>
      </c>
      <c r="X285" s="6">
        <v>134.47093</v>
      </c>
      <c r="Y285" s="6">
        <v>0.00154067</v>
      </c>
      <c r="Z285" s="6">
        <v>134.86767</v>
      </c>
      <c r="AA285" s="6">
        <v>0.00130747</v>
      </c>
      <c r="AB285" s="6">
        <v>294.9318</v>
      </c>
      <c r="AC285" s="6">
        <v>0.00165087</v>
      </c>
      <c r="AD285" s="6">
        <v>243.86163</v>
      </c>
      <c r="AE285" s="6">
        <v>0.0016283</v>
      </c>
      <c r="AF285" s="6">
        <v>775</v>
      </c>
      <c r="AG285" s="6">
        <v>-0.00993154</v>
      </c>
      <c r="AH285" s="6">
        <v>-0.00969772</v>
      </c>
      <c r="AI285" s="6">
        <v>-0.00964724</v>
      </c>
      <c r="AJ285" s="6">
        <v>-0.00997665</v>
      </c>
      <c r="AK285" s="6">
        <v>-0.00868117</v>
      </c>
      <c r="AL285" s="6">
        <v>-0.0105762</v>
      </c>
      <c r="AM285" s="6">
        <v>-0.01045406</v>
      </c>
      <c r="AN285" s="6">
        <v>-6.4762184</v>
      </c>
      <c r="AO285" s="6">
        <v>-6.4515561</v>
      </c>
      <c r="AP285" s="6">
        <v>-6.4739881</v>
      </c>
      <c r="AQ285" s="6">
        <v>-6.4253629</v>
      </c>
      <c r="AR285" s="6">
        <v>-6.4020076</v>
      </c>
      <c r="AS285" s="6">
        <v>-6.4618417</v>
      </c>
      <c r="AT285" s="6">
        <v>-6.4506396</v>
      </c>
      <c r="AU285" s="6">
        <v>0.97344833</v>
      </c>
      <c r="AV285" s="6">
        <v>0.96974131</v>
      </c>
      <c r="AW285" s="6">
        <v>0.97311308</v>
      </c>
      <c r="AX285" s="6">
        <v>0.96580418</v>
      </c>
      <c r="AY285" s="6">
        <v>0.96229362</v>
      </c>
      <c r="AZ285" s="6">
        <v>0.97128734</v>
      </c>
      <c r="BA285" s="6">
        <v>0.96960354</v>
      </c>
      <c r="BB285" s="6">
        <v>0.02655167</v>
      </c>
      <c r="BC285" s="6">
        <v>0.03025869</v>
      </c>
      <c r="BD285" s="6">
        <v>0.02688692</v>
      </c>
      <c r="BE285" s="6">
        <v>0.03419582</v>
      </c>
      <c r="BF285" s="6">
        <v>0.03770638</v>
      </c>
      <c r="BG285" s="6">
        <v>0.02871266</v>
      </c>
      <c r="BH285" s="6">
        <v>0.03039646</v>
      </c>
      <c r="BI285" s="6">
        <v>0.21470859</v>
      </c>
      <c r="BJ285" s="6">
        <v>0.12366373</v>
      </c>
      <c r="BK285" s="6">
        <v>0.1409291</v>
      </c>
      <c r="BL285" s="6">
        <v>0.12522516</v>
      </c>
      <c r="BM285" s="6">
        <v>0.1592662</v>
      </c>
      <c r="BN285" s="6">
        <v>0.17561655</v>
      </c>
      <c r="BO285" s="6">
        <v>0.1337285</v>
      </c>
      <c r="BP285" s="6">
        <v>0.14157076</v>
      </c>
      <c r="BQ285" s="6">
        <v>0.04125457</v>
      </c>
      <c r="BR285" s="6">
        <v>0.03568938</v>
      </c>
      <c r="BS285" s="6">
        <v>0.03655035</v>
      </c>
      <c r="BT285" s="6">
        <v>0.03299596</v>
      </c>
      <c r="BU285" s="6">
        <v>0.03096746</v>
      </c>
      <c r="BV285" s="6">
        <v>0.06511145</v>
      </c>
      <c r="BW285" s="6">
        <v>0.056215</v>
      </c>
      <c r="BX285" s="12">
        <v>23476</v>
      </c>
      <c r="BY285" s="13">
        <v>9893.48</v>
      </c>
      <c r="BZ285" s="12">
        <v>36796.71</v>
      </c>
      <c r="CA285" s="6">
        <f t="shared" si="28"/>
        <v>2.3728758738078</v>
      </c>
      <c r="CB285" s="6">
        <f t="shared" si="29"/>
        <v>0.637991820464384</v>
      </c>
      <c r="CC285" s="7">
        <v>396835082.3</v>
      </c>
      <c r="CD285" s="7">
        <f t="shared" si="24"/>
        <v>1.07845261791068</v>
      </c>
      <c r="CE285" s="8">
        <v>423.6</v>
      </c>
      <c r="CF285" s="8">
        <v>412.6</v>
      </c>
      <c r="CG285" s="8">
        <v>638.5</v>
      </c>
      <c r="CH285" s="8">
        <v>17357</v>
      </c>
      <c r="CI285" s="14">
        <v>0</v>
      </c>
      <c r="CJ285" s="14">
        <v>1</v>
      </c>
      <c r="CK285" s="14">
        <f t="shared" si="25"/>
        <v>0</v>
      </c>
      <c r="CL285">
        <f t="shared" si="26"/>
        <v>2.71728515287532</v>
      </c>
      <c r="CM285">
        <f t="shared" si="27"/>
        <v>0.603113932753982</v>
      </c>
      <c r="CN285" s="15">
        <v>23476</v>
      </c>
      <c r="CO285" s="15">
        <v>13298</v>
      </c>
      <c r="CP285" s="15">
        <v>449.6</v>
      </c>
      <c r="CQ285" s="15">
        <v>3046.21</v>
      </c>
      <c r="CR285" s="15">
        <v>886.9</v>
      </c>
      <c r="CS285" s="15">
        <v>183.07</v>
      </c>
      <c r="CT285" s="15">
        <v>1518.92</v>
      </c>
      <c r="CU285" s="15">
        <v>1077.76</v>
      </c>
      <c r="CV285" s="15">
        <v>53.58</v>
      </c>
      <c r="CW285" s="15">
        <v>3506.78</v>
      </c>
    </row>
    <row r="286" spans="1:101">
      <c r="A286" s="6">
        <v>2009</v>
      </c>
      <c r="B286" s="6" t="s">
        <v>111</v>
      </c>
      <c r="C286" s="6">
        <v>0.30599317</v>
      </c>
      <c r="D286" s="6">
        <v>0.052401</v>
      </c>
      <c r="E286" s="6">
        <v>0.012722</v>
      </c>
      <c r="F286" s="6">
        <v>0.023186</v>
      </c>
      <c r="G286" s="6">
        <v>0.007867</v>
      </c>
      <c r="H286" s="6">
        <v>0.008625</v>
      </c>
      <c r="I286" s="6">
        <v>0.049301</v>
      </c>
      <c r="J286" s="6">
        <v>0.024316</v>
      </c>
      <c r="K286" s="6">
        <v>0.35947208</v>
      </c>
      <c r="L286" s="6">
        <v>0.26029086</v>
      </c>
      <c r="M286" s="6">
        <v>0.31345089</v>
      </c>
      <c r="N286" s="6">
        <v>0.20406775</v>
      </c>
      <c r="O286" s="6">
        <v>0.22789326</v>
      </c>
      <c r="P286" s="6">
        <v>0.45934432</v>
      </c>
      <c r="Q286" s="6">
        <v>0.3648682</v>
      </c>
      <c r="R286" s="6">
        <v>217.69486</v>
      </c>
      <c r="S286" s="6">
        <v>0.00165127</v>
      </c>
      <c r="T286" s="6">
        <v>169.97573</v>
      </c>
      <c r="U286" s="6">
        <v>0.00153134</v>
      </c>
      <c r="V286" s="6">
        <v>197.11803</v>
      </c>
      <c r="W286" s="6">
        <v>0.00159017</v>
      </c>
      <c r="X286" s="6">
        <v>134.47093</v>
      </c>
      <c r="Y286" s="6">
        <v>0.00151756</v>
      </c>
      <c r="Z286" s="6">
        <v>134.86767</v>
      </c>
      <c r="AA286" s="6">
        <v>0.00168975</v>
      </c>
      <c r="AB286" s="6">
        <v>294.9318</v>
      </c>
      <c r="AC286" s="6">
        <v>0.00155746</v>
      </c>
      <c r="AD286" s="6">
        <v>243.86163</v>
      </c>
      <c r="AE286" s="6">
        <v>0.00149621</v>
      </c>
      <c r="AF286" s="6">
        <v>775</v>
      </c>
      <c r="AG286" s="6">
        <v>-0.01057836</v>
      </c>
      <c r="AH286" s="6">
        <v>-0.00992556</v>
      </c>
      <c r="AI286" s="6">
        <v>-0.01024691</v>
      </c>
      <c r="AJ286" s="6">
        <v>-0.00984996</v>
      </c>
      <c r="AK286" s="6">
        <v>-0.01078599</v>
      </c>
      <c r="AL286" s="6">
        <v>-0.01006851</v>
      </c>
      <c r="AM286" s="6">
        <v>-0.00973258</v>
      </c>
      <c r="AN286" s="6">
        <v>-6.4762184</v>
      </c>
      <c r="AO286" s="6">
        <v>-6.4515561</v>
      </c>
      <c r="AP286" s="6">
        <v>-6.4739881</v>
      </c>
      <c r="AQ286" s="6">
        <v>-6.4253629</v>
      </c>
      <c r="AR286" s="6">
        <v>-6.4020076</v>
      </c>
      <c r="AS286" s="6">
        <v>-6.4618417</v>
      </c>
      <c r="AT286" s="6">
        <v>-6.4506396</v>
      </c>
      <c r="AU286" s="6">
        <v>0.97344833</v>
      </c>
      <c r="AV286" s="6">
        <v>0.96974131</v>
      </c>
      <c r="AW286" s="6">
        <v>0.97311308</v>
      </c>
      <c r="AX286" s="6">
        <v>0.96580418</v>
      </c>
      <c r="AY286" s="6">
        <v>0.96229362</v>
      </c>
      <c r="AZ286" s="6">
        <v>0.97128734</v>
      </c>
      <c r="BA286" s="6">
        <v>0.96960354</v>
      </c>
      <c r="BB286" s="6">
        <v>0.02655167</v>
      </c>
      <c r="BC286" s="6">
        <v>0.03025869</v>
      </c>
      <c r="BD286" s="6">
        <v>0.02688692</v>
      </c>
      <c r="BE286" s="6">
        <v>0.03419582</v>
      </c>
      <c r="BF286" s="6">
        <v>0.03770638</v>
      </c>
      <c r="BG286" s="6">
        <v>0.02871266</v>
      </c>
      <c r="BH286" s="6">
        <v>0.03039646</v>
      </c>
      <c r="BI286" s="6">
        <v>0.21470859</v>
      </c>
      <c r="BJ286" s="6">
        <v>0.12366373</v>
      </c>
      <c r="BK286" s="6">
        <v>0.1409291</v>
      </c>
      <c r="BL286" s="6">
        <v>0.12522516</v>
      </c>
      <c r="BM286" s="6">
        <v>0.1592662</v>
      </c>
      <c r="BN286" s="6">
        <v>0.17561655</v>
      </c>
      <c r="BO286" s="6">
        <v>0.1337285</v>
      </c>
      <c r="BP286" s="6">
        <v>0.14157076</v>
      </c>
      <c r="BQ286" s="6">
        <v>0.04445366</v>
      </c>
      <c r="BR286" s="6">
        <v>0.03668256</v>
      </c>
      <c r="BS286" s="6">
        <v>0.03925194</v>
      </c>
      <c r="BT286" s="6">
        <v>0.0325011</v>
      </c>
      <c r="BU286" s="6">
        <v>0.04002183</v>
      </c>
      <c r="BV286" s="6">
        <v>0.06142743</v>
      </c>
      <c r="BW286" s="6">
        <v>0.05165467</v>
      </c>
      <c r="BX286" s="12">
        <v>24654</v>
      </c>
      <c r="BY286" s="13">
        <v>10130.19</v>
      </c>
      <c r="BZ286" s="12">
        <v>39482.56</v>
      </c>
      <c r="CA286" s="6">
        <f t="shared" si="28"/>
        <v>2.43371545844648</v>
      </c>
      <c r="CB286" s="6">
        <f t="shared" si="29"/>
        <v>0.624427595373755</v>
      </c>
      <c r="CC286" s="7">
        <v>420069303.2</v>
      </c>
      <c r="CD286" s="7">
        <f t="shared" si="24"/>
        <v>1.06393633847451</v>
      </c>
      <c r="CE286" s="8">
        <v>448.1</v>
      </c>
      <c r="CF286" s="8">
        <v>432.4</v>
      </c>
      <c r="CG286" s="8">
        <v>739.8</v>
      </c>
      <c r="CH286" s="8">
        <v>18860</v>
      </c>
      <c r="CI286" s="14">
        <v>0</v>
      </c>
      <c r="CJ286" s="14">
        <v>1</v>
      </c>
      <c r="CK286" s="14">
        <f t="shared" si="25"/>
        <v>0</v>
      </c>
      <c r="CL286">
        <f t="shared" si="26"/>
        <v>2.66960201713366</v>
      </c>
      <c r="CM286">
        <f t="shared" si="27"/>
        <v>0.601462565713501</v>
      </c>
      <c r="CN286" s="15">
        <v>24654</v>
      </c>
      <c r="CO286" s="15">
        <v>13647</v>
      </c>
      <c r="CP286" s="15">
        <v>466.43</v>
      </c>
      <c r="CQ286" s="15">
        <v>3709.44</v>
      </c>
      <c r="CR286" s="15">
        <v>957.2</v>
      </c>
      <c r="CS286" s="15">
        <v>192.12</v>
      </c>
      <c r="CT286" s="15">
        <v>1567.91</v>
      </c>
      <c r="CU286" s="15">
        <v>894.99</v>
      </c>
      <c r="CV286" s="15">
        <v>112.86</v>
      </c>
      <c r="CW286" s="15">
        <v>3609.64</v>
      </c>
    </row>
    <row r="287" spans="1:101">
      <c r="A287" s="6">
        <v>2010</v>
      </c>
      <c r="B287" s="6" t="s">
        <v>111</v>
      </c>
      <c r="C287" s="6">
        <v>0.30429857</v>
      </c>
      <c r="D287" s="6">
        <v>0.050092</v>
      </c>
      <c r="E287" s="6">
        <v>0.012062</v>
      </c>
      <c r="F287" s="6">
        <v>0.022827</v>
      </c>
      <c r="G287" s="6">
        <v>0.007336</v>
      </c>
      <c r="H287" s="6">
        <v>0.007867</v>
      </c>
      <c r="I287" s="6">
        <v>0.053155</v>
      </c>
      <c r="J287" s="6">
        <v>0.025993</v>
      </c>
      <c r="K287" s="6">
        <v>0.34135454</v>
      </c>
      <c r="L287" s="6">
        <v>0.2446876</v>
      </c>
      <c r="M287" s="6">
        <v>0.3079257</v>
      </c>
      <c r="N287" s="6">
        <v>0.18834702</v>
      </c>
      <c r="O287" s="6">
        <v>0.20490936</v>
      </c>
      <c r="P287" s="6">
        <v>0.50226756</v>
      </c>
      <c r="Q287" s="6">
        <v>0.3947953</v>
      </c>
      <c r="R287" s="6">
        <v>217.69486</v>
      </c>
      <c r="S287" s="6">
        <v>0.00156804</v>
      </c>
      <c r="T287" s="6">
        <v>169.97573</v>
      </c>
      <c r="U287" s="6">
        <v>0.00143954</v>
      </c>
      <c r="V287" s="6">
        <v>197.11803</v>
      </c>
      <c r="W287" s="6">
        <v>0.00156214</v>
      </c>
      <c r="X287" s="6">
        <v>134.47093</v>
      </c>
      <c r="Y287" s="6">
        <v>0.00140065</v>
      </c>
      <c r="Z287" s="6">
        <v>134.86767</v>
      </c>
      <c r="AA287" s="6">
        <v>0.00151934</v>
      </c>
      <c r="AB287" s="6">
        <v>294.9318</v>
      </c>
      <c r="AC287" s="6">
        <v>0.001703</v>
      </c>
      <c r="AD287" s="6">
        <v>243.86163</v>
      </c>
      <c r="AE287" s="6">
        <v>0.00161893</v>
      </c>
      <c r="AF287" s="6">
        <v>775</v>
      </c>
      <c r="AG287" s="6">
        <v>-0.0101263</v>
      </c>
      <c r="AH287" s="6">
        <v>-0.00941956</v>
      </c>
      <c r="AI287" s="6">
        <v>-0.01009407</v>
      </c>
      <c r="AJ287" s="6">
        <v>-0.00920343</v>
      </c>
      <c r="AK287" s="6">
        <v>-0.00985971</v>
      </c>
      <c r="AL287" s="6">
        <v>-0.01085722</v>
      </c>
      <c r="AM287" s="6">
        <v>-0.01040324</v>
      </c>
      <c r="AN287" s="6">
        <v>-6.4762184</v>
      </c>
      <c r="AO287" s="6">
        <v>-6.4515561</v>
      </c>
      <c r="AP287" s="6">
        <v>-6.4739881</v>
      </c>
      <c r="AQ287" s="6">
        <v>-6.4253629</v>
      </c>
      <c r="AR287" s="6">
        <v>-6.4020076</v>
      </c>
      <c r="AS287" s="6">
        <v>-6.4618417</v>
      </c>
      <c r="AT287" s="6">
        <v>-6.4506396</v>
      </c>
      <c r="AU287" s="6">
        <v>0.97344833</v>
      </c>
      <c r="AV287" s="6">
        <v>0.96974131</v>
      </c>
      <c r="AW287" s="6">
        <v>0.97311308</v>
      </c>
      <c r="AX287" s="6">
        <v>0.96580418</v>
      </c>
      <c r="AY287" s="6">
        <v>0.96229362</v>
      </c>
      <c r="AZ287" s="6">
        <v>0.97128734</v>
      </c>
      <c r="BA287" s="6">
        <v>0.96960354</v>
      </c>
      <c r="BB287" s="6">
        <v>0.02655167</v>
      </c>
      <c r="BC287" s="6">
        <v>0.03025869</v>
      </c>
      <c r="BD287" s="6">
        <v>0.02688692</v>
      </c>
      <c r="BE287" s="6">
        <v>0.03419582</v>
      </c>
      <c r="BF287" s="6">
        <v>0.03770638</v>
      </c>
      <c r="BG287" s="6">
        <v>0.02871266</v>
      </c>
      <c r="BH287" s="6">
        <v>0.03039646</v>
      </c>
      <c r="BI287" s="6">
        <v>0.21470859</v>
      </c>
      <c r="BJ287" s="6">
        <v>0.12366373</v>
      </c>
      <c r="BK287" s="6">
        <v>0.1409291</v>
      </c>
      <c r="BL287" s="6">
        <v>0.12522516</v>
      </c>
      <c r="BM287" s="6">
        <v>0.1592662</v>
      </c>
      <c r="BN287" s="6">
        <v>0.17561655</v>
      </c>
      <c r="BO287" s="6">
        <v>0.1337285</v>
      </c>
      <c r="BP287" s="6">
        <v>0.14157076</v>
      </c>
      <c r="BQ287" s="6">
        <v>0.04221318</v>
      </c>
      <c r="BR287" s="6">
        <v>0.0344836</v>
      </c>
      <c r="BS287" s="6">
        <v>0.03856004</v>
      </c>
      <c r="BT287" s="6">
        <v>0.02999731</v>
      </c>
      <c r="BU287" s="6">
        <v>0.03598547</v>
      </c>
      <c r="BV287" s="6">
        <v>0.06716749</v>
      </c>
      <c r="BW287" s="6">
        <v>0.05589147</v>
      </c>
      <c r="BX287" s="12">
        <v>26908</v>
      </c>
      <c r="BY287" s="13">
        <v>10440.94</v>
      </c>
      <c r="BZ287" s="12">
        <v>46013.06</v>
      </c>
      <c r="CA287" s="6">
        <f t="shared" si="28"/>
        <v>2.57716259264013</v>
      </c>
      <c r="CB287" s="6">
        <f t="shared" si="29"/>
        <v>0.584790492090724</v>
      </c>
      <c r="CC287" s="7">
        <v>462018325.8</v>
      </c>
      <c r="CD287" s="7">
        <f t="shared" si="24"/>
        <v>1.00410258696118</v>
      </c>
      <c r="CE287" s="8">
        <v>521.9</v>
      </c>
      <c r="CF287" s="8">
        <v>528.6</v>
      </c>
      <c r="CG287" s="8">
        <v>970.1</v>
      </c>
      <c r="CH287" s="8">
        <v>23323</v>
      </c>
      <c r="CI287" s="14">
        <v>0</v>
      </c>
      <c r="CJ287" s="14">
        <v>1</v>
      </c>
      <c r="CK287" s="14">
        <f t="shared" si="25"/>
        <v>0</v>
      </c>
      <c r="CL287">
        <f t="shared" si="26"/>
        <v>2.40850270516871</v>
      </c>
      <c r="CM287">
        <f t="shared" si="27"/>
        <v>0.583100909620591</v>
      </c>
      <c r="CN287" s="15">
        <v>26908.02</v>
      </c>
      <c r="CO287" s="15">
        <v>15983.62</v>
      </c>
      <c r="CP287" s="15">
        <v>485.97</v>
      </c>
      <c r="CQ287" s="15">
        <v>4455.31</v>
      </c>
      <c r="CR287" s="15">
        <v>1086.12</v>
      </c>
      <c r="CS287" s="15">
        <v>202.38</v>
      </c>
      <c r="CT287" s="15">
        <v>1668.56</v>
      </c>
      <c r="CU287" s="15">
        <v>646.93</v>
      </c>
      <c r="CV287" s="15">
        <v>61.56</v>
      </c>
      <c r="CW287" s="15">
        <v>4060.13</v>
      </c>
    </row>
    <row r="288" spans="1:101">
      <c r="A288" s="6">
        <v>2011</v>
      </c>
      <c r="B288" s="6" t="s">
        <v>111</v>
      </c>
      <c r="C288" s="6">
        <v>0.32326692</v>
      </c>
      <c r="D288" s="6">
        <v>0.050403</v>
      </c>
      <c r="E288" s="6">
        <v>0.012555</v>
      </c>
      <c r="F288" s="6">
        <v>0.022731</v>
      </c>
      <c r="G288" s="6">
        <v>0.007568</v>
      </c>
      <c r="H288" s="6">
        <v>0.007549</v>
      </c>
      <c r="I288" s="6">
        <v>0.057761</v>
      </c>
      <c r="J288" s="6">
        <v>0.030328</v>
      </c>
      <c r="K288" s="6">
        <v>0.34379514</v>
      </c>
      <c r="L288" s="6">
        <v>0.25633978</v>
      </c>
      <c r="M288" s="6">
        <v>0.3064568</v>
      </c>
      <c r="N288" s="6">
        <v>0.19520487</v>
      </c>
      <c r="O288" s="6">
        <v>0.19526832</v>
      </c>
      <c r="P288" s="6">
        <v>0.55356829</v>
      </c>
      <c r="Q288" s="6">
        <v>0.47213387</v>
      </c>
      <c r="R288" s="6">
        <v>217.69486</v>
      </c>
      <c r="S288" s="6">
        <v>0.00157925</v>
      </c>
      <c r="T288" s="6">
        <v>169.97573</v>
      </c>
      <c r="U288" s="6">
        <v>0.0015081</v>
      </c>
      <c r="V288" s="6">
        <v>197.11803</v>
      </c>
      <c r="W288" s="6">
        <v>0.00155469</v>
      </c>
      <c r="X288" s="6">
        <v>134.47093</v>
      </c>
      <c r="Y288" s="6">
        <v>0.00145165</v>
      </c>
      <c r="Z288" s="6">
        <v>134.86767</v>
      </c>
      <c r="AA288" s="6">
        <v>0.00144785</v>
      </c>
      <c r="AB288" s="6">
        <v>294.9318</v>
      </c>
      <c r="AC288" s="6">
        <v>0.00187694</v>
      </c>
      <c r="AD288" s="6">
        <v>243.86163</v>
      </c>
      <c r="AE288" s="6">
        <v>0.00193607</v>
      </c>
      <c r="AF288" s="6">
        <v>775</v>
      </c>
      <c r="AG288" s="6">
        <v>-0.01018745</v>
      </c>
      <c r="AH288" s="6">
        <v>-0.00979796</v>
      </c>
      <c r="AI288" s="6">
        <v>-0.01005335</v>
      </c>
      <c r="AJ288" s="6">
        <v>-0.00948662</v>
      </c>
      <c r="AK288" s="6">
        <v>-0.00946558</v>
      </c>
      <c r="AL288" s="6">
        <v>-0.01178362</v>
      </c>
      <c r="AM288" s="6">
        <v>-0.01209483</v>
      </c>
      <c r="AN288" s="6">
        <v>-6.4762184</v>
      </c>
      <c r="AO288" s="6">
        <v>-6.4515561</v>
      </c>
      <c r="AP288" s="6">
        <v>-6.4739881</v>
      </c>
      <c r="AQ288" s="6">
        <v>-6.4253629</v>
      </c>
      <c r="AR288" s="6">
        <v>-6.4020076</v>
      </c>
      <c r="AS288" s="6">
        <v>-6.4618417</v>
      </c>
      <c r="AT288" s="6">
        <v>-6.4506396</v>
      </c>
      <c r="AU288" s="6">
        <v>0.97344833</v>
      </c>
      <c r="AV288" s="6">
        <v>0.96974131</v>
      </c>
      <c r="AW288" s="6">
        <v>0.97311308</v>
      </c>
      <c r="AX288" s="6">
        <v>0.96580418</v>
      </c>
      <c r="AY288" s="6">
        <v>0.96229362</v>
      </c>
      <c r="AZ288" s="6">
        <v>0.97128734</v>
      </c>
      <c r="BA288" s="6">
        <v>0.96960354</v>
      </c>
      <c r="BB288" s="6">
        <v>0.02655167</v>
      </c>
      <c r="BC288" s="6">
        <v>0.03025869</v>
      </c>
      <c r="BD288" s="6">
        <v>0.02688692</v>
      </c>
      <c r="BE288" s="6">
        <v>0.03419582</v>
      </c>
      <c r="BF288" s="6">
        <v>0.03770638</v>
      </c>
      <c r="BG288" s="6">
        <v>0.02871266</v>
      </c>
      <c r="BH288" s="6">
        <v>0.03039646</v>
      </c>
      <c r="BI288" s="6">
        <v>0.21470859</v>
      </c>
      <c r="BJ288" s="6">
        <v>0.12366373</v>
      </c>
      <c r="BK288" s="6">
        <v>0.1409291</v>
      </c>
      <c r="BL288" s="6">
        <v>0.12522516</v>
      </c>
      <c r="BM288" s="6">
        <v>0.1592662</v>
      </c>
      <c r="BN288" s="6">
        <v>0.17561655</v>
      </c>
      <c r="BO288" s="6">
        <v>0.1337285</v>
      </c>
      <c r="BP288" s="6">
        <v>0.14157076</v>
      </c>
      <c r="BQ288" s="6">
        <v>0.04251499</v>
      </c>
      <c r="BR288" s="6">
        <v>0.03612573</v>
      </c>
      <c r="BS288" s="6">
        <v>0.0383761</v>
      </c>
      <c r="BT288" s="6">
        <v>0.03108954</v>
      </c>
      <c r="BU288" s="6">
        <v>0.03429235</v>
      </c>
      <c r="BV288" s="6">
        <v>0.07402785</v>
      </c>
      <c r="BW288" s="6">
        <v>0.06684035</v>
      </c>
      <c r="BX288" s="12">
        <v>28480</v>
      </c>
      <c r="BY288" s="13">
        <v>10756</v>
      </c>
      <c r="BZ288" s="12">
        <v>53210.28</v>
      </c>
      <c r="CA288" s="6">
        <f t="shared" si="28"/>
        <v>2.64782447006322</v>
      </c>
      <c r="CB288" s="6">
        <f t="shared" si="29"/>
        <v>0.535234920770949</v>
      </c>
      <c r="CC288" s="7">
        <v>518883101.2</v>
      </c>
      <c r="CD288" s="7">
        <f t="shared" si="24"/>
        <v>0.975155742837662</v>
      </c>
      <c r="CE288" s="8">
        <v>636.6</v>
      </c>
      <c r="CF288" s="8">
        <v>671.3</v>
      </c>
      <c r="CG288" s="8">
        <v>1155.9</v>
      </c>
      <c r="CH288" s="8">
        <v>28014</v>
      </c>
      <c r="CI288" s="14">
        <v>0</v>
      </c>
      <c r="CJ288" s="14">
        <v>1</v>
      </c>
      <c r="CK288" s="14">
        <f t="shared" si="25"/>
        <v>0</v>
      </c>
      <c r="CL288">
        <f t="shared" si="26"/>
        <v>2.18035126729488</v>
      </c>
      <c r="CM288">
        <f t="shared" si="27"/>
        <v>0.552752917630782</v>
      </c>
      <c r="CN288" s="15">
        <v>28480</v>
      </c>
      <c r="CO288" s="15">
        <v>18439</v>
      </c>
      <c r="CP288" s="15">
        <v>552.13</v>
      </c>
      <c r="CQ288" s="15">
        <v>4403.37</v>
      </c>
      <c r="CR288" s="15">
        <v>1207.59</v>
      </c>
      <c r="CS288" s="15">
        <v>216.93</v>
      </c>
      <c r="CT288" s="15">
        <v>1500.55</v>
      </c>
      <c r="CU288" s="15">
        <v>505.28</v>
      </c>
      <c r="CV288" s="15">
        <v>144.46</v>
      </c>
      <c r="CW288" s="15">
        <v>4399</v>
      </c>
    </row>
    <row r="289" spans="1:101">
      <c r="A289" s="6">
        <v>2012</v>
      </c>
      <c r="B289" s="6" t="s">
        <v>111</v>
      </c>
      <c r="C289" s="6">
        <v>0.33862127</v>
      </c>
      <c r="D289" s="6">
        <v>0.054672</v>
      </c>
      <c r="E289" s="6">
        <v>0.013559</v>
      </c>
      <c r="F289" s="6">
        <v>0.024933</v>
      </c>
      <c r="G289" s="6">
        <v>0.007463</v>
      </c>
      <c r="H289" s="6">
        <v>0.008717</v>
      </c>
      <c r="I289" s="6">
        <v>0.059181</v>
      </c>
      <c r="J289" s="6">
        <v>0.028661</v>
      </c>
      <c r="K289" s="6">
        <v>0.37728298</v>
      </c>
      <c r="L289" s="6">
        <v>0.28006345</v>
      </c>
      <c r="M289" s="6">
        <v>0.34030062</v>
      </c>
      <c r="N289" s="6">
        <v>0.19211145</v>
      </c>
      <c r="O289" s="6">
        <v>0.23067706</v>
      </c>
      <c r="P289" s="6">
        <v>0.56938638</v>
      </c>
      <c r="Q289" s="6">
        <v>0.44240066</v>
      </c>
      <c r="R289" s="6">
        <v>217.69486</v>
      </c>
      <c r="S289" s="6">
        <v>0.00173308</v>
      </c>
      <c r="T289" s="6">
        <v>169.97573</v>
      </c>
      <c r="U289" s="6">
        <v>0.00164767</v>
      </c>
      <c r="V289" s="6">
        <v>197.11803</v>
      </c>
      <c r="W289" s="6">
        <v>0.00172638</v>
      </c>
      <c r="X289" s="6">
        <v>134.47093</v>
      </c>
      <c r="Y289" s="6">
        <v>0.00142865</v>
      </c>
      <c r="Z289" s="6">
        <v>134.86767</v>
      </c>
      <c r="AA289" s="6">
        <v>0.0017104</v>
      </c>
      <c r="AB289" s="6">
        <v>294.9318</v>
      </c>
      <c r="AC289" s="6">
        <v>0.00193057</v>
      </c>
      <c r="AD289" s="6">
        <v>243.86163</v>
      </c>
      <c r="AE289" s="6">
        <v>0.00181415</v>
      </c>
      <c r="AF289" s="6">
        <v>775</v>
      </c>
      <c r="AG289" s="6">
        <v>-0.01101868</v>
      </c>
      <c r="AH289" s="6">
        <v>-0.0105589</v>
      </c>
      <c r="AI289" s="6">
        <v>-0.01098276</v>
      </c>
      <c r="AJ289" s="6">
        <v>-0.0093591</v>
      </c>
      <c r="AK289" s="6">
        <v>-0.01089698</v>
      </c>
      <c r="AL289" s="6">
        <v>-0.01206594</v>
      </c>
      <c r="AM289" s="6">
        <v>-0.01145115</v>
      </c>
      <c r="AN289" s="6">
        <v>-6.4762184</v>
      </c>
      <c r="AO289" s="6">
        <v>-6.4515561</v>
      </c>
      <c r="AP289" s="6">
        <v>-6.4739881</v>
      </c>
      <c r="AQ289" s="6">
        <v>-6.4253629</v>
      </c>
      <c r="AR289" s="6">
        <v>-6.4020076</v>
      </c>
      <c r="AS289" s="6">
        <v>-6.4618417</v>
      </c>
      <c r="AT289" s="6">
        <v>-6.4506396</v>
      </c>
      <c r="AU289" s="6">
        <v>0.97344833</v>
      </c>
      <c r="AV289" s="6">
        <v>0.96974131</v>
      </c>
      <c r="AW289" s="6">
        <v>0.97311308</v>
      </c>
      <c r="AX289" s="6">
        <v>0.96580418</v>
      </c>
      <c r="AY289" s="6">
        <v>0.96229362</v>
      </c>
      <c r="AZ289" s="6">
        <v>0.97128734</v>
      </c>
      <c r="BA289" s="6">
        <v>0.96960354</v>
      </c>
      <c r="BB289" s="6">
        <v>0.02655167</v>
      </c>
      <c r="BC289" s="6">
        <v>0.03025869</v>
      </c>
      <c r="BD289" s="6">
        <v>0.02688692</v>
      </c>
      <c r="BE289" s="6">
        <v>0.03419582</v>
      </c>
      <c r="BF289" s="6">
        <v>0.03770638</v>
      </c>
      <c r="BG289" s="6">
        <v>0.02871266</v>
      </c>
      <c r="BH289" s="6">
        <v>0.03039646</v>
      </c>
      <c r="BI289" s="6">
        <v>0.21470859</v>
      </c>
      <c r="BJ289" s="6">
        <v>0.12366373</v>
      </c>
      <c r="BK289" s="6">
        <v>0.1409291</v>
      </c>
      <c r="BL289" s="6">
        <v>0.12522516</v>
      </c>
      <c r="BM289" s="6">
        <v>0.1592662</v>
      </c>
      <c r="BN289" s="6">
        <v>0.17561655</v>
      </c>
      <c r="BO289" s="6">
        <v>0.1337285</v>
      </c>
      <c r="BP289" s="6">
        <v>0.14157076</v>
      </c>
      <c r="BQ289" s="6">
        <v>0.04665622</v>
      </c>
      <c r="BR289" s="6">
        <v>0.03946909</v>
      </c>
      <c r="BS289" s="6">
        <v>0.0426142</v>
      </c>
      <c r="BT289" s="6">
        <v>0.03059686</v>
      </c>
      <c r="BU289" s="6">
        <v>0.04051071</v>
      </c>
      <c r="BV289" s="6">
        <v>0.07614318</v>
      </c>
      <c r="BW289" s="6">
        <v>0.062631</v>
      </c>
      <c r="BX289" s="12">
        <v>29144</v>
      </c>
      <c r="BY289" s="13">
        <v>11041</v>
      </c>
      <c r="BZ289" s="12">
        <v>57067.92</v>
      </c>
      <c r="CA289" s="6">
        <f t="shared" si="28"/>
        <v>2.63961597681369</v>
      </c>
      <c r="CB289" s="6">
        <f t="shared" si="29"/>
        <v>0.510689718496837</v>
      </c>
      <c r="CC289" s="7">
        <v>527905529.4</v>
      </c>
      <c r="CD289" s="7">
        <f t="shared" si="24"/>
        <v>0.925047784114087</v>
      </c>
      <c r="CE289" s="8">
        <v>683.9</v>
      </c>
      <c r="CF289" s="8">
        <v>747.2</v>
      </c>
      <c r="CG289" s="8">
        <v>1358.3</v>
      </c>
      <c r="CH289" s="8">
        <v>30993</v>
      </c>
      <c r="CI289" s="14">
        <v>0</v>
      </c>
      <c r="CJ289" s="14">
        <v>1</v>
      </c>
      <c r="CK289" s="14">
        <f t="shared" si="25"/>
        <v>0</v>
      </c>
      <c r="CL289">
        <f t="shared" si="26"/>
        <v>2.01609935715007</v>
      </c>
      <c r="CM289">
        <f t="shared" si="27"/>
        <v>0.541169545621144</v>
      </c>
      <c r="CN289" s="15">
        <v>29144.01</v>
      </c>
      <c r="CO289" s="15">
        <v>17634</v>
      </c>
      <c r="CP289" s="15">
        <v>545.5</v>
      </c>
      <c r="CQ289" s="15">
        <v>4511.51</v>
      </c>
      <c r="CR289" s="15">
        <v>1259.5</v>
      </c>
      <c r="CS289" s="15">
        <v>243.57</v>
      </c>
      <c r="CT289" s="15">
        <v>1542.53</v>
      </c>
      <c r="CU289" s="15">
        <v>434.91</v>
      </c>
      <c r="CV289" s="15">
        <v>116.48</v>
      </c>
      <c r="CW289" s="15">
        <v>4619.42</v>
      </c>
    </row>
    <row r="290" spans="1:101">
      <c r="A290" s="6">
        <v>2013</v>
      </c>
      <c r="B290" s="6" t="s">
        <v>111</v>
      </c>
      <c r="C290" s="6">
        <v>0.35260097</v>
      </c>
      <c r="D290" s="6">
        <v>0.058546</v>
      </c>
      <c r="E290" s="6">
        <v>0.014508</v>
      </c>
      <c r="F290" s="6">
        <v>0.02711</v>
      </c>
      <c r="G290" s="6">
        <v>0.009861</v>
      </c>
      <c r="H290" s="6">
        <v>0.007068</v>
      </c>
      <c r="I290" s="6">
        <v>0.056379</v>
      </c>
      <c r="J290" s="6">
        <v>0.030456</v>
      </c>
      <c r="K290" s="6">
        <v>0.40767279</v>
      </c>
      <c r="L290" s="6">
        <v>0.30250477</v>
      </c>
      <c r="M290" s="6">
        <v>0.37375967</v>
      </c>
      <c r="N290" s="6">
        <v>0.26298946</v>
      </c>
      <c r="O290" s="6">
        <v>0.18068282</v>
      </c>
      <c r="P290" s="6">
        <v>0.53817898</v>
      </c>
      <c r="Q290" s="6">
        <v>0.4744249</v>
      </c>
      <c r="R290" s="6">
        <v>217.69486</v>
      </c>
      <c r="S290" s="6">
        <v>0.00187268</v>
      </c>
      <c r="T290" s="6">
        <v>169.97573</v>
      </c>
      <c r="U290" s="6">
        <v>0.00177969</v>
      </c>
      <c r="V290" s="6">
        <v>197.11803</v>
      </c>
      <c r="W290" s="6">
        <v>0.00189612</v>
      </c>
      <c r="X290" s="6">
        <v>134.47093</v>
      </c>
      <c r="Y290" s="6">
        <v>0.00195573</v>
      </c>
      <c r="Z290" s="6">
        <v>134.86767</v>
      </c>
      <c r="AA290" s="6">
        <v>0.0013397</v>
      </c>
      <c r="AB290" s="6">
        <v>294.9318</v>
      </c>
      <c r="AC290" s="6">
        <v>0.00182476</v>
      </c>
      <c r="AD290" s="6">
        <v>243.86163</v>
      </c>
      <c r="AE290" s="6">
        <v>0.00194547</v>
      </c>
      <c r="AF290" s="6">
        <v>775</v>
      </c>
      <c r="AG290" s="6">
        <v>-0.01176115</v>
      </c>
      <c r="AH290" s="6">
        <v>-0.0112678</v>
      </c>
      <c r="AI290" s="6">
        <v>-0.01188478</v>
      </c>
      <c r="AJ290" s="6">
        <v>-0.0121979</v>
      </c>
      <c r="AK290" s="6">
        <v>-0.00886256</v>
      </c>
      <c r="AL290" s="6">
        <v>-0.01150748</v>
      </c>
      <c r="AM290" s="6">
        <v>-0.0121441</v>
      </c>
      <c r="AN290" s="6">
        <v>-6.4762184</v>
      </c>
      <c r="AO290" s="6">
        <v>-6.4515561</v>
      </c>
      <c r="AP290" s="6">
        <v>-6.4739881</v>
      </c>
      <c r="AQ290" s="6">
        <v>-6.4253629</v>
      </c>
      <c r="AR290" s="6">
        <v>-6.4020076</v>
      </c>
      <c r="AS290" s="6">
        <v>-6.4618417</v>
      </c>
      <c r="AT290" s="6">
        <v>-6.4506396</v>
      </c>
      <c r="AU290" s="6">
        <v>0.97344833</v>
      </c>
      <c r="AV290" s="6">
        <v>0.96974131</v>
      </c>
      <c r="AW290" s="6">
        <v>0.97311308</v>
      </c>
      <c r="AX290" s="6">
        <v>0.96580418</v>
      </c>
      <c r="AY290" s="6">
        <v>0.96229362</v>
      </c>
      <c r="AZ290" s="6">
        <v>0.97128734</v>
      </c>
      <c r="BA290" s="6">
        <v>0.96960354</v>
      </c>
      <c r="BB290" s="6">
        <v>0.02655167</v>
      </c>
      <c r="BC290" s="6">
        <v>0.03025869</v>
      </c>
      <c r="BD290" s="6">
        <v>0.02688692</v>
      </c>
      <c r="BE290" s="6">
        <v>0.03419582</v>
      </c>
      <c r="BF290" s="6">
        <v>0.03770638</v>
      </c>
      <c r="BG290" s="6">
        <v>0.02871266</v>
      </c>
      <c r="BH290" s="6">
        <v>0.03039646</v>
      </c>
      <c r="BI290" s="6">
        <v>0.21470859</v>
      </c>
      <c r="BJ290" s="6">
        <v>0.12366373</v>
      </c>
      <c r="BK290" s="6">
        <v>0.1409291</v>
      </c>
      <c r="BL290" s="6">
        <v>0.12522516</v>
      </c>
      <c r="BM290" s="6">
        <v>0.1592662</v>
      </c>
      <c r="BN290" s="6">
        <v>0.17561655</v>
      </c>
      <c r="BO290" s="6">
        <v>0.1337285</v>
      </c>
      <c r="BP290" s="6">
        <v>0.14157076</v>
      </c>
      <c r="BQ290" s="6">
        <v>0.05041434</v>
      </c>
      <c r="BR290" s="6">
        <v>0.04263172</v>
      </c>
      <c r="BS290" s="6">
        <v>0.04680411</v>
      </c>
      <c r="BT290" s="6">
        <v>0.04188533</v>
      </c>
      <c r="BU290" s="6">
        <v>0.03173089</v>
      </c>
      <c r="BV290" s="6">
        <v>0.07196987</v>
      </c>
      <c r="BW290" s="6">
        <v>0.0671647</v>
      </c>
      <c r="BX290" s="12">
        <v>28480</v>
      </c>
      <c r="BY290" s="13">
        <v>11270</v>
      </c>
      <c r="BZ290" s="12">
        <v>62474.79</v>
      </c>
      <c r="CA290" s="6">
        <f t="shared" si="28"/>
        <v>2.52706299911269</v>
      </c>
      <c r="CB290" s="6">
        <f t="shared" si="29"/>
        <v>0.455863877253529</v>
      </c>
      <c r="CC290" s="7">
        <v>551488747.3</v>
      </c>
      <c r="CD290" s="7">
        <f t="shared" si="24"/>
        <v>0.882738056902632</v>
      </c>
      <c r="CE290" s="8">
        <v>723.6</v>
      </c>
      <c r="CF290" s="8">
        <v>750.9</v>
      </c>
      <c r="CG290" s="8">
        <v>1641.4</v>
      </c>
      <c r="CH290" s="8">
        <v>34053</v>
      </c>
      <c r="CI290" s="14">
        <v>0</v>
      </c>
      <c r="CJ290" s="14">
        <v>1</v>
      </c>
      <c r="CK290" s="14">
        <f t="shared" si="25"/>
        <v>0</v>
      </c>
      <c r="CL290">
        <f t="shared" si="26"/>
        <v>1.91398219724656</v>
      </c>
      <c r="CM290">
        <f t="shared" si="27"/>
        <v>0.53879505348977</v>
      </c>
      <c r="CN290" s="15">
        <v>28480</v>
      </c>
      <c r="CO290" s="15">
        <v>17106.78</v>
      </c>
      <c r="CP290" s="15">
        <v>585.02</v>
      </c>
      <c r="CQ290" s="15">
        <v>4729.48</v>
      </c>
      <c r="CR290" s="15">
        <v>1070.6</v>
      </c>
      <c r="CS290" s="15">
        <v>260.31</v>
      </c>
      <c r="CT290" s="15">
        <v>1538.57</v>
      </c>
      <c r="CU290" s="15">
        <v>435.06</v>
      </c>
      <c r="CV290" s="15">
        <v>124.05</v>
      </c>
      <c r="CW290" s="15">
        <v>4830.13</v>
      </c>
    </row>
    <row r="291" spans="1:101">
      <c r="A291" s="6">
        <v>2014</v>
      </c>
      <c r="B291" s="6" t="s">
        <v>111</v>
      </c>
      <c r="C291" s="6">
        <v>0.35346229</v>
      </c>
      <c r="D291" s="6">
        <v>0.059125</v>
      </c>
      <c r="E291" s="6">
        <v>0.014492</v>
      </c>
      <c r="F291" s="6">
        <v>0.026787</v>
      </c>
      <c r="G291" s="6">
        <v>0.008704</v>
      </c>
      <c r="H291" s="6">
        <v>0.009141</v>
      </c>
      <c r="I291" s="6">
        <v>0.056756</v>
      </c>
      <c r="J291" s="6">
        <v>0.028407</v>
      </c>
      <c r="K291" s="6">
        <v>0.41220822</v>
      </c>
      <c r="L291" s="6">
        <v>0.30213911</v>
      </c>
      <c r="M291" s="6">
        <v>0.36879686</v>
      </c>
      <c r="N291" s="6">
        <v>0.22879393</v>
      </c>
      <c r="O291" s="6">
        <v>0.24351669</v>
      </c>
      <c r="P291" s="6">
        <v>0.54237352</v>
      </c>
      <c r="Q291" s="6">
        <v>0.4378641</v>
      </c>
      <c r="R291" s="6">
        <v>217.69486</v>
      </c>
      <c r="S291" s="6">
        <v>0.00189351</v>
      </c>
      <c r="T291" s="6">
        <v>169.97573</v>
      </c>
      <c r="U291" s="6">
        <v>0.00177754</v>
      </c>
      <c r="V291" s="6">
        <v>197.11803</v>
      </c>
      <c r="W291" s="6">
        <v>0.00187094</v>
      </c>
      <c r="X291" s="6">
        <v>134.47093</v>
      </c>
      <c r="Y291" s="6">
        <v>0.00170144</v>
      </c>
      <c r="Z291" s="6">
        <v>134.86767</v>
      </c>
      <c r="AA291" s="6">
        <v>0.0018056</v>
      </c>
      <c r="AB291" s="6">
        <v>294.9318</v>
      </c>
      <c r="AC291" s="6">
        <v>0.00183898</v>
      </c>
      <c r="AD291" s="6">
        <v>243.86163</v>
      </c>
      <c r="AE291" s="6">
        <v>0.00179554</v>
      </c>
      <c r="AF291" s="6">
        <v>775</v>
      </c>
      <c r="AG291" s="6">
        <v>-0.01187105</v>
      </c>
      <c r="AH291" s="6">
        <v>-0.01125633</v>
      </c>
      <c r="AI291" s="6">
        <v>-0.01175199</v>
      </c>
      <c r="AJ291" s="6">
        <v>-0.01084885</v>
      </c>
      <c r="AK291" s="6">
        <v>-0.01140571</v>
      </c>
      <c r="AL291" s="6">
        <v>-0.01158289</v>
      </c>
      <c r="AM291" s="6">
        <v>-0.01135223</v>
      </c>
      <c r="AN291" s="6">
        <v>-6.4762184</v>
      </c>
      <c r="AO291" s="6">
        <v>-6.4515561</v>
      </c>
      <c r="AP291" s="6">
        <v>-6.4739881</v>
      </c>
      <c r="AQ291" s="6">
        <v>-6.4253629</v>
      </c>
      <c r="AR291" s="6">
        <v>-6.4020076</v>
      </c>
      <c r="AS291" s="6">
        <v>-6.4618417</v>
      </c>
      <c r="AT291" s="6">
        <v>-6.4506396</v>
      </c>
      <c r="AU291" s="6">
        <v>0.97344833</v>
      </c>
      <c r="AV291" s="6">
        <v>0.96974131</v>
      </c>
      <c r="AW291" s="6">
        <v>0.97311308</v>
      </c>
      <c r="AX291" s="6">
        <v>0.96580418</v>
      </c>
      <c r="AY291" s="6">
        <v>0.96229362</v>
      </c>
      <c r="AZ291" s="6">
        <v>0.97128734</v>
      </c>
      <c r="BA291" s="6">
        <v>0.96960354</v>
      </c>
      <c r="BB291" s="6">
        <v>0.02655167</v>
      </c>
      <c r="BC291" s="6">
        <v>0.03025869</v>
      </c>
      <c r="BD291" s="6">
        <v>0.02688692</v>
      </c>
      <c r="BE291" s="6">
        <v>0.03419582</v>
      </c>
      <c r="BF291" s="6">
        <v>0.03770638</v>
      </c>
      <c r="BG291" s="6">
        <v>0.02871266</v>
      </c>
      <c r="BH291" s="6">
        <v>0.03039646</v>
      </c>
      <c r="BI291" s="6">
        <v>0.21470859</v>
      </c>
      <c r="BJ291" s="6">
        <v>0.12366373</v>
      </c>
      <c r="BK291" s="6">
        <v>0.1409291</v>
      </c>
      <c r="BL291" s="6">
        <v>0.12522516</v>
      </c>
      <c r="BM291" s="6">
        <v>0.1592662</v>
      </c>
      <c r="BN291" s="6">
        <v>0.17561655</v>
      </c>
      <c r="BO291" s="6">
        <v>0.1337285</v>
      </c>
      <c r="BP291" s="6">
        <v>0.14157076</v>
      </c>
      <c r="BQ291" s="6">
        <v>0.05097521</v>
      </c>
      <c r="BR291" s="6">
        <v>0.04258019</v>
      </c>
      <c r="BS291" s="6">
        <v>0.04618265</v>
      </c>
      <c r="BT291" s="6">
        <v>0.03643914</v>
      </c>
      <c r="BU291" s="6">
        <v>0.04276556</v>
      </c>
      <c r="BV291" s="6">
        <v>0.07253079</v>
      </c>
      <c r="BW291" s="6">
        <v>0.06198876</v>
      </c>
      <c r="BX291" s="12">
        <v>29593</v>
      </c>
      <c r="BY291" s="13">
        <v>11489</v>
      </c>
      <c r="BZ291" s="12">
        <v>67809.85</v>
      </c>
      <c r="CA291" s="6">
        <f t="shared" si="28"/>
        <v>2.5757681260336</v>
      </c>
      <c r="CB291" s="6">
        <f t="shared" si="29"/>
        <v>0.436411524284451</v>
      </c>
      <c r="CC291" s="7">
        <v>552599118.1</v>
      </c>
      <c r="CD291" s="7">
        <f t="shared" si="24"/>
        <v>0.81492455461854</v>
      </c>
      <c r="CE291" s="8">
        <v>793.2</v>
      </c>
      <c r="CF291" s="8">
        <v>826.5</v>
      </c>
      <c r="CG291" s="8">
        <v>1829.3</v>
      </c>
      <c r="CH291" s="8">
        <v>37166</v>
      </c>
      <c r="CI291" s="14">
        <v>0</v>
      </c>
      <c r="CJ291" s="14">
        <v>1</v>
      </c>
      <c r="CK291" s="14">
        <f t="shared" si="25"/>
        <v>0</v>
      </c>
      <c r="CL291">
        <f t="shared" si="26"/>
        <v>1.79640226266579</v>
      </c>
      <c r="CM291">
        <f t="shared" si="27"/>
        <v>0.546357421411157</v>
      </c>
      <c r="CN291" s="15">
        <v>29593.26</v>
      </c>
      <c r="CO291" s="15">
        <v>17013.71</v>
      </c>
      <c r="CP291" s="15">
        <v>558.05</v>
      </c>
      <c r="CQ291" s="15">
        <v>4765.76</v>
      </c>
      <c r="CR291" s="15">
        <v>1118.9</v>
      </c>
      <c r="CS291" s="15">
        <v>268.83</v>
      </c>
      <c r="CT291" s="15">
        <v>1575.28</v>
      </c>
      <c r="CU291" s="15">
        <v>418.8</v>
      </c>
      <c r="CV291" s="15">
        <v>133.83</v>
      </c>
      <c r="CW291" s="15">
        <v>5235.23</v>
      </c>
    </row>
    <row r="292" spans="1:101">
      <c r="A292" s="6">
        <v>2015</v>
      </c>
      <c r="B292" s="6" t="s">
        <v>111</v>
      </c>
      <c r="C292" s="6">
        <v>0.37184471</v>
      </c>
      <c r="D292" s="6">
        <v>0.060444</v>
      </c>
      <c r="E292" s="6">
        <v>0.014741</v>
      </c>
      <c r="F292" s="6">
        <v>0.026996</v>
      </c>
      <c r="G292" s="6">
        <v>0.009477</v>
      </c>
      <c r="H292" s="6">
        <v>0.009229</v>
      </c>
      <c r="I292" s="6">
        <v>0.060354</v>
      </c>
      <c r="J292" s="6">
        <v>0.030941</v>
      </c>
      <c r="K292" s="6">
        <v>0.4225553</v>
      </c>
      <c r="L292" s="6">
        <v>0.3080294</v>
      </c>
      <c r="M292" s="6">
        <v>0.37199589</v>
      </c>
      <c r="N292" s="6">
        <v>0.2516529</v>
      </c>
      <c r="O292" s="6">
        <v>0.24619852</v>
      </c>
      <c r="P292" s="6">
        <v>0.58244828</v>
      </c>
      <c r="Q292" s="6">
        <v>0.48308088</v>
      </c>
      <c r="R292" s="6">
        <v>217.69486</v>
      </c>
      <c r="S292" s="6">
        <v>0.00194104</v>
      </c>
      <c r="T292" s="6">
        <v>169.97573</v>
      </c>
      <c r="U292" s="6">
        <v>0.0018122</v>
      </c>
      <c r="V292" s="6">
        <v>197.11803</v>
      </c>
      <c r="W292" s="6">
        <v>0.00188717</v>
      </c>
      <c r="X292" s="6">
        <v>134.47093</v>
      </c>
      <c r="Y292" s="6">
        <v>0.00187143</v>
      </c>
      <c r="Z292" s="6">
        <v>134.86767</v>
      </c>
      <c r="AA292" s="6">
        <v>0.00182548</v>
      </c>
      <c r="AB292" s="6">
        <v>294.9318</v>
      </c>
      <c r="AC292" s="6">
        <v>0.00197486</v>
      </c>
      <c r="AD292" s="6">
        <v>243.86163</v>
      </c>
      <c r="AE292" s="6">
        <v>0.00198096</v>
      </c>
      <c r="AF292" s="6">
        <v>775</v>
      </c>
      <c r="AG292" s="6">
        <v>-0.01212091</v>
      </c>
      <c r="AH292" s="6">
        <v>-0.01144079</v>
      </c>
      <c r="AI292" s="6">
        <v>-0.01183763</v>
      </c>
      <c r="AJ292" s="6">
        <v>-0.01175455</v>
      </c>
      <c r="AK292" s="6">
        <v>-0.01151133</v>
      </c>
      <c r="AL292" s="6">
        <v>-0.01229795</v>
      </c>
      <c r="AM292" s="6">
        <v>-0.01232986</v>
      </c>
      <c r="AN292" s="6">
        <v>-6.4762184</v>
      </c>
      <c r="AO292" s="6">
        <v>-6.4515561</v>
      </c>
      <c r="AP292" s="6">
        <v>-6.4739881</v>
      </c>
      <c r="AQ292" s="6">
        <v>-6.4253629</v>
      </c>
      <c r="AR292" s="6">
        <v>-6.4020076</v>
      </c>
      <c r="AS292" s="6">
        <v>-6.4618417</v>
      </c>
      <c r="AT292" s="6">
        <v>-6.4506396</v>
      </c>
      <c r="AU292" s="6">
        <v>0.97344833</v>
      </c>
      <c r="AV292" s="6">
        <v>0.96974131</v>
      </c>
      <c r="AW292" s="6">
        <v>0.97311308</v>
      </c>
      <c r="AX292" s="6">
        <v>0.96580418</v>
      </c>
      <c r="AY292" s="6">
        <v>0.96229362</v>
      </c>
      <c r="AZ292" s="6">
        <v>0.97128734</v>
      </c>
      <c r="BA292" s="6">
        <v>0.96960354</v>
      </c>
      <c r="BB292" s="6">
        <v>0.02655167</v>
      </c>
      <c r="BC292" s="6">
        <v>0.03025869</v>
      </c>
      <c r="BD292" s="6">
        <v>0.02688692</v>
      </c>
      <c r="BE292" s="6">
        <v>0.03419582</v>
      </c>
      <c r="BF292" s="6">
        <v>0.03770638</v>
      </c>
      <c r="BG292" s="6">
        <v>0.02871266</v>
      </c>
      <c r="BH292" s="6">
        <v>0.03039646</v>
      </c>
      <c r="BI292" s="6">
        <v>0.21470859</v>
      </c>
      <c r="BJ292" s="6">
        <v>0.12366373</v>
      </c>
      <c r="BK292" s="6">
        <v>0.1409291</v>
      </c>
      <c r="BL292" s="6">
        <v>0.12522516</v>
      </c>
      <c r="BM292" s="6">
        <v>0.1592662</v>
      </c>
      <c r="BN292" s="6">
        <v>0.17561655</v>
      </c>
      <c r="BO292" s="6">
        <v>0.1337285</v>
      </c>
      <c r="BP292" s="6">
        <v>0.14157076</v>
      </c>
      <c r="BQ292" s="6">
        <v>0.05225477</v>
      </c>
      <c r="BR292" s="6">
        <v>0.04341031</v>
      </c>
      <c r="BS292" s="6">
        <v>0.04658324</v>
      </c>
      <c r="BT292" s="6">
        <v>0.0400798</v>
      </c>
      <c r="BU292" s="6">
        <v>0.04323653</v>
      </c>
      <c r="BV292" s="6">
        <v>0.07788993</v>
      </c>
      <c r="BW292" s="6">
        <v>0.06839013</v>
      </c>
      <c r="BX292" s="12">
        <v>30117</v>
      </c>
      <c r="BY292" s="13">
        <v>11678</v>
      </c>
      <c r="BZ292" s="12">
        <v>72812.55</v>
      </c>
      <c r="CA292" s="6">
        <f t="shared" si="28"/>
        <v>2.57895187532112</v>
      </c>
      <c r="CB292" s="6">
        <f t="shared" si="29"/>
        <v>0.413623750301287</v>
      </c>
      <c r="CC292" s="7">
        <v>546850371.5</v>
      </c>
      <c r="CD292" s="7">
        <f t="shared" si="24"/>
        <v>0.751038621089359</v>
      </c>
      <c r="CE292" s="8">
        <v>835.4</v>
      </c>
      <c r="CF292" s="8">
        <v>882.9</v>
      </c>
      <c r="CG292" s="8">
        <v>2016</v>
      </c>
      <c r="CH292" s="8">
        <v>39704</v>
      </c>
      <c r="CI292" s="14">
        <v>0</v>
      </c>
      <c r="CJ292" s="14">
        <v>1</v>
      </c>
      <c r="CK292" s="14">
        <f t="shared" si="25"/>
        <v>0</v>
      </c>
      <c r="CL292">
        <f t="shared" si="26"/>
        <v>1.71577514742415</v>
      </c>
      <c r="CM292">
        <f t="shared" si="27"/>
        <v>0.562274449413213</v>
      </c>
      <c r="CN292" s="15">
        <v>30117</v>
      </c>
      <c r="CO292" s="15">
        <v>16587.32</v>
      </c>
      <c r="CP292" s="15">
        <v>543.02</v>
      </c>
      <c r="CQ292" s="15">
        <v>4899.6</v>
      </c>
      <c r="CR292" s="15">
        <v>1229.09</v>
      </c>
      <c r="CS292" s="15">
        <v>275.02</v>
      </c>
      <c r="CT292" s="15">
        <v>1587.87</v>
      </c>
      <c r="CU292" s="15">
        <v>403.47</v>
      </c>
      <c r="CV292" s="15">
        <v>145.16</v>
      </c>
      <c r="CW292" s="15">
        <v>5311</v>
      </c>
    </row>
    <row r="293" spans="1:101">
      <c r="A293" s="6">
        <v>2016</v>
      </c>
      <c r="B293" s="6" t="s">
        <v>111</v>
      </c>
      <c r="C293" s="6">
        <v>0.36878045</v>
      </c>
      <c r="D293" s="6">
        <v>0.058064</v>
      </c>
      <c r="E293" s="6">
        <v>0.015023</v>
      </c>
      <c r="F293" s="6">
        <v>0.026217</v>
      </c>
      <c r="G293" s="6">
        <v>0.009329</v>
      </c>
      <c r="H293" s="6">
        <v>0.007494</v>
      </c>
      <c r="I293" s="6">
        <v>0.061755</v>
      </c>
      <c r="J293" s="6">
        <v>0.03397</v>
      </c>
      <c r="K293" s="6">
        <v>0.40388681</v>
      </c>
      <c r="L293" s="6">
        <v>0.31468616</v>
      </c>
      <c r="M293" s="6">
        <v>0.36003639</v>
      </c>
      <c r="N293" s="6">
        <v>0.24727304</v>
      </c>
      <c r="O293" s="6">
        <v>0.19361348</v>
      </c>
      <c r="P293" s="6">
        <v>0.59805129</v>
      </c>
      <c r="Q293" s="6">
        <v>0.537115</v>
      </c>
      <c r="R293" s="6">
        <v>217.69486</v>
      </c>
      <c r="S293" s="6">
        <v>0.00185529</v>
      </c>
      <c r="T293" s="6">
        <v>169.97573</v>
      </c>
      <c r="U293" s="6">
        <v>0.00185136</v>
      </c>
      <c r="V293" s="6">
        <v>197.11803</v>
      </c>
      <c r="W293" s="6">
        <v>0.0018265</v>
      </c>
      <c r="X293" s="6">
        <v>134.47093</v>
      </c>
      <c r="Y293" s="6">
        <v>0.00183886</v>
      </c>
      <c r="Z293" s="6">
        <v>134.86767</v>
      </c>
      <c r="AA293" s="6">
        <v>0.00143558</v>
      </c>
      <c r="AB293" s="6">
        <v>294.9318</v>
      </c>
      <c r="AC293" s="6">
        <v>0.00202776</v>
      </c>
      <c r="AD293" s="6">
        <v>243.86163</v>
      </c>
      <c r="AE293" s="6">
        <v>0.00220254</v>
      </c>
      <c r="AF293" s="6">
        <v>775</v>
      </c>
      <c r="AG293" s="6">
        <v>-0.01166924</v>
      </c>
      <c r="AH293" s="6">
        <v>-0.01164845</v>
      </c>
      <c r="AI293" s="6">
        <v>-0.01151674</v>
      </c>
      <c r="AJ293" s="6">
        <v>-0.01158225</v>
      </c>
      <c r="AK293" s="6">
        <v>-0.00939758</v>
      </c>
      <c r="AL293" s="6">
        <v>-0.01257379</v>
      </c>
      <c r="AM293" s="6">
        <v>-0.01347546</v>
      </c>
      <c r="AN293" s="6">
        <v>-6.4762184</v>
      </c>
      <c r="AO293" s="6">
        <v>-6.4515561</v>
      </c>
      <c r="AP293" s="6">
        <v>-6.4739881</v>
      </c>
      <c r="AQ293" s="6">
        <v>-6.4253629</v>
      </c>
      <c r="AR293" s="6">
        <v>-6.4020076</v>
      </c>
      <c r="AS293" s="6">
        <v>-6.4618417</v>
      </c>
      <c r="AT293" s="6">
        <v>-6.4506396</v>
      </c>
      <c r="AU293" s="6">
        <v>0.97344833</v>
      </c>
      <c r="AV293" s="6">
        <v>0.96974131</v>
      </c>
      <c r="AW293" s="6">
        <v>0.97311308</v>
      </c>
      <c r="AX293" s="6">
        <v>0.96580418</v>
      </c>
      <c r="AY293" s="6">
        <v>0.96229362</v>
      </c>
      <c r="AZ293" s="6">
        <v>0.97128734</v>
      </c>
      <c r="BA293" s="6">
        <v>0.96960354</v>
      </c>
      <c r="BB293" s="6">
        <v>0.02655167</v>
      </c>
      <c r="BC293" s="6">
        <v>0.03025869</v>
      </c>
      <c r="BD293" s="6">
        <v>0.02688692</v>
      </c>
      <c r="BE293" s="6">
        <v>0.03419582</v>
      </c>
      <c r="BF293" s="6">
        <v>0.03770638</v>
      </c>
      <c r="BG293" s="6">
        <v>0.02871266</v>
      </c>
      <c r="BH293" s="6">
        <v>0.03039646</v>
      </c>
      <c r="BI293" s="6">
        <v>0.21470859</v>
      </c>
      <c r="BJ293" s="6">
        <v>0.12366373</v>
      </c>
      <c r="BK293" s="6">
        <v>0.1409291</v>
      </c>
      <c r="BL293" s="6">
        <v>0.12522516</v>
      </c>
      <c r="BM293" s="6">
        <v>0.1592662</v>
      </c>
      <c r="BN293" s="6">
        <v>0.17561655</v>
      </c>
      <c r="BO293" s="6">
        <v>0.1337285</v>
      </c>
      <c r="BP293" s="6">
        <v>0.14157076</v>
      </c>
      <c r="BQ293" s="6">
        <v>0.04994615</v>
      </c>
      <c r="BR293" s="6">
        <v>0.04434844</v>
      </c>
      <c r="BS293" s="6">
        <v>0.04508561</v>
      </c>
      <c r="BT293" s="6">
        <v>0.03938224</v>
      </c>
      <c r="BU293" s="6">
        <v>0.03400173</v>
      </c>
      <c r="BV293" s="6">
        <v>0.0799765</v>
      </c>
      <c r="BW293" s="6">
        <v>0.07603978</v>
      </c>
      <c r="BX293" s="12">
        <v>31211</v>
      </c>
      <c r="BY293" s="13">
        <v>11908</v>
      </c>
      <c r="BZ293" s="12">
        <v>80854.91</v>
      </c>
      <c r="CA293" s="6">
        <f t="shared" si="28"/>
        <v>2.62101108498488</v>
      </c>
      <c r="CB293" s="6">
        <f t="shared" si="29"/>
        <v>0.386012426456229</v>
      </c>
      <c r="CC293" s="7">
        <v>549248208.2</v>
      </c>
      <c r="CD293" s="7">
        <f t="shared" si="24"/>
        <v>0.679300995078716</v>
      </c>
      <c r="CE293" s="8">
        <v>924.7</v>
      </c>
      <c r="CF293" s="8">
        <v>904</v>
      </c>
      <c r="CG293" s="8">
        <v>2261.5</v>
      </c>
      <c r="CH293" s="8">
        <v>43009</v>
      </c>
      <c r="CI293" s="14">
        <v>0</v>
      </c>
      <c r="CJ293" s="14">
        <v>1</v>
      </c>
      <c r="CK293" s="14">
        <f t="shared" si="25"/>
        <v>0</v>
      </c>
      <c r="CL293">
        <f t="shared" si="26"/>
        <v>1.62438398605541</v>
      </c>
      <c r="CM293">
        <f t="shared" si="27"/>
        <v>0.581810088679645</v>
      </c>
      <c r="CN293" s="15">
        <v>31211</v>
      </c>
      <c r="CO293" s="15">
        <v>16135.29</v>
      </c>
      <c r="CP293" s="15">
        <v>782.54</v>
      </c>
      <c r="CQ293" s="15">
        <v>5044.45</v>
      </c>
      <c r="CR293" s="15">
        <v>1502.44</v>
      </c>
      <c r="CS293" s="15">
        <v>292.17</v>
      </c>
      <c r="CT293" s="15">
        <v>1676.09</v>
      </c>
      <c r="CU293" s="15">
        <v>456.88</v>
      </c>
      <c r="CV293" s="15">
        <v>167.79</v>
      </c>
      <c r="CW293" s="15">
        <v>5610.13</v>
      </c>
    </row>
    <row r="294" spans="1:101">
      <c r="A294" s="6">
        <v>2017</v>
      </c>
      <c r="B294" s="6" t="s">
        <v>111</v>
      </c>
      <c r="C294" s="6">
        <v>0.38509051</v>
      </c>
      <c r="D294" s="6">
        <v>0.064584</v>
      </c>
      <c r="E294" s="6">
        <v>0.015478</v>
      </c>
      <c r="F294" s="6">
        <v>0.028274</v>
      </c>
      <c r="G294" s="6">
        <v>0.009767</v>
      </c>
      <c r="H294" s="6">
        <v>0.011065</v>
      </c>
      <c r="I294" s="6">
        <v>0.059057</v>
      </c>
      <c r="J294" s="6">
        <v>0.029006</v>
      </c>
      <c r="K294" s="6">
        <v>0.45503247</v>
      </c>
      <c r="L294" s="6">
        <v>0.32545397</v>
      </c>
      <c r="M294" s="6">
        <v>0.39163752</v>
      </c>
      <c r="N294" s="6">
        <v>0.26022235</v>
      </c>
      <c r="O294" s="6">
        <v>0.30182256</v>
      </c>
      <c r="P294" s="6">
        <v>0.56800712</v>
      </c>
      <c r="Q294" s="6">
        <v>0.44855513</v>
      </c>
      <c r="R294" s="6">
        <v>217.69486</v>
      </c>
      <c r="S294" s="6">
        <v>0.00209023</v>
      </c>
      <c r="T294" s="6">
        <v>169.97573</v>
      </c>
      <c r="U294" s="6">
        <v>0.00191471</v>
      </c>
      <c r="V294" s="6">
        <v>197.11803</v>
      </c>
      <c r="W294" s="6">
        <v>0.00198682</v>
      </c>
      <c r="X294" s="6">
        <v>134.47093</v>
      </c>
      <c r="Y294" s="6">
        <v>0.00193516</v>
      </c>
      <c r="Z294" s="6">
        <v>134.86767</v>
      </c>
      <c r="AA294" s="6">
        <v>0.00223792</v>
      </c>
      <c r="AB294" s="6">
        <v>294.9318</v>
      </c>
      <c r="AC294" s="6">
        <v>0.00192589</v>
      </c>
      <c r="AD294" s="6">
        <v>243.86163</v>
      </c>
      <c r="AE294" s="6">
        <v>0.00183938</v>
      </c>
      <c r="AF294" s="6">
        <v>775</v>
      </c>
      <c r="AG294" s="6">
        <v>-0.01289773</v>
      </c>
      <c r="AH294" s="6">
        <v>-0.01198261</v>
      </c>
      <c r="AI294" s="6">
        <v>-0.01236043</v>
      </c>
      <c r="AJ294" s="6">
        <v>-0.01209002</v>
      </c>
      <c r="AK294" s="6">
        <v>-0.01365624</v>
      </c>
      <c r="AL294" s="6">
        <v>-0.01204139</v>
      </c>
      <c r="AM294" s="6">
        <v>-0.01158504</v>
      </c>
      <c r="AN294" s="6">
        <v>-6.4762184</v>
      </c>
      <c r="AO294" s="6">
        <v>-6.4515561</v>
      </c>
      <c r="AP294" s="6">
        <v>-6.4739881</v>
      </c>
      <c r="AQ294" s="6">
        <v>-6.4253629</v>
      </c>
      <c r="AR294" s="6">
        <v>-6.4020076</v>
      </c>
      <c r="AS294" s="6">
        <v>-6.4618417</v>
      </c>
      <c r="AT294" s="6">
        <v>-6.4506396</v>
      </c>
      <c r="AU294" s="6">
        <v>0.97344833</v>
      </c>
      <c r="AV294" s="6">
        <v>0.96974131</v>
      </c>
      <c r="AW294" s="6">
        <v>0.97311308</v>
      </c>
      <c r="AX294" s="6">
        <v>0.96580418</v>
      </c>
      <c r="AY294" s="6">
        <v>0.96229362</v>
      </c>
      <c r="AZ294" s="6">
        <v>0.97128734</v>
      </c>
      <c r="BA294" s="6">
        <v>0.96960354</v>
      </c>
      <c r="BB294" s="6">
        <v>0.02655167</v>
      </c>
      <c r="BC294" s="6">
        <v>0.03025869</v>
      </c>
      <c r="BD294" s="6">
        <v>0.02688692</v>
      </c>
      <c r="BE294" s="6">
        <v>0.03419582</v>
      </c>
      <c r="BF294" s="6">
        <v>0.03770638</v>
      </c>
      <c r="BG294" s="6">
        <v>0.02871266</v>
      </c>
      <c r="BH294" s="6">
        <v>0.03039646</v>
      </c>
      <c r="BI294" s="6">
        <v>0.21470859</v>
      </c>
      <c r="BJ294" s="6">
        <v>0.12366373</v>
      </c>
      <c r="BK294" s="6">
        <v>0.1409291</v>
      </c>
      <c r="BL294" s="6">
        <v>0.12522516</v>
      </c>
      <c r="BM294" s="6">
        <v>0.1592662</v>
      </c>
      <c r="BN294" s="6">
        <v>0.17561655</v>
      </c>
      <c r="BO294" s="6">
        <v>0.1337285</v>
      </c>
      <c r="BP294" s="6">
        <v>0.14157076</v>
      </c>
      <c r="BQ294" s="6">
        <v>0.05627101</v>
      </c>
      <c r="BR294" s="6">
        <v>0.04586593</v>
      </c>
      <c r="BS294" s="6">
        <v>0.04904287</v>
      </c>
      <c r="BT294" s="6">
        <v>0.04144463</v>
      </c>
      <c r="BU294" s="6">
        <v>0.05300504</v>
      </c>
      <c r="BV294" s="6">
        <v>0.07595874</v>
      </c>
      <c r="BW294" s="6">
        <v>0.06350229</v>
      </c>
      <c r="BX294" s="12">
        <v>32309</v>
      </c>
      <c r="BY294" s="13">
        <v>12141</v>
      </c>
      <c r="BZ294" s="12">
        <v>89705.23</v>
      </c>
      <c r="CA294" s="6">
        <f t="shared" si="28"/>
        <v>2.66114817560333</v>
      </c>
      <c r="CB294" s="6">
        <f t="shared" si="29"/>
        <v>0.360168520832063</v>
      </c>
      <c r="CC294" s="7">
        <v>550581945</v>
      </c>
      <c r="CD294" s="7">
        <f t="shared" si="24"/>
        <v>0.613767943073107</v>
      </c>
      <c r="CE294" s="8">
        <v>962.8</v>
      </c>
      <c r="CF294" s="8">
        <v>996.4</v>
      </c>
      <c r="CG294" s="8">
        <v>2538.4</v>
      </c>
      <c r="CH294" s="8">
        <v>46631</v>
      </c>
      <c r="CI294" s="14">
        <v>1</v>
      </c>
      <c r="CJ294" s="14">
        <v>1</v>
      </c>
      <c r="CK294" s="14">
        <f t="shared" si="25"/>
        <v>1</v>
      </c>
      <c r="CL294">
        <f t="shared" si="26"/>
        <v>1.56738551218677</v>
      </c>
      <c r="CM294">
        <f t="shared" si="27"/>
        <v>0.608412902696289</v>
      </c>
      <c r="CN294" s="15">
        <v>32309</v>
      </c>
      <c r="CO294" s="15">
        <v>17172.1</v>
      </c>
      <c r="CP294" s="15">
        <v>940.96</v>
      </c>
      <c r="CQ294" s="15">
        <v>5209.32</v>
      </c>
      <c r="CR294" s="15">
        <v>1529.91</v>
      </c>
      <c r="CS294" s="15">
        <v>299.89</v>
      </c>
      <c r="CT294" s="15">
        <v>1668.45</v>
      </c>
      <c r="CU294" s="15">
        <v>348.52</v>
      </c>
      <c r="CV294" s="15">
        <v>182.38</v>
      </c>
      <c r="CW294" s="15">
        <v>5958.97</v>
      </c>
    </row>
    <row r="295" spans="1:101">
      <c r="A295" s="6">
        <v>2018</v>
      </c>
      <c r="B295" s="6" t="s">
        <v>111</v>
      </c>
      <c r="C295" s="6">
        <v>0.3874116</v>
      </c>
      <c r="D295" s="6">
        <v>0.062984</v>
      </c>
      <c r="E295" s="6">
        <v>0.015541</v>
      </c>
      <c r="F295" s="6">
        <v>0.028118</v>
      </c>
      <c r="G295" s="6">
        <v>0.009255</v>
      </c>
      <c r="H295" s="6">
        <v>0.010069</v>
      </c>
      <c r="I295" s="6">
        <v>0.062683</v>
      </c>
      <c r="J295" s="6">
        <v>0.03149</v>
      </c>
      <c r="K295" s="6">
        <v>0.44247786</v>
      </c>
      <c r="L295" s="6">
        <v>0.32694535</v>
      </c>
      <c r="M295" s="6">
        <v>0.38925237</v>
      </c>
      <c r="N295" s="6">
        <v>0.24507327</v>
      </c>
      <c r="O295" s="6">
        <v>0.27164151</v>
      </c>
      <c r="P295" s="6">
        <v>0.6083958</v>
      </c>
      <c r="Q295" s="6">
        <v>0.49287257</v>
      </c>
      <c r="R295" s="6">
        <v>217.69486</v>
      </c>
      <c r="S295" s="6">
        <v>0.00203256</v>
      </c>
      <c r="T295" s="6">
        <v>169.97573</v>
      </c>
      <c r="U295" s="6">
        <v>0.00192348</v>
      </c>
      <c r="V295" s="6">
        <v>197.11803</v>
      </c>
      <c r="W295" s="6">
        <v>0.00197472</v>
      </c>
      <c r="X295" s="6">
        <v>134.47093</v>
      </c>
      <c r="Y295" s="6">
        <v>0.0018225</v>
      </c>
      <c r="Z295" s="6">
        <v>134.86767</v>
      </c>
      <c r="AA295" s="6">
        <v>0.00201413</v>
      </c>
      <c r="AB295" s="6">
        <v>294.9318</v>
      </c>
      <c r="AC295" s="6">
        <v>0.00206284</v>
      </c>
      <c r="AD295" s="6">
        <v>243.86163</v>
      </c>
      <c r="AE295" s="6">
        <v>0.00202112</v>
      </c>
      <c r="AF295" s="6">
        <v>775</v>
      </c>
      <c r="AG295" s="6">
        <v>-0.01259874</v>
      </c>
      <c r="AH295" s="6">
        <v>-0.01202872</v>
      </c>
      <c r="AI295" s="6">
        <v>-0.01229722</v>
      </c>
      <c r="AJ295" s="6">
        <v>-0.0114955</v>
      </c>
      <c r="AK295" s="6">
        <v>-0.01250287</v>
      </c>
      <c r="AL295" s="6">
        <v>-0.0127559</v>
      </c>
      <c r="AM295" s="6">
        <v>-0.01253922</v>
      </c>
      <c r="AN295" s="6">
        <v>-6.4762184</v>
      </c>
      <c r="AO295" s="6">
        <v>-6.4515561</v>
      </c>
      <c r="AP295" s="6">
        <v>-6.4739881</v>
      </c>
      <c r="AQ295" s="6">
        <v>-6.4253629</v>
      </c>
      <c r="AR295" s="6">
        <v>-6.4020076</v>
      </c>
      <c r="AS295" s="6">
        <v>-6.4618417</v>
      </c>
      <c r="AT295" s="6">
        <v>-6.4506396</v>
      </c>
      <c r="AU295" s="6">
        <v>0.97344833</v>
      </c>
      <c r="AV295" s="6">
        <v>0.96974131</v>
      </c>
      <c r="AW295" s="6">
        <v>0.97311308</v>
      </c>
      <c r="AX295" s="6">
        <v>0.96580418</v>
      </c>
      <c r="AY295" s="6">
        <v>0.96229362</v>
      </c>
      <c r="AZ295" s="6">
        <v>0.97128734</v>
      </c>
      <c r="BA295" s="6">
        <v>0.96960354</v>
      </c>
      <c r="BB295" s="6">
        <v>0.02655167</v>
      </c>
      <c r="BC295" s="6">
        <v>0.03025869</v>
      </c>
      <c r="BD295" s="6">
        <v>0.02688692</v>
      </c>
      <c r="BE295" s="6">
        <v>0.03419582</v>
      </c>
      <c r="BF295" s="6">
        <v>0.03770638</v>
      </c>
      <c r="BG295" s="6">
        <v>0.02871266</v>
      </c>
      <c r="BH295" s="6">
        <v>0.03039646</v>
      </c>
      <c r="BI295" s="6">
        <v>0.21470859</v>
      </c>
      <c r="BJ295" s="6">
        <v>0.12366373</v>
      </c>
      <c r="BK295" s="6">
        <v>0.1409291</v>
      </c>
      <c r="BL295" s="6">
        <v>0.12522516</v>
      </c>
      <c r="BM295" s="6">
        <v>0.1592662</v>
      </c>
      <c r="BN295" s="6">
        <v>0.17561655</v>
      </c>
      <c r="BO295" s="6">
        <v>0.1337285</v>
      </c>
      <c r="BP295" s="6">
        <v>0.14157076</v>
      </c>
      <c r="BQ295" s="6">
        <v>0.05471846</v>
      </c>
      <c r="BR295" s="6">
        <v>0.04607611</v>
      </c>
      <c r="BS295" s="6">
        <v>0.04874419</v>
      </c>
      <c r="BT295" s="6">
        <v>0.03903189</v>
      </c>
      <c r="BU295" s="6">
        <v>0.04770474</v>
      </c>
      <c r="BV295" s="6">
        <v>0.08135985</v>
      </c>
      <c r="BW295" s="6">
        <v>0.06977635</v>
      </c>
      <c r="BX295" s="12">
        <v>33330</v>
      </c>
      <c r="BY295" s="13">
        <v>12348</v>
      </c>
      <c r="BZ295" s="12">
        <v>97277.77</v>
      </c>
      <c r="CA295" s="6">
        <f t="shared" si="28"/>
        <v>2.69922254616132</v>
      </c>
      <c r="CB295" s="6">
        <f t="shared" si="29"/>
        <v>0.342627097640088</v>
      </c>
      <c r="CC295" s="7">
        <v>571197916.6</v>
      </c>
      <c r="CD295" s="7">
        <f t="shared" si="24"/>
        <v>0.587182371265295</v>
      </c>
      <c r="CE295" s="8">
        <v>986</v>
      </c>
      <c r="CF295" s="8">
        <v>1053.1</v>
      </c>
      <c r="CG295" s="8">
        <v>2871.6</v>
      </c>
      <c r="CH295" s="8">
        <v>50263</v>
      </c>
      <c r="CI295" s="14">
        <v>1</v>
      </c>
      <c r="CJ295" s="14">
        <v>1</v>
      </c>
      <c r="CK295" s="14">
        <f t="shared" si="25"/>
        <v>1</v>
      </c>
      <c r="CL295">
        <f t="shared" si="26"/>
        <v>1.51591455826218</v>
      </c>
      <c r="CM295">
        <f t="shared" si="27"/>
        <v>0.612654705329545</v>
      </c>
      <c r="CN295" s="15">
        <v>33330</v>
      </c>
      <c r="CO295" s="15">
        <v>17067.51</v>
      </c>
      <c r="CP295" s="15">
        <v>933.17</v>
      </c>
      <c r="CQ295" s="15">
        <v>5920.91</v>
      </c>
      <c r="CR295" s="15">
        <v>1555.09</v>
      </c>
      <c r="CS295" s="15">
        <v>306.49</v>
      </c>
      <c r="CT295" s="15">
        <v>1672.51</v>
      </c>
      <c r="CU295" s="15">
        <v>333.77</v>
      </c>
      <c r="CV295" s="15">
        <v>190.64</v>
      </c>
      <c r="CW295" s="15">
        <v>6323.35</v>
      </c>
    </row>
    <row r="296" spans="1:101">
      <c r="A296" s="6">
        <v>2019</v>
      </c>
      <c r="B296" s="6" t="s">
        <v>111</v>
      </c>
      <c r="C296" s="6">
        <v>0.40664111</v>
      </c>
      <c r="D296" s="6">
        <v>0.064599</v>
      </c>
      <c r="E296" s="6">
        <v>0.016239</v>
      </c>
      <c r="F296" s="6">
        <v>0.02956</v>
      </c>
      <c r="G296" s="6">
        <v>0.009245</v>
      </c>
      <c r="H296" s="6">
        <v>0.009554</v>
      </c>
      <c r="I296" s="6">
        <v>0.06894</v>
      </c>
      <c r="J296" s="6">
        <v>0.033876</v>
      </c>
      <c r="K296" s="6">
        <v>0.4551518</v>
      </c>
      <c r="L296" s="6">
        <v>0.34344166</v>
      </c>
      <c r="M296" s="6">
        <v>0.41141553</v>
      </c>
      <c r="N296" s="6">
        <v>0.24480446</v>
      </c>
      <c r="O296" s="6">
        <v>0.25603717</v>
      </c>
      <c r="P296" s="6">
        <v>0.67808273</v>
      </c>
      <c r="Q296" s="6">
        <v>0.53543835</v>
      </c>
      <c r="R296" s="6">
        <v>217.69486</v>
      </c>
      <c r="S296" s="6">
        <v>0.00209078</v>
      </c>
      <c r="T296" s="6">
        <v>169.97573</v>
      </c>
      <c r="U296" s="6">
        <v>0.00202053</v>
      </c>
      <c r="V296" s="6">
        <v>197.11803</v>
      </c>
      <c r="W296" s="6">
        <v>0.00208715</v>
      </c>
      <c r="X296" s="6">
        <v>134.47093</v>
      </c>
      <c r="Y296" s="6">
        <v>0.0018205</v>
      </c>
      <c r="Z296" s="6">
        <v>134.86767</v>
      </c>
      <c r="AA296" s="6">
        <v>0.00189843</v>
      </c>
      <c r="AB296" s="6">
        <v>294.9318</v>
      </c>
      <c r="AC296" s="6">
        <v>0.00229912</v>
      </c>
      <c r="AD296" s="6">
        <v>243.86163</v>
      </c>
      <c r="AE296" s="6">
        <v>0.00219566</v>
      </c>
      <c r="AF296" s="6">
        <v>775</v>
      </c>
      <c r="AG296" s="6">
        <v>-0.01290056</v>
      </c>
      <c r="AH296" s="6">
        <v>-0.01253619</v>
      </c>
      <c r="AI296" s="6">
        <v>-0.01288181</v>
      </c>
      <c r="AJ296" s="6">
        <v>-0.01148489</v>
      </c>
      <c r="AK296" s="6">
        <v>-0.01189696</v>
      </c>
      <c r="AL296" s="6">
        <v>-0.01396767</v>
      </c>
      <c r="AM296" s="6">
        <v>-0.01344026</v>
      </c>
      <c r="AN296" s="6">
        <v>-6.4762184</v>
      </c>
      <c r="AO296" s="6">
        <v>-6.4515561</v>
      </c>
      <c r="AP296" s="6">
        <v>-6.4739881</v>
      </c>
      <c r="AQ296" s="6">
        <v>-6.4253629</v>
      </c>
      <c r="AR296" s="6">
        <v>-6.4020076</v>
      </c>
      <c r="AS296" s="6">
        <v>-6.4618417</v>
      </c>
      <c r="AT296" s="6">
        <v>-6.4506396</v>
      </c>
      <c r="AU296" s="6">
        <v>0.97344833</v>
      </c>
      <c r="AV296" s="6">
        <v>0.96974131</v>
      </c>
      <c r="AW296" s="6">
        <v>0.97311308</v>
      </c>
      <c r="AX296" s="6">
        <v>0.96580418</v>
      </c>
      <c r="AY296" s="6">
        <v>0.96229362</v>
      </c>
      <c r="AZ296" s="6">
        <v>0.97128734</v>
      </c>
      <c r="BA296" s="6">
        <v>0.96960354</v>
      </c>
      <c r="BB296" s="6">
        <v>0.02655167</v>
      </c>
      <c r="BC296" s="6">
        <v>0.03025869</v>
      </c>
      <c r="BD296" s="6">
        <v>0.02688692</v>
      </c>
      <c r="BE296" s="6">
        <v>0.03419582</v>
      </c>
      <c r="BF296" s="6">
        <v>0.03770638</v>
      </c>
      <c r="BG296" s="6">
        <v>0.02871266</v>
      </c>
      <c r="BH296" s="6">
        <v>0.03039646</v>
      </c>
      <c r="BI296" s="6">
        <v>0.21470859</v>
      </c>
      <c r="BJ296" s="6">
        <v>0.12366373</v>
      </c>
      <c r="BK296" s="6">
        <v>0.1409291</v>
      </c>
      <c r="BL296" s="6">
        <v>0.12522516</v>
      </c>
      <c r="BM296" s="6">
        <v>0.1592662</v>
      </c>
      <c r="BN296" s="6">
        <v>0.17561655</v>
      </c>
      <c r="BO296" s="6">
        <v>0.1337285</v>
      </c>
      <c r="BP296" s="6">
        <v>0.14157076</v>
      </c>
      <c r="BQ296" s="6">
        <v>0.05628577</v>
      </c>
      <c r="BR296" s="6">
        <v>0.04840092</v>
      </c>
      <c r="BS296" s="6">
        <v>0.05151958</v>
      </c>
      <c r="BT296" s="6">
        <v>0.03898908</v>
      </c>
      <c r="BU296" s="6">
        <v>0.04496436</v>
      </c>
      <c r="BV296" s="6">
        <v>0.09067898</v>
      </c>
      <c r="BW296" s="6">
        <v>0.07580242</v>
      </c>
      <c r="BX296" s="12">
        <v>34142</v>
      </c>
      <c r="BY296" s="13">
        <v>12489</v>
      </c>
      <c r="BZ296" s="12">
        <v>107671.07</v>
      </c>
      <c r="CA296" s="6">
        <f t="shared" si="28"/>
        <v>2.73376571382817</v>
      </c>
      <c r="CB296" s="6">
        <f t="shared" si="29"/>
        <v>0.317095390618854</v>
      </c>
      <c r="CC296" s="7">
        <v>579163582.4</v>
      </c>
      <c r="CD296" s="7">
        <f t="shared" si="24"/>
        <v>0.537900832972125</v>
      </c>
      <c r="CE296" s="8">
        <v>1079</v>
      </c>
      <c r="CF296" s="8">
        <v>1083.8</v>
      </c>
      <c r="CG296" s="8">
        <v>3168.1</v>
      </c>
      <c r="CH296" s="8">
        <v>53929</v>
      </c>
      <c r="CI296" s="14">
        <v>1</v>
      </c>
      <c r="CJ296" s="14">
        <v>1</v>
      </c>
      <c r="CK296" s="14">
        <f t="shared" si="25"/>
        <v>1</v>
      </c>
      <c r="CL296">
        <f t="shared" si="26"/>
        <v>1.5000536746505</v>
      </c>
      <c r="CM296">
        <f t="shared" si="27"/>
        <v>0.641412276065754</v>
      </c>
      <c r="CN296" s="15">
        <v>34142</v>
      </c>
      <c r="CO296" s="15">
        <v>16833.87</v>
      </c>
      <c r="CP296" s="15">
        <v>985.06</v>
      </c>
      <c r="CQ296" s="15">
        <v>5632.08</v>
      </c>
      <c r="CR296" s="15">
        <v>1561.02</v>
      </c>
      <c r="CS296" s="15">
        <v>313.11</v>
      </c>
      <c r="CT296" s="15">
        <v>1672.22</v>
      </c>
      <c r="CU296" s="15">
        <v>346.25</v>
      </c>
      <c r="CV296" s="15">
        <v>206.18</v>
      </c>
      <c r="CW296" s="15">
        <v>6695.85</v>
      </c>
    </row>
    <row r="297" spans="1:101">
      <c r="A297" s="6">
        <v>2020</v>
      </c>
      <c r="B297" s="6" t="s">
        <v>111</v>
      </c>
      <c r="C297" s="6">
        <v>0.42975288</v>
      </c>
      <c r="D297" s="6">
        <v>0.069715</v>
      </c>
      <c r="E297" s="6">
        <v>0.017071</v>
      </c>
      <c r="F297" s="6">
        <v>0.032009</v>
      </c>
      <c r="G297" s="6">
        <v>0.009493</v>
      </c>
      <c r="H297" s="6">
        <v>0.011143</v>
      </c>
      <c r="I297" s="6">
        <v>0.068221</v>
      </c>
      <c r="J297" s="6">
        <v>0.034714</v>
      </c>
      <c r="K297" s="6">
        <v>0.49528327</v>
      </c>
      <c r="L297" s="6">
        <v>0.36309968</v>
      </c>
      <c r="M297" s="6">
        <v>0.44904865</v>
      </c>
      <c r="N297" s="6">
        <v>0.25212216</v>
      </c>
      <c r="O297" s="6">
        <v>0.30417904</v>
      </c>
      <c r="P297" s="6">
        <v>0.6700787</v>
      </c>
      <c r="Q297" s="6">
        <v>0.55038747</v>
      </c>
      <c r="R297" s="6">
        <v>217.69486</v>
      </c>
      <c r="S297" s="6">
        <v>0.00227513</v>
      </c>
      <c r="T297" s="6">
        <v>169.97573</v>
      </c>
      <c r="U297" s="6">
        <v>0.00213619</v>
      </c>
      <c r="V297" s="6">
        <v>197.11803</v>
      </c>
      <c r="W297" s="6">
        <v>0.00227807</v>
      </c>
      <c r="X297" s="6">
        <v>134.47093</v>
      </c>
      <c r="Y297" s="6">
        <v>0.00187492</v>
      </c>
      <c r="Z297" s="6">
        <v>134.86767</v>
      </c>
      <c r="AA297" s="6">
        <v>0.00225539</v>
      </c>
      <c r="AB297" s="6">
        <v>294.9318</v>
      </c>
      <c r="AC297" s="6">
        <v>0.00227198</v>
      </c>
      <c r="AD297" s="6">
        <v>243.86163</v>
      </c>
      <c r="AE297" s="6">
        <v>0.00225697</v>
      </c>
      <c r="AF297" s="6">
        <v>775</v>
      </c>
      <c r="AG297" s="6">
        <v>-0.01384578</v>
      </c>
      <c r="AH297" s="6">
        <v>-0.01313483</v>
      </c>
      <c r="AI297" s="6">
        <v>-0.01386075</v>
      </c>
      <c r="AJ297" s="6">
        <v>-0.01177297</v>
      </c>
      <c r="AK297" s="6">
        <v>-0.01374532</v>
      </c>
      <c r="AL297" s="6">
        <v>-0.01382977</v>
      </c>
      <c r="AM297" s="6">
        <v>-0.01375335</v>
      </c>
      <c r="AN297" s="6">
        <v>-6.4762184</v>
      </c>
      <c r="AO297" s="6">
        <v>-6.4515561</v>
      </c>
      <c r="AP297" s="6">
        <v>-6.4739881</v>
      </c>
      <c r="AQ297" s="6">
        <v>-6.4253629</v>
      </c>
      <c r="AR297" s="6">
        <v>-6.4020076</v>
      </c>
      <c r="AS297" s="6">
        <v>-6.4618417</v>
      </c>
      <c r="AT297" s="6">
        <v>-6.4506396</v>
      </c>
      <c r="AU297" s="6">
        <v>0.97344833</v>
      </c>
      <c r="AV297" s="6">
        <v>0.96974131</v>
      </c>
      <c r="AW297" s="6">
        <v>0.97311308</v>
      </c>
      <c r="AX297" s="6">
        <v>0.96580418</v>
      </c>
      <c r="AY297" s="6">
        <v>0.96229362</v>
      </c>
      <c r="AZ297" s="6">
        <v>0.97128734</v>
      </c>
      <c r="BA297" s="6">
        <v>0.96960354</v>
      </c>
      <c r="BB297" s="6">
        <v>0.02655167</v>
      </c>
      <c r="BC297" s="6">
        <v>0.03025869</v>
      </c>
      <c r="BD297" s="6">
        <v>0.02688692</v>
      </c>
      <c r="BE297" s="6">
        <v>0.03419582</v>
      </c>
      <c r="BF297" s="6">
        <v>0.03770638</v>
      </c>
      <c r="BG297" s="6">
        <v>0.02871266</v>
      </c>
      <c r="BH297" s="6">
        <v>0.03039646</v>
      </c>
      <c r="BI297" s="6">
        <v>0.21470859</v>
      </c>
      <c r="BJ297" s="6">
        <v>0.12366373</v>
      </c>
      <c r="BK297" s="6">
        <v>0.1409291</v>
      </c>
      <c r="BL297" s="6">
        <v>0.12522516</v>
      </c>
      <c r="BM297" s="6">
        <v>0.1592662</v>
      </c>
      <c r="BN297" s="6">
        <v>0.17561655</v>
      </c>
      <c r="BO297" s="6">
        <v>0.1337285</v>
      </c>
      <c r="BP297" s="6">
        <v>0.14157076</v>
      </c>
      <c r="BQ297" s="6">
        <v>0.06124858</v>
      </c>
      <c r="BR297" s="6">
        <v>0.05117131</v>
      </c>
      <c r="BS297" s="6">
        <v>0.05623219</v>
      </c>
      <c r="BT297" s="6">
        <v>0.04015454</v>
      </c>
      <c r="BU297" s="6">
        <v>0.05341887</v>
      </c>
      <c r="BV297" s="6">
        <v>0.08960862</v>
      </c>
      <c r="BW297" s="6">
        <v>0.07791877</v>
      </c>
      <c r="BX297" s="12">
        <v>34502.9190924184</v>
      </c>
      <c r="BY297" s="13">
        <v>12623.61</v>
      </c>
      <c r="BZ297" s="12">
        <v>110760.94</v>
      </c>
      <c r="CA297" s="6">
        <f t="shared" si="28"/>
        <v>2.73320540577683</v>
      </c>
      <c r="CB297" s="6">
        <f t="shared" si="29"/>
        <v>0.311508001759631</v>
      </c>
      <c r="CC297" s="7">
        <v>600136315.5</v>
      </c>
      <c r="CD297" s="7">
        <f t="shared" si="24"/>
        <v>0.541830283762489</v>
      </c>
      <c r="CE297" s="8">
        <v>1136</v>
      </c>
      <c r="CF297" s="8">
        <v>1072.2</v>
      </c>
      <c r="CG297" s="8">
        <v>3358</v>
      </c>
      <c r="CH297" s="8">
        <v>55438</v>
      </c>
      <c r="CI297" s="14">
        <v>1</v>
      </c>
      <c r="CJ297" s="14">
        <v>1</v>
      </c>
      <c r="CK297" s="14">
        <f t="shared" si="25"/>
        <v>1</v>
      </c>
      <c r="CL297">
        <f t="shared" si="26"/>
        <v>1.47141701078949</v>
      </c>
      <c r="CM297">
        <f t="shared" si="27"/>
        <v>0.631762933424448</v>
      </c>
      <c r="CN297" s="15">
        <v>34502.92</v>
      </c>
      <c r="CO297" s="15">
        <v>16514.14</v>
      </c>
      <c r="CP297" s="15">
        <v>1011.69</v>
      </c>
      <c r="CQ297" s="15">
        <v>6249.93</v>
      </c>
      <c r="CR297" s="15">
        <v>1506.78</v>
      </c>
      <c r="CS297" s="15">
        <v>280.06</v>
      </c>
      <c r="CT297" s="15">
        <v>1541.48</v>
      </c>
      <c r="CU297" s="15">
        <v>502.81</v>
      </c>
      <c r="CV297" s="15">
        <v>212.58</v>
      </c>
      <c r="CW297" s="15">
        <v>6926</v>
      </c>
    </row>
    <row r="298" spans="1:101">
      <c r="A298" s="6">
        <v>2021</v>
      </c>
      <c r="B298" s="6" t="s">
        <v>111</v>
      </c>
      <c r="C298" s="6">
        <v>0.42810751</v>
      </c>
      <c r="D298" s="6">
        <v>0.067285</v>
      </c>
      <c r="E298" s="6">
        <v>0.016808</v>
      </c>
      <c r="F298" s="6">
        <v>0.030093</v>
      </c>
      <c r="G298" s="6">
        <v>0.010503</v>
      </c>
      <c r="H298" s="6">
        <v>0.009881</v>
      </c>
      <c r="I298" s="6">
        <v>0.069927</v>
      </c>
      <c r="J298" s="6">
        <v>0.036572</v>
      </c>
      <c r="K298" s="6">
        <v>0.4762166</v>
      </c>
      <c r="L298" s="6">
        <v>0.35689865</v>
      </c>
      <c r="M298" s="6">
        <v>0.41959701</v>
      </c>
      <c r="N298" s="6">
        <v>0.2819735</v>
      </c>
      <c r="O298" s="6">
        <v>0.26593201</v>
      </c>
      <c r="P298" s="6">
        <v>0.68908327</v>
      </c>
      <c r="Q298" s="6">
        <v>0.58355479</v>
      </c>
      <c r="R298" s="6">
        <v>217.69486</v>
      </c>
      <c r="S298" s="6">
        <v>0.00218754</v>
      </c>
      <c r="T298" s="6">
        <v>169.97573</v>
      </c>
      <c r="U298" s="6">
        <v>0.0020997</v>
      </c>
      <c r="V298" s="6">
        <v>197.11803</v>
      </c>
      <c r="W298" s="6">
        <v>0.00212866</v>
      </c>
      <c r="X298" s="6">
        <v>134.47093</v>
      </c>
      <c r="Y298" s="6">
        <v>0.00209691</v>
      </c>
      <c r="Z298" s="6">
        <v>134.86767</v>
      </c>
      <c r="AA298" s="6">
        <v>0.0019718</v>
      </c>
      <c r="AB298" s="6">
        <v>294.9318</v>
      </c>
      <c r="AC298" s="6">
        <v>0.00233642</v>
      </c>
      <c r="AD298" s="6">
        <v>243.86163</v>
      </c>
      <c r="AE298" s="6">
        <v>0.00239298</v>
      </c>
      <c r="AF298" s="6">
        <v>775</v>
      </c>
      <c r="AG298" s="6">
        <v>-0.01339864</v>
      </c>
      <c r="AH298" s="6">
        <v>-0.01294669</v>
      </c>
      <c r="AI298" s="6">
        <v>-0.01309607</v>
      </c>
      <c r="AJ298" s="6">
        <v>-0.01293226</v>
      </c>
      <c r="AK298" s="6">
        <v>-0.01228196</v>
      </c>
      <c r="AL298" s="6">
        <v>-0.01415666</v>
      </c>
      <c r="AM298" s="6">
        <v>-0.01444213</v>
      </c>
      <c r="AN298" s="6">
        <v>-6.4762184</v>
      </c>
      <c r="AO298" s="6">
        <v>-6.4515561</v>
      </c>
      <c r="AP298" s="6">
        <v>-6.4739881</v>
      </c>
      <c r="AQ298" s="6">
        <v>-6.4253629</v>
      </c>
      <c r="AR298" s="6">
        <v>-6.4020076</v>
      </c>
      <c r="AS298" s="6">
        <v>-6.4618417</v>
      </c>
      <c r="AT298" s="6">
        <v>-6.4506396</v>
      </c>
      <c r="AU298" s="6">
        <v>0.97344833</v>
      </c>
      <c r="AV298" s="6">
        <v>0.96974131</v>
      </c>
      <c r="AW298" s="6">
        <v>0.97311308</v>
      </c>
      <c r="AX298" s="6">
        <v>0.96580418</v>
      </c>
      <c r="AY298" s="6">
        <v>0.96229362</v>
      </c>
      <c r="AZ298" s="6">
        <v>0.97128734</v>
      </c>
      <c r="BA298" s="6">
        <v>0.96960354</v>
      </c>
      <c r="BB298" s="6">
        <v>0.02655167</v>
      </c>
      <c r="BC298" s="6">
        <v>0.03025869</v>
      </c>
      <c r="BD298" s="6">
        <v>0.02688692</v>
      </c>
      <c r="BE298" s="6">
        <v>0.03419582</v>
      </c>
      <c r="BF298" s="6">
        <v>0.03770638</v>
      </c>
      <c r="BG298" s="6">
        <v>0.02871266</v>
      </c>
      <c r="BH298" s="6">
        <v>0.03039646</v>
      </c>
      <c r="BI298" s="6">
        <v>0.21470859</v>
      </c>
      <c r="BJ298" s="6">
        <v>0.12366373</v>
      </c>
      <c r="BK298" s="6">
        <v>0.1409291</v>
      </c>
      <c r="BL298" s="6">
        <v>0.12522516</v>
      </c>
      <c r="BM298" s="6">
        <v>0.1592662</v>
      </c>
      <c r="BN298" s="6">
        <v>0.17561655</v>
      </c>
      <c r="BO298" s="6">
        <v>0.1337285</v>
      </c>
      <c r="BP298" s="6">
        <v>0.14157076</v>
      </c>
      <c r="BQ298" s="6">
        <v>0.05889072</v>
      </c>
      <c r="BR298" s="6">
        <v>0.0502974</v>
      </c>
      <c r="BS298" s="6">
        <v>0.0525441</v>
      </c>
      <c r="BT298" s="6">
        <v>0.04490885</v>
      </c>
      <c r="BU298" s="6">
        <v>0.04670206</v>
      </c>
      <c r="BV298" s="6">
        <v>0.09215007</v>
      </c>
      <c r="BW298" s="6">
        <v>0.0826143</v>
      </c>
      <c r="BX298" s="12">
        <v>36821.4212637047</v>
      </c>
      <c r="BY298" s="13">
        <v>12684</v>
      </c>
      <c r="BZ298" s="12">
        <v>124369.7</v>
      </c>
      <c r="CA298" s="6">
        <f t="shared" si="28"/>
        <v>2.90298180886981</v>
      </c>
      <c r="CB298" s="6">
        <f t="shared" si="29"/>
        <v>0.296064244455882</v>
      </c>
      <c r="CC298" s="7">
        <v>640403483.9</v>
      </c>
      <c r="CD298" s="7">
        <f t="shared" si="24"/>
        <v>0.514919215773617</v>
      </c>
      <c r="CE298" s="8">
        <v>1254.4</v>
      </c>
      <c r="CF298" s="8">
        <v>1240.8</v>
      </c>
      <c r="CG298" s="8">
        <v>4008.8</v>
      </c>
      <c r="CH298" s="8">
        <v>63991</v>
      </c>
      <c r="CI298" s="14">
        <v>1</v>
      </c>
      <c r="CJ298" s="14">
        <v>1</v>
      </c>
      <c r="CK298" s="14">
        <f t="shared" si="25"/>
        <v>1</v>
      </c>
      <c r="CL298">
        <f t="shared" si="26"/>
        <v>1.36781889095748</v>
      </c>
      <c r="CM298">
        <f t="shared" si="27"/>
        <v>0.62354722604162</v>
      </c>
      <c r="CN298" s="15">
        <v>36821.42</v>
      </c>
      <c r="CO298" s="15">
        <v>18962.99</v>
      </c>
      <c r="CP298" s="15">
        <v>932.44</v>
      </c>
      <c r="CQ298" s="15">
        <v>6783.97</v>
      </c>
      <c r="CR298" s="15">
        <v>1269.76</v>
      </c>
      <c r="CS298" s="15">
        <v>365.16</v>
      </c>
      <c r="CT298" s="15">
        <v>1363.02</v>
      </c>
      <c r="CU298" s="15">
        <v>605.11</v>
      </c>
      <c r="CV298" s="15">
        <v>285.46</v>
      </c>
      <c r="CW298" s="15">
        <v>7867</v>
      </c>
    </row>
    <row r="299" spans="1:101">
      <c r="A299" s="6">
        <v>2022</v>
      </c>
      <c r="B299" s="6" t="s">
        <v>111</v>
      </c>
      <c r="C299" s="6">
        <v>0.43880348</v>
      </c>
      <c r="D299" s="6">
        <v>0.069791</v>
      </c>
      <c r="E299" s="6">
        <v>0.01798</v>
      </c>
      <c r="F299" s="6">
        <v>0.031128</v>
      </c>
      <c r="G299" s="6">
        <v>0.010755</v>
      </c>
      <c r="H299" s="6">
        <v>0.009928</v>
      </c>
      <c r="I299" s="6">
        <v>0.07208</v>
      </c>
      <c r="J299" s="6">
        <v>0.035671</v>
      </c>
      <c r="K299" s="6">
        <v>0.49587542</v>
      </c>
      <c r="L299" s="6">
        <v>0.38460106</v>
      </c>
      <c r="M299" s="6">
        <v>0.43550178</v>
      </c>
      <c r="N299" s="6">
        <v>0.28942537</v>
      </c>
      <c r="O299" s="6">
        <v>0.26737378</v>
      </c>
      <c r="P299" s="6">
        <v>0.71306135</v>
      </c>
      <c r="Q299" s="6">
        <v>0.56746779</v>
      </c>
      <c r="R299" s="6">
        <v>217.69486</v>
      </c>
      <c r="S299" s="6">
        <v>0.00227785</v>
      </c>
      <c r="T299" s="6">
        <v>169.97573</v>
      </c>
      <c r="U299" s="6">
        <v>0.00226268</v>
      </c>
      <c r="V299" s="6">
        <v>197.11803</v>
      </c>
      <c r="W299" s="6">
        <v>0.00220935</v>
      </c>
      <c r="X299" s="6">
        <v>134.47093</v>
      </c>
      <c r="Y299" s="6">
        <v>0.00215233</v>
      </c>
      <c r="Z299" s="6">
        <v>134.86767</v>
      </c>
      <c r="AA299" s="6">
        <v>0.00198249</v>
      </c>
      <c r="AB299" s="6">
        <v>294.9318</v>
      </c>
      <c r="AC299" s="6">
        <v>0.00241772</v>
      </c>
      <c r="AD299" s="6">
        <v>243.86163</v>
      </c>
      <c r="AE299" s="6">
        <v>0.00232701</v>
      </c>
      <c r="AF299" s="6">
        <v>775</v>
      </c>
      <c r="AG299" s="6">
        <v>-0.01385961</v>
      </c>
      <c r="AH299" s="6">
        <v>-0.01378246</v>
      </c>
      <c r="AI299" s="6">
        <v>-0.01351028</v>
      </c>
      <c r="AJ299" s="6">
        <v>-0.01321788</v>
      </c>
      <c r="AK299" s="6">
        <v>-0.01233783</v>
      </c>
      <c r="AL299" s="6">
        <v>-0.01456657</v>
      </c>
      <c r="AM299" s="6">
        <v>-0.01410905</v>
      </c>
      <c r="AN299" s="6">
        <v>-6.4762184</v>
      </c>
      <c r="AO299" s="6">
        <v>-6.4515561</v>
      </c>
      <c r="AP299" s="6">
        <v>-6.4739881</v>
      </c>
      <c r="AQ299" s="6">
        <v>-6.4253629</v>
      </c>
      <c r="AR299" s="6">
        <v>-6.4020076</v>
      </c>
      <c r="AS299" s="6">
        <v>-6.4618417</v>
      </c>
      <c r="AT299" s="6">
        <v>-6.4506396</v>
      </c>
      <c r="AU299" s="6">
        <v>0.97344833</v>
      </c>
      <c r="AV299" s="6">
        <v>0.96974131</v>
      </c>
      <c r="AW299" s="6">
        <v>0.97311308</v>
      </c>
      <c r="AX299" s="6">
        <v>0.96580418</v>
      </c>
      <c r="AY299" s="6">
        <v>0.96229362</v>
      </c>
      <c r="AZ299" s="6">
        <v>0.97128734</v>
      </c>
      <c r="BA299" s="6">
        <v>0.96960354</v>
      </c>
      <c r="BB299" s="6">
        <v>0.02655167</v>
      </c>
      <c r="BC299" s="6">
        <v>0.03025869</v>
      </c>
      <c r="BD299" s="6">
        <v>0.02688692</v>
      </c>
      <c r="BE299" s="6">
        <v>0.03419582</v>
      </c>
      <c r="BF299" s="6">
        <v>0.03770638</v>
      </c>
      <c r="BG299" s="6">
        <v>0.02871266</v>
      </c>
      <c r="BH299" s="6">
        <v>0.03039646</v>
      </c>
      <c r="BI299" s="6">
        <v>0.21470859</v>
      </c>
      <c r="BJ299" s="6">
        <v>0.12366373</v>
      </c>
      <c r="BK299" s="6">
        <v>0.1409291</v>
      </c>
      <c r="BL299" s="6">
        <v>0.12522516</v>
      </c>
      <c r="BM299" s="6">
        <v>0.1592662</v>
      </c>
      <c r="BN299" s="6">
        <v>0.17561655</v>
      </c>
      <c r="BO299" s="6">
        <v>0.1337285</v>
      </c>
      <c r="BP299" s="6">
        <v>0.14157076</v>
      </c>
      <c r="BQ299" s="6">
        <v>0.06132181</v>
      </c>
      <c r="BR299" s="6">
        <v>0.05420148</v>
      </c>
      <c r="BS299" s="6">
        <v>0.05453578</v>
      </c>
      <c r="BT299" s="6">
        <v>0.04609568</v>
      </c>
      <c r="BU299" s="6">
        <v>0.04695526</v>
      </c>
      <c r="BV299" s="6">
        <v>0.09535662</v>
      </c>
      <c r="BW299" s="6">
        <v>0.08033685</v>
      </c>
      <c r="BX299" s="12">
        <v>36519.0536939061</v>
      </c>
      <c r="BY299" s="13">
        <v>12657</v>
      </c>
      <c r="BZ299" s="12">
        <v>129118.6</v>
      </c>
      <c r="CA299" s="6">
        <f t="shared" si="28"/>
        <v>2.88528511447469</v>
      </c>
      <c r="CB299" s="6">
        <f t="shared" si="29"/>
        <v>0.282833408152707</v>
      </c>
      <c r="CC299" s="7">
        <v>636098873.6</v>
      </c>
      <c r="CD299" s="7">
        <f t="shared" si="24"/>
        <v>0.492646972318473</v>
      </c>
      <c r="CE299" s="8">
        <v>1417.9</v>
      </c>
      <c r="CF299" s="8">
        <v>1308.7</v>
      </c>
      <c r="CG299" s="8">
        <v>4163.1</v>
      </c>
      <c r="CH299" s="8">
        <v>67314</v>
      </c>
      <c r="CI299" s="14">
        <v>1</v>
      </c>
      <c r="CJ299" s="14">
        <v>1</v>
      </c>
      <c r="CK299" s="14">
        <f t="shared" si="25"/>
        <v>1</v>
      </c>
      <c r="CL299">
        <f t="shared" si="26"/>
        <v>1.27047633725244</v>
      </c>
      <c r="CM299">
        <f t="shared" si="27"/>
        <v>0.612234436901136</v>
      </c>
      <c r="CN299" s="15">
        <v>36519.05</v>
      </c>
      <c r="CO299" s="15">
        <v>18628.88</v>
      </c>
      <c r="CP299" s="15">
        <v>1075.28</v>
      </c>
      <c r="CQ299" s="15">
        <v>6634.04</v>
      </c>
      <c r="CR299" s="15">
        <v>1031.4</v>
      </c>
      <c r="CS299" s="15">
        <v>334.89</v>
      </c>
      <c r="CT299" s="15">
        <v>1098.04</v>
      </c>
      <c r="CU299" s="15">
        <v>533.65</v>
      </c>
      <c r="CV299" s="15">
        <v>295.69</v>
      </c>
      <c r="CW299" s="15">
        <v>7870.34</v>
      </c>
    </row>
    <row r="300" spans="1:101">
      <c r="A300" s="6">
        <v>2023</v>
      </c>
      <c r="B300" s="6" t="s">
        <v>111</v>
      </c>
      <c r="C300" s="6">
        <v>0.59991677</v>
      </c>
      <c r="D300" s="6">
        <v>0.079717</v>
      </c>
      <c r="E300" s="6">
        <v>0.026572</v>
      </c>
      <c r="F300" s="6">
        <v>0.039582</v>
      </c>
      <c r="G300" s="6">
        <v>0.018427</v>
      </c>
      <c r="H300" s="6">
        <v>0.017396</v>
      </c>
      <c r="I300" s="6">
        <v>0.081653</v>
      </c>
      <c r="J300" s="6">
        <v>0.042189</v>
      </c>
      <c r="K300" s="6">
        <v>0.57373701</v>
      </c>
      <c r="L300" s="6">
        <v>0.58773152</v>
      </c>
      <c r="M300" s="6">
        <v>0.56544874</v>
      </c>
      <c r="N300" s="6">
        <v>0.51620726</v>
      </c>
      <c r="O300" s="6">
        <v>0.49367547</v>
      </c>
      <c r="P300" s="6">
        <v>0.81968527</v>
      </c>
      <c r="Q300" s="6">
        <v>0.68377253</v>
      </c>
      <c r="R300" s="6">
        <v>217.69486</v>
      </c>
      <c r="S300" s="6">
        <v>0.00263551</v>
      </c>
      <c r="T300" s="6">
        <v>169.97573</v>
      </c>
      <c r="U300" s="6">
        <v>0.00345774</v>
      </c>
      <c r="V300" s="6">
        <v>197.11803</v>
      </c>
      <c r="W300" s="6">
        <v>0.00286858</v>
      </c>
      <c r="X300" s="6">
        <v>134.47093</v>
      </c>
      <c r="Y300" s="6">
        <v>0.0038388</v>
      </c>
      <c r="Z300" s="6">
        <v>134.86767</v>
      </c>
      <c r="AA300" s="6">
        <v>0.00366044</v>
      </c>
      <c r="AB300" s="6">
        <v>294.9318</v>
      </c>
      <c r="AC300" s="6">
        <v>0.00277924</v>
      </c>
      <c r="AD300" s="6">
        <v>243.86163</v>
      </c>
      <c r="AE300" s="6">
        <v>0.00280394</v>
      </c>
      <c r="AF300" s="6">
        <v>775</v>
      </c>
      <c r="AG300" s="6">
        <v>-0.01565145</v>
      </c>
      <c r="AH300" s="6">
        <v>-0.01959549</v>
      </c>
      <c r="AI300" s="6">
        <v>-0.01679249</v>
      </c>
      <c r="AJ300" s="6">
        <v>-0.0213537</v>
      </c>
      <c r="AK300" s="6">
        <v>-0.02053571</v>
      </c>
      <c r="AL300" s="6">
        <v>-0.01635742</v>
      </c>
      <c r="AM300" s="6">
        <v>-0.01647798</v>
      </c>
      <c r="AN300" s="6">
        <v>-6.4762184</v>
      </c>
      <c r="AO300" s="6">
        <v>-6.4515561</v>
      </c>
      <c r="AP300" s="6">
        <v>-6.4739881</v>
      </c>
      <c r="AQ300" s="6">
        <v>-6.4253629</v>
      </c>
      <c r="AR300" s="6">
        <v>-6.4020076</v>
      </c>
      <c r="AS300" s="6">
        <v>-6.4618417</v>
      </c>
      <c r="AT300" s="6">
        <v>-6.4506396</v>
      </c>
      <c r="AU300" s="6">
        <v>0.97344833</v>
      </c>
      <c r="AV300" s="6">
        <v>0.96974131</v>
      </c>
      <c r="AW300" s="6">
        <v>0.97311308</v>
      </c>
      <c r="AX300" s="6">
        <v>0.96580418</v>
      </c>
      <c r="AY300" s="6">
        <v>0.96229362</v>
      </c>
      <c r="AZ300" s="6">
        <v>0.97128734</v>
      </c>
      <c r="BA300" s="6">
        <v>0.96960354</v>
      </c>
      <c r="BB300" s="6">
        <v>0.02655167</v>
      </c>
      <c r="BC300" s="6">
        <v>0.03025869</v>
      </c>
      <c r="BD300" s="6">
        <v>0.02688692</v>
      </c>
      <c r="BE300" s="6">
        <v>0.03419582</v>
      </c>
      <c r="BF300" s="6">
        <v>0.03770638</v>
      </c>
      <c r="BG300" s="6">
        <v>0.02871266</v>
      </c>
      <c r="BH300" s="6">
        <v>0.03039646</v>
      </c>
      <c r="BI300" s="6">
        <v>0.21470859</v>
      </c>
      <c r="BJ300" s="6">
        <v>0.12366373</v>
      </c>
      <c r="BK300" s="6">
        <v>0.1409291</v>
      </c>
      <c r="BL300" s="6">
        <v>0.12522516</v>
      </c>
      <c r="BM300" s="6">
        <v>0.1592662</v>
      </c>
      <c r="BN300" s="6">
        <v>0.17561655</v>
      </c>
      <c r="BO300" s="6">
        <v>0.1337285</v>
      </c>
      <c r="BP300" s="6">
        <v>0.14157076</v>
      </c>
      <c r="BQ300" s="6">
        <v>0.07095046</v>
      </c>
      <c r="BR300" s="6">
        <v>0.08282847</v>
      </c>
      <c r="BS300" s="6">
        <v>0.07080841</v>
      </c>
      <c r="BT300" s="6">
        <v>0.08221437</v>
      </c>
      <c r="BU300" s="6">
        <v>0.08669758</v>
      </c>
      <c r="BV300" s="6">
        <v>0.10961528</v>
      </c>
      <c r="BW300" s="6">
        <v>0.0968022</v>
      </c>
      <c r="BX300" s="12">
        <v>41046.27</v>
      </c>
      <c r="BY300" s="13">
        <v>12706</v>
      </c>
      <c r="BZ300" s="12">
        <v>135673.2</v>
      </c>
      <c r="CA300" s="6">
        <f t="shared" si="28"/>
        <v>3.23046356052259</v>
      </c>
      <c r="CB300" s="6">
        <f t="shared" si="29"/>
        <v>0.302537789334961</v>
      </c>
      <c r="CC300" s="7">
        <v>678789432.5</v>
      </c>
      <c r="CD300" s="7">
        <f t="shared" si="24"/>
        <v>0.500312097378111</v>
      </c>
      <c r="CE300" s="8">
        <v>1507.4</v>
      </c>
      <c r="CF300" s="8">
        <v>1448.5</v>
      </c>
      <c r="CG300" s="8">
        <v>4595.3</v>
      </c>
      <c r="CH300" s="8">
        <v>72958</v>
      </c>
      <c r="CI300" s="14">
        <v>1</v>
      </c>
      <c r="CJ300" s="14">
        <v>1</v>
      </c>
      <c r="CK300" s="14">
        <f t="shared" si="25"/>
        <v>1</v>
      </c>
      <c r="CL300">
        <f t="shared" si="26"/>
        <v>1.2756783895882</v>
      </c>
      <c r="CM300">
        <f t="shared" si="27"/>
        <v>0.607807029215555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</row>
    <row r="301" spans="1:101">
      <c r="A301" s="6">
        <v>2024</v>
      </c>
      <c r="B301" s="6" t="s">
        <v>111</v>
      </c>
      <c r="C301" s="6">
        <v>0.66324554</v>
      </c>
      <c r="D301" s="6">
        <v>0.083694</v>
      </c>
      <c r="E301" s="6">
        <v>0.029911</v>
      </c>
      <c r="F301" s="6">
        <v>0.042593</v>
      </c>
      <c r="G301" s="6">
        <v>0.021632</v>
      </c>
      <c r="H301" s="6">
        <v>0.020036</v>
      </c>
      <c r="I301" s="6">
        <v>0.086193</v>
      </c>
      <c r="J301" s="6">
        <v>0.044823</v>
      </c>
      <c r="K301" s="6">
        <v>0.60493487</v>
      </c>
      <c r="L301" s="6">
        <v>0.66667295</v>
      </c>
      <c r="M301" s="6">
        <v>0.61171564</v>
      </c>
      <c r="N301" s="6">
        <v>0.61093235</v>
      </c>
      <c r="O301" s="6">
        <v>0.57368339</v>
      </c>
      <c r="P301" s="6">
        <v>0.87025038</v>
      </c>
      <c r="Q301" s="6">
        <v>0.73076375</v>
      </c>
      <c r="R301" s="6">
        <v>217.69486</v>
      </c>
      <c r="S301" s="6">
        <v>0.00277882</v>
      </c>
      <c r="T301" s="6">
        <v>169.97573</v>
      </c>
      <c r="U301" s="6">
        <v>0.00392217</v>
      </c>
      <c r="V301" s="6">
        <v>197.11803</v>
      </c>
      <c r="W301" s="6">
        <v>0.0031033</v>
      </c>
      <c r="X301" s="6">
        <v>134.47093</v>
      </c>
      <c r="Y301" s="6">
        <v>0.00454323</v>
      </c>
      <c r="Z301" s="6">
        <v>134.86767</v>
      </c>
      <c r="AA301" s="6">
        <v>0.00425368</v>
      </c>
      <c r="AB301" s="6">
        <v>294.9318</v>
      </c>
      <c r="AC301" s="6">
        <v>0.00295068</v>
      </c>
      <c r="AD301" s="6">
        <v>243.86163</v>
      </c>
      <c r="AE301" s="6">
        <v>0.00299663</v>
      </c>
      <c r="AF301" s="6">
        <v>775</v>
      </c>
      <c r="AG301" s="6">
        <v>-0.01635538</v>
      </c>
      <c r="AH301" s="6">
        <v>-0.02173316</v>
      </c>
      <c r="AI301" s="6">
        <v>-0.01792244</v>
      </c>
      <c r="AJ301" s="6">
        <v>-0.02450671</v>
      </c>
      <c r="AK301" s="6">
        <v>-0.02322495</v>
      </c>
      <c r="AL301" s="6">
        <v>-0.01718985</v>
      </c>
      <c r="AM301" s="6">
        <v>-0.01741123</v>
      </c>
      <c r="AN301" s="6">
        <v>-6.4762184</v>
      </c>
      <c r="AO301" s="6">
        <v>-6.4515561</v>
      </c>
      <c r="AP301" s="6">
        <v>-6.4739881</v>
      </c>
      <c r="AQ301" s="6">
        <v>-6.4253629</v>
      </c>
      <c r="AR301" s="6">
        <v>-6.4020076</v>
      </c>
      <c r="AS301" s="6">
        <v>-6.4618417</v>
      </c>
      <c r="AT301" s="6">
        <v>-6.4506396</v>
      </c>
      <c r="AU301" s="6">
        <v>0.97344833</v>
      </c>
      <c r="AV301" s="6">
        <v>0.96974131</v>
      </c>
      <c r="AW301" s="6">
        <v>0.97311308</v>
      </c>
      <c r="AX301" s="6">
        <v>0.96580418</v>
      </c>
      <c r="AY301" s="6">
        <v>0.96229362</v>
      </c>
      <c r="AZ301" s="6">
        <v>0.97128734</v>
      </c>
      <c r="BA301" s="6">
        <v>0.96960354</v>
      </c>
      <c r="BB301" s="6">
        <v>0.02655167</v>
      </c>
      <c r="BC301" s="6">
        <v>0.03025869</v>
      </c>
      <c r="BD301" s="6">
        <v>0.02688692</v>
      </c>
      <c r="BE301" s="6">
        <v>0.03419582</v>
      </c>
      <c r="BF301" s="6">
        <v>0.03770638</v>
      </c>
      <c r="BG301" s="6">
        <v>0.02871266</v>
      </c>
      <c r="BH301" s="6">
        <v>0.03039646</v>
      </c>
      <c r="BI301" s="6">
        <v>0.21470859</v>
      </c>
      <c r="BJ301" s="6">
        <v>0.12366373</v>
      </c>
      <c r="BK301" s="6">
        <v>0.1409291</v>
      </c>
      <c r="BL301" s="6">
        <v>0.12522516</v>
      </c>
      <c r="BM301" s="6">
        <v>0.1592662</v>
      </c>
      <c r="BN301" s="6">
        <v>0.17561655</v>
      </c>
      <c r="BO301" s="6">
        <v>0.1337285</v>
      </c>
      <c r="BP301" s="6">
        <v>0.14157076</v>
      </c>
      <c r="BQ301" s="6">
        <v>0.0748085</v>
      </c>
      <c r="BR301" s="6">
        <v>0.09395362</v>
      </c>
      <c r="BS301" s="6">
        <v>0.07660219</v>
      </c>
      <c r="BT301" s="6">
        <v>0.09730088</v>
      </c>
      <c r="BU301" s="6">
        <v>0.1007483</v>
      </c>
      <c r="BV301" s="6">
        <v>0.11637727</v>
      </c>
      <c r="BW301" s="6">
        <v>0.10345478</v>
      </c>
      <c r="BX301" s="12">
        <v>42793</v>
      </c>
      <c r="BY301" s="13">
        <v>12780</v>
      </c>
      <c r="BZ301" s="12">
        <v>141633.8</v>
      </c>
      <c r="CA301" s="6">
        <f t="shared" si="28"/>
        <v>3.34843505477308</v>
      </c>
      <c r="CB301" s="6">
        <f t="shared" si="29"/>
        <v>0.302138331386999</v>
      </c>
      <c r="CC301" s="7">
        <v>694945427.1</v>
      </c>
      <c r="CD301" s="7">
        <f t="shared" si="24"/>
        <v>0.490663547190007</v>
      </c>
      <c r="CE301" s="8">
        <v>1627.6</v>
      </c>
      <c r="CF301" s="8">
        <v>1497.9</v>
      </c>
      <c r="CG301" s="8">
        <v>4810.1</v>
      </c>
      <c r="CH301" s="8">
        <v>75903</v>
      </c>
      <c r="CI301" s="14">
        <v>1</v>
      </c>
      <c r="CJ301" s="14">
        <v>1</v>
      </c>
      <c r="CK301" s="14">
        <f t="shared" si="25"/>
        <v>1</v>
      </c>
      <c r="CL301">
        <f t="shared" si="26"/>
        <v>1.21200651315194</v>
      </c>
      <c r="CM301">
        <f t="shared" si="27"/>
        <v>0.595164265319013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</row>
    <row r="302" spans="1:101">
      <c r="A302" s="6">
        <v>2000</v>
      </c>
      <c r="B302" s="6" t="s">
        <v>112</v>
      </c>
      <c r="C302" s="6">
        <v>0.16013576</v>
      </c>
      <c r="D302" s="6">
        <v>0.031137</v>
      </c>
      <c r="E302" s="6">
        <v>0.00763</v>
      </c>
      <c r="F302" s="6">
        <v>0.013972</v>
      </c>
      <c r="G302" s="6">
        <v>0.004852</v>
      </c>
      <c r="H302" s="6">
        <v>0.004684</v>
      </c>
      <c r="I302" s="6">
        <v>0.028411</v>
      </c>
      <c r="J302" s="6">
        <v>0.01472</v>
      </c>
      <c r="K302" s="6">
        <v>0.19267614</v>
      </c>
      <c r="L302" s="6">
        <v>0.13988856</v>
      </c>
      <c r="M302" s="6">
        <v>0.17182181</v>
      </c>
      <c r="N302" s="6">
        <v>0.11493676</v>
      </c>
      <c r="O302" s="6">
        <v>0.10845667</v>
      </c>
      <c r="P302" s="6">
        <v>0.22666467</v>
      </c>
      <c r="Q302" s="6">
        <v>0.19364218</v>
      </c>
      <c r="R302" s="6">
        <v>217.69486</v>
      </c>
      <c r="S302" s="6">
        <v>0.00088507</v>
      </c>
      <c r="T302" s="6">
        <v>169.97573</v>
      </c>
      <c r="U302" s="6">
        <v>0.00082299</v>
      </c>
      <c r="V302" s="6">
        <v>197.11803</v>
      </c>
      <c r="W302" s="6">
        <v>0.00087167</v>
      </c>
      <c r="X302" s="6">
        <v>134.47093</v>
      </c>
      <c r="Y302" s="6">
        <v>0.00085473</v>
      </c>
      <c r="Z302" s="6">
        <v>134.86767</v>
      </c>
      <c r="AA302" s="6">
        <v>0.00080417</v>
      </c>
      <c r="AB302" s="6">
        <v>294.9318</v>
      </c>
      <c r="AC302" s="6">
        <v>0.00076853</v>
      </c>
      <c r="AD302" s="6">
        <v>243.86163</v>
      </c>
      <c r="AE302" s="6">
        <v>0.00079407</v>
      </c>
      <c r="AF302" s="6">
        <v>775</v>
      </c>
      <c r="AG302" s="6">
        <v>-0.00622193</v>
      </c>
      <c r="AH302" s="6">
        <v>-0.00584535</v>
      </c>
      <c r="AI302" s="6">
        <v>-0.006141</v>
      </c>
      <c r="AJ302" s="6">
        <v>-0.00603845</v>
      </c>
      <c r="AK302" s="6">
        <v>-0.00573028</v>
      </c>
      <c r="AL302" s="6">
        <v>-0.00551117</v>
      </c>
      <c r="AM302" s="6">
        <v>-0.00566832</v>
      </c>
      <c r="AN302" s="6">
        <v>-6.4762184</v>
      </c>
      <c r="AO302" s="6">
        <v>-6.4515561</v>
      </c>
      <c r="AP302" s="6">
        <v>-6.4739881</v>
      </c>
      <c r="AQ302" s="6">
        <v>-6.4253629</v>
      </c>
      <c r="AR302" s="6">
        <v>-6.4020076</v>
      </c>
      <c r="AS302" s="6">
        <v>-6.4618417</v>
      </c>
      <c r="AT302" s="6">
        <v>-6.4506396</v>
      </c>
      <c r="AU302" s="6">
        <v>0.97344833</v>
      </c>
      <c r="AV302" s="6">
        <v>0.96974131</v>
      </c>
      <c r="AW302" s="6">
        <v>0.97311308</v>
      </c>
      <c r="AX302" s="6">
        <v>0.96580418</v>
      </c>
      <c r="AY302" s="6">
        <v>0.96229362</v>
      </c>
      <c r="AZ302" s="6">
        <v>0.97128734</v>
      </c>
      <c r="BA302" s="6">
        <v>0.96960354</v>
      </c>
      <c r="BB302" s="6">
        <v>0.02655167</v>
      </c>
      <c r="BC302" s="6">
        <v>0.03025869</v>
      </c>
      <c r="BD302" s="6">
        <v>0.02688692</v>
      </c>
      <c r="BE302" s="6">
        <v>0.03419582</v>
      </c>
      <c r="BF302" s="6">
        <v>0.03770638</v>
      </c>
      <c r="BG302" s="6">
        <v>0.02871266</v>
      </c>
      <c r="BH302" s="6">
        <v>0.03039646</v>
      </c>
      <c r="BI302" s="6">
        <v>0.21470859</v>
      </c>
      <c r="BJ302" s="6">
        <v>0.12366373</v>
      </c>
      <c r="BK302" s="6">
        <v>0.1409291</v>
      </c>
      <c r="BL302" s="6">
        <v>0.12522516</v>
      </c>
      <c r="BM302" s="6">
        <v>0.1592662</v>
      </c>
      <c r="BN302" s="6">
        <v>0.17561655</v>
      </c>
      <c r="BO302" s="6">
        <v>0.1337285</v>
      </c>
      <c r="BP302" s="6">
        <v>0.14157076</v>
      </c>
      <c r="BQ302" s="6">
        <v>0.02382705</v>
      </c>
      <c r="BR302" s="6">
        <v>0.01971437</v>
      </c>
      <c r="BS302" s="6">
        <v>0.02151641</v>
      </c>
      <c r="BT302" s="6">
        <v>0.01830554</v>
      </c>
      <c r="BU302" s="6">
        <v>0.01904679</v>
      </c>
      <c r="BV302" s="6">
        <v>0.03031152</v>
      </c>
      <c r="BW302" s="6">
        <v>0.02741407</v>
      </c>
      <c r="BX302" s="12">
        <v>2669</v>
      </c>
      <c r="BY302" s="13">
        <v>4751</v>
      </c>
      <c r="BZ302" s="12">
        <v>2050.14</v>
      </c>
      <c r="CA302" s="6">
        <f t="shared" ref="CA283:CA365" si="30">BX302/BY302</f>
        <v>0.561776468111976</v>
      </c>
      <c r="CB302" s="6">
        <f t="shared" ref="CB283:CB365" si="31">BX302/BZ302</f>
        <v>1.30186231184212</v>
      </c>
      <c r="CC302" s="7">
        <v>94473812.5</v>
      </c>
      <c r="CD302" s="7">
        <f t="shared" si="24"/>
        <v>4.60816395465676</v>
      </c>
      <c r="CE302" s="8">
        <v>491.7</v>
      </c>
      <c r="CF302" s="8">
        <v>2336.1</v>
      </c>
      <c r="CG302" s="8">
        <v>1841.2</v>
      </c>
      <c r="CH302" s="8">
        <v>11177</v>
      </c>
      <c r="CI302" s="14">
        <v>0</v>
      </c>
      <c r="CJ302" s="14">
        <v>0</v>
      </c>
      <c r="CK302" s="14">
        <f t="shared" si="25"/>
        <v>0</v>
      </c>
      <c r="CL302">
        <f t="shared" si="26"/>
        <v>4.53658228674969</v>
      </c>
      <c r="CM302">
        <f t="shared" si="27"/>
        <v>0</v>
      </c>
      <c r="CN302" s="15">
        <v>2669.34</v>
      </c>
      <c r="CO302" s="15">
        <v>2228.43</v>
      </c>
      <c r="CP302" s="15">
        <v>158.61</v>
      </c>
      <c r="CQ302" s="15">
        <v>61.41</v>
      </c>
      <c r="CR302" s="15">
        <v>65.87</v>
      </c>
      <c r="CS302" s="15">
        <v>3.79</v>
      </c>
      <c r="CT302" s="15">
        <v>147.44</v>
      </c>
      <c r="CU302" s="15">
        <v>7.67</v>
      </c>
      <c r="CV302">
        <v>0</v>
      </c>
      <c r="CW302" s="15">
        <v>314.44</v>
      </c>
    </row>
    <row r="303" spans="1:101">
      <c r="A303" s="6">
        <v>2001</v>
      </c>
      <c r="B303" s="6" t="s">
        <v>112</v>
      </c>
      <c r="C303" s="6">
        <v>0.17675464</v>
      </c>
      <c r="D303" s="6">
        <v>0.033357</v>
      </c>
      <c r="E303" s="6">
        <v>0.008496</v>
      </c>
      <c r="F303" s="6">
        <v>0.014804</v>
      </c>
      <c r="G303" s="6">
        <v>0.004513</v>
      </c>
      <c r="H303" s="6">
        <v>0.005544</v>
      </c>
      <c r="I303" s="6">
        <v>0.031345</v>
      </c>
      <c r="J303" s="6">
        <v>0.015761</v>
      </c>
      <c r="K303" s="6">
        <v>0.2100842</v>
      </c>
      <c r="L303" s="6">
        <v>0.16036588</v>
      </c>
      <c r="M303" s="6">
        <v>0.18462003</v>
      </c>
      <c r="N303" s="6">
        <v>0.10492092</v>
      </c>
      <c r="O303" s="6">
        <v>0.13449714</v>
      </c>
      <c r="P303" s="6">
        <v>0.25934191</v>
      </c>
      <c r="Q303" s="6">
        <v>0.21221801</v>
      </c>
      <c r="R303" s="6">
        <v>217.69486</v>
      </c>
      <c r="S303" s="6">
        <v>0.00096504</v>
      </c>
      <c r="T303" s="6">
        <v>169.97573</v>
      </c>
      <c r="U303" s="6">
        <v>0.00094346</v>
      </c>
      <c r="V303" s="6">
        <v>197.11803</v>
      </c>
      <c r="W303" s="6">
        <v>0.0009366</v>
      </c>
      <c r="X303" s="6">
        <v>134.47093</v>
      </c>
      <c r="Y303" s="6">
        <v>0.00078025</v>
      </c>
      <c r="Z303" s="6">
        <v>134.86767</v>
      </c>
      <c r="AA303" s="6">
        <v>0.00099725</v>
      </c>
      <c r="AB303" s="6">
        <v>294.9318</v>
      </c>
      <c r="AC303" s="6">
        <v>0.00087933</v>
      </c>
      <c r="AD303" s="6">
        <v>243.86163</v>
      </c>
      <c r="AE303" s="6">
        <v>0.00087024</v>
      </c>
      <c r="AF303" s="6">
        <v>775</v>
      </c>
      <c r="AG303" s="6">
        <v>-0.0067006</v>
      </c>
      <c r="AH303" s="6">
        <v>-0.00657212</v>
      </c>
      <c r="AI303" s="6">
        <v>-0.00653113</v>
      </c>
      <c r="AJ303" s="6">
        <v>-0.00558339</v>
      </c>
      <c r="AK303" s="6">
        <v>-0.00689152</v>
      </c>
      <c r="AL303" s="6">
        <v>-0.00618726</v>
      </c>
      <c r="AM303" s="6">
        <v>-0.00613235</v>
      </c>
      <c r="AN303" s="6">
        <v>-6.4762184</v>
      </c>
      <c r="AO303" s="6">
        <v>-6.4515561</v>
      </c>
      <c r="AP303" s="6">
        <v>-6.4739881</v>
      </c>
      <c r="AQ303" s="6">
        <v>-6.4253629</v>
      </c>
      <c r="AR303" s="6">
        <v>-6.4020076</v>
      </c>
      <c r="AS303" s="6">
        <v>-6.4618417</v>
      </c>
      <c r="AT303" s="6">
        <v>-6.4506396</v>
      </c>
      <c r="AU303" s="6">
        <v>0.97344833</v>
      </c>
      <c r="AV303" s="6">
        <v>0.96974131</v>
      </c>
      <c r="AW303" s="6">
        <v>0.97311308</v>
      </c>
      <c r="AX303" s="6">
        <v>0.96580418</v>
      </c>
      <c r="AY303" s="6">
        <v>0.96229362</v>
      </c>
      <c r="AZ303" s="6">
        <v>0.97128734</v>
      </c>
      <c r="BA303" s="6">
        <v>0.96960354</v>
      </c>
      <c r="BB303" s="6">
        <v>0.02655167</v>
      </c>
      <c r="BC303" s="6">
        <v>0.03025869</v>
      </c>
      <c r="BD303" s="6">
        <v>0.02688692</v>
      </c>
      <c r="BE303" s="6">
        <v>0.03419582</v>
      </c>
      <c r="BF303" s="6">
        <v>0.03770638</v>
      </c>
      <c r="BG303" s="6">
        <v>0.02871266</v>
      </c>
      <c r="BH303" s="6">
        <v>0.03039646</v>
      </c>
      <c r="BI303" s="6">
        <v>0.21470859</v>
      </c>
      <c r="BJ303" s="6">
        <v>0.12366373</v>
      </c>
      <c r="BK303" s="6">
        <v>0.1409291</v>
      </c>
      <c r="BL303" s="6">
        <v>0.12522516</v>
      </c>
      <c r="BM303" s="6">
        <v>0.1592662</v>
      </c>
      <c r="BN303" s="6">
        <v>0.17561655</v>
      </c>
      <c r="BO303" s="6">
        <v>0.1337285</v>
      </c>
      <c r="BP303" s="6">
        <v>0.14157076</v>
      </c>
      <c r="BQ303" s="6">
        <v>0.0259798</v>
      </c>
      <c r="BR303" s="6">
        <v>0.02260022</v>
      </c>
      <c r="BS303" s="6">
        <v>0.02311907</v>
      </c>
      <c r="BT303" s="6">
        <v>0.01671036</v>
      </c>
      <c r="BU303" s="6">
        <v>0.02361992</v>
      </c>
      <c r="BV303" s="6">
        <v>0.0346814</v>
      </c>
      <c r="BW303" s="6">
        <v>0.03004387</v>
      </c>
      <c r="BX303" s="12">
        <v>2700.97124517059</v>
      </c>
      <c r="BY303" s="13">
        <v>4788</v>
      </c>
      <c r="BZ303" s="12">
        <v>2279.34</v>
      </c>
      <c r="CA303" s="6">
        <f t="shared" si="30"/>
        <v>0.564112624304634</v>
      </c>
      <c r="CB303" s="6">
        <f t="shared" si="31"/>
        <v>1.18497953143041</v>
      </c>
      <c r="CC303" s="7">
        <v>98959357.99</v>
      </c>
      <c r="CD303" s="7">
        <f t="shared" si="24"/>
        <v>4.34157949187045</v>
      </c>
      <c r="CE303" s="8">
        <v>530.7</v>
      </c>
      <c r="CF303" s="8">
        <v>2431.5</v>
      </c>
      <c r="CG303" s="8">
        <v>2070.9</v>
      </c>
      <c r="CH303" s="8">
        <v>12015</v>
      </c>
      <c r="CI303" s="14">
        <v>0</v>
      </c>
      <c r="CJ303" s="14">
        <v>0</v>
      </c>
      <c r="CK303" s="14">
        <f t="shared" si="25"/>
        <v>0</v>
      </c>
      <c r="CL303">
        <f t="shared" si="26"/>
        <v>4.16809156222866</v>
      </c>
      <c r="CM303">
        <f t="shared" si="27"/>
        <v>0</v>
      </c>
      <c r="CN303" s="15">
        <v>2669</v>
      </c>
      <c r="CO303" s="15">
        <v>2228</v>
      </c>
      <c r="CP303" s="15">
        <v>158.61</v>
      </c>
      <c r="CQ303" s="15">
        <v>61.41</v>
      </c>
      <c r="CR303" s="15">
        <v>65.87</v>
      </c>
      <c r="CS303" s="15">
        <v>3.79</v>
      </c>
      <c r="CT303" s="15">
        <v>147.44</v>
      </c>
      <c r="CU303" s="15">
        <v>7.67</v>
      </c>
      <c r="CV303">
        <v>0</v>
      </c>
      <c r="CW303" s="15">
        <v>322.02</v>
      </c>
    </row>
    <row r="304" spans="1:101">
      <c r="A304" s="6">
        <v>2002</v>
      </c>
      <c r="B304" s="6" t="s">
        <v>112</v>
      </c>
      <c r="C304" s="6">
        <v>0.19732957</v>
      </c>
      <c r="D304" s="6">
        <v>0.036108</v>
      </c>
      <c r="E304" s="6">
        <v>0.009518</v>
      </c>
      <c r="F304" s="6">
        <v>0.015706</v>
      </c>
      <c r="G304" s="6">
        <v>0.00566</v>
      </c>
      <c r="H304" s="6">
        <v>0.005224</v>
      </c>
      <c r="I304" s="6">
        <v>0.0351</v>
      </c>
      <c r="J304" s="6">
        <v>0.017136</v>
      </c>
      <c r="K304" s="6">
        <v>0.23166556</v>
      </c>
      <c r="L304" s="6">
        <v>0.18453684</v>
      </c>
      <c r="M304" s="6">
        <v>0.19848199</v>
      </c>
      <c r="N304" s="6">
        <v>0.13880873</v>
      </c>
      <c r="O304" s="6">
        <v>0.12481838</v>
      </c>
      <c r="P304" s="6">
        <v>0.30116842</v>
      </c>
      <c r="Q304" s="6">
        <v>0.23675005</v>
      </c>
      <c r="R304" s="6">
        <v>217.69486</v>
      </c>
      <c r="S304" s="6">
        <v>0.00106418</v>
      </c>
      <c r="T304" s="6">
        <v>169.97573</v>
      </c>
      <c r="U304" s="6">
        <v>0.00108567</v>
      </c>
      <c r="V304" s="6">
        <v>197.11803</v>
      </c>
      <c r="W304" s="6">
        <v>0.00100692</v>
      </c>
      <c r="X304" s="6">
        <v>134.47093</v>
      </c>
      <c r="Y304" s="6">
        <v>0.00103226</v>
      </c>
      <c r="Z304" s="6">
        <v>134.86767</v>
      </c>
      <c r="AA304" s="6">
        <v>0.00092549</v>
      </c>
      <c r="AB304" s="6">
        <v>294.9318</v>
      </c>
      <c r="AC304" s="6">
        <v>0.00102115</v>
      </c>
      <c r="AD304" s="6">
        <v>243.86163</v>
      </c>
      <c r="AE304" s="6">
        <v>0.00097084</v>
      </c>
      <c r="AF304" s="6">
        <v>775</v>
      </c>
      <c r="AG304" s="6">
        <v>-0.00728487</v>
      </c>
      <c r="AH304" s="6">
        <v>-0.00741028</v>
      </c>
      <c r="AI304" s="6">
        <v>-0.00694861</v>
      </c>
      <c r="AJ304" s="6">
        <v>-0.00709781</v>
      </c>
      <c r="AK304" s="6">
        <v>-0.00646471</v>
      </c>
      <c r="AL304" s="6">
        <v>-0.00703246</v>
      </c>
      <c r="AM304" s="6">
        <v>-0.00673504</v>
      </c>
      <c r="AN304" s="6">
        <v>-6.4762184</v>
      </c>
      <c r="AO304" s="6">
        <v>-6.4515561</v>
      </c>
      <c r="AP304" s="6">
        <v>-6.4739881</v>
      </c>
      <c r="AQ304" s="6">
        <v>-6.4253629</v>
      </c>
      <c r="AR304" s="6">
        <v>-6.4020076</v>
      </c>
      <c r="AS304" s="6">
        <v>-6.4618417</v>
      </c>
      <c r="AT304" s="6">
        <v>-6.4506396</v>
      </c>
      <c r="AU304" s="6">
        <v>0.97344833</v>
      </c>
      <c r="AV304" s="6">
        <v>0.96974131</v>
      </c>
      <c r="AW304" s="6">
        <v>0.97311308</v>
      </c>
      <c r="AX304" s="6">
        <v>0.96580418</v>
      </c>
      <c r="AY304" s="6">
        <v>0.96229362</v>
      </c>
      <c r="AZ304" s="6">
        <v>0.97128734</v>
      </c>
      <c r="BA304" s="6">
        <v>0.96960354</v>
      </c>
      <c r="BB304" s="6">
        <v>0.02655167</v>
      </c>
      <c r="BC304" s="6">
        <v>0.03025869</v>
      </c>
      <c r="BD304" s="6">
        <v>0.02688692</v>
      </c>
      <c r="BE304" s="6">
        <v>0.03419582</v>
      </c>
      <c r="BF304" s="6">
        <v>0.03770638</v>
      </c>
      <c r="BG304" s="6">
        <v>0.02871266</v>
      </c>
      <c r="BH304" s="6">
        <v>0.03039646</v>
      </c>
      <c r="BI304" s="6">
        <v>0.21470859</v>
      </c>
      <c r="BJ304" s="6">
        <v>0.12366373</v>
      </c>
      <c r="BK304" s="6">
        <v>0.1409291</v>
      </c>
      <c r="BL304" s="6">
        <v>0.12522516</v>
      </c>
      <c r="BM304" s="6">
        <v>0.1592662</v>
      </c>
      <c r="BN304" s="6">
        <v>0.17561655</v>
      </c>
      <c r="BO304" s="6">
        <v>0.1337285</v>
      </c>
      <c r="BP304" s="6">
        <v>0.14157076</v>
      </c>
      <c r="BQ304" s="6">
        <v>0.02864863</v>
      </c>
      <c r="BR304" s="6">
        <v>0.02600661</v>
      </c>
      <c r="BS304" s="6">
        <v>0.02485494</v>
      </c>
      <c r="BT304" s="6">
        <v>0.02210754</v>
      </c>
      <c r="BU304" s="6">
        <v>0.02192017</v>
      </c>
      <c r="BV304" s="6">
        <v>0.0402748</v>
      </c>
      <c r="BW304" s="6">
        <v>0.03351689</v>
      </c>
      <c r="BX304" s="12">
        <v>2778.58434388278</v>
      </c>
      <c r="BY304" s="13">
        <v>4822</v>
      </c>
      <c r="BZ304" s="12">
        <v>2523.73</v>
      </c>
      <c r="CA304" s="6">
        <f t="shared" si="30"/>
        <v>0.5762306810209</v>
      </c>
      <c r="CB304" s="6">
        <f t="shared" si="31"/>
        <v>1.10098320497152</v>
      </c>
      <c r="CC304" s="7">
        <v>104287209.4</v>
      </c>
      <c r="CD304" s="7">
        <f t="shared" si="24"/>
        <v>4.132264917404</v>
      </c>
      <c r="CE304" s="8">
        <v>574.1</v>
      </c>
      <c r="CF304" s="8">
        <v>2599.7</v>
      </c>
      <c r="CG304" s="8">
        <v>2284.4</v>
      </c>
      <c r="CH304" s="8">
        <v>13000</v>
      </c>
      <c r="CI304" s="14">
        <v>0</v>
      </c>
      <c r="CJ304" s="14">
        <v>0</v>
      </c>
      <c r="CK304" s="14">
        <f t="shared" si="25"/>
        <v>0</v>
      </c>
      <c r="CL304">
        <f t="shared" si="26"/>
        <v>4.06804884448575</v>
      </c>
      <c r="CM304">
        <f t="shared" si="27"/>
        <v>0</v>
      </c>
      <c r="CN304" s="15">
        <v>3120</v>
      </c>
      <c r="CO304" s="15">
        <v>2133</v>
      </c>
      <c r="CP304" s="15">
        <v>177.15</v>
      </c>
      <c r="CQ304" s="15">
        <v>70.24</v>
      </c>
      <c r="CR304" s="15">
        <v>84.37</v>
      </c>
      <c r="CS304" s="15">
        <v>11.17</v>
      </c>
      <c r="CT304" s="15">
        <v>214.48</v>
      </c>
      <c r="CU304" s="15">
        <v>13.13</v>
      </c>
      <c r="CV304">
        <v>0</v>
      </c>
      <c r="CW304" s="15">
        <v>356.95</v>
      </c>
    </row>
    <row r="305" spans="1:101">
      <c r="A305" s="6">
        <v>2003</v>
      </c>
      <c r="B305" s="6" t="s">
        <v>112</v>
      </c>
      <c r="C305" s="6">
        <v>0.21334859</v>
      </c>
      <c r="D305" s="6">
        <v>0.037455</v>
      </c>
      <c r="E305" s="6">
        <v>0.009093</v>
      </c>
      <c r="F305" s="6">
        <v>0.017122</v>
      </c>
      <c r="G305" s="6">
        <v>0.006059</v>
      </c>
      <c r="H305" s="6">
        <v>0.005181</v>
      </c>
      <c r="I305" s="6">
        <v>0.040573</v>
      </c>
      <c r="J305" s="6">
        <v>0.018561</v>
      </c>
      <c r="K305" s="6">
        <v>0.24223012</v>
      </c>
      <c r="L305" s="6">
        <v>0.17447692</v>
      </c>
      <c r="M305" s="6">
        <v>0.22024136</v>
      </c>
      <c r="N305" s="6">
        <v>0.15062167</v>
      </c>
      <c r="O305" s="6">
        <v>0.12351368</v>
      </c>
      <c r="P305" s="6">
        <v>0.36212524</v>
      </c>
      <c r="Q305" s="6">
        <v>0.26218991</v>
      </c>
      <c r="R305" s="6">
        <v>217.69486</v>
      </c>
      <c r="S305" s="6">
        <v>0.0011127</v>
      </c>
      <c r="T305" s="6">
        <v>169.97573</v>
      </c>
      <c r="U305" s="6">
        <v>0.00102648</v>
      </c>
      <c r="V305" s="6">
        <v>197.11803</v>
      </c>
      <c r="W305" s="6">
        <v>0.00111731</v>
      </c>
      <c r="X305" s="6">
        <v>134.47093</v>
      </c>
      <c r="Y305" s="6">
        <v>0.00112011</v>
      </c>
      <c r="Z305" s="6">
        <v>134.86767</v>
      </c>
      <c r="AA305" s="6">
        <v>0.00091581</v>
      </c>
      <c r="AB305" s="6">
        <v>294.9318</v>
      </c>
      <c r="AC305" s="6">
        <v>0.00122783</v>
      </c>
      <c r="AD305" s="6">
        <v>243.86163</v>
      </c>
      <c r="AE305" s="6">
        <v>0.00107516</v>
      </c>
      <c r="AF305" s="6">
        <v>775</v>
      </c>
      <c r="AG305" s="6">
        <v>-0.00756746</v>
      </c>
      <c r="AH305" s="6">
        <v>-0.00706385</v>
      </c>
      <c r="AI305" s="6">
        <v>-0.00759415</v>
      </c>
      <c r="AJ305" s="6">
        <v>-0.00761037</v>
      </c>
      <c r="AK305" s="6">
        <v>-0.00640676</v>
      </c>
      <c r="AL305" s="6">
        <v>-0.00822952</v>
      </c>
      <c r="AM305" s="6">
        <v>-0.00734902</v>
      </c>
      <c r="AN305" s="6">
        <v>-6.4762184</v>
      </c>
      <c r="AO305" s="6">
        <v>-6.4515561</v>
      </c>
      <c r="AP305" s="6">
        <v>-6.4739881</v>
      </c>
      <c r="AQ305" s="6">
        <v>-6.4253629</v>
      </c>
      <c r="AR305" s="6">
        <v>-6.4020076</v>
      </c>
      <c r="AS305" s="6">
        <v>-6.4618417</v>
      </c>
      <c r="AT305" s="6">
        <v>-6.4506396</v>
      </c>
      <c r="AU305" s="6">
        <v>0.97344833</v>
      </c>
      <c r="AV305" s="6">
        <v>0.96974131</v>
      </c>
      <c r="AW305" s="6">
        <v>0.97311308</v>
      </c>
      <c r="AX305" s="6">
        <v>0.96580418</v>
      </c>
      <c r="AY305" s="6">
        <v>0.96229362</v>
      </c>
      <c r="AZ305" s="6">
        <v>0.97128734</v>
      </c>
      <c r="BA305" s="6">
        <v>0.96960354</v>
      </c>
      <c r="BB305" s="6">
        <v>0.02655167</v>
      </c>
      <c r="BC305" s="6">
        <v>0.03025869</v>
      </c>
      <c r="BD305" s="6">
        <v>0.02688692</v>
      </c>
      <c r="BE305" s="6">
        <v>0.03419582</v>
      </c>
      <c r="BF305" s="6">
        <v>0.03770638</v>
      </c>
      <c r="BG305" s="6">
        <v>0.02871266</v>
      </c>
      <c r="BH305" s="6">
        <v>0.03039646</v>
      </c>
      <c r="BI305" s="6">
        <v>0.21470859</v>
      </c>
      <c r="BJ305" s="6">
        <v>0.12366373</v>
      </c>
      <c r="BK305" s="6">
        <v>0.1409291</v>
      </c>
      <c r="BL305" s="6">
        <v>0.12522516</v>
      </c>
      <c r="BM305" s="6">
        <v>0.1592662</v>
      </c>
      <c r="BN305" s="6">
        <v>0.17561655</v>
      </c>
      <c r="BO305" s="6">
        <v>0.1337285</v>
      </c>
      <c r="BP305" s="6">
        <v>0.14157076</v>
      </c>
      <c r="BQ305" s="6">
        <v>0.02995508</v>
      </c>
      <c r="BR305" s="6">
        <v>0.02458887</v>
      </c>
      <c r="BS305" s="6">
        <v>0.02757976</v>
      </c>
      <c r="BT305" s="6">
        <v>0.02398894</v>
      </c>
      <c r="BU305" s="6">
        <v>0.02169105</v>
      </c>
      <c r="BV305" s="6">
        <v>0.04842646</v>
      </c>
      <c r="BW305" s="6">
        <v>0.03711843</v>
      </c>
      <c r="BX305" s="12">
        <v>3187.66286873154</v>
      </c>
      <c r="BY305" s="13">
        <v>4857</v>
      </c>
      <c r="BZ305" s="12">
        <v>2821.11</v>
      </c>
      <c r="CA305" s="6">
        <f t="shared" si="30"/>
        <v>0.656302834822224</v>
      </c>
      <c r="CB305" s="6">
        <f t="shared" si="31"/>
        <v>1.12993214328103</v>
      </c>
      <c r="CC305" s="7">
        <v>119760070.2</v>
      </c>
      <c r="CD305" s="7">
        <f t="shared" si="24"/>
        <v>4.24514004062231</v>
      </c>
      <c r="CE305" s="8">
        <v>598.1</v>
      </c>
      <c r="CF305" s="8">
        <v>2841</v>
      </c>
      <c r="CG305" s="8">
        <v>2467.3</v>
      </c>
      <c r="CH305" s="8">
        <v>14041</v>
      </c>
      <c r="CI305" s="14">
        <v>0</v>
      </c>
      <c r="CJ305" s="14">
        <v>0</v>
      </c>
      <c r="CK305" s="14">
        <f t="shared" si="25"/>
        <v>0</v>
      </c>
      <c r="CL305">
        <f t="shared" si="26"/>
        <v>4.08414499624993</v>
      </c>
      <c r="CM305">
        <f t="shared" si="27"/>
        <v>0</v>
      </c>
      <c r="CN305" s="15">
        <v>3523.26</v>
      </c>
      <c r="CO305" s="15">
        <v>2621.46</v>
      </c>
      <c r="CP305" s="15">
        <v>194.2</v>
      </c>
      <c r="CQ305" s="15">
        <v>73.19</v>
      </c>
      <c r="CR305" s="15">
        <v>116.7</v>
      </c>
      <c r="CS305" s="15">
        <v>10.43</v>
      </c>
      <c r="CT305" s="15">
        <v>217.73</v>
      </c>
      <c r="CU305" s="15">
        <v>20.85</v>
      </c>
      <c r="CV305">
        <v>0</v>
      </c>
      <c r="CW305" s="15">
        <v>414.93</v>
      </c>
    </row>
    <row r="306" spans="1:101">
      <c r="A306" s="6">
        <v>2004</v>
      </c>
      <c r="B306" s="6" t="s">
        <v>112</v>
      </c>
      <c r="C306" s="6">
        <v>0.21413752</v>
      </c>
      <c r="D306" s="6">
        <v>0.038576</v>
      </c>
      <c r="E306" s="6">
        <v>0.009988</v>
      </c>
      <c r="F306" s="6">
        <v>0.017672</v>
      </c>
      <c r="G306" s="6">
        <v>0.005617</v>
      </c>
      <c r="H306" s="6">
        <v>0.005298</v>
      </c>
      <c r="I306" s="6">
        <v>0.038349</v>
      </c>
      <c r="J306" s="6">
        <v>0.018731</v>
      </c>
      <c r="K306" s="6">
        <v>0.25102167</v>
      </c>
      <c r="L306" s="6">
        <v>0.19565742</v>
      </c>
      <c r="M306" s="6">
        <v>0.22869081</v>
      </c>
      <c r="N306" s="6">
        <v>0.13756322</v>
      </c>
      <c r="O306" s="6">
        <v>0.12705779</v>
      </c>
      <c r="P306" s="6">
        <v>0.33735484</v>
      </c>
      <c r="Q306" s="6">
        <v>0.26521715</v>
      </c>
      <c r="R306" s="6">
        <v>217.69486</v>
      </c>
      <c r="S306" s="6">
        <v>0.00115309</v>
      </c>
      <c r="T306" s="6">
        <v>169.97573</v>
      </c>
      <c r="U306" s="6">
        <v>0.00115109</v>
      </c>
      <c r="V306" s="6">
        <v>197.11803</v>
      </c>
      <c r="W306" s="6">
        <v>0.00116017</v>
      </c>
      <c r="X306" s="6">
        <v>134.47093</v>
      </c>
      <c r="Y306" s="6">
        <v>0.001023</v>
      </c>
      <c r="Z306" s="6">
        <v>134.86767</v>
      </c>
      <c r="AA306" s="6">
        <v>0.00094209</v>
      </c>
      <c r="AB306" s="6">
        <v>294.9318</v>
      </c>
      <c r="AC306" s="6">
        <v>0.00114384</v>
      </c>
      <c r="AD306" s="6">
        <v>243.86163</v>
      </c>
      <c r="AE306" s="6">
        <v>0.00108757</v>
      </c>
      <c r="AF306" s="6">
        <v>775</v>
      </c>
      <c r="AG306" s="6">
        <v>-0.00780101</v>
      </c>
      <c r="AH306" s="6">
        <v>-0.00778948</v>
      </c>
      <c r="AI306" s="6">
        <v>-0.00784182</v>
      </c>
      <c r="AJ306" s="6">
        <v>-0.00704335</v>
      </c>
      <c r="AK306" s="6">
        <v>-0.00656394</v>
      </c>
      <c r="AL306" s="6">
        <v>-0.00774765</v>
      </c>
      <c r="AM306" s="6">
        <v>-0.00742138</v>
      </c>
      <c r="AN306" s="6">
        <v>-6.4762184</v>
      </c>
      <c r="AO306" s="6">
        <v>-6.4515561</v>
      </c>
      <c r="AP306" s="6">
        <v>-6.4739881</v>
      </c>
      <c r="AQ306" s="6">
        <v>-6.4253629</v>
      </c>
      <c r="AR306" s="6">
        <v>-6.4020076</v>
      </c>
      <c r="AS306" s="6">
        <v>-6.4618417</v>
      </c>
      <c r="AT306" s="6">
        <v>-6.4506396</v>
      </c>
      <c r="AU306" s="6">
        <v>0.97344833</v>
      </c>
      <c r="AV306" s="6">
        <v>0.96974131</v>
      </c>
      <c r="AW306" s="6">
        <v>0.97311308</v>
      </c>
      <c r="AX306" s="6">
        <v>0.96580418</v>
      </c>
      <c r="AY306" s="6">
        <v>0.96229362</v>
      </c>
      <c r="AZ306" s="6">
        <v>0.97128734</v>
      </c>
      <c r="BA306" s="6">
        <v>0.96960354</v>
      </c>
      <c r="BB306" s="6">
        <v>0.02655167</v>
      </c>
      <c r="BC306" s="6">
        <v>0.03025869</v>
      </c>
      <c r="BD306" s="6">
        <v>0.02688692</v>
      </c>
      <c r="BE306" s="6">
        <v>0.03419582</v>
      </c>
      <c r="BF306" s="6">
        <v>0.03770638</v>
      </c>
      <c r="BG306" s="6">
        <v>0.02871266</v>
      </c>
      <c r="BH306" s="6">
        <v>0.03039646</v>
      </c>
      <c r="BI306" s="6">
        <v>0.21470859</v>
      </c>
      <c r="BJ306" s="6">
        <v>0.12366373</v>
      </c>
      <c r="BK306" s="6">
        <v>0.1409291</v>
      </c>
      <c r="BL306" s="6">
        <v>0.12522516</v>
      </c>
      <c r="BM306" s="6">
        <v>0.1592662</v>
      </c>
      <c r="BN306" s="6">
        <v>0.17561655</v>
      </c>
      <c r="BO306" s="6">
        <v>0.1337285</v>
      </c>
      <c r="BP306" s="6">
        <v>0.14157076</v>
      </c>
      <c r="BQ306" s="6">
        <v>0.03104228</v>
      </c>
      <c r="BR306" s="6">
        <v>0.02757382</v>
      </c>
      <c r="BS306" s="6">
        <v>0.02863784</v>
      </c>
      <c r="BT306" s="6">
        <v>0.02190917</v>
      </c>
      <c r="BU306" s="6">
        <v>0.02231345</v>
      </c>
      <c r="BV306" s="6">
        <v>0.04511396</v>
      </c>
      <c r="BW306" s="6">
        <v>0.03754699</v>
      </c>
      <c r="BX306" s="12">
        <v>4014.5605939714</v>
      </c>
      <c r="BY306" s="13">
        <v>4889</v>
      </c>
      <c r="BZ306" s="12">
        <v>3433.5</v>
      </c>
      <c r="CA306" s="6">
        <f t="shared" si="30"/>
        <v>0.821141459188259</v>
      </c>
      <c r="CB306" s="6">
        <f t="shared" si="31"/>
        <v>1.16923273451912</v>
      </c>
      <c r="CC306" s="7">
        <v>147148200.7</v>
      </c>
      <c r="CD306" s="7">
        <f t="shared" si="24"/>
        <v>4.28566188146206</v>
      </c>
      <c r="CE306" s="8">
        <v>774.4</v>
      </c>
      <c r="CF306" s="8">
        <v>2957.8</v>
      </c>
      <c r="CG306" s="8">
        <v>2737.6</v>
      </c>
      <c r="CH306" s="8">
        <v>15355</v>
      </c>
      <c r="CI306" s="14">
        <v>0</v>
      </c>
      <c r="CJ306" s="14">
        <v>0</v>
      </c>
      <c r="CK306" s="14">
        <f t="shared" si="25"/>
        <v>0</v>
      </c>
      <c r="CL306">
        <f t="shared" si="26"/>
        <v>3.89549779892895</v>
      </c>
      <c r="CM306">
        <f t="shared" si="27"/>
        <v>0</v>
      </c>
      <c r="CN306" s="15">
        <v>4203.28</v>
      </c>
      <c r="CO306" s="15">
        <v>3366.71</v>
      </c>
      <c r="CP306" s="15">
        <v>344.16</v>
      </c>
      <c r="CQ306" s="15">
        <v>82.36</v>
      </c>
      <c r="CR306" s="15">
        <v>129</v>
      </c>
      <c r="CS306" s="15">
        <v>5.05</v>
      </c>
      <c r="CT306" s="15">
        <v>286.66</v>
      </c>
      <c r="CU306" s="15">
        <v>29.63</v>
      </c>
      <c r="CV306" s="15">
        <v>0.02</v>
      </c>
      <c r="CW306" s="15">
        <v>456.86</v>
      </c>
    </row>
    <row r="307" spans="1:101">
      <c r="A307" s="6">
        <v>2005</v>
      </c>
      <c r="B307" s="6" t="s">
        <v>112</v>
      </c>
      <c r="C307" s="6">
        <v>0.24285763</v>
      </c>
      <c r="D307" s="6">
        <v>0.042191</v>
      </c>
      <c r="E307" s="6">
        <v>0.010728</v>
      </c>
      <c r="F307" s="6">
        <v>0.018379</v>
      </c>
      <c r="G307" s="6">
        <v>0.006993</v>
      </c>
      <c r="H307" s="6">
        <v>0.00609</v>
      </c>
      <c r="I307" s="6">
        <v>0.040158</v>
      </c>
      <c r="J307" s="6">
        <v>0.021897</v>
      </c>
      <c r="K307" s="6">
        <v>0.27937919</v>
      </c>
      <c r="L307" s="6">
        <v>0.21314691</v>
      </c>
      <c r="M307" s="6">
        <v>0.23956221</v>
      </c>
      <c r="N307" s="6">
        <v>0.1782286</v>
      </c>
      <c r="O307" s="6">
        <v>0.1510702</v>
      </c>
      <c r="P307" s="6">
        <v>0.3575092</v>
      </c>
      <c r="Q307" s="6">
        <v>0.32171435</v>
      </c>
      <c r="R307" s="6">
        <v>217.69486</v>
      </c>
      <c r="S307" s="6">
        <v>0.00128335</v>
      </c>
      <c r="T307" s="6">
        <v>169.97573</v>
      </c>
      <c r="U307" s="6">
        <v>0.00125398</v>
      </c>
      <c r="V307" s="6">
        <v>197.11803</v>
      </c>
      <c r="W307" s="6">
        <v>0.00121532</v>
      </c>
      <c r="X307" s="6">
        <v>134.47093</v>
      </c>
      <c r="Y307" s="6">
        <v>0.00132541</v>
      </c>
      <c r="Z307" s="6">
        <v>134.86767</v>
      </c>
      <c r="AA307" s="6">
        <v>0.00112014</v>
      </c>
      <c r="AB307" s="6">
        <v>294.9318</v>
      </c>
      <c r="AC307" s="6">
        <v>0.00121218</v>
      </c>
      <c r="AD307" s="6">
        <v>243.86163</v>
      </c>
      <c r="AE307" s="6">
        <v>0.00131925</v>
      </c>
      <c r="AF307" s="6">
        <v>775</v>
      </c>
      <c r="AG307" s="6">
        <v>-0.00854492</v>
      </c>
      <c r="AH307" s="6">
        <v>-0.00837841</v>
      </c>
      <c r="AI307" s="6">
        <v>-0.00815816</v>
      </c>
      <c r="AJ307" s="6">
        <v>-0.00878219</v>
      </c>
      <c r="AK307" s="6">
        <v>-0.00761055</v>
      </c>
      <c r="AL307" s="6">
        <v>-0.00814017</v>
      </c>
      <c r="AM307" s="6">
        <v>-0.00874754</v>
      </c>
      <c r="AN307" s="6">
        <v>-6.4762184</v>
      </c>
      <c r="AO307" s="6">
        <v>-6.4515561</v>
      </c>
      <c r="AP307" s="6">
        <v>-6.4739881</v>
      </c>
      <c r="AQ307" s="6">
        <v>-6.4253629</v>
      </c>
      <c r="AR307" s="6">
        <v>-6.4020076</v>
      </c>
      <c r="AS307" s="6">
        <v>-6.4618417</v>
      </c>
      <c r="AT307" s="6">
        <v>-6.4506396</v>
      </c>
      <c r="AU307" s="6">
        <v>0.97344833</v>
      </c>
      <c r="AV307" s="6">
        <v>0.96974131</v>
      </c>
      <c r="AW307" s="6">
        <v>0.97311308</v>
      </c>
      <c r="AX307" s="6">
        <v>0.96580418</v>
      </c>
      <c r="AY307" s="6">
        <v>0.96229362</v>
      </c>
      <c r="AZ307" s="6">
        <v>0.97128734</v>
      </c>
      <c r="BA307" s="6">
        <v>0.96960354</v>
      </c>
      <c r="BB307" s="6">
        <v>0.02655167</v>
      </c>
      <c r="BC307" s="6">
        <v>0.03025869</v>
      </c>
      <c r="BD307" s="6">
        <v>0.02688692</v>
      </c>
      <c r="BE307" s="6">
        <v>0.03419582</v>
      </c>
      <c r="BF307" s="6">
        <v>0.03770638</v>
      </c>
      <c r="BG307" s="6">
        <v>0.02871266</v>
      </c>
      <c r="BH307" s="6">
        <v>0.03039646</v>
      </c>
      <c r="BI307" s="6">
        <v>0.21470859</v>
      </c>
      <c r="BJ307" s="6">
        <v>0.12366373</v>
      </c>
      <c r="BK307" s="6">
        <v>0.1409291</v>
      </c>
      <c r="BL307" s="6">
        <v>0.12522516</v>
      </c>
      <c r="BM307" s="6">
        <v>0.1592662</v>
      </c>
      <c r="BN307" s="6">
        <v>0.17561655</v>
      </c>
      <c r="BO307" s="6">
        <v>0.1337285</v>
      </c>
      <c r="BP307" s="6">
        <v>0.14157076</v>
      </c>
      <c r="BQ307" s="6">
        <v>0.03454907</v>
      </c>
      <c r="BR307" s="6">
        <v>0.0300386</v>
      </c>
      <c r="BS307" s="6">
        <v>0.02999922</v>
      </c>
      <c r="BT307" s="6">
        <v>0.02838579</v>
      </c>
      <c r="BU307" s="6">
        <v>0.02653043</v>
      </c>
      <c r="BV307" s="6">
        <v>0.04780917</v>
      </c>
      <c r="BW307" s="6">
        <v>0.04554535</v>
      </c>
      <c r="BX307" s="12">
        <v>4536.73675107732</v>
      </c>
      <c r="BY307" s="13">
        <v>4660</v>
      </c>
      <c r="BZ307" s="12">
        <v>3984.1</v>
      </c>
      <c r="CA307" s="6">
        <f t="shared" si="30"/>
        <v>0.973548659029468</v>
      </c>
      <c r="CB307" s="6">
        <f t="shared" si="31"/>
        <v>1.13871056225429</v>
      </c>
      <c r="CC307" s="7">
        <v>166242173.8</v>
      </c>
      <c r="CD307" s="7">
        <f t="shared" si="24"/>
        <v>4.17264059135062</v>
      </c>
      <c r="CE307" s="8">
        <v>854.4</v>
      </c>
      <c r="CF307" s="8">
        <v>3443.9</v>
      </c>
      <c r="CG307" s="8">
        <v>2962.5</v>
      </c>
      <c r="CH307" s="8">
        <v>17210</v>
      </c>
      <c r="CI307" s="14">
        <v>0</v>
      </c>
      <c r="CJ307" s="14">
        <v>0</v>
      </c>
      <c r="CK307" s="14">
        <f t="shared" si="25"/>
        <v>0</v>
      </c>
      <c r="CL307">
        <f t="shared" si="26"/>
        <v>3.71995059106252</v>
      </c>
      <c r="CM307">
        <f t="shared" si="27"/>
        <v>0</v>
      </c>
      <c r="CN307" s="15">
        <v>4980.6</v>
      </c>
      <c r="CO307" s="15">
        <v>3733.99</v>
      </c>
      <c r="CP307" s="15">
        <v>441.95</v>
      </c>
      <c r="CQ307" s="15">
        <v>97.71</v>
      </c>
      <c r="CR307" s="15">
        <v>146.48</v>
      </c>
      <c r="CS307" s="15">
        <v>7</v>
      </c>
      <c r="CT307" s="15">
        <v>327.99</v>
      </c>
      <c r="CU307" s="15">
        <v>32.96</v>
      </c>
      <c r="CV307" s="15">
        <v>1.12</v>
      </c>
      <c r="CW307" s="15">
        <v>510.15</v>
      </c>
    </row>
    <row r="308" spans="1:101">
      <c r="A308" s="6">
        <v>2006</v>
      </c>
      <c r="B308" s="6" t="s">
        <v>112</v>
      </c>
      <c r="C308" s="6">
        <v>0.24427401</v>
      </c>
      <c r="D308" s="6">
        <v>0.043856</v>
      </c>
      <c r="E308" s="6">
        <v>0.010672</v>
      </c>
      <c r="F308" s="6">
        <v>0.019662</v>
      </c>
      <c r="G308" s="6">
        <v>0.006892</v>
      </c>
      <c r="H308" s="6">
        <v>0.00663</v>
      </c>
      <c r="I308" s="6">
        <v>0.039067</v>
      </c>
      <c r="J308" s="6">
        <v>0.020611</v>
      </c>
      <c r="K308" s="6">
        <v>0.29244132</v>
      </c>
      <c r="L308" s="6">
        <v>0.21182487</v>
      </c>
      <c r="M308" s="6">
        <v>0.25928867</v>
      </c>
      <c r="N308" s="6">
        <v>0.17522904</v>
      </c>
      <c r="O308" s="6">
        <v>0.16740888</v>
      </c>
      <c r="P308" s="6">
        <v>0.34535576</v>
      </c>
      <c r="Q308" s="6">
        <v>0.29876315</v>
      </c>
      <c r="R308" s="6">
        <v>217.69486</v>
      </c>
      <c r="S308" s="6">
        <v>0.00134335</v>
      </c>
      <c r="T308" s="6">
        <v>169.97573</v>
      </c>
      <c r="U308" s="6">
        <v>0.00124621</v>
      </c>
      <c r="V308" s="6">
        <v>197.11803</v>
      </c>
      <c r="W308" s="6">
        <v>0.0013154</v>
      </c>
      <c r="X308" s="6">
        <v>134.47093</v>
      </c>
      <c r="Y308" s="6">
        <v>0.0013031</v>
      </c>
      <c r="Z308" s="6">
        <v>134.86767</v>
      </c>
      <c r="AA308" s="6">
        <v>0.00124128</v>
      </c>
      <c r="AB308" s="6">
        <v>294.9318</v>
      </c>
      <c r="AC308" s="6">
        <v>0.00117097</v>
      </c>
      <c r="AD308" s="6">
        <v>243.86163</v>
      </c>
      <c r="AE308" s="6">
        <v>0.00122513</v>
      </c>
      <c r="AF308" s="6">
        <v>775</v>
      </c>
      <c r="AG308" s="6">
        <v>-0.00888305</v>
      </c>
      <c r="AH308" s="6">
        <v>-0.00833419</v>
      </c>
      <c r="AI308" s="6">
        <v>-0.00872585</v>
      </c>
      <c r="AJ308" s="6">
        <v>-0.0086565</v>
      </c>
      <c r="AK308" s="6">
        <v>-0.00830618</v>
      </c>
      <c r="AL308" s="6">
        <v>-0.00790395</v>
      </c>
      <c r="AM308" s="6">
        <v>-0.00821416</v>
      </c>
      <c r="AN308" s="6">
        <v>-6.4762184</v>
      </c>
      <c r="AO308" s="6">
        <v>-6.4515561</v>
      </c>
      <c r="AP308" s="6">
        <v>-6.4739881</v>
      </c>
      <c r="AQ308" s="6">
        <v>-6.4253629</v>
      </c>
      <c r="AR308" s="6">
        <v>-6.4020076</v>
      </c>
      <c r="AS308" s="6">
        <v>-6.4618417</v>
      </c>
      <c r="AT308" s="6">
        <v>-6.4506396</v>
      </c>
      <c r="AU308" s="6">
        <v>0.97344833</v>
      </c>
      <c r="AV308" s="6">
        <v>0.96974131</v>
      </c>
      <c r="AW308" s="6">
        <v>0.97311308</v>
      </c>
      <c r="AX308" s="6">
        <v>0.96580418</v>
      </c>
      <c r="AY308" s="6">
        <v>0.96229362</v>
      </c>
      <c r="AZ308" s="6">
        <v>0.97128734</v>
      </c>
      <c r="BA308" s="6">
        <v>0.96960354</v>
      </c>
      <c r="BB308" s="6">
        <v>0.02655167</v>
      </c>
      <c r="BC308" s="6">
        <v>0.03025869</v>
      </c>
      <c r="BD308" s="6">
        <v>0.02688692</v>
      </c>
      <c r="BE308" s="6">
        <v>0.03419582</v>
      </c>
      <c r="BF308" s="6">
        <v>0.03770638</v>
      </c>
      <c r="BG308" s="6">
        <v>0.02871266</v>
      </c>
      <c r="BH308" s="6">
        <v>0.03039646</v>
      </c>
      <c r="BI308" s="6">
        <v>0.21470859</v>
      </c>
      <c r="BJ308" s="6">
        <v>0.12366373</v>
      </c>
      <c r="BK308" s="6">
        <v>0.1409291</v>
      </c>
      <c r="BL308" s="6">
        <v>0.12522516</v>
      </c>
      <c r="BM308" s="6">
        <v>0.1592662</v>
      </c>
      <c r="BN308" s="6">
        <v>0.17561655</v>
      </c>
      <c r="BO308" s="6">
        <v>0.1337285</v>
      </c>
      <c r="BP308" s="6">
        <v>0.14157076</v>
      </c>
      <c r="BQ308" s="6">
        <v>0.03616439</v>
      </c>
      <c r="BR308" s="6">
        <v>0.02985229</v>
      </c>
      <c r="BS308" s="6">
        <v>0.03246946</v>
      </c>
      <c r="BT308" s="6">
        <v>0.02790806</v>
      </c>
      <c r="BU308" s="6">
        <v>0.02939977</v>
      </c>
      <c r="BV308" s="6">
        <v>0.04618391</v>
      </c>
      <c r="BW308" s="6">
        <v>0.04229613</v>
      </c>
      <c r="BX308" s="12">
        <v>5022.95</v>
      </c>
      <c r="BY308" s="13">
        <v>4719</v>
      </c>
      <c r="BZ308" s="12">
        <v>4746.16</v>
      </c>
      <c r="CA308" s="6">
        <f t="shared" si="30"/>
        <v>1.06440983259165</v>
      </c>
      <c r="CB308" s="6">
        <f t="shared" si="31"/>
        <v>1.05831872503245</v>
      </c>
      <c r="CC308" s="7">
        <v>177916965.8</v>
      </c>
      <c r="CD308" s="7">
        <f t="shared" si="24"/>
        <v>3.74865082087414</v>
      </c>
      <c r="CE308" s="8">
        <v>908.6</v>
      </c>
      <c r="CF308" s="8">
        <v>4060.7</v>
      </c>
      <c r="CG308" s="8">
        <v>3421.1</v>
      </c>
      <c r="CH308" s="8">
        <v>19760</v>
      </c>
      <c r="CI308" s="14">
        <v>0</v>
      </c>
      <c r="CJ308" s="14">
        <v>0</v>
      </c>
      <c r="CK308" s="14">
        <f t="shared" si="25"/>
        <v>0</v>
      </c>
      <c r="CL308">
        <f t="shared" si="26"/>
        <v>3.57740717995078</v>
      </c>
      <c r="CM308">
        <f t="shared" si="27"/>
        <v>0</v>
      </c>
      <c r="CN308" s="15">
        <v>5514.69</v>
      </c>
      <c r="CO308" s="15">
        <v>4172.86</v>
      </c>
      <c r="CP308" s="15">
        <v>451.26</v>
      </c>
      <c r="CQ308" s="15">
        <v>118.21</v>
      </c>
      <c r="CR308" s="15">
        <v>183.65</v>
      </c>
      <c r="CS308">
        <v>0</v>
      </c>
      <c r="CT308" s="15">
        <v>333.91</v>
      </c>
      <c r="CU308" s="15">
        <v>24.07</v>
      </c>
      <c r="CV308" s="15">
        <v>1.22</v>
      </c>
      <c r="CW308" s="15">
        <v>579.46</v>
      </c>
    </row>
    <row r="309" spans="1:101">
      <c r="A309" s="6">
        <v>2007</v>
      </c>
      <c r="B309" s="6" t="s">
        <v>112</v>
      </c>
      <c r="C309" s="6">
        <v>0.25872537</v>
      </c>
      <c r="D309" s="6">
        <v>0.046289</v>
      </c>
      <c r="E309" s="6">
        <v>0.01175</v>
      </c>
      <c r="F309" s="6">
        <v>0.021219</v>
      </c>
      <c r="G309" s="6">
        <v>0.007313</v>
      </c>
      <c r="H309" s="6">
        <v>0.006007</v>
      </c>
      <c r="I309" s="6">
        <v>0.041414</v>
      </c>
      <c r="J309" s="6">
        <v>0.021933</v>
      </c>
      <c r="K309" s="6">
        <v>0.31152708</v>
      </c>
      <c r="L309" s="6">
        <v>0.23730062</v>
      </c>
      <c r="M309" s="6">
        <v>0.28321149</v>
      </c>
      <c r="N309" s="6">
        <v>0.18769405</v>
      </c>
      <c r="O309" s="6">
        <v>0.14854177</v>
      </c>
      <c r="P309" s="6">
        <v>0.37148862</v>
      </c>
      <c r="Q309" s="6">
        <v>0.32234538</v>
      </c>
      <c r="R309" s="6">
        <v>217.69486</v>
      </c>
      <c r="S309" s="6">
        <v>0.00143103</v>
      </c>
      <c r="T309" s="6">
        <v>169.97573</v>
      </c>
      <c r="U309" s="6">
        <v>0.00139609</v>
      </c>
      <c r="V309" s="6">
        <v>197.11803</v>
      </c>
      <c r="W309" s="6">
        <v>0.00143676</v>
      </c>
      <c r="X309" s="6">
        <v>134.47093</v>
      </c>
      <c r="Y309" s="6">
        <v>0.0013958</v>
      </c>
      <c r="Z309" s="6">
        <v>134.86767</v>
      </c>
      <c r="AA309" s="6">
        <v>0.00110139</v>
      </c>
      <c r="AB309" s="6">
        <v>294.9318</v>
      </c>
      <c r="AC309" s="6">
        <v>0.00125957</v>
      </c>
      <c r="AD309" s="6">
        <v>243.86163</v>
      </c>
      <c r="AE309" s="6">
        <v>0.00132184</v>
      </c>
      <c r="AF309" s="6">
        <v>775</v>
      </c>
      <c r="AG309" s="6">
        <v>-0.00937231</v>
      </c>
      <c r="AH309" s="6">
        <v>-0.00917798</v>
      </c>
      <c r="AI309" s="6">
        <v>-0.00940412</v>
      </c>
      <c r="AJ309" s="6">
        <v>-0.00917637</v>
      </c>
      <c r="AK309" s="6">
        <v>-0.00750176</v>
      </c>
      <c r="AL309" s="6">
        <v>-0.00841016</v>
      </c>
      <c r="AM309" s="6">
        <v>-0.00876211</v>
      </c>
      <c r="AN309" s="6">
        <v>-6.4762184</v>
      </c>
      <c r="AO309" s="6">
        <v>-6.4515561</v>
      </c>
      <c r="AP309" s="6">
        <v>-6.4739881</v>
      </c>
      <c r="AQ309" s="6">
        <v>-6.4253629</v>
      </c>
      <c r="AR309" s="6">
        <v>-6.4020076</v>
      </c>
      <c r="AS309" s="6">
        <v>-6.4618417</v>
      </c>
      <c r="AT309" s="6">
        <v>-6.4506396</v>
      </c>
      <c r="AU309" s="6">
        <v>0.97344833</v>
      </c>
      <c r="AV309" s="6">
        <v>0.96974131</v>
      </c>
      <c r="AW309" s="6">
        <v>0.97311308</v>
      </c>
      <c r="AX309" s="6">
        <v>0.96580418</v>
      </c>
      <c r="AY309" s="6">
        <v>0.96229362</v>
      </c>
      <c r="AZ309" s="6">
        <v>0.97128734</v>
      </c>
      <c r="BA309" s="6">
        <v>0.96960354</v>
      </c>
      <c r="BB309" s="6">
        <v>0.02655167</v>
      </c>
      <c r="BC309" s="6">
        <v>0.03025869</v>
      </c>
      <c r="BD309" s="6">
        <v>0.02688692</v>
      </c>
      <c r="BE309" s="6">
        <v>0.03419582</v>
      </c>
      <c r="BF309" s="6">
        <v>0.03770638</v>
      </c>
      <c r="BG309" s="6">
        <v>0.02871266</v>
      </c>
      <c r="BH309" s="6">
        <v>0.03039646</v>
      </c>
      <c r="BI309" s="6">
        <v>0.21470859</v>
      </c>
      <c r="BJ309" s="6">
        <v>0.12366373</v>
      </c>
      <c r="BK309" s="6">
        <v>0.1409291</v>
      </c>
      <c r="BL309" s="6">
        <v>0.12522516</v>
      </c>
      <c r="BM309" s="6">
        <v>0.1592662</v>
      </c>
      <c r="BN309" s="6">
        <v>0.17561655</v>
      </c>
      <c r="BO309" s="6">
        <v>0.1337285</v>
      </c>
      <c r="BP309" s="6">
        <v>0.14157076</v>
      </c>
      <c r="BQ309" s="6">
        <v>0.0385246</v>
      </c>
      <c r="BR309" s="6">
        <v>0.03344256</v>
      </c>
      <c r="BS309" s="6">
        <v>0.0354652</v>
      </c>
      <c r="BT309" s="6">
        <v>0.02989332</v>
      </c>
      <c r="BU309" s="6">
        <v>0.02608639</v>
      </c>
      <c r="BV309" s="6">
        <v>0.04967861</v>
      </c>
      <c r="BW309" s="6">
        <v>0.04563468</v>
      </c>
      <c r="BX309" s="12">
        <v>5588.61</v>
      </c>
      <c r="BY309" s="13">
        <v>4768</v>
      </c>
      <c r="BZ309" s="12">
        <v>5823.41</v>
      </c>
      <c r="CA309" s="6">
        <f t="shared" si="30"/>
        <v>1.17210780201342</v>
      </c>
      <c r="CB309" s="6">
        <f t="shared" si="31"/>
        <v>0.959679981316789</v>
      </c>
      <c r="CC309" s="7">
        <v>212474897</v>
      </c>
      <c r="CD309" s="7">
        <f t="shared" si="24"/>
        <v>3.64863365279106</v>
      </c>
      <c r="CE309" s="8">
        <v>1077.3</v>
      </c>
      <c r="CF309" s="8">
        <v>5060.2</v>
      </c>
      <c r="CG309" s="8">
        <v>4154.7</v>
      </c>
      <c r="CH309" s="8">
        <v>24022</v>
      </c>
      <c r="CI309" s="14">
        <v>0</v>
      </c>
      <c r="CJ309" s="14">
        <v>0</v>
      </c>
      <c r="CK309" s="14">
        <f t="shared" si="25"/>
        <v>0</v>
      </c>
      <c r="CL309">
        <f t="shared" si="26"/>
        <v>3.23986794305777</v>
      </c>
      <c r="CM309">
        <f t="shared" si="27"/>
        <v>0</v>
      </c>
      <c r="CN309" s="15">
        <v>6136.67</v>
      </c>
      <c r="CO309" s="15">
        <v>4772.14</v>
      </c>
      <c r="CP309" s="15">
        <v>520.42</v>
      </c>
      <c r="CQ309" s="15">
        <v>152.98</v>
      </c>
      <c r="CR309" s="15">
        <v>197.7</v>
      </c>
      <c r="CS309" s="15">
        <v>0.27</v>
      </c>
      <c r="CT309" s="15">
        <v>374.26</v>
      </c>
      <c r="CU309" s="15">
        <v>20.85</v>
      </c>
      <c r="CV309" s="15">
        <v>1.34</v>
      </c>
      <c r="CW309" s="15">
        <v>681.14</v>
      </c>
    </row>
    <row r="310" spans="1:101">
      <c r="A310" s="6">
        <v>2008</v>
      </c>
      <c r="B310" s="6" t="s">
        <v>112</v>
      </c>
      <c r="C310" s="6">
        <v>0.26719443</v>
      </c>
      <c r="D310" s="6">
        <v>0.045051</v>
      </c>
      <c r="E310" s="6">
        <v>0.011051</v>
      </c>
      <c r="F310" s="6">
        <v>0.020089</v>
      </c>
      <c r="G310" s="6">
        <v>0.006978</v>
      </c>
      <c r="H310" s="6">
        <v>0.006933</v>
      </c>
      <c r="I310" s="6">
        <v>0.048043</v>
      </c>
      <c r="J310" s="6">
        <v>0.022308</v>
      </c>
      <c r="K310" s="6">
        <v>0.30181425</v>
      </c>
      <c r="L310" s="6">
        <v>0.22076692</v>
      </c>
      <c r="M310" s="6">
        <v>0.26583896</v>
      </c>
      <c r="N310" s="6">
        <v>0.17779107</v>
      </c>
      <c r="O310" s="6">
        <v>0.17661641</v>
      </c>
      <c r="P310" s="6">
        <v>0.44532523</v>
      </c>
      <c r="Q310" s="6">
        <v>0.32904533</v>
      </c>
      <c r="R310" s="6">
        <v>217.69486</v>
      </c>
      <c r="S310" s="6">
        <v>0.00138641</v>
      </c>
      <c r="T310" s="6">
        <v>169.97573</v>
      </c>
      <c r="U310" s="6">
        <v>0.00129881</v>
      </c>
      <c r="V310" s="6">
        <v>197.11803</v>
      </c>
      <c r="W310" s="6">
        <v>0.00134863</v>
      </c>
      <c r="X310" s="6">
        <v>134.47093</v>
      </c>
      <c r="Y310" s="6">
        <v>0.00132215</v>
      </c>
      <c r="Z310" s="6">
        <v>134.86767</v>
      </c>
      <c r="AA310" s="6">
        <v>0.00130955</v>
      </c>
      <c r="AB310" s="6">
        <v>294.9318</v>
      </c>
      <c r="AC310" s="6">
        <v>0.00150993</v>
      </c>
      <c r="AD310" s="6">
        <v>243.86163</v>
      </c>
      <c r="AE310" s="6">
        <v>0.00134931</v>
      </c>
      <c r="AF310" s="6">
        <v>775</v>
      </c>
      <c r="AG310" s="6">
        <v>-0.00912401</v>
      </c>
      <c r="AH310" s="6">
        <v>-0.00863231</v>
      </c>
      <c r="AI310" s="6">
        <v>-0.00891264</v>
      </c>
      <c r="AJ310" s="6">
        <v>-0.00876388</v>
      </c>
      <c r="AK310" s="6">
        <v>-0.00869291</v>
      </c>
      <c r="AL310" s="6">
        <v>-0.00980802</v>
      </c>
      <c r="AM310" s="6">
        <v>-0.00891647</v>
      </c>
      <c r="AN310" s="6">
        <v>-6.4762184</v>
      </c>
      <c r="AO310" s="6">
        <v>-6.4515561</v>
      </c>
      <c r="AP310" s="6">
        <v>-6.4739881</v>
      </c>
      <c r="AQ310" s="6">
        <v>-6.4253629</v>
      </c>
      <c r="AR310" s="6">
        <v>-6.4020076</v>
      </c>
      <c r="AS310" s="6">
        <v>-6.4618417</v>
      </c>
      <c r="AT310" s="6">
        <v>-6.4506396</v>
      </c>
      <c r="AU310" s="6">
        <v>0.97344833</v>
      </c>
      <c r="AV310" s="6">
        <v>0.96974131</v>
      </c>
      <c r="AW310" s="6">
        <v>0.97311308</v>
      </c>
      <c r="AX310" s="6">
        <v>0.96580418</v>
      </c>
      <c r="AY310" s="6">
        <v>0.96229362</v>
      </c>
      <c r="AZ310" s="6">
        <v>0.97128734</v>
      </c>
      <c r="BA310" s="6">
        <v>0.96960354</v>
      </c>
      <c r="BB310" s="6">
        <v>0.02655167</v>
      </c>
      <c r="BC310" s="6">
        <v>0.03025869</v>
      </c>
      <c r="BD310" s="6">
        <v>0.02688692</v>
      </c>
      <c r="BE310" s="6">
        <v>0.03419582</v>
      </c>
      <c r="BF310" s="6">
        <v>0.03770638</v>
      </c>
      <c r="BG310" s="6">
        <v>0.02871266</v>
      </c>
      <c r="BH310" s="6">
        <v>0.03039646</v>
      </c>
      <c r="BI310" s="6">
        <v>0.21470859</v>
      </c>
      <c r="BJ310" s="6">
        <v>0.12366373</v>
      </c>
      <c r="BK310" s="6">
        <v>0.1409291</v>
      </c>
      <c r="BL310" s="6">
        <v>0.12522516</v>
      </c>
      <c r="BM310" s="6">
        <v>0.1592662</v>
      </c>
      <c r="BN310" s="6">
        <v>0.17561655</v>
      </c>
      <c r="BO310" s="6">
        <v>0.1337285</v>
      </c>
      <c r="BP310" s="6">
        <v>0.14157076</v>
      </c>
      <c r="BQ310" s="6">
        <v>0.03732348</v>
      </c>
      <c r="BR310" s="6">
        <v>0.03111248</v>
      </c>
      <c r="BS310" s="6">
        <v>0.03328973</v>
      </c>
      <c r="BT310" s="6">
        <v>0.02831611</v>
      </c>
      <c r="BU310" s="6">
        <v>0.03101676</v>
      </c>
      <c r="BV310" s="6">
        <v>0.05955267</v>
      </c>
      <c r="BW310" s="6">
        <v>0.0465832</v>
      </c>
      <c r="BX310" s="12">
        <v>6054.22</v>
      </c>
      <c r="BY310" s="13">
        <v>4816</v>
      </c>
      <c r="BZ310" s="12">
        <v>7021</v>
      </c>
      <c r="CA310" s="6">
        <f t="shared" si="30"/>
        <v>1.25710548172757</v>
      </c>
      <c r="CB310" s="6">
        <f t="shared" si="31"/>
        <v>0.862301666429284</v>
      </c>
      <c r="CC310" s="7">
        <v>215198282.8</v>
      </c>
      <c r="CD310" s="7">
        <f t="shared" si="24"/>
        <v>3.06506598490244</v>
      </c>
      <c r="CE310" s="8">
        <v>1215.7</v>
      </c>
      <c r="CF310" s="8">
        <v>6273.1</v>
      </c>
      <c r="CG310" s="8">
        <v>4648.9</v>
      </c>
      <c r="CH310" s="8">
        <v>28185</v>
      </c>
      <c r="CI310" s="14">
        <v>0</v>
      </c>
      <c r="CJ310" s="14">
        <v>0</v>
      </c>
      <c r="CK310" s="14">
        <f t="shared" si="25"/>
        <v>0</v>
      </c>
      <c r="CL310">
        <f t="shared" si="26"/>
        <v>2.71728515287532</v>
      </c>
      <c r="CM310">
        <f t="shared" si="27"/>
        <v>0</v>
      </c>
      <c r="CN310" s="15">
        <v>6497</v>
      </c>
      <c r="CO310" s="15">
        <v>4676</v>
      </c>
      <c r="CP310" s="15">
        <v>580.03</v>
      </c>
      <c r="CQ310" s="15">
        <v>133.3</v>
      </c>
      <c r="CR310" s="15">
        <v>202</v>
      </c>
      <c r="CS310" s="15">
        <v>16.05</v>
      </c>
      <c r="CT310" s="15">
        <v>355.54</v>
      </c>
      <c r="CU310" s="15">
        <v>9.92</v>
      </c>
      <c r="CV310" s="15">
        <v>1.01</v>
      </c>
      <c r="CW310" s="15">
        <v>760.79</v>
      </c>
    </row>
    <row r="311" spans="1:101">
      <c r="A311" s="6">
        <v>2009</v>
      </c>
      <c r="B311" s="6" t="s">
        <v>112</v>
      </c>
      <c r="C311" s="6">
        <v>0.30685514</v>
      </c>
      <c r="D311" s="6">
        <v>0.054114</v>
      </c>
      <c r="E311" s="6">
        <v>0.01326</v>
      </c>
      <c r="F311" s="6">
        <v>0.024213</v>
      </c>
      <c r="G311" s="6">
        <v>0.007952</v>
      </c>
      <c r="H311" s="6">
        <v>0.008689</v>
      </c>
      <c r="I311" s="6">
        <v>0.045641</v>
      </c>
      <c r="J311" s="6">
        <v>0.024376</v>
      </c>
      <c r="K311" s="6">
        <v>0.37290361</v>
      </c>
      <c r="L311" s="6">
        <v>0.27301155</v>
      </c>
      <c r="M311" s="6">
        <v>0.32923367</v>
      </c>
      <c r="N311" s="6">
        <v>0.20655505</v>
      </c>
      <c r="O311" s="6">
        <v>0.22981008</v>
      </c>
      <c r="P311" s="6">
        <v>0.4185753</v>
      </c>
      <c r="Q311" s="6">
        <v>0.36593535</v>
      </c>
      <c r="R311" s="6">
        <v>217.69486</v>
      </c>
      <c r="S311" s="6">
        <v>0.00171296</v>
      </c>
      <c r="T311" s="6">
        <v>169.97573</v>
      </c>
      <c r="U311" s="6">
        <v>0.00160618</v>
      </c>
      <c r="V311" s="6">
        <v>197.11803</v>
      </c>
      <c r="W311" s="6">
        <v>0.00167024</v>
      </c>
      <c r="X311" s="6">
        <v>134.47093</v>
      </c>
      <c r="Y311" s="6">
        <v>0.00153606</v>
      </c>
      <c r="Z311" s="6">
        <v>134.86767</v>
      </c>
      <c r="AA311" s="6">
        <v>0.00170397</v>
      </c>
      <c r="AB311" s="6">
        <v>294.9318</v>
      </c>
      <c r="AC311" s="6">
        <v>0.00141923</v>
      </c>
      <c r="AD311" s="6">
        <v>243.86163</v>
      </c>
      <c r="AE311" s="6">
        <v>0.00150059</v>
      </c>
      <c r="AF311" s="6">
        <v>775</v>
      </c>
      <c r="AG311" s="6">
        <v>-0.01091078</v>
      </c>
      <c r="AH311" s="6">
        <v>-0.01033399</v>
      </c>
      <c r="AI311" s="6">
        <v>-0.01068081</v>
      </c>
      <c r="AJ311" s="6">
        <v>-0.0099514</v>
      </c>
      <c r="AK311" s="6">
        <v>-0.01086244</v>
      </c>
      <c r="AL311" s="6">
        <v>-0.00930679</v>
      </c>
      <c r="AM311" s="6">
        <v>-0.00975666</v>
      </c>
      <c r="AN311" s="6">
        <v>-6.4762184</v>
      </c>
      <c r="AO311" s="6">
        <v>-6.4515561</v>
      </c>
      <c r="AP311" s="6">
        <v>-6.4739881</v>
      </c>
      <c r="AQ311" s="6">
        <v>-6.4253629</v>
      </c>
      <c r="AR311" s="6">
        <v>-6.4020076</v>
      </c>
      <c r="AS311" s="6">
        <v>-6.4618417</v>
      </c>
      <c r="AT311" s="6">
        <v>-6.4506396</v>
      </c>
      <c r="AU311" s="6">
        <v>0.97344833</v>
      </c>
      <c r="AV311" s="6">
        <v>0.96974131</v>
      </c>
      <c r="AW311" s="6">
        <v>0.97311308</v>
      </c>
      <c r="AX311" s="6">
        <v>0.96580418</v>
      </c>
      <c r="AY311" s="6">
        <v>0.96229362</v>
      </c>
      <c r="AZ311" s="6">
        <v>0.97128734</v>
      </c>
      <c r="BA311" s="6">
        <v>0.96960354</v>
      </c>
      <c r="BB311" s="6">
        <v>0.02655167</v>
      </c>
      <c r="BC311" s="6">
        <v>0.03025869</v>
      </c>
      <c r="BD311" s="6">
        <v>0.02688692</v>
      </c>
      <c r="BE311" s="6">
        <v>0.03419582</v>
      </c>
      <c r="BF311" s="6">
        <v>0.03770638</v>
      </c>
      <c r="BG311" s="6">
        <v>0.02871266</v>
      </c>
      <c r="BH311" s="6">
        <v>0.03039646</v>
      </c>
      <c r="BI311" s="6">
        <v>0.21470859</v>
      </c>
      <c r="BJ311" s="6">
        <v>0.12366373</v>
      </c>
      <c r="BK311" s="6">
        <v>0.1409291</v>
      </c>
      <c r="BL311" s="6">
        <v>0.12522516</v>
      </c>
      <c r="BM311" s="6">
        <v>0.1592662</v>
      </c>
      <c r="BN311" s="6">
        <v>0.17561655</v>
      </c>
      <c r="BO311" s="6">
        <v>0.1337285</v>
      </c>
      <c r="BP311" s="6">
        <v>0.14157076</v>
      </c>
      <c r="BQ311" s="6">
        <v>0.04611465</v>
      </c>
      <c r="BR311" s="6">
        <v>0.03847527</v>
      </c>
      <c r="BS311" s="6">
        <v>0.04122834</v>
      </c>
      <c r="BT311" s="6">
        <v>0.03289724</v>
      </c>
      <c r="BU311" s="6">
        <v>0.04035845</v>
      </c>
      <c r="BV311" s="6">
        <v>0.05597544</v>
      </c>
      <c r="BW311" s="6">
        <v>0.05180575</v>
      </c>
      <c r="BX311" s="12">
        <v>6592.74</v>
      </c>
      <c r="BY311" s="13">
        <v>4856</v>
      </c>
      <c r="BZ311" s="12">
        <v>7759.16</v>
      </c>
      <c r="CA311" s="6">
        <f t="shared" si="30"/>
        <v>1.35764827018122</v>
      </c>
      <c r="CB311" s="6">
        <f t="shared" si="31"/>
        <v>0.849671871697452</v>
      </c>
      <c r="CC311" s="7">
        <v>231613861.8</v>
      </c>
      <c r="CD311" s="7">
        <f t="shared" si="24"/>
        <v>2.98503783656994</v>
      </c>
      <c r="CE311" s="8">
        <v>1297.3</v>
      </c>
      <c r="CF311" s="8">
        <v>6539.3</v>
      </c>
      <c r="CG311" s="8">
        <v>4979.1</v>
      </c>
      <c r="CH311" s="8">
        <v>29611</v>
      </c>
      <c r="CI311" s="14">
        <v>0</v>
      </c>
      <c r="CJ311" s="14">
        <v>0</v>
      </c>
      <c r="CK311" s="14">
        <f t="shared" si="25"/>
        <v>0</v>
      </c>
      <c r="CL311">
        <f t="shared" si="26"/>
        <v>2.66960201713366</v>
      </c>
      <c r="CM311">
        <f t="shared" si="27"/>
        <v>0</v>
      </c>
      <c r="CN311" s="15">
        <v>7075</v>
      </c>
      <c r="CO311" s="15">
        <v>5199</v>
      </c>
      <c r="CP311" s="15">
        <v>627.88</v>
      </c>
      <c r="CQ311" s="15">
        <v>163.03</v>
      </c>
      <c r="CR311" s="15">
        <v>216.28</v>
      </c>
      <c r="CS311" s="15">
        <v>0.09</v>
      </c>
      <c r="CT311" s="15">
        <v>413.61</v>
      </c>
      <c r="CU311" s="15">
        <v>7.38</v>
      </c>
      <c r="CV311" s="15">
        <v>1.21</v>
      </c>
      <c r="CW311" s="15">
        <v>856.29</v>
      </c>
    </row>
    <row r="312" spans="1:101">
      <c r="A312" s="6">
        <v>2010</v>
      </c>
      <c r="B312" s="6" t="s">
        <v>112</v>
      </c>
      <c r="C312" s="6">
        <v>0.27701209</v>
      </c>
      <c r="D312" s="6">
        <v>0.048995</v>
      </c>
      <c r="E312" s="6">
        <v>0.011613</v>
      </c>
      <c r="F312" s="6">
        <v>0.02278</v>
      </c>
      <c r="G312" s="6">
        <v>0.008047</v>
      </c>
      <c r="H312" s="6">
        <v>0.006555</v>
      </c>
      <c r="I312" s="6">
        <v>0.046958</v>
      </c>
      <c r="J312" s="6">
        <v>0.021333</v>
      </c>
      <c r="K312" s="6">
        <v>0.33274924</v>
      </c>
      <c r="L312" s="6">
        <v>0.23405416</v>
      </c>
      <c r="M312" s="6">
        <v>0.30719968</v>
      </c>
      <c r="N312" s="6">
        <v>0.20937802</v>
      </c>
      <c r="O312" s="6">
        <v>0.16516373</v>
      </c>
      <c r="P312" s="6">
        <v>0.43324528</v>
      </c>
      <c r="Q312" s="6">
        <v>0.31164158</v>
      </c>
      <c r="R312" s="6">
        <v>217.69486</v>
      </c>
      <c r="S312" s="6">
        <v>0.00152851</v>
      </c>
      <c r="T312" s="6">
        <v>169.97573</v>
      </c>
      <c r="U312" s="6">
        <v>0.00137699</v>
      </c>
      <c r="V312" s="6">
        <v>197.11803</v>
      </c>
      <c r="W312" s="6">
        <v>0.00155846</v>
      </c>
      <c r="X312" s="6">
        <v>134.47093</v>
      </c>
      <c r="Y312" s="6">
        <v>0.00155705</v>
      </c>
      <c r="Z312" s="6">
        <v>134.86767</v>
      </c>
      <c r="AA312" s="6">
        <v>0.00122464</v>
      </c>
      <c r="AB312" s="6">
        <v>294.9318</v>
      </c>
      <c r="AC312" s="6">
        <v>0.00146897</v>
      </c>
      <c r="AD312" s="6">
        <v>243.86163</v>
      </c>
      <c r="AE312" s="6">
        <v>0.00127794</v>
      </c>
      <c r="AF312" s="6">
        <v>775</v>
      </c>
      <c r="AG312" s="6">
        <v>-0.00991005</v>
      </c>
      <c r="AH312" s="6">
        <v>-0.00907139</v>
      </c>
      <c r="AI312" s="6">
        <v>-0.01007395</v>
      </c>
      <c r="AJ312" s="6">
        <v>-0.01006627</v>
      </c>
      <c r="AK312" s="6">
        <v>-0.00821132</v>
      </c>
      <c r="AL312" s="6">
        <v>-0.00958236</v>
      </c>
      <c r="AM312" s="6">
        <v>-0.00851431</v>
      </c>
      <c r="AN312" s="6">
        <v>-6.4762184</v>
      </c>
      <c r="AO312" s="6">
        <v>-6.4515561</v>
      </c>
      <c r="AP312" s="6">
        <v>-6.4739881</v>
      </c>
      <c r="AQ312" s="6">
        <v>-6.4253629</v>
      </c>
      <c r="AR312" s="6">
        <v>-6.4020076</v>
      </c>
      <c r="AS312" s="6">
        <v>-6.4618417</v>
      </c>
      <c r="AT312" s="6">
        <v>-6.4506396</v>
      </c>
      <c r="AU312" s="6">
        <v>0.97344833</v>
      </c>
      <c r="AV312" s="6">
        <v>0.96974131</v>
      </c>
      <c r="AW312" s="6">
        <v>0.97311308</v>
      </c>
      <c r="AX312" s="6">
        <v>0.96580418</v>
      </c>
      <c r="AY312" s="6">
        <v>0.96229362</v>
      </c>
      <c r="AZ312" s="6">
        <v>0.97128734</v>
      </c>
      <c r="BA312" s="6">
        <v>0.96960354</v>
      </c>
      <c r="BB312" s="6">
        <v>0.02655167</v>
      </c>
      <c r="BC312" s="6">
        <v>0.03025869</v>
      </c>
      <c r="BD312" s="6">
        <v>0.02688692</v>
      </c>
      <c r="BE312" s="6">
        <v>0.03419582</v>
      </c>
      <c r="BF312" s="6">
        <v>0.03770638</v>
      </c>
      <c r="BG312" s="6">
        <v>0.02871266</v>
      </c>
      <c r="BH312" s="6">
        <v>0.03039646</v>
      </c>
      <c r="BI312" s="6">
        <v>0.21470859</v>
      </c>
      <c r="BJ312" s="6">
        <v>0.12366373</v>
      </c>
      <c r="BK312" s="6">
        <v>0.1409291</v>
      </c>
      <c r="BL312" s="6">
        <v>0.12522516</v>
      </c>
      <c r="BM312" s="6">
        <v>0.1592662</v>
      </c>
      <c r="BN312" s="6">
        <v>0.17561655</v>
      </c>
      <c r="BO312" s="6">
        <v>0.1337285</v>
      </c>
      <c r="BP312" s="6">
        <v>0.14157076</v>
      </c>
      <c r="BQ312" s="6">
        <v>0.04114901</v>
      </c>
      <c r="BR312" s="6">
        <v>0.03298504</v>
      </c>
      <c r="BS312" s="6">
        <v>0.03846913</v>
      </c>
      <c r="BT312" s="6">
        <v>0.03334684</v>
      </c>
      <c r="BU312" s="6">
        <v>0.02900548</v>
      </c>
      <c r="BV312" s="6">
        <v>0.05793724</v>
      </c>
      <c r="BW312" s="6">
        <v>0.04411934</v>
      </c>
      <c r="BX312" s="12">
        <v>7379.23</v>
      </c>
      <c r="BY312" s="13">
        <v>4610</v>
      </c>
      <c r="BZ312" s="12">
        <v>9569.85</v>
      </c>
      <c r="CA312" s="6">
        <f t="shared" si="30"/>
        <v>1.60070065075922</v>
      </c>
      <c r="CB312" s="6">
        <f t="shared" si="31"/>
        <v>0.771091500911717</v>
      </c>
      <c r="CC312" s="7">
        <v>245570542</v>
      </c>
      <c r="CD312" s="7">
        <f t="shared" si="24"/>
        <v>2.56608559172819</v>
      </c>
      <c r="CE312" s="8">
        <v>1468.9</v>
      </c>
      <c r="CF312" s="8">
        <v>7181.8</v>
      </c>
      <c r="CG312" s="8">
        <v>5245.5</v>
      </c>
      <c r="CH312" s="8">
        <v>31888</v>
      </c>
      <c r="CI312" s="14">
        <v>0</v>
      </c>
      <c r="CJ312" s="14">
        <v>0</v>
      </c>
      <c r="CK312" s="14">
        <f t="shared" si="25"/>
        <v>0</v>
      </c>
      <c r="CL312">
        <f t="shared" si="26"/>
        <v>2.40850270516871</v>
      </c>
      <c r="CM312">
        <f t="shared" si="27"/>
        <v>0</v>
      </c>
      <c r="CN312" s="15">
        <v>7918.97</v>
      </c>
      <c r="CO312" s="15">
        <v>6206.82</v>
      </c>
      <c r="CP312" s="15">
        <v>682.07</v>
      </c>
      <c r="CQ312" s="15">
        <v>396.02</v>
      </c>
      <c r="CR312" s="15">
        <v>247.68</v>
      </c>
      <c r="CS312" s="15">
        <v>2.73</v>
      </c>
      <c r="CT312" s="15">
        <v>442.37</v>
      </c>
      <c r="CU312" s="15">
        <v>34.64</v>
      </c>
      <c r="CV312" s="15">
        <v>1.7</v>
      </c>
      <c r="CW312" s="15">
        <v>993.24</v>
      </c>
    </row>
    <row r="313" spans="1:101">
      <c r="A313" s="6">
        <v>2011</v>
      </c>
      <c r="B313" s="6" t="s">
        <v>112</v>
      </c>
      <c r="C313" s="6">
        <v>0.2890864</v>
      </c>
      <c r="D313" s="6">
        <v>0.049774</v>
      </c>
      <c r="E313" s="6">
        <v>0.012938</v>
      </c>
      <c r="F313" s="6">
        <v>0.022073</v>
      </c>
      <c r="G313" s="6">
        <v>0.007961</v>
      </c>
      <c r="H313" s="6">
        <v>0.006801</v>
      </c>
      <c r="I313" s="6">
        <v>0.048738</v>
      </c>
      <c r="J313" s="6">
        <v>0.023195</v>
      </c>
      <c r="K313" s="6">
        <v>0.33886468</v>
      </c>
      <c r="L313" s="6">
        <v>0.2654005</v>
      </c>
      <c r="M313" s="6">
        <v>0.29634356</v>
      </c>
      <c r="N313" s="6">
        <v>0.20684677</v>
      </c>
      <c r="O313" s="6">
        <v>0.17261135</v>
      </c>
      <c r="P313" s="6">
        <v>0.45306966</v>
      </c>
      <c r="Q313" s="6">
        <v>0.34486902</v>
      </c>
      <c r="R313" s="6">
        <v>217.69486</v>
      </c>
      <c r="S313" s="6">
        <v>0.0015566</v>
      </c>
      <c r="T313" s="6">
        <v>169.97573</v>
      </c>
      <c r="U313" s="6">
        <v>0.0015614</v>
      </c>
      <c r="V313" s="6">
        <v>197.11803</v>
      </c>
      <c r="W313" s="6">
        <v>0.00150338</v>
      </c>
      <c r="X313" s="6">
        <v>134.47093</v>
      </c>
      <c r="Y313" s="6">
        <v>0.00153823</v>
      </c>
      <c r="Z313" s="6">
        <v>134.86767</v>
      </c>
      <c r="AA313" s="6">
        <v>0.00127986</v>
      </c>
      <c r="AB313" s="6">
        <v>294.9318</v>
      </c>
      <c r="AC313" s="6">
        <v>0.00153618</v>
      </c>
      <c r="AD313" s="6">
        <v>243.86163</v>
      </c>
      <c r="AE313" s="6">
        <v>0.0014142</v>
      </c>
      <c r="AF313" s="6">
        <v>775</v>
      </c>
      <c r="AG313" s="6">
        <v>-0.01006383</v>
      </c>
      <c r="AH313" s="6">
        <v>-0.01009005</v>
      </c>
      <c r="AI313" s="6">
        <v>-0.00977204</v>
      </c>
      <c r="AJ313" s="6">
        <v>-0.00996329</v>
      </c>
      <c r="AK313" s="6">
        <v>-0.00852514</v>
      </c>
      <c r="AL313" s="6">
        <v>-0.0099521</v>
      </c>
      <c r="AM313" s="6">
        <v>-0.00927883</v>
      </c>
      <c r="AN313" s="6">
        <v>-6.4762184</v>
      </c>
      <c r="AO313" s="6">
        <v>-6.4515561</v>
      </c>
      <c r="AP313" s="6">
        <v>-6.4739881</v>
      </c>
      <c r="AQ313" s="6">
        <v>-6.4253629</v>
      </c>
      <c r="AR313" s="6">
        <v>-6.4020076</v>
      </c>
      <c r="AS313" s="6">
        <v>-6.4618417</v>
      </c>
      <c r="AT313" s="6">
        <v>-6.4506396</v>
      </c>
      <c r="AU313" s="6">
        <v>0.97344833</v>
      </c>
      <c r="AV313" s="6">
        <v>0.96974131</v>
      </c>
      <c r="AW313" s="6">
        <v>0.97311308</v>
      </c>
      <c r="AX313" s="6">
        <v>0.96580418</v>
      </c>
      <c r="AY313" s="6">
        <v>0.96229362</v>
      </c>
      <c r="AZ313" s="6">
        <v>0.97128734</v>
      </c>
      <c r="BA313" s="6">
        <v>0.96960354</v>
      </c>
      <c r="BB313" s="6">
        <v>0.02655167</v>
      </c>
      <c r="BC313" s="6">
        <v>0.03025869</v>
      </c>
      <c r="BD313" s="6">
        <v>0.02688692</v>
      </c>
      <c r="BE313" s="6">
        <v>0.03419582</v>
      </c>
      <c r="BF313" s="6">
        <v>0.03770638</v>
      </c>
      <c r="BG313" s="6">
        <v>0.02871266</v>
      </c>
      <c r="BH313" s="6">
        <v>0.03039646</v>
      </c>
      <c r="BI313" s="6">
        <v>0.21470859</v>
      </c>
      <c r="BJ313" s="6">
        <v>0.12366373</v>
      </c>
      <c r="BK313" s="6">
        <v>0.1409291</v>
      </c>
      <c r="BL313" s="6">
        <v>0.12522516</v>
      </c>
      <c r="BM313" s="6">
        <v>0.1592662</v>
      </c>
      <c r="BN313" s="6">
        <v>0.17561655</v>
      </c>
      <c r="BO313" s="6">
        <v>0.1337285</v>
      </c>
      <c r="BP313" s="6">
        <v>0.14157076</v>
      </c>
      <c r="BQ313" s="6">
        <v>0.04190527</v>
      </c>
      <c r="BR313" s="6">
        <v>0.03740265</v>
      </c>
      <c r="BS313" s="6">
        <v>0.03710967</v>
      </c>
      <c r="BT313" s="6">
        <v>0.0329437</v>
      </c>
      <c r="BU313" s="6">
        <v>0.03031341</v>
      </c>
      <c r="BV313" s="6">
        <v>0.06058832</v>
      </c>
      <c r="BW313" s="6">
        <v>0.04882337</v>
      </c>
      <c r="BX313" s="12">
        <v>8005.7878707168</v>
      </c>
      <c r="BY313" s="13">
        <v>4655</v>
      </c>
      <c r="BZ313" s="12">
        <v>11720.87</v>
      </c>
      <c r="CA313" s="6">
        <f t="shared" si="30"/>
        <v>1.7198255361368</v>
      </c>
      <c r="CB313" s="6">
        <f t="shared" si="31"/>
        <v>0.683036999021131</v>
      </c>
      <c r="CC313" s="7">
        <v>270061204.2</v>
      </c>
      <c r="CD313" s="7">
        <f t="shared" si="24"/>
        <v>2.30410544780379</v>
      </c>
      <c r="CE313" s="8">
        <v>1693.4</v>
      </c>
      <c r="CF313" s="8">
        <v>8478.7</v>
      </c>
      <c r="CG313" s="8">
        <v>6182.9</v>
      </c>
      <c r="CH313" s="8">
        <v>37353</v>
      </c>
      <c r="CI313" s="14">
        <v>0</v>
      </c>
      <c r="CJ313" s="14">
        <v>0</v>
      </c>
      <c r="CK313" s="14">
        <f t="shared" si="25"/>
        <v>0</v>
      </c>
      <c r="CL313">
        <f t="shared" si="26"/>
        <v>2.18035126729488</v>
      </c>
      <c r="CM313">
        <f t="shared" si="27"/>
        <v>0</v>
      </c>
      <c r="CN313" s="15">
        <v>8591</v>
      </c>
      <c r="CO313" s="15">
        <v>7033</v>
      </c>
      <c r="CP313" s="15">
        <v>740.25</v>
      </c>
      <c r="CQ313" s="15">
        <v>1064.06</v>
      </c>
      <c r="CR313" s="15">
        <v>259.48</v>
      </c>
      <c r="CS313" s="15">
        <v>0.28</v>
      </c>
      <c r="CT313" s="15">
        <v>476.91</v>
      </c>
      <c r="CU313" s="15">
        <v>50.45</v>
      </c>
      <c r="CV313" s="15">
        <v>2.53</v>
      </c>
      <c r="CW313" s="15">
        <v>1112</v>
      </c>
    </row>
    <row r="314" spans="1:101">
      <c r="A314" s="6">
        <v>2012</v>
      </c>
      <c r="B314" s="6" t="s">
        <v>112</v>
      </c>
      <c r="C314" s="6">
        <v>0.33309668</v>
      </c>
      <c r="D314" s="6">
        <v>0.05419</v>
      </c>
      <c r="E314" s="6">
        <v>0.013532</v>
      </c>
      <c r="F314" s="6">
        <v>0.023409</v>
      </c>
      <c r="G314" s="6">
        <v>0.009073</v>
      </c>
      <c r="H314" s="6">
        <v>0.008175</v>
      </c>
      <c r="I314" s="6">
        <v>0.053272</v>
      </c>
      <c r="J314" s="6">
        <v>0.029482</v>
      </c>
      <c r="K314" s="6">
        <v>0.37349786</v>
      </c>
      <c r="L314" s="6">
        <v>0.27944602</v>
      </c>
      <c r="M314" s="6">
        <v>0.31687696</v>
      </c>
      <c r="N314" s="6">
        <v>0.23970323</v>
      </c>
      <c r="O314" s="6">
        <v>0.21423841</v>
      </c>
      <c r="P314" s="6">
        <v>0.50356671</v>
      </c>
      <c r="Q314" s="6">
        <v>0.4570424</v>
      </c>
      <c r="R314" s="6">
        <v>217.69486</v>
      </c>
      <c r="S314" s="6">
        <v>0.00171569</v>
      </c>
      <c r="T314" s="6">
        <v>169.97573</v>
      </c>
      <c r="U314" s="6">
        <v>0.00164403</v>
      </c>
      <c r="V314" s="6">
        <v>197.11803</v>
      </c>
      <c r="W314" s="6">
        <v>0.00160755</v>
      </c>
      <c r="X314" s="6">
        <v>134.47093</v>
      </c>
      <c r="Y314" s="6">
        <v>0.00178257</v>
      </c>
      <c r="Z314" s="6">
        <v>134.86767</v>
      </c>
      <c r="AA314" s="6">
        <v>0.00158851</v>
      </c>
      <c r="AB314" s="6">
        <v>294.9318</v>
      </c>
      <c r="AC314" s="6">
        <v>0.0017074</v>
      </c>
      <c r="AD314" s="6">
        <v>243.86163</v>
      </c>
      <c r="AE314" s="6">
        <v>0.00187419</v>
      </c>
      <c r="AF314" s="6">
        <v>775</v>
      </c>
      <c r="AG314" s="6">
        <v>-0.01092543</v>
      </c>
      <c r="AH314" s="6">
        <v>-0.01053925</v>
      </c>
      <c r="AI314" s="6">
        <v>-0.01034144</v>
      </c>
      <c r="AJ314" s="6">
        <v>-0.01128311</v>
      </c>
      <c r="AK314" s="6">
        <v>-0.01023787</v>
      </c>
      <c r="AL314" s="6">
        <v>-0.01088089</v>
      </c>
      <c r="AM314" s="6">
        <v>-0.01176911</v>
      </c>
      <c r="AN314" s="6">
        <v>-6.4762184</v>
      </c>
      <c r="AO314" s="6">
        <v>-6.4515561</v>
      </c>
      <c r="AP314" s="6">
        <v>-6.4739881</v>
      </c>
      <c r="AQ314" s="6">
        <v>-6.4253629</v>
      </c>
      <c r="AR314" s="6">
        <v>-6.4020076</v>
      </c>
      <c r="AS314" s="6">
        <v>-6.4618417</v>
      </c>
      <c r="AT314" s="6">
        <v>-6.4506396</v>
      </c>
      <c r="AU314" s="6">
        <v>0.97344833</v>
      </c>
      <c r="AV314" s="6">
        <v>0.96974131</v>
      </c>
      <c r="AW314" s="6">
        <v>0.97311308</v>
      </c>
      <c r="AX314" s="6">
        <v>0.96580418</v>
      </c>
      <c r="AY314" s="6">
        <v>0.96229362</v>
      </c>
      <c r="AZ314" s="6">
        <v>0.97128734</v>
      </c>
      <c r="BA314" s="6">
        <v>0.96960354</v>
      </c>
      <c r="BB314" s="6">
        <v>0.02655167</v>
      </c>
      <c r="BC314" s="6">
        <v>0.03025869</v>
      </c>
      <c r="BD314" s="6">
        <v>0.02688692</v>
      </c>
      <c r="BE314" s="6">
        <v>0.03419582</v>
      </c>
      <c r="BF314" s="6">
        <v>0.03770638</v>
      </c>
      <c r="BG314" s="6">
        <v>0.02871266</v>
      </c>
      <c r="BH314" s="6">
        <v>0.03039646</v>
      </c>
      <c r="BI314" s="6">
        <v>0.21470859</v>
      </c>
      <c r="BJ314" s="6">
        <v>0.12366373</v>
      </c>
      <c r="BK314" s="6">
        <v>0.1409291</v>
      </c>
      <c r="BL314" s="6">
        <v>0.12522516</v>
      </c>
      <c r="BM314" s="6">
        <v>0.1592662</v>
      </c>
      <c r="BN314" s="6">
        <v>0.17561655</v>
      </c>
      <c r="BO314" s="6">
        <v>0.1337285</v>
      </c>
      <c r="BP314" s="6">
        <v>0.14157076</v>
      </c>
      <c r="BQ314" s="6">
        <v>0.04618814</v>
      </c>
      <c r="BR314" s="6">
        <v>0.03938208</v>
      </c>
      <c r="BS314" s="6">
        <v>0.03968097</v>
      </c>
      <c r="BT314" s="6">
        <v>0.03817662</v>
      </c>
      <c r="BU314" s="6">
        <v>0.03762381</v>
      </c>
      <c r="BV314" s="6">
        <v>0.06734122</v>
      </c>
      <c r="BW314" s="6">
        <v>0.06470384</v>
      </c>
      <c r="BX314" s="12">
        <v>8530.55454786618</v>
      </c>
      <c r="BY314" s="13">
        <v>4694</v>
      </c>
      <c r="BZ314" s="12">
        <v>13035.1</v>
      </c>
      <c r="CA314" s="6">
        <f t="shared" si="30"/>
        <v>1.81733160372096</v>
      </c>
      <c r="CB314" s="6">
        <f t="shared" si="31"/>
        <v>0.654429543913448</v>
      </c>
      <c r="CC314" s="7">
        <v>287755270.4</v>
      </c>
      <c r="CD314" s="7">
        <f t="shared" si="24"/>
        <v>2.20754171736312</v>
      </c>
      <c r="CE314" s="8">
        <v>1869.3</v>
      </c>
      <c r="CF314" s="8">
        <v>8886.9</v>
      </c>
      <c r="CG314" s="8">
        <v>7092.4</v>
      </c>
      <c r="CH314" s="8">
        <v>40778</v>
      </c>
      <c r="CI314" s="14">
        <v>0</v>
      </c>
      <c r="CJ314" s="14">
        <v>0</v>
      </c>
      <c r="CK314" s="14">
        <f t="shared" si="25"/>
        <v>0</v>
      </c>
      <c r="CL314">
        <f t="shared" si="26"/>
        <v>2.01609935715007</v>
      </c>
      <c r="CM314">
        <f t="shared" si="27"/>
        <v>0</v>
      </c>
      <c r="CN314" s="15">
        <v>9154.5</v>
      </c>
      <c r="CO314" s="15">
        <v>7264</v>
      </c>
      <c r="CP314" s="15">
        <v>805.1</v>
      </c>
      <c r="CQ314" s="15">
        <v>1473</v>
      </c>
      <c r="CR314" s="15">
        <v>285.41</v>
      </c>
      <c r="CS314" s="15">
        <v>0.08</v>
      </c>
      <c r="CT314" s="15">
        <v>519.46</v>
      </c>
      <c r="CU314" s="15">
        <v>49.72</v>
      </c>
      <c r="CV314" s="15">
        <v>3.18</v>
      </c>
      <c r="CW314" s="15">
        <v>1153.85</v>
      </c>
    </row>
    <row r="315" spans="1:101">
      <c r="A315" s="6">
        <v>2013</v>
      </c>
      <c r="B315" s="6" t="s">
        <v>112</v>
      </c>
      <c r="C315" s="6">
        <v>0.33602004</v>
      </c>
      <c r="D315" s="6">
        <v>0.054696</v>
      </c>
      <c r="E315" s="6">
        <v>0.013536</v>
      </c>
      <c r="F315" s="6">
        <v>0.024653</v>
      </c>
      <c r="G315" s="6">
        <v>0.008088</v>
      </c>
      <c r="H315" s="6">
        <v>0.008419</v>
      </c>
      <c r="I315" s="6">
        <v>0.056474</v>
      </c>
      <c r="J315" s="6">
        <v>0.028925</v>
      </c>
      <c r="K315" s="6">
        <v>0.37746806</v>
      </c>
      <c r="L315" s="6">
        <v>0.27952572</v>
      </c>
      <c r="M315" s="6">
        <v>0.33598347</v>
      </c>
      <c r="N315" s="6">
        <v>0.21059234</v>
      </c>
      <c r="O315" s="6">
        <v>0.22164676</v>
      </c>
      <c r="P315" s="6">
        <v>0.53923267</v>
      </c>
      <c r="Q315" s="6">
        <v>0.44711342</v>
      </c>
      <c r="R315" s="6">
        <v>217.69486</v>
      </c>
      <c r="S315" s="6">
        <v>0.00173393</v>
      </c>
      <c r="T315" s="6">
        <v>169.97573</v>
      </c>
      <c r="U315" s="6">
        <v>0.0016445</v>
      </c>
      <c r="V315" s="6">
        <v>197.11803</v>
      </c>
      <c r="W315" s="6">
        <v>0.00170448</v>
      </c>
      <c r="X315" s="6">
        <v>134.47093</v>
      </c>
      <c r="Y315" s="6">
        <v>0.00156608</v>
      </c>
      <c r="Z315" s="6">
        <v>134.86767</v>
      </c>
      <c r="AA315" s="6">
        <v>0.00164344</v>
      </c>
      <c r="AB315" s="6">
        <v>294.9318</v>
      </c>
      <c r="AC315" s="6">
        <v>0.00182833</v>
      </c>
      <c r="AD315" s="6">
        <v>243.86163</v>
      </c>
      <c r="AE315" s="6">
        <v>0.00183347</v>
      </c>
      <c r="AF315" s="6">
        <v>775</v>
      </c>
      <c r="AG315" s="6">
        <v>-0.01102324</v>
      </c>
      <c r="AH315" s="6">
        <v>-0.01054179</v>
      </c>
      <c r="AI315" s="6">
        <v>-0.01086519</v>
      </c>
      <c r="AJ315" s="6">
        <v>-0.0101156</v>
      </c>
      <c r="AK315" s="6">
        <v>-0.01053603</v>
      </c>
      <c r="AL315" s="6">
        <v>-0.01152644</v>
      </c>
      <c r="AM315" s="6">
        <v>-0.0115537</v>
      </c>
      <c r="AN315" s="6">
        <v>-6.4762184</v>
      </c>
      <c r="AO315" s="6">
        <v>-6.4515561</v>
      </c>
      <c r="AP315" s="6">
        <v>-6.4739881</v>
      </c>
      <c r="AQ315" s="6">
        <v>-6.4253629</v>
      </c>
      <c r="AR315" s="6">
        <v>-6.4020076</v>
      </c>
      <c r="AS315" s="6">
        <v>-6.4618417</v>
      </c>
      <c r="AT315" s="6">
        <v>-6.4506396</v>
      </c>
      <c r="AU315" s="6">
        <v>0.97344833</v>
      </c>
      <c r="AV315" s="6">
        <v>0.96974131</v>
      </c>
      <c r="AW315" s="6">
        <v>0.97311308</v>
      </c>
      <c r="AX315" s="6">
        <v>0.96580418</v>
      </c>
      <c r="AY315" s="6">
        <v>0.96229362</v>
      </c>
      <c r="AZ315" s="6">
        <v>0.97128734</v>
      </c>
      <c r="BA315" s="6">
        <v>0.96960354</v>
      </c>
      <c r="BB315" s="6">
        <v>0.02655167</v>
      </c>
      <c r="BC315" s="6">
        <v>0.03025869</v>
      </c>
      <c r="BD315" s="6">
        <v>0.02688692</v>
      </c>
      <c r="BE315" s="6">
        <v>0.03419582</v>
      </c>
      <c r="BF315" s="6">
        <v>0.03770638</v>
      </c>
      <c r="BG315" s="6">
        <v>0.02871266</v>
      </c>
      <c r="BH315" s="6">
        <v>0.03039646</v>
      </c>
      <c r="BI315" s="6">
        <v>0.21470859</v>
      </c>
      <c r="BJ315" s="6">
        <v>0.12366373</v>
      </c>
      <c r="BK315" s="6">
        <v>0.1409291</v>
      </c>
      <c r="BL315" s="6">
        <v>0.12522516</v>
      </c>
      <c r="BM315" s="6">
        <v>0.1592662</v>
      </c>
      <c r="BN315" s="6">
        <v>0.17561655</v>
      </c>
      <c r="BO315" s="6">
        <v>0.1337285</v>
      </c>
      <c r="BP315" s="6">
        <v>0.14157076</v>
      </c>
      <c r="BQ315" s="6">
        <v>0.04667911</v>
      </c>
      <c r="BR315" s="6">
        <v>0.03939331</v>
      </c>
      <c r="BS315" s="6">
        <v>0.04207358</v>
      </c>
      <c r="BT315" s="6">
        <v>0.03354024</v>
      </c>
      <c r="BU315" s="6">
        <v>0.03892484</v>
      </c>
      <c r="BV315" s="6">
        <v>0.07211077</v>
      </c>
      <c r="BW315" s="6">
        <v>0.06329819</v>
      </c>
      <c r="BX315" s="12">
        <v>9100.37</v>
      </c>
      <c r="BY315" s="13">
        <v>4731</v>
      </c>
      <c r="BZ315" s="12">
        <v>14449.9</v>
      </c>
      <c r="CA315" s="6">
        <f t="shared" si="30"/>
        <v>1.92356161488058</v>
      </c>
      <c r="CB315" s="6">
        <f t="shared" si="31"/>
        <v>0.62978774939619</v>
      </c>
      <c r="CC315" s="7">
        <v>295951535.4</v>
      </c>
      <c r="CD315" s="7">
        <f t="shared" si="24"/>
        <v>2.04812168527118</v>
      </c>
      <c r="CE315" s="8">
        <v>1973.4</v>
      </c>
      <c r="CF315" s="8">
        <v>9204.2</v>
      </c>
      <c r="CG315" s="8">
        <v>8031.2</v>
      </c>
      <c r="CH315" s="8">
        <v>43956</v>
      </c>
      <c r="CI315" s="14">
        <v>0</v>
      </c>
      <c r="CJ315" s="14">
        <v>0</v>
      </c>
      <c r="CK315" s="14">
        <f t="shared" si="25"/>
        <v>0</v>
      </c>
      <c r="CL315">
        <f t="shared" si="26"/>
        <v>1.91398219724656</v>
      </c>
      <c r="CM315">
        <f t="shared" si="27"/>
        <v>0</v>
      </c>
      <c r="CN315" s="15">
        <v>9100</v>
      </c>
      <c r="CO315" s="15">
        <v>7344.11</v>
      </c>
      <c r="CP315" s="15">
        <v>974.5</v>
      </c>
      <c r="CQ315" s="15">
        <v>1296.13</v>
      </c>
      <c r="CR315" s="15">
        <v>224.21</v>
      </c>
      <c r="CS315" s="15">
        <v>23.83</v>
      </c>
      <c r="CT315" s="15">
        <v>430.89</v>
      </c>
      <c r="CU315" s="15">
        <v>44.83</v>
      </c>
      <c r="CV315" s="15">
        <v>4.55</v>
      </c>
      <c r="CW315" s="15">
        <v>1237.74</v>
      </c>
    </row>
    <row r="316" spans="1:101">
      <c r="A316" s="6">
        <v>2014</v>
      </c>
      <c r="B316" s="6" t="s">
        <v>112</v>
      </c>
      <c r="C316" s="6">
        <v>0.33851089</v>
      </c>
      <c r="D316" s="6">
        <v>0.055446</v>
      </c>
      <c r="E316" s="6">
        <v>0.013626</v>
      </c>
      <c r="F316" s="6">
        <v>0.024989</v>
      </c>
      <c r="G316" s="6">
        <v>0.008544</v>
      </c>
      <c r="H316" s="6">
        <v>0.008287</v>
      </c>
      <c r="I316" s="6">
        <v>0.056639</v>
      </c>
      <c r="J316" s="6">
        <v>0.028579</v>
      </c>
      <c r="K316" s="6">
        <v>0.38335697</v>
      </c>
      <c r="L316" s="6">
        <v>0.28165926</v>
      </c>
      <c r="M316" s="6">
        <v>0.34115927</v>
      </c>
      <c r="N316" s="6">
        <v>0.22407369</v>
      </c>
      <c r="O316" s="6">
        <v>0.21763664</v>
      </c>
      <c r="P316" s="6">
        <v>0.5410749</v>
      </c>
      <c r="Q316" s="6">
        <v>0.44092953</v>
      </c>
      <c r="R316" s="6">
        <v>217.69486</v>
      </c>
      <c r="S316" s="6">
        <v>0.00176098</v>
      </c>
      <c r="T316" s="6">
        <v>169.97573</v>
      </c>
      <c r="U316" s="6">
        <v>0.00165706</v>
      </c>
      <c r="V316" s="6">
        <v>197.11803</v>
      </c>
      <c r="W316" s="6">
        <v>0.00173074</v>
      </c>
      <c r="X316" s="6">
        <v>134.47093</v>
      </c>
      <c r="Y316" s="6">
        <v>0.00166634</v>
      </c>
      <c r="Z316" s="6">
        <v>134.86767</v>
      </c>
      <c r="AA316" s="6">
        <v>0.00161371</v>
      </c>
      <c r="AB316" s="6">
        <v>294.9318</v>
      </c>
      <c r="AC316" s="6">
        <v>0.00183458</v>
      </c>
      <c r="AD316" s="6">
        <v>243.86163</v>
      </c>
      <c r="AE316" s="6">
        <v>0.00180811</v>
      </c>
      <c r="AF316" s="6">
        <v>775</v>
      </c>
      <c r="AG316" s="6">
        <v>-0.01116795</v>
      </c>
      <c r="AH316" s="6">
        <v>-0.01060965</v>
      </c>
      <c r="AI316" s="6">
        <v>-0.01100611</v>
      </c>
      <c r="AJ316" s="6">
        <v>-0.01065976</v>
      </c>
      <c r="AK316" s="6">
        <v>-0.01037487</v>
      </c>
      <c r="AL316" s="6">
        <v>-0.01155956</v>
      </c>
      <c r="AM316" s="6">
        <v>-0.01141909</v>
      </c>
      <c r="AN316" s="6">
        <v>-6.4762184</v>
      </c>
      <c r="AO316" s="6">
        <v>-6.4515561</v>
      </c>
      <c r="AP316" s="6">
        <v>-6.4739881</v>
      </c>
      <c r="AQ316" s="6">
        <v>-6.4253629</v>
      </c>
      <c r="AR316" s="6">
        <v>-6.4020076</v>
      </c>
      <c r="AS316" s="6">
        <v>-6.4618417</v>
      </c>
      <c r="AT316" s="6">
        <v>-6.4506396</v>
      </c>
      <c r="AU316" s="6">
        <v>0.97344833</v>
      </c>
      <c r="AV316" s="6">
        <v>0.96974131</v>
      </c>
      <c r="AW316" s="6">
        <v>0.97311308</v>
      </c>
      <c r="AX316" s="6">
        <v>0.96580418</v>
      </c>
      <c r="AY316" s="6">
        <v>0.96229362</v>
      </c>
      <c r="AZ316" s="6">
        <v>0.97128734</v>
      </c>
      <c r="BA316" s="6">
        <v>0.96960354</v>
      </c>
      <c r="BB316" s="6">
        <v>0.02655167</v>
      </c>
      <c r="BC316" s="6">
        <v>0.03025869</v>
      </c>
      <c r="BD316" s="6">
        <v>0.02688692</v>
      </c>
      <c r="BE316" s="6">
        <v>0.03419582</v>
      </c>
      <c r="BF316" s="6">
        <v>0.03770638</v>
      </c>
      <c r="BG316" s="6">
        <v>0.02871266</v>
      </c>
      <c r="BH316" s="6">
        <v>0.03039646</v>
      </c>
      <c r="BI316" s="6">
        <v>0.21470859</v>
      </c>
      <c r="BJ316" s="6">
        <v>0.12366373</v>
      </c>
      <c r="BK316" s="6">
        <v>0.1409291</v>
      </c>
      <c r="BL316" s="6">
        <v>0.12522516</v>
      </c>
      <c r="BM316" s="6">
        <v>0.1592662</v>
      </c>
      <c r="BN316" s="6">
        <v>0.17561655</v>
      </c>
      <c r="BO316" s="6">
        <v>0.1337285</v>
      </c>
      <c r="BP316" s="6">
        <v>0.14157076</v>
      </c>
      <c r="BQ316" s="6">
        <v>0.04740735</v>
      </c>
      <c r="BR316" s="6">
        <v>0.03969398</v>
      </c>
      <c r="BS316" s="6">
        <v>0.04272172</v>
      </c>
      <c r="BT316" s="6">
        <v>0.03568737</v>
      </c>
      <c r="BU316" s="6">
        <v>0.0382206</v>
      </c>
      <c r="BV316" s="6">
        <v>0.07235713</v>
      </c>
      <c r="BW316" s="6">
        <v>0.06242273</v>
      </c>
      <c r="BX316" s="12">
        <v>9515.34</v>
      </c>
      <c r="BY316" s="13">
        <v>4770</v>
      </c>
      <c r="BZ316" s="12">
        <v>15672.89</v>
      </c>
      <c r="CA316" s="6">
        <f t="shared" si="30"/>
        <v>1.99483018867925</v>
      </c>
      <c r="CB316" s="6">
        <f t="shared" si="31"/>
        <v>0.607120958546892</v>
      </c>
      <c r="CC316" s="7">
        <v>299354434.7</v>
      </c>
      <c r="CD316" s="7">
        <f t="shared" si="24"/>
        <v>1.91001426475908</v>
      </c>
      <c r="CE316" s="8">
        <v>2002</v>
      </c>
      <c r="CF316" s="8">
        <v>9038.8</v>
      </c>
      <c r="CG316" s="8">
        <v>8984.9</v>
      </c>
      <c r="CH316" s="8">
        <v>45915</v>
      </c>
      <c r="CI316" s="14">
        <v>0</v>
      </c>
      <c r="CJ316" s="14">
        <v>0</v>
      </c>
      <c r="CK316" s="14">
        <f t="shared" si="25"/>
        <v>0</v>
      </c>
      <c r="CL316">
        <f t="shared" si="26"/>
        <v>1.79640226266579</v>
      </c>
      <c r="CM316">
        <f t="shared" si="27"/>
        <v>0</v>
      </c>
      <c r="CN316" s="15">
        <v>9515.34</v>
      </c>
      <c r="CO316" s="15">
        <v>6796.51</v>
      </c>
      <c r="CP316" s="15">
        <v>1018.65</v>
      </c>
      <c r="CQ316" s="15">
        <v>1390.47</v>
      </c>
      <c r="CR316" s="15">
        <v>244.3</v>
      </c>
      <c r="CS316" s="15">
        <v>90.32</v>
      </c>
      <c r="CT316" s="15">
        <v>506.17</v>
      </c>
      <c r="CU316" s="15">
        <v>31.22</v>
      </c>
      <c r="CV316" s="15">
        <v>8.25</v>
      </c>
      <c r="CW316" s="15">
        <v>1307.99</v>
      </c>
    </row>
    <row r="317" spans="1:101">
      <c r="A317" s="6">
        <v>2015</v>
      </c>
      <c r="B317" s="6" t="s">
        <v>112</v>
      </c>
      <c r="C317" s="6">
        <v>0.34336751</v>
      </c>
      <c r="D317" s="6">
        <v>0.054395</v>
      </c>
      <c r="E317" s="6">
        <v>0.013436</v>
      </c>
      <c r="F317" s="6">
        <v>0.024194</v>
      </c>
      <c r="G317" s="6">
        <v>0.008333</v>
      </c>
      <c r="H317" s="6">
        <v>0.008433</v>
      </c>
      <c r="I317" s="6">
        <v>0.061503</v>
      </c>
      <c r="J317" s="6">
        <v>0.02898</v>
      </c>
      <c r="K317" s="6">
        <v>0.3751112</v>
      </c>
      <c r="L317" s="6">
        <v>0.27715487</v>
      </c>
      <c r="M317" s="6">
        <v>0.32893112</v>
      </c>
      <c r="N317" s="6">
        <v>0.21783023</v>
      </c>
      <c r="O317" s="6">
        <v>0.22206514</v>
      </c>
      <c r="P317" s="6">
        <v>0.59525159</v>
      </c>
      <c r="Q317" s="6">
        <v>0.44809263</v>
      </c>
      <c r="R317" s="6">
        <v>217.69486</v>
      </c>
      <c r="S317" s="6">
        <v>0.00172311</v>
      </c>
      <c r="T317" s="6">
        <v>169.97573</v>
      </c>
      <c r="U317" s="6">
        <v>0.00163056</v>
      </c>
      <c r="V317" s="6">
        <v>197.11803</v>
      </c>
      <c r="W317" s="6">
        <v>0.0016687</v>
      </c>
      <c r="X317" s="6">
        <v>134.47093</v>
      </c>
      <c r="Y317" s="6">
        <v>0.00161991</v>
      </c>
      <c r="Z317" s="6">
        <v>134.86767</v>
      </c>
      <c r="AA317" s="6">
        <v>0.00164654</v>
      </c>
      <c r="AB317" s="6">
        <v>294.9318</v>
      </c>
      <c r="AC317" s="6">
        <v>0.00201827</v>
      </c>
      <c r="AD317" s="6">
        <v>243.86163</v>
      </c>
      <c r="AE317" s="6">
        <v>0.00183749</v>
      </c>
      <c r="AF317" s="6">
        <v>775</v>
      </c>
      <c r="AG317" s="6">
        <v>-0.0109652</v>
      </c>
      <c r="AH317" s="6">
        <v>-0.01046627</v>
      </c>
      <c r="AI317" s="6">
        <v>-0.01067253</v>
      </c>
      <c r="AJ317" s="6">
        <v>-0.01040852</v>
      </c>
      <c r="AK317" s="6">
        <v>-0.01055281</v>
      </c>
      <c r="AL317" s="6">
        <v>-0.0125244</v>
      </c>
      <c r="AM317" s="6">
        <v>-0.01157499</v>
      </c>
      <c r="AN317" s="6">
        <v>-6.4762184</v>
      </c>
      <c r="AO317" s="6">
        <v>-6.4515561</v>
      </c>
      <c r="AP317" s="6">
        <v>-6.4739881</v>
      </c>
      <c r="AQ317" s="6">
        <v>-6.4253629</v>
      </c>
      <c r="AR317" s="6">
        <v>-6.4020076</v>
      </c>
      <c r="AS317" s="6">
        <v>-6.4618417</v>
      </c>
      <c r="AT317" s="6">
        <v>-6.4506396</v>
      </c>
      <c r="AU317" s="6">
        <v>0.97344833</v>
      </c>
      <c r="AV317" s="6">
        <v>0.96974131</v>
      </c>
      <c r="AW317" s="6">
        <v>0.97311308</v>
      </c>
      <c r="AX317" s="6">
        <v>0.96580418</v>
      </c>
      <c r="AY317" s="6">
        <v>0.96229362</v>
      </c>
      <c r="AZ317" s="6">
        <v>0.97128734</v>
      </c>
      <c r="BA317" s="6">
        <v>0.96960354</v>
      </c>
      <c r="BB317" s="6">
        <v>0.02655167</v>
      </c>
      <c r="BC317" s="6">
        <v>0.03025869</v>
      </c>
      <c r="BD317" s="6">
        <v>0.02688692</v>
      </c>
      <c r="BE317" s="6">
        <v>0.03419582</v>
      </c>
      <c r="BF317" s="6">
        <v>0.03770638</v>
      </c>
      <c r="BG317" s="6">
        <v>0.02871266</v>
      </c>
      <c r="BH317" s="6">
        <v>0.03039646</v>
      </c>
      <c r="BI317" s="6">
        <v>0.21470859</v>
      </c>
      <c r="BJ317" s="6">
        <v>0.12366373</v>
      </c>
      <c r="BK317" s="6">
        <v>0.1409291</v>
      </c>
      <c r="BL317" s="6">
        <v>0.12522516</v>
      </c>
      <c r="BM317" s="6">
        <v>0.1592662</v>
      </c>
      <c r="BN317" s="6">
        <v>0.17561655</v>
      </c>
      <c r="BO317" s="6">
        <v>0.1337285</v>
      </c>
      <c r="BP317" s="6">
        <v>0.14157076</v>
      </c>
      <c r="BQ317" s="6">
        <v>0.04638765</v>
      </c>
      <c r="BR317" s="6">
        <v>0.03905919</v>
      </c>
      <c r="BS317" s="6">
        <v>0.04119045</v>
      </c>
      <c r="BT317" s="6">
        <v>0.03469299</v>
      </c>
      <c r="BU317" s="6">
        <v>0.03899831</v>
      </c>
      <c r="BV317" s="6">
        <v>0.0796021</v>
      </c>
      <c r="BW317" s="6">
        <v>0.06343682</v>
      </c>
      <c r="BX317" s="12">
        <v>9805.66</v>
      </c>
      <c r="BY317" s="13">
        <v>4811</v>
      </c>
      <c r="BZ317" s="12">
        <v>16803.12</v>
      </c>
      <c r="CA317" s="6">
        <f t="shared" si="30"/>
        <v>2.03817501558927</v>
      </c>
      <c r="CB317" s="6">
        <f t="shared" si="31"/>
        <v>0.583561862320807</v>
      </c>
      <c r="CC317" s="7">
        <v>293448512.4</v>
      </c>
      <c r="CD317" s="7">
        <f t="shared" si="24"/>
        <v>1.74639300558468</v>
      </c>
      <c r="CE317" s="8">
        <v>2053.7</v>
      </c>
      <c r="CF317" s="8">
        <v>8344.6</v>
      </c>
      <c r="CG317" s="8">
        <v>9811.9</v>
      </c>
      <c r="CH317" s="8">
        <v>46482</v>
      </c>
      <c r="CI317" s="14">
        <v>0</v>
      </c>
      <c r="CJ317" s="14">
        <v>0</v>
      </c>
      <c r="CK317" s="14">
        <f t="shared" si="25"/>
        <v>0</v>
      </c>
      <c r="CL317">
        <f t="shared" si="26"/>
        <v>1.71577514742415</v>
      </c>
      <c r="CM317">
        <f t="shared" si="27"/>
        <v>0</v>
      </c>
      <c r="CN317" s="15">
        <v>9806</v>
      </c>
      <c r="CO317" s="15">
        <v>6094.82</v>
      </c>
      <c r="CP317" s="15">
        <v>1000.12</v>
      </c>
      <c r="CQ317" s="15">
        <v>1428.77</v>
      </c>
      <c r="CR317" s="15">
        <v>270.89</v>
      </c>
      <c r="CS317" s="15">
        <v>56.36</v>
      </c>
      <c r="CT317" s="15">
        <v>485.34</v>
      </c>
      <c r="CU317" s="15">
        <v>24.1</v>
      </c>
      <c r="CV317" s="15">
        <v>8.37</v>
      </c>
      <c r="CW317" s="15">
        <v>1334</v>
      </c>
    </row>
    <row r="318" spans="1:101">
      <c r="A318" s="6">
        <v>2016</v>
      </c>
      <c r="B318" s="6" t="s">
        <v>112</v>
      </c>
      <c r="C318" s="6">
        <v>0.36914547</v>
      </c>
      <c r="D318" s="6">
        <v>0.059681</v>
      </c>
      <c r="E318" s="6">
        <v>0.014428</v>
      </c>
      <c r="F318" s="6">
        <v>0.027813</v>
      </c>
      <c r="G318" s="6">
        <v>0.009089</v>
      </c>
      <c r="H318" s="6">
        <v>0.008351</v>
      </c>
      <c r="I318" s="6">
        <v>0.062586</v>
      </c>
      <c r="J318" s="6">
        <v>0.031215</v>
      </c>
      <c r="K318" s="6">
        <v>0.41657097</v>
      </c>
      <c r="L318" s="6">
        <v>0.30061466</v>
      </c>
      <c r="M318" s="6">
        <v>0.38456334</v>
      </c>
      <c r="N318" s="6">
        <v>0.24018383</v>
      </c>
      <c r="O318" s="6">
        <v>0.21956141</v>
      </c>
      <c r="P318" s="6">
        <v>0.60731786</v>
      </c>
      <c r="Q318" s="6">
        <v>0.48796025</v>
      </c>
      <c r="R318" s="6">
        <v>217.69486</v>
      </c>
      <c r="S318" s="6">
        <v>0.00191355</v>
      </c>
      <c r="T318" s="6">
        <v>169.97573</v>
      </c>
      <c r="U318" s="6">
        <v>0.00176857</v>
      </c>
      <c r="V318" s="6">
        <v>197.11803</v>
      </c>
      <c r="W318" s="6">
        <v>0.00195093</v>
      </c>
      <c r="X318" s="6">
        <v>134.47093</v>
      </c>
      <c r="Y318" s="6">
        <v>0.00178614</v>
      </c>
      <c r="Z318" s="6">
        <v>134.86767</v>
      </c>
      <c r="AA318" s="6">
        <v>0.00162798</v>
      </c>
      <c r="AB318" s="6">
        <v>294.9318</v>
      </c>
      <c r="AC318" s="6">
        <v>0.00205918</v>
      </c>
      <c r="AD318" s="6">
        <v>243.86163</v>
      </c>
      <c r="AE318" s="6">
        <v>0.00200097</v>
      </c>
      <c r="AF318" s="6">
        <v>775</v>
      </c>
      <c r="AG318" s="6">
        <v>-0.01197654</v>
      </c>
      <c r="AH318" s="6">
        <v>-0.01120848</v>
      </c>
      <c r="AI318" s="6">
        <v>-0.01217272</v>
      </c>
      <c r="AJ318" s="6">
        <v>-0.01130215</v>
      </c>
      <c r="AK318" s="6">
        <v>-0.01045229</v>
      </c>
      <c r="AL318" s="6">
        <v>-0.01273695</v>
      </c>
      <c r="AM318" s="6">
        <v>-0.01243428</v>
      </c>
      <c r="AN318" s="6">
        <v>-6.4762184</v>
      </c>
      <c r="AO318" s="6">
        <v>-6.4515561</v>
      </c>
      <c r="AP318" s="6">
        <v>-6.4739881</v>
      </c>
      <c r="AQ318" s="6">
        <v>-6.4253629</v>
      </c>
      <c r="AR318" s="6">
        <v>-6.4020076</v>
      </c>
      <c r="AS318" s="6">
        <v>-6.4618417</v>
      </c>
      <c r="AT318" s="6">
        <v>-6.4506396</v>
      </c>
      <c r="AU318" s="6">
        <v>0.97344833</v>
      </c>
      <c r="AV318" s="6">
        <v>0.96974131</v>
      </c>
      <c r="AW318" s="6">
        <v>0.97311308</v>
      </c>
      <c r="AX318" s="6">
        <v>0.96580418</v>
      </c>
      <c r="AY318" s="6">
        <v>0.96229362</v>
      </c>
      <c r="AZ318" s="6">
        <v>0.97128734</v>
      </c>
      <c r="BA318" s="6">
        <v>0.96960354</v>
      </c>
      <c r="BB318" s="6">
        <v>0.02655167</v>
      </c>
      <c r="BC318" s="6">
        <v>0.03025869</v>
      </c>
      <c r="BD318" s="6">
        <v>0.02688692</v>
      </c>
      <c r="BE318" s="6">
        <v>0.03419582</v>
      </c>
      <c r="BF318" s="6">
        <v>0.03770638</v>
      </c>
      <c r="BG318" s="6">
        <v>0.02871266</v>
      </c>
      <c r="BH318" s="6">
        <v>0.03039646</v>
      </c>
      <c r="BI318" s="6">
        <v>0.21470859</v>
      </c>
      <c r="BJ318" s="6">
        <v>0.12366373</v>
      </c>
      <c r="BK318" s="6">
        <v>0.1409291</v>
      </c>
      <c r="BL318" s="6">
        <v>0.12522516</v>
      </c>
      <c r="BM318" s="6">
        <v>0.1592662</v>
      </c>
      <c r="BN318" s="6">
        <v>0.17561655</v>
      </c>
      <c r="BO318" s="6">
        <v>0.1337285</v>
      </c>
      <c r="BP318" s="6">
        <v>0.14157076</v>
      </c>
      <c r="BQ318" s="6">
        <v>0.05151472</v>
      </c>
      <c r="BR318" s="6">
        <v>0.04236535</v>
      </c>
      <c r="BS318" s="6">
        <v>0.04815701</v>
      </c>
      <c r="BT318" s="6">
        <v>0.03825317</v>
      </c>
      <c r="BU318" s="6">
        <v>0.03855862</v>
      </c>
      <c r="BV318" s="6">
        <v>0.0812157</v>
      </c>
      <c r="BW318" s="6">
        <v>0.06908091</v>
      </c>
      <c r="BX318" s="12">
        <v>10110.15</v>
      </c>
      <c r="BY318" s="13">
        <v>4857</v>
      </c>
      <c r="BZ318" s="12">
        <v>18317.64</v>
      </c>
      <c r="CA318" s="6">
        <f t="shared" si="30"/>
        <v>2.08156269302038</v>
      </c>
      <c r="CB318" s="6">
        <f t="shared" si="31"/>
        <v>0.551935183790052</v>
      </c>
      <c r="CC318" s="7">
        <v>309222365.6</v>
      </c>
      <c r="CD318" s="7">
        <f t="shared" si="24"/>
        <v>1.68811247300416</v>
      </c>
      <c r="CE318" s="8">
        <v>1841.2</v>
      </c>
      <c r="CF318" s="8">
        <v>7865.7</v>
      </c>
      <c r="CG318" s="8">
        <v>10685.6</v>
      </c>
      <c r="CH318" s="8">
        <v>47069</v>
      </c>
      <c r="CI318" s="14">
        <v>0</v>
      </c>
      <c r="CJ318" s="14">
        <v>0</v>
      </c>
      <c r="CK318" s="14">
        <f t="shared" si="25"/>
        <v>0</v>
      </c>
      <c r="CL318">
        <f t="shared" si="26"/>
        <v>1.62438398605541</v>
      </c>
      <c r="CM318">
        <f t="shared" si="27"/>
        <v>0</v>
      </c>
      <c r="CN318" s="15">
        <v>10110</v>
      </c>
      <c r="CO318" s="15">
        <v>6403.86</v>
      </c>
      <c r="CP318" s="15">
        <v>1020.96</v>
      </c>
      <c r="CQ318" s="15">
        <v>1340.43</v>
      </c>
      <c r="CR318" s="15">
        <v>335.03</v>
      </c>
      <c r="CS318" s="15">
        <v>62.51</v>
      </c>
      <c r="CT318" s="15">
        <v>538.43</v>
      </c>
      <c r="CU318" s="15">
        <v>10.54</v>
      </c>
      <c r="CV318" s="15">
        <v>15.37</v>
      </c>
      <c r="CW318" s="15">
        <v>1359.65</v>
      </c>
    </row>
    <row r="319" spans="1:101">
      <c r="A319" s="6">
        <v>2017</v>
      </c>
      <c r="B319" s="6" t="s">
        <v>112</v>
      </c>
      <c r="C319" s="6">
        <v>0.400451</v>
      </c>
      <c r="D319" s="6">
        <v>0.062051</v>
      </c>
      <c r="E319" s="6">
        <v>0.015263</v>
      </c>
      <c r="F319" s="6">
        <v>0.027514</v>
      </c>
      <c r="G319" s="6">
        <v>0.009126</v>
      </c>
      <c r="H319" s="6">
        <v>0.010148</v>
      </c>
      <c r="I319" s="6">
        <v>0.069809</v>
      </c>
      <c r="J319" s="6">
        <v>0.03371</v>
      </c>
      <c r="K319" s="6">
        <v>0.43516206</v>
      </c>
      <c r="L319" s="6">
        <v>0.32035412</v>
      </c>
      <c r="M319" s="6">
        <v>0.37995954</v>
      </c>
      <c r="N319" s="6">
        <v>0.24127354</v>
      </c>
      <c r="O319" s="6">
        <v>0.27404469</v>
      </c>
      <c r="P319" s="6">
        <v>0.68776233</v>
      </c>
      <c r="Q319" s="6">
        <v>0.53247292</v>
      </c>
      <c r="R319" s="6">
        <v>217.69486</v>
      </c>
      <c r="S319" s="6">
        <v>0.00199895</v>
      </c>
      <c r="T319" s="6">
        <v>169.97573</v>
      </c>
      <c r="U319" s="6">
        <v>0.00188471</v>
      </c>
      <c r="V319" s="6">
        <v>197.11803</v>
      </c>
      <c r="W319" s="6">
        <v>0.00192757</v>
      </c>
      <c r="X319" s="6">
        <v>134.47093</v>
      </c>
      <c r="Y319" s="6">
        <v>0.00179424</v>
      </c>
      <c r="Z319" s="6">
        <v>134.86767</v>
      </c>
      <c r="AA319" s="6">
        <v>0.00203195</v>
      </c>
      <c r="AB319" s="6">
        <v>294.9318</v>
      </c>
      <c r="AC319" s="6">
        <v>0.00233194</v>
      </c>
      <c r="AD319" s="6">
        <v>243.86163</v>
      </c>
      <c r="AE319" s="6">
        <v>0.0021835</v>
      </c>
      <c r="AF319" s="6">
        <v>775</v>
      </c>
      <c r="AG319" s="6">
        <v>-0.01242376</v>
      </c>
      <c r="AH319" s="6">
        <v>-0.01182461</v>
      </c>
      <c r="AI319" s="6">
        <v>-0.01205021</v>
      </c>
      <c r="AJ319" s="6">
        <v>-0.01134531</v>
      </c>
      <c r="AK319" s="6">
        <v>-0.01259558</v>
      </c>
      <c r="AL319" s="6">
        <v>-0.014134</v>
      </c>
      <c r="AM319" s="6">
        <v>-0.01337795</v>
      </c>
      <c r="AN319" s="6">
        <v>-6.4762184</v>
      </c>
      <c r="AO319" s="6">
        <v>-6.4515561</v>
      </c>
      <c r="AP319" s="6">
        <v>-6.4739881</v>
      </c>
      <c r="AQ319" s="6">
        <v>-6.4253629</v>
      </c>
      <c r="AR319" s="6">
        <v>-6.4020076</v>
      </c>
      <c r="AS319" s="6">
        <v>-6.4618417</v>
      </c>
      <c r="AT319" s="6">
        <v>-6.4506396</v>
      </c>
      <c r="AU319" s="6">
        <v>0.97344833</v>
      </c>
      <c r="AV319" s="6">
        <v>0.96974131</v>
      </c>
      <c r="AW319" s="6">
        <v>0.97311308</v>
      </c>
      <c r="AX319" s="6">
        <v>0.96580418</v>
      </c>
      <c r="AY319" s="6">
        <v>0.96229362</v>
      </c>
      <c r="AZ319" s="6">
        <v>0.97128734</v>
      </c>
      <c r="BA319" s="6">
        <v>0.96960354</v>
      </c>
      <c r="BB319" s="6">
        <v>0.02655167</v>
      </c>
      <c r="BC319" s="6">
        <v>0.03025869</v>
      </c>
      <c r="BD319" s="6">
        <v>0.02688692</v>
      </c>
      <c r="BE319" s="6">
        <v>0.03419582</v>
      </c>
      <c r="BF319" s="6">
        <v>0.03770638</v>
      </c>
      <c r="BG319" s="6">
        <v>0.02871266</v>
      </c>
      <c r="BH319" s="6">
        <v>0.03039646</v>
      </c>
      <c r="BI319" s="6">
        <v>0.21470859</v>
      </c>
      <c r="BJ319" s="6">
        <v>0.12366373</v>
      </c>
      <c r="BK319" s="6">
        <v>0.1409291</v>
      </c>
      <c r="BL319" s="6">
        <v>0.12522516</v>
      </c>
      <c r="BM319" s="6">
        <v>0.1592662</v>
      </c>
      <c r="BN319" s="6">
        <v>0.17561655</v>
      </c>
      <c r="BO319" s="6">
        <v>0.1337285</v>
      </c>
      <c r="BP319" s="6">
        <v>0.14157076</v>
      </c>
      <c r="BQ319" s="6">
        <v>0.05381376</v>
      </c>
      <c r="BR319" s="6">
        <v>0.04514722</v>
      </c>
      <c r="BS319" s="6">
        <v>0.04758049</v>
      </c>
      <c r="BT319" s="6">
        <v>0.03842672</v>
      </c>
      <c r="BU319" s="6">
        <v>0.04812678</v>
      </c>
      <c r="BV319" s="6">
        <v>0.09197342</v>
      </c>
      <c r="BW319" s="6">
        <v>0.0753826</v>
      </c>
      <c r="BX319" s="12">
        <v>10456.02</v>
      </c>
      <c r="BY319" s="13">
        <v>4907</v>
      </c>
      <c r="BZ319" s="12">
        <v>18523.26</v>
      </c>
      <c r="CA319" s="6">
        <f t="shared" si="30"/>
        <v>2.13083757896882</v>
      </c>
      <c r="CB319" s="6">
        <f t="shared" si="31"/>
        <v>0.564480550399876</v>
      </c>
      <c r="CC319" s="7">
        <v>312365105.1</v>
      </c>
      <c r="CD319" s="7">
        <f t="shared" si="24"/>
        <v>1.68633979709835</v>
      </c>
      <c r="CE319" s="8">
        <v>1902.3</v>
      </c>
      <c r="CF319" s="8">
        <v>8328.9</v>
      </c>
      <c r="CG319" s="8">
        <v>11461.8</v>
      </c>
      <c r="CH319" s="8">
        <v>50221</v>
      </c>
      <c r="CI319" s="14">
        <v>1</v>
      </c>
      <c r="CJ319" s="14">
        <v>0</v>
      </c>
      <c r="CK319" s="14">
        <f t="shared" si="25"/>
        <v>0</v>
      </c>
      <c r="CL319">
        <f t="shared" si="26"/>
        <v>1.56738551218677</v>
      </c>
      <c r="CM319">
        <f t="shared" si="27"/>
        <v>0</v>
      </c>
      <c r="CN319" s="15">
        <v>10456</v>
      </c>
      <c r="CO319" s="15">
        <v>6617.64</v>
      </c>
      <c r="CP319" s="15">
        <v>1088.52</v>
      </c>
      <c r="CQ319" s="15">
        <v>1563.03</v>
      </c>
      <c r="CR319" s="15">
        <v>356.97</v>
      </c>
      <c r="CS319" s="15">
        <v>50.95</v>
      </c>
      <c r="CT319" s="15">
        <v>535.01</v>
      </c>
      <c r="CU319" s="15">
        <v>10.45</v>
      </c>
      <c r="CV319" s="15">
        <v>16.76</v>
      </c>
      <c r="CW319" s="15">
        <v>1444.95</v>
      </c>
    </row>
    <row r="320" spans="1:101">
      <c r="A320" s="6">
        <v>2018</v>
      </c>
      <c r="B320" s="6" t="s">
        <v>112</v>
      </c>
      <c r="C320" s="6">
        <v>0.35701023</v>
      </c>
      <c r="D320" s="6">
        <v>0.056626</v>
      </c>
      <c r="E320" s="6">
        <v>0.014029</v>
      </c>
      <c r="F320" s="6">
        <v>0.025671</v>
      </c>
      <c r="G320" s="6">
        <v>0.009345</v>
      </c>
      <c r="H320" s="6">
        <v>0.007582</v>
      </c>
      <c r="I320" s="6">
        <v>0.065749</v>
      </c>
      <c r="J320" s="6">
        <v>0.02902</v>
      </c>
      <c r="K320" s="6">
        <v>0.39261199</v>
      </c>
      <c r="L320" s="6">
        <v>0.29117606</v>
      </c>
      <c r="M320" s="6">
        <v>0.35163726</v>
      </c>
      <c r="N320" s="6">
        <v>0.24773174</v>
      </c>
      <c r="O320" s="6">
        <v>0.19627971</v>
      </c>
      <c r="P320" s="6">
        <v>0.64254583</v>
      </c>
      <c r="Q320" s="6">
        <v>0.44880316</v>
      </c>
      <c r="R320" s="6">
        <v>217.69486</v>
      </c>
      <c r="S320" s="6">
        <v>0.0018035</v>
      </c>
      <c r="T320" s="6">
        <v>169.97573</v>
      </c>
      <c r="U320" s="6">
        <v>0.00171304</v>
      </c>
      <c r="V320" s="6">
        <v>197.11803</v>
      </c>
      <c r="W320" s="6">
        <v>0.00178389</v>
      </c>
      <c r="X320" s="6">
        <v>134.47093</v>
      </c>
      <c r="Y320" s="6">
        <v>0.00184227</v>
      </c>
      <c r="Z320" s="6">
        <v>134.86767</v>
      </c>
      <c r="AA320" s="6">
        <v>0.00145535</v>
      </c>
      <c r="AB320" s="6">
        <v>294.9318</v>
      </c>
      <c r="AC320" s="6">
        <v>0.00217863</v>
      </c>
      <c r="AD320" s="6">
        <v>243.86163</v>
      </c>
      <c r="AE320" s="6">
        <v>0.0018404</v>
      </c>
      <c r="AF320" s="6">
        <v>775</v>
      </c>
      <c r="AG320" s="6">
        <v>-0.01139454</v>
      </c>
      <c r="AH320" s="6">
        <v>-0.01091121</v>
      </c>
      <c r="AI320" s="6">
        <v>-0.01129018</v>
      </c>
      <c r="AJ320" s="6">
        <v>-0.01160033</v>
      </c>
      <c r="AK320" s="6">
        <v>-0.00950709</v>
      </c>
      <c r="AL320" s="6">
        <v>-0.01335293</v>
      </c>
      <c r="AM320" s="6">
        <v>-0.01159043</v>
      </c>
      <c r="AN320" s="6">
        <v>-6.4762184</v>
      </c>
      <c r="AO320" s="6">
        <v>-6.4515561</v>
      </c>
      <c r="AP320" s="6">
        <v>-6.4739881</v>
      </c>
      <c r="AQ320" s="6">
        <v>-6.4253629</v>
      </c>
      <c r="AR320" s="6">
        <v>-6.4020076</v>
      </c>
      <c r="AS320" s="6">
        <v>-6.4618417</v>
      </c>
      <c r="AT320" s="6">
        <v>-6.4506396</v>
      </c>
      <c r="AU320" s="6">
        <v>0.97344833</v>
      </c>
      <c r="AV320" s="6">
        <v>0.96974131</v>
      </c>
      <c r="AW320" s="6">
        <v>0.97311308</v>
      </c>
      <c r="AX320" s="6">
        <v>0.96580418</v>
      </c>
      <c r="AY320" s="6">
        <v>0.96229362</v>
      </c>
      <c r="AZ320" s="6">
        <v>0.97128734</v>
      </c>
      <c r="BA320" s="6">
        <v>0.96960354</v>
      </c>
      <c r="BB320" s="6">
        <v>0.02655167</v>
      </c>
      <c r="BC320" s="6">
        <v>0.03025869</v>
      </c>
      <c r="BD320" s="6">
        <v>0.02688692</v>
      </c>
      <c r="BE320" s="6">
        <v>0.03419582</v>
      </c>
      <c r="BF320" s="6">
        <v>0.03770638</v>
      </c>
      <c r="BG320" s="6">
        <v>0.02871266</v>
      </c>
      <c r="BH320" s="6">
        <v>0.03039646</v>
      </c>
      <c r="BI320" s="6">
        <v>0.21470859</v>
      </c>
      <c r="BJ320" s="6">
        <v>0.12366373</v>
      </c>
      <c r="BK320" s="6">
        <v>0.1409291</v>
      </c>
      <c r="BL320" s="6">
        <v>0.12522516</v>
      </c>
      <c r="BM320" s="6">
        <v>0.1592662</v>
      </c>
      <c r="BN320" s="6">
        <v>0.17561655</v>
      </c>
      <c r="BO320" s="6">
        <v>0.1337285</v>
      </c>
      <c r="BP320" s="6">
        <v>0.14157076</v>
      </c>
      <c r="BQ320" s="6">
        <v>0.04855186</v>
      </c>
      <c r="BR320" s="6">
        <v>0.04103518</v>
      </c>
      <c r="BS320" s="6">
        <v>0.04403383</v>
      </c>
      <c r="BT320" s="6">
        <v>0.03945529</v>
      </c>
      <c r="BU320" s="6">
        <v>0.03446996</v>
      </c>
      <c r="BV320" s="6">
        <v>0.08592669</v>
      </c>
      <c r="BW320" s="6">
        <v>0.06353741</v>
      </c>
      <c r="BX320" s="12">
        <v>10823.39</v>
      </c>
      <c r="BY320" s="13">
        <v>4947</v>
      </c>
      <c r="BZ320" s="12">
        <v>20352.51</v>
      </c>
      <c r="CA320" s="6">
        <f t="shared" si="30"/>
        <v>2.18786941580756</v>
      </c>
      <c r="CB320" s="6">
        <f t="shared" si="31"/>
        <v>0.53179632389322</v>
      </c>
      <c r="CC320" s="7">
        <v>322065343.2</v>
      </c>
      <c r="CD320" s="7">
        <f t="shared" si="24"/>
        <v>1.58243549911043</v>
      </c>
      <c r="CE320" s="8">
        <v>2020.6</v>
      </c>
      <c r="CF320" s="8">
        <v>9049</v>
      </c>
      <c r="CG320" s="8">
        <v>12441</v>
      </c>
      <c r="CH320" s="8">
        <v>54657</v>
      </c>
      <c r="CI320" s="14">
        <v>1</v>
      </c>
      <c r="CJ320" s="14">
        <v>0</v>
      </c>
      <c r="CK320" s="14">
        <f t="shared" si="25"/>
        <v>0</v>
      </c>
      <c r="CL320">
        <f t="shared" si="26"/>
        <v>1.51591455826218</v>
      </c>
      <c r="CM320">
        <f t="shared" si="27"/>
        <v>0</v>
      </c>
      <c r="CN320" s="15">
        <v>10823</v>
      </c>
      <c r="CO320" s="15">
        <v>7339.78</v>
      </c>
      <c r="CP320" s="15">
        <v>1023.08</v>
      </c>
      <c r="CQ320" s="15">
        <v>1599.33</v>
      </c>
      <c r="CR320" s="15">
        <v>334.15</v>
      </c>
      <c r="CS320" s="15">
        <v>52.2</v>
      </c>
      <c r="CT320" s="15">
        <v>486.67</v>
      </c>
      <c r="CU320" s="15">
        <v>16.28</v>
      </c>
      <c r="CV320" s="15">
        <v>22.68</v>
      </c>
      <c r="CW320" s="15">
        <v>1703.04</v>
      </c>
    </row>
    <row r="321" spans="1:101">
      <c r="A321" s="6">
        <v>2019</v>
      </c>
      <c r="B321" s="6" t="s">
        <v>112</v>
      </c>
      <c r="C321" s="6">
        <v>0.37153976</v>
      </c>
      <c r="D321" s="6">
        <v>0.064643</v>
      </c>
      <c r="E321" s="6">
        <v>0.015931</v>
      </c>
      <c r="F321" s="6">
        <v>0.029124</v>
      </c>
      <c r="G321" s="6">
        <v>0.009207</v>
      </c>
      <c r="H321" s="6">
        <v>0.010382</v>
      </c>
      <c r="I321" s="6">
        <v>0.057759</v>
      </c>
      <c r="J321" s="6">
        <v>0.025624</v>
      </c>
      <c r="K321" s="6">
        <v>0.45549449</v>
      </c>
      <c r="L321" s="6">
        <v>0.33614359</v>
      </c>
      <c r="M321" s="6">
        <v>0.40470598</v>
      </c>
      <c r="N321" s="6">
        <v>0.24366536</v>
      </c>
      <c r="O321" s="6">
        <v>0.28111281</v>
      </c>
      <c r="P321" s="6">
        <v>0.55355131</v>
      </c>
      <c r="Q321" s="6">
        <v>0.38820535</v>
      </c>
      <c r="R321" s="6">
        <v>217.69486</v>
      </c>
      <c r="S321" s="6">
        <v>0.00209235</v>
      </c>
      <c r="T321" s="6">
        <v>169.97573</v>
      </c>
      <c r="U321" s="6">
        <v>0.0019776</v>
      </c>
      <c r="V321" s="6">
        <v>197.11803</v>
      </c>
      <c r="W321" s="6">
        <v>0.00205311</v>
      </c>
      <c r="X321" s="6">
        <v>134.47093</v>
      </c>
      <c r="Y321" s="6">
        <v>0.00181203</v>
      </c>
      <c r="Z321" s="6">
        <v>134.86767</v>
      </c>
      <c r="AA321" s="6">
        <v>0.00208436</v>
      </c>
      <c r="AB321" s="6">
        <v>294.9318</v>
      </c>
      <c r="AC321" s="6">
        <v>0.00187688</v>
      </c>
      <c r="AD321" s="6">
        <v>243.86163</v>
      </c>
      <c r="AE321" s="6">
        <v>0.00159191</v>
      </c>
      <c r="AF321" s="6">
        <v>775</v>
      </c>
      <c r="AG321" s="6">
        <v>-0.0129087</v>
      </c>
      <c r="AH321" s="6">
        <v>-0.01231227</v>
      </c>
      <c r="AI321" s="6">
        <v>-0.01270549</v>
      </c>
      <c r="AJ321" s="6">
        <v>-0.0114399</v>
      </c>
      <c r="AK321" s="6">
        <v>-0.01286737</v>
      </c>
      <c r="AL321" s="6">
        <v>-0.01178332</v>
      </c>
      <c r="AM321" s="6">
        <v>-0.01025638</v>
      </c>
      <c r="AN321" s="6">
        <v>-6.4762184</v>
      </c>
      <c r="AO321" s="6">
        <v>-6.4515561</v>
      </c>
      <c r="AP321" s="6">
        <v>-6.4739881</v>
      </c>
      <c r="AQ321" s="6">
        <v>-6.4253629</v>
      </c>
      <c r="AR321" s="6">
        <v>-6.4020076</v>
      </c>
      <c r="AS321" s="6">
        <v>-6.4618417</v>
      </c>
      <c r="AT321" s="6">
        <v>-6.4506396</v>
      </c>
      <c r="AU321" s="6">
        <v>0.97344833</v>
      </c>
      <c r="AV321" s="6">
        <v>0.96974131</v>
      </c>
      <c r="AW321" s="6">
        <v>0.97311308</v>
      </c>
      <c r="AX321" s="6">
        <v>0.96580418</v>
      </c>
      <c r="AY321" s="6">
        <v>0.96229362</v>
      </c>
      <c r="AZ321" s="6">
        <v>0.97128734</v>
      </c>
      <c r="BA321" s="6">
        <v>0.96960354</v>
      </c>
      <c r="BB321" s="6">
        <v>0.02655167</v>
      </c>
      <c r="BC321" s="6">
        <v>0.03025869</v>
      </c>
      <c r="BD321" s="6">
        <v>0.02688692</v>
      </c>
      <c r="BE321" s="6">
        <v>0.03419582</v>
      </c>
      <c r="BF321" s="6">
        <v>0.03770638</v>
      </c>
      <c r="BG321" s="6">
        <v>0.02871266</v>
      </c>
      <c r="BH321" s="6">
        <v>0.03039646</v>
      </c>
      <c r="BI321" s="6">
        <v>0.21470859</v>
      </c>
      <c r="BJ321" s="6">
        <v>0.12366373</v>
      </c>
      <c r="BK321" s="6">
        <v>0.1409291</v>
      </c>
      <c r="BL321" s="6">
        <v>0.12522516</v>
      </c>
      <c r="BM321" s="6">
        <v>0.1592662</v>
      </c>
      <c r="BN321" s="6">
        <v>0.17561655</v>
      </c>
      <c r="BO321" s="6">
        <v>0.1337285</v>
      </c>
      <c r="BP321" s="6">
        <v>0.14157076</v>
      </c>
      <c r="BQ321" s="6">
        <v>0.05632815</v>
      </c>
      <c r="BR321" s="6">
        <v>0.04737241</v>
      </c>
      <c r="BS321" s="6">
        <v>0.05067937</v>
      </c>
      <c r="BT321" s="6">
        <v>0.03880766</v>
      </c>
      <c r="BU321" s="6">
        <v>0.04936806</v>
      </c>
      <c r="BV321" s="6">
        <v>0.07402558</v>
      </c>
      <c r="BW321" s="6">
        <v>0.05495853</v>
      </c>
      <c r="BX321" s="12">
        <v>11454.85</v>
      </c>
      <c r="BY321" s="13">
        <v>4982</v>
      </c>
      <c r="BZ321" s="12">
        <v>21237.14</v>
      </c>
      <c r="CA321" s="6">
        <f t="shared" si="30"/>
        <v>2.29924729024488</v>
      </c>
      <c r="CB321" s="6">
        <f t="shared" si="31"/>
        <v>0.539378183691401</v>
      </c>
      <c r="CC321" s="7">
        <v>321790151.7</v>
      </c>
      <c r="CD321" s="7">
        <f t="shared" si="24"/>
        <v>1.51522357388989</v>
      </c>
      <c r="CE321" s="8">
        <v>2178</v>
      </c>
      <c r="CF321" s="8">
        <v>9475.9</v>
      </c>
      <c r="CG321" s="8">
        <v>13201.4</v>
      </c>
      <c r="CH321" s="8">
        <v>58019</v>
      </c>
      <c r="CI321" s="14">
        <v>1</v>
      </c>
      <c r="CJ321" s="14">
        <v>0</v>
      </c>
      <c r="CK321" s="14">
        <f t="shared" si="25"/>
        <v>0</v>
      </c>
      <c r="CL321">
        <f t="shared" si="26"/>
        <v>1.5000536746505</v>
      </c>
      <c r="CM321">
        <f t="shared" si="27"/>
        <v>0</v>
      </c>
      <c r="CN321" s="15">
        <v>11270</v>
      </c>
      <c r="CO321" s="15">
        <v>8021.91</v>
      </c>
      <c r="CP321" s="15">
        <v>1079.35</v>
      </c>
      <c r="CQ321" s="15">
        <v>1637.82</v>
      </c>
      <c r="CR321" s="15">
        <v>256.68</v>
      </c>
      <c r="CS321" s="15">
        <v>46.36</v>
      </c>
      <c r="CT321" s="15">
        <v>487.19</v>
      </c>
      <c r="CU321" s="15">
        <v>17.99</v>
      </c>
      <c r="CV321" s="15">
        <v>27.86</v>
      </c>
      <c r="CW321" s="15">
        <v>1907.33</v>
      </c>
    </row>
    <row r="322" spans="1:101">
      <c r="A322" s="6">
        <v>2020</v>
      </c>
      <c r="B322" s="6" t="s">
        <v>112</v>
      </c>
      <c r="C322" s="6">
        <v>0.40627228</v>
      </c>
      <c r="D322" s="6">
        <v>0.065821</v>
      </c>
      <c r="E322" s="6">
        <v>0.015608</v>
      </c>
      <c r="F322" s="6">
        <v>0.030621</v>
      </c>
      <c r="G322" s="6">
        <v>0.009567</v>
      </c>
      <c r="H322" s="6">
        <v>0.010025</v>
      </c>
      <c r="I322" s="6">
        <v>0.065127</v>
      </c>
      <c r="J322" s="6">
        <v>0.033943</v>
      </c>
      <c r="K322" s="6">
        <v>0.46473262</v>
      </c>
      <c r="L322" s="6">
        <v>0.32851793</v>
      </c>
      <c r="M322" s="6">
        <v>0.42771988</v>
      </c>
      <c r="N322" s="6">
        <v>0.25430476</v>
      </c>
      <c r="O322" s="6">
        <v>0.27029299</v>
      </c>
      <c r="P322" s="6">
        <v>0.63561772</v>
      </c>
      <c r="Q322" s="6">
        <v>0.53663907</v>
      </c>
      <c r="R322" s="6">
        <v>217.69486</v>
      </c>
      <c r="S322" s="6">
        <v>0.00213479</v>
      </c>
      <c r="T322" s="6">
        <v>169.97573</v>
      </c>
      <c r="U322" s="6">
        <v>0.00193273</v>
      </c>
      <c r="V322" s="6">
        <v>197.11803</v>
      </c>
      <c r="W322" s="6">
        <v>0.00216987</v>
      </c>
      <c r="X322" s="6">
        <v>134.47093</v>
      </c>
      <c r="Y322" s="6">
        <v>0.00189115</v>
      </c>
      <c r="Z322" s="6">
        <v>134.86767</v>
      </c>
      <c r="AA322" s="6">
        <v>0.00200413</v>
      </c>
      <c r="AB322" s="6">
        <v>294.9318</v>
      </c>
      <c r="AC322" s="6">
        <v>0.00215513</v>
      </c>
      <c r="AD322" s="6">
        <v>243.86163</v>
      </c>
      <c r="AE322" s="6">
        <v>0.00220059</v>
      </c>
      <c r="AF322" s="6">
        <v>775</v>
      </c>
      <c r="AG322" s="6">
        <v>-0.01312765</v>
      </c>
      <c r="AH322" s="6">
        <v>-0.01207731</v>
      </c>
      <c r="AI322" s="6">
        <v>-0.01330799</v>
      </c>
      <c r="AJ322" s="6">
        <v>-0.01185859</v>
      </c>
      <c r="AK322" s="6">
        <v>-0.01245077</v>
      </c>
      <c r="AL322" s="6">
        <v>-0.01323232</v>
      </c>
      <c r="AM322" s="6">
        <v>-0.01346547</v>
      </c>
      <c r="AN322" s="6">
        <v>-6.4762184</v>
      </c>
      <c r="AO322" s="6">
        <v>-6.4515561</v>
      </c>
      <c r="AP322" s="6">
        <v>-6.4739881</v>
      </c>
      <c r="AQ322" s="6">
        <v>-6.4253629</v>
      </c>
      <c r="AR322" s="6">
        <v>-6.4020076</v>
      </c>
      <c r="AS322" s="6">
        <v>-6.4618417</v>
      </c>
      <c r="AT322" s="6">
        <v>-6.4506396</v>
      </c>
      <c r="AU322" s="6">
        <v>0.97344833</v>
      </c>
      <c r="AV322" s="6">
        <v>0.96974131</v>
      </c>
      <c r="AW322" s="6">
        <v>0.97311308</v>
      </c>
      <c r="AX322" s="6">
        <v>0.96580418</v>
      </c>
      <c r="AY322" s="6">
        <v>0.96229362</v>
      </c>
      <c r="AZ322" s="6">
        <v>0.97128734</v>
      </c>
      <c r="BA322" s="6">
        <v>0.96960354</v>
      </c>
      <c r="BB322" s="6">
        <v>0.02655167</v>
      </c>
      <c r="BC322" s="6">
        <v>0.03025869</v>
      </c>
      <c r="BD322" s="6">
        <v>0.02688692</v>
      </c>
      <c r="BE322" s="6">
        <v>0.03419582</v>
      </c>
      <c r="BF322" s="6">
        <v>0.03770638</v>
      </c>
      <c r="BG322" s="6">
        <v>0.02871266</v>
      </c>
      <c r="BH322" s="6">
        <v>0.03039646</v>
      </c>
      <c r="BI322" s="6">
        <v>0.21470859</v>
      </c>
      <c r="BJ322" s="6">
        <v>0.12366373</v>
      </c>
      <c r="BK322" s="6">
        <v>0.1409291</v>
      </c>
      <c r="BL322" s="6">
        <v>0.12522516</v>
      </c>
      <c r="BM322" s="6">
        <v>0.1592662</v>
      </c>
      <c r="BN322" s="6">
        <v>0.17561655</v>
      </c>
      <c r="BO322" s="6">
        <v>0.1337285</v>
      </c>
      <c r="BP322" s="6">
        <v>0.14157076</v>
      </c>
      <c r="BQ322" s="6">
        <v>0.05747057</v>
      </c>
      <c r="BR322" s="6">
        <v>0.04629774</v>
      </c>
      <c r="BS322" s="6">
        <v>0.05356129</v>
      </c>
      <c r="BT322" s="6">
        <v>0.04050215</v>
      </c>
      <c r="BU322" s="6">
        <v>0.04746792</v>
      </c>
      <c r="BV322" s="6">
        <v>0.0850002</v>
      </c>
      <c r="BW322" s="6">
        <v>0.0759724</v>
      </c>
      <c r="BX322" s="12">
        <v>12279.3</v>
      </c>
      <c r="BY322" s="13">
        <v>5018.72</v>
      </c>
      <c r="BZ322" s="12">
        <v>22156.69</v>
      </c>
      <c r="CA322" s="6">
        <f t="shared" si="30"/>
        <v>2.44669955685912</v>
      </c>
      <c r="CB322" s="6">
        <f t="shared" si="31"/>
        <v>0.554202816395409</v>
      </c>
      <c r="CC322" s="7">
        <v>332733940.6</v>
      </c>
      <c r="CD322" s="7">
        <f t="shared" si="24"/>
        <v>1.50173126310834</v>
      </c>
      <c r="CE322" s="8">
        <v>2284.8</v>
      </c>
      <c r="CF322" s="8">
        <v>9357.5</v>
      </c>
      <c r="CG322" s="8">
        <v>13369.1</v>
      </c>
      <c r="CH322" s="8">
        <v>58629</v>
      </c>
      <c r="CI322" s="14">
        <v>1</v>
      </c>
      <c r="CJ322" s="14">
        <v>0</v>
      </c>
      <c r="CK322" s="14">
        <f t="shared" si="25"/>
        <v>0</v>
      </c>
      <c r="CL322">
        <f t="shared" si="26"/>
        <v>1.47141701078949</v>
      </c>
      <c r="CM322">
        <f t="shared" si="27"/>
        <v>0</v>
      </c>
      <c r="CN322" s="15">
        <v>12081.05</v>
      </c>
      <c r="CO322" s="15">
        <v>8496.71</v>
      </c>
      <c r="CP322" s="15">
        <v>1413.42</v>
      </c>
      <c r="CQ322" s="15">
        <v>1276.2</v>
      </c>
      <c r="CR322" s="15">
        <v>286.16</v>
      </c>
      <c r="CS322" s="15">
        <v>20.27</v>
      </c>
      <c r="CT322" s="15">
        <v>435.86</v>
      </c>
      <c r="CU322" s="15">
        <v>19.96</v>
      </c>
      <c r="CV322" s="15">
        <v>31.52</v>
      </c>
      <c r="CW322" s="15">
        <v>2029</v>
      </c>
    </row>
    <row r="323" spans="1:101">
      <c r="A323" s="6">
        <v>2021</v>
      </c>
      <c r="B323" s="6" t="s">
        <v>112</v>
      </c>
      <c r="C323" s="6">
        <v>0.42105221</v>
      </c>
      <c r="D323" s="6">
        <v>0.067835</v>
      </c>
      <c r="E323" s="6">
        <v>0.017284</v>
      </c>
      <c r="F323" s="6">
        <v>0.030187</v>
      </c>
      <c r="G323" s="6">
        <v>0.01024</v>
      </c>
      <c r="H323" s="6">
        <v>0.010123</v>
      </c>
      <c r="I323" s="6">
        <v>0.068189</v>
      </c>
      <c r="J323" s="6">
        <v>0.033872</v>
      </c>
      <c r="K323" s="6">
        <v>0.48053061</v>
      </c>
      <c r="L323" s="6">
        <v>0.36815411</v>
      </c>
      <c r="M323" s="6">
        <v>0.4210444</v>
      </c>
      <c r="N323" s="6">
        <v>0.27421584</v>
      </c>
      <c r="O323" s="6">
        <v>0.27327111</v>
      </c>
      <c r="P323" s="6">
        <v>0.66972475</v>
      </c>
      <c r="Q323" s="6">
        <v>0.53537535</v>
      </c>
      <c r="R323" s="6">
        <v>217.69486</v>
      </c>
      <c r="S323" s="6">
        <v>0.00220736</v>
      </c>
      <c r="T323" s="6">
        <v>169.97573</v>
      </c>
      <c r="U323" s="6">
        <v>0.00216592</v>
      </c>
      <c r="V323" s="6">
        <v>197.11803</v>
      </c>
      <c r="W323" s="6">
        <v>0.002136</v>
      </c>
      <c r="X323" s="6">
        <v>134.47093</v>
      </c>
      <c r="Y323" s="6">
        <v>0.00203922</v>
      </c>
      <c r="Z323" s="6">
        <v>134.86767</v>
      </c>
      <c r="AA323" s="6">
        <v>0.00202622</v>
      </c>
      <c r="AB323" s="6">
        <v>294.9318</v>
      </c>
      <c r="AC323" s="6">
        <v>0.00227078</v>
      </c>
      <c r="AD323" s="6">
        <v>243.86163</v>
      </c>
      <c r="AE323" s="6">
        <v>0.00219541</v>
      </c>
      <c r="AF323" s="6">
        <v>775</v>
      </c>
      <c r="AG323" s="6">
        <v>-0.01350011</v>
      </c>
      <c r="AH323" s="6">
        <v>-0.01328773</v>
      </c>
      <c r="AI323" s="6">
        <v>-0.01313389</v>
      </c>
      <c r="AJ323" s="6">
        <v>-0.01263335</v>
      </c>
      <c r="AK323" s="6">
        <v>-0.01256575</v>
      </c>
      <c r="AL323" s="6">
        <v>-0.01382366</v>
      </c>
      <c r="AM323" s="6">
        <v>-0.01343893</v>
      </c>
      <c r="AN323" s="6">
        <v>-6.4762184</v>
      </c>
      <c r="AO323" s="6">
        <v>-6.4515561</v>
      </c>
      <c r="AP323" s="6">
        <v>-6.4739881</v>
      </c>
      <c r="AQ323" s="6">
        <v>-6.4253629</v>
      </c>
      <c r="AR323" s="6">
        <v>-6.4020076</v>
      </c>
      <c r="AS323" s="6">
        <v>-6.4618417</v>
      </c>
      <c r="AT323" s="6">
        <v>-6.4506396</v>
      </c>
      <c r="AU323" s="6">
        <v>0.97344833</v>
      </c>
      <c r="AV323" s="6">
        <v>0.96974131</v>
      </c>
      <c r="AW323" s="6">
        <v>0.97311308</v>
      </c>
      <c r="AX323" s="6">
        <v>0.96580418</v>
      </c>
      <c r="AY323" s="6">
        <v>0.96229362</v>
      </c>
      <c r="AZ323" s="6">
        <v>0.97128734</v>
      </c>
      <c r="BA323" s="6">
        <v>0.96960354</v>
      </c>
      <c r="BB323" s="6">
        <v>0.02655167</v>
      </c>
      <c r="BC323" s="6">
        <v>0.03025869</v>
      </c>
      <c r="BD323" s="6">
        <v>0.02688692</v>
      </c>
      <c r="BE323" s="6">
        <v>0.03419582</v>
      </c>
      <c r="BF323" s="6">
        <v>0.03770638</v>
      </c>
      <c r="BG323" s="6">
        <v>0.02871266</v>
      </c>
      <c r="BH323" s="6">
        <v>0.03039646</v>
      </c>
      <c r="BI323" s="6">
        <v>0.21470859</v>
      </c>
      <c r="BJ323" s="6">
        <v>0.12366373</v>
      </c>
      <c r="BK323" s="6">
        <v>0.1409291</v>
      </c>
      <c r="BL323" s="6">
        <v>0.12522516</v>
      </c>
      <c r="BM323" s="6">
        <v>0.1592662</v>
      </c>
      <c r="BN323" s="6">
        <v>0.17561655</v>
      </c>
      <c r="BO323" s="6">
        <v>0.1337285</v>
      </c>
      <c r="BP323" s="6">
        <v>0.14157076</v>
      </c>
      <c r="BQ323" s="6">
        <v>0.05942421</v>
      </c>
      <c r="BR323" s="6">
        <v>0.05188363</v>
      </c>
      <c r="BS323" s="6">
        <v>0.05272535</v>
      </c>
      <c r="BT323" s="6">
        <v>0.04367332</v>
      </c>
      <c r="BU323" s="6">
        <v>0.04799093</v>
      </c>
      <c r="BV323" s="6">
        <v>0.08956128</v>
      </c>
      <c r="BW323" s="6">
        <v>0.0757935</v>
      </c>
      <c r="BX323" s="12">
        <v>13452.9</v>
      </c>
      <c r="BY323" s="13">
        <v>5037</v>
      </c>
      <c r="BZ323" s="12">
        <v>24740.9</v>
      </c>
      <c r="CA323" s="6">
        <f t="shared" si="30"/>
        <v>2.67081596188207</v>
      </c>
      <c r="CB323" s="6">
        <f t="shared" si="31"/>
        <v>0.543751439923366</v>
      </c>
      <c r="CC323" s="7">
        <v>349591438.3</v>
      </c>
      <c r="CD323" s="7">
        <f t="shared" ref="CD323:CD386" si="32">CC323/10000/BZ323</f>
        <v>1.41301019081763</v>
      </c>
      <c r="CE323" s="8">
        <v>2461.9</v>
      </c>
      <c r="CF323" s="8">
        <v>10883.3</v>
      </c>
      <c r="CG323" s="8">
        <v>14224.2</v>
      </c>
      <c r="CH323" s="8">
        <v>64992</v>
      </c>
      <c r="CI323" s="14">
        <v>1</v>
      </c>
      <c r="CJ323" s="14">
        <v>0</v>
      </c>
      <c r="CK323" s="14">
        <f t="shared" ref="CK323:CK386" si="33">CI323*CJ323</f>
        <v>0</v>
      </c>
      <c r="CL323">
        <f t="shared" ref="CL323:CL386" si="34">AVERAGEIF($A:$A,$A323,$CD:$CD)</f>
        <v>1.36781889095748</v>
      </c>
      <c r="CM323">
        <f t="shared" ref="CM323:CM386" si="35">MAX(0,1-CD323/CL323)</f>
        <v>0</v>
      </c>
      <c r="CN323" s="15">
        <v>13189.02</v>
      </c>
      <c r="CO323" s="15">
        <v>7857.73</v>
      </c>
      <c r="CP323" s="15">
        <v>1580.09</v>
      </c>
      <c r="CQ323" s="15">
        <v>1698.17</v>
      </c>
      <c r="CR323" s="15">
        <v>305.09</v>
      </c>
      <c r="CS323" s="15">
        <v>23.53</v>
      </c>
      <c r="CT323" s="15">
        <v>452.77</v>
      </c>
      <c r="CU323" s="15">
        <v>33.75</v>
      </c>
      <c r="CV323" s="15">
        <v>41</v>
      </c>
      <c r="CW323" s="15">
        <v>2238</v>
      </c>
    </row>
    <row r="324" spans="1:101">
      <c r="A324" s="6">
        <v>2022</v>
      </c>
      <c r="B324" s="6" t="s">
        <v>112</v>
      </c>
      <c r="C324" s="6">
        <v>0.45332001</v>
      </c>
      <c r="D324" s="6">
        <v>0.072589</v>
      </c>
      <c r="E324" s="6">
        <v>0.018356</v>
      </c>
      <c r="F324" s="6">
        <v>0.031999</v>
      </c>
      <c r="G324" s="6">
        <v>0.011293</v>
      </c>
      <c r="H324" s="6">
        <v>0.010941</v>
      </c>
      <c r="I324" s="6">
        <v>0.072804</v>
      </c>
      <c r="J324" s="6">
        <v>0.03562</v>
      </c>
      <c r="K324" s="6">
        <v>0.5178276</v>
      </c>
      <c r="L324" s="6">
        <v>0.39348932</v>
      </c>
      <c r="M324" s="6">
        <v>0.44890069</v>
      </c>
      <c r="N324" s="6">
        <v>0.30532822</v>
      </c>
      <c r="O324" s="6">
        <v>0.29806795</v>
      </c>
      <c r="P324" s="6">
        <v>0.72112052</v>
      </c>
      <c r="Q324" s="6">
        <v>0.56655248</v>
      </c>
      <c r="R324" s="6">
        <v>217.69486</v>
      </c>
      <c r="S324" s="6">
        <v>0.00237869</v>
      </c>
      <c r="T324" s="6">
        <v>169.97573</v>
      </c>
      <c r="U324" s="6">
        <v>0.00231497</v>
      </c>
      <c r="V324" s="6">
        <v>197.11803</v>
      </c>
      <c r="W324" s="6">
        <v>0.00227732</v>
      </c>
      <c r="X324" s="6">
        <v>134.47093</v>
      </c>
      <c r="Y324" s="6">
        <v>0.00227059</v>
      </c>
      <c r="Z324" s="6">
        <v>134.86767</v>
      </c>
      <c r="AA324" s="6">
        <v>0.00221008</v>
      </c>
      <c r="AB324" s="6">
        <v>294.9318</v>
      </c>
      <c r="AC324" s="6">
        <v>0.00244504</v>
      </c>
      <c r="AD324" s="6">
        <v>243.86163</v>
      </c>
      <c r="AE324" s="6">
        <v>0.00232325</v>
      </c>
      <c r="AF324" s="6">
        <v>775</v>
      </c>
      <c r="AG324" s="6">
        <v>-0.01437013</v>
      </c>
      <c r="AH324" s="6">
        <v>-0.01404809</v>
      </c>
      <c r="AI324" s="6">
        <v>-0.01385693</v>
      </c>
      <c r="AJ324" s="6">
        <v>-0.0138227</v>
      </c>
      <c r="AK324" s="6">
        <v>-0.01351402</v>
      </c>
      <c r="AL324" s="6">
        <v>-0.01470373</v>
      </c>
      <c r="AM324" s="6">
        <v>-0.01409004</v>
      </c>
      <c r="AN324" s="6">
        <v>-6.4762184</v>
      </c>
      <c r="AO324" s="6">
        <v>-6.4515561</v>
      </c>
      <c r="AP324" s="6">
        <v>-6.4739881</v>
      </c>
      <c r="AQ324" s="6">
        <v>-6.4253629</v>
      </c>
      <c r="AR324" s="6">
        <v>-6.4020076</v>
      </c>
      <c r="AS324" s="6">
        <v>-6.4618417</v>
      </c>
      <c r="AT324" s="6">
        <v>-6.4506396</v>
      </c>
      <c r="AU324" s="6">
        <v>0.97344833</v>
      </c>
      <c r="AV324" s="6">
        <v>0.96974131</v>
      </c>
      <c r="AW324" s="6">
        <v>0.97311308</v>
      </c>
      <c r="AX324" s="6">
        <v>0.96580418</v>
      </c>
      <c r="AY324" s="6">
        <v>0.96229362</v>
      </c>
      <c r="AZ324" s="6">
        <v>0.97128734</v>
      </c>
      <c r="BA324" s="6">
        <v>0.96960354</v>
      </c>
      <c r="BB324" s="6">
        <v>0.02655167</v>
      </c>
      <c r="BC324" s="6">
        <v>0.03025869</v>
      </c>
      <c r="BD324" s="6">
        <v>0.02688692</v>
      </c>
      <c r="BE324" s="6">
        <v>0.03419582</v>
      </c>
      <c r="BF324" s="6">
        <v>0.03770638</v>
      </c>
      <c r="BG324" s="6">
        <v>0.02871266</v>
      </c>
      <c r="BH324" s="6">
        <v>0.03039646</v>
      </c>
      <c r="BI324" s="6">
        <v>0.21470859</v>
      </c>
      <c r="BJ324" s="6">
        <v>0.12366373</v>
      </c>
      <c r="BK324" s="6">
        <v>0.1409291</v>
      </c>
      <c r="BL324" s="6">
        <v>0.12522516</v>
      </c>
      <c r="BM324" s="6">
        <v>0.1592662</v>
      </c>
      <c r="BN324" s="6">
        <v>0.17561655</v>
      </c>
      <c r="BO324" s="6">
        <v>0.1337285</v>
      </c>
      <c r="BP324" s="6">
        <v>0.14157076</v>
      </c>
      <c r="BQ324" s="6">
        <v>0.06403649</v>
      </c>
      <c r="BR324" s="6">
        <v>0.0554541</v>
      </c>
      <c r="BS324" s="6">
        <v>0.05621366</v>
      </c>
      <c r="BT324" s="6">
        <v>0.04862847</v>
      </c>
      <c r="BU324" s="6">
        <v>0.05234566</v>
      </c>
      <c r="BV324" s="6">
        <v>0.09643436</v>
      </c>
      <c r="BW324" s="6">
        <v>0.08020727</v>
      </c>
      <c r="BX324" s="12">
        <v>13459.84</v>
      </c>
      <c r="BY324" s="13">
        <v>5047</v>
      </c>
      <c r="BZ324" s="12">
        <v>26300.9</v>
      </c>
      <c r="CA324" s="6">
        <f t="shared" si="30"/>
        <v>2.66689914800872</v>
      </c>
      <c r="CB324" s="6">
        <f t="shared" si="31"/>
        <v>0.511763475774593</v>
      </c>
      <c r="CC324" s="7">
        <v>352223404.5</v>
      </c>
      <c r="CD324" s="7">
        <f t="shared" si="32"/>
        <v>1.33920666022836</v>
      </c>
      <c r="CE324" s="8">
        <v>2598</v>
      </c>
      <c r="CF324" s="8">
        <v>11363.6</v>
      </c>
      <c r="CG324" s="8">
        <v>14864.5</v>
      </c>
      <c r="CH324" s="8">
        <v>68422</v>
      </c>
      <c r="CI324" s="14">
        <v>1</v>
      </c>
      <c r="CJ324" s="14">
        <v>0</v>
      </c>
      <c r="CK324" s="14">
        <f t="shared" si="33"/>
        <v>0</v>
      </c>
      <c r="CL324">
        <f t="shared" si="34"/>
        <v>1.27047633725244</v>
      </c>
      <c r="CM324">
        <f t="shared" si="35"/>
        <v>0</v>
      </c>
      <c r="CN324" s="15">
        <v>13207.1</v>
      </c>
      <c r="CO324" s="15">
        <v>8080.57</v>
      </c>
      <c r="CP324" s="15">
        <v>1502.93</v>
      </c>
      <c r="CQ324" s="15">
        <v>1594.58</v>
      </c>
      <c r="CR324" s="15">
        <v>329.79</v>
      </c>
      <c r="CS324" s="15">
        <v>22.36</v>
      </c>
      <c r="CT324" s="15">
        <v>510.77</v>
      </c>
      <c r="CU324" s="15">
        <v>24.97</v>
      </c>
      <c r="CV324" s="15">
        <v>33.22</v>
      </c>
      <c r="CW324" s="15">
        <v>2216.89</v>
      </c>
    </row>
    <row r="325" spans="1:101">
      <c r="A325" s="6">
        <v>2023</v>
      </c>
      <c r="B325" s="6" t="s">
        <v>112</v>
      </c>
      <c r="C325" s="6">
        <v>0.6232744</v>
      </c>
      <c r="D325" s="6">
        <v>0.084136</v>
      </c>
      <c r="E325" s="6">
        <v>0.02622</v>
      </c>
      <c r="F325" s="6">
        <v>0.040604</v>
      </c>
      <c r="G325" s="6">
        <v>0.019138</v>
      </c>
      <c r="H325" s="6">
        <v>0.018551</v>
      </c>
      <c r="I325" s="6">
        <v>0.08421</v>
      </c>
      <c r="J325" s="6">
        <v>0.044159</v>
      </c>
      <c r="K325" s="6">
        <v>0.6084013</v>
      </c>
      <c r="L325" s="6">
        <v>0.57940505</v>
      </c>
      <c r="M325" s="6">
        <v>0.58114709</v>
      </c>
      <c r="N325" s="6">
        <v>0.53720737</v>
      </c>
      <c r="O325" s="6">
        <v>0.52869343</v>
      </c>
      <c r="P325" s="6">
        <v>0.84816732</v>
      </c>
      <c r="Q325" s="6">
        <v>0.71891624</v>
      </c>
      <c r="R325" s="6">
        <v>217.69486</v>
      </c>
      <c r="S325" s="6">
        <v>0.00279474</v>
      </c>
      <c r="T325" s="6">
        <v>169.97573</v>
      </c>
      <c r="U325" s="6">
        <v>0.00340875</v>
      </c>
      <c r="V325" s="6">
        <v>197.11803</v>
      </c>
      <c r="W325" s="6">
        <v>0.00294822</v>
      </c>
      <c r="X325" s="6">
        <v>134.47093</v>
      </c>
      <c r="Y325" s="6">
        <v>0.00399497</v>
      </c>
      <c r="Z325" s="6">
        <v>134.86767</v>
      </c>
      <c r="AA325" s="6">
        <v>0.00392009</v>
      </c>
      <c r="AB325" s="6">
        <v>294.9318</v>
      </c>
      <c r="AC325" s="6">
        <v>0.00287581</v>
      </c>
      <c r="AD325" s="6">
        <v>243.86163</v>
      </c>
      <c r="AE325" s="6">
        <v>0.00294805</v>
      </c>
      <c r="AF325" s="6">
        <v>775</v>
      </c>
      <c r="AG325" s="6">
        <v>-0.01643313</v>
      </c>
      <c r="AH325" s="6">
        <v>-0.01936651</v>
      </c>
      <c r="AI325" s="6">
        <v>-0.01717796</v>
      </c>
      <c r="AJ325" s="6">
        <v>-0.0220631</v>
      </c>
      <c r="AK325" s="6">
        <v>-0.02172373</v>
      </c>
      <c r="AL325" s="6">
        <v>-0.01682757</v>
      </c>
      <c r="AM325" s="6">
        <v>-0.01717714</v>
      </c>
      <c r="AN325" s="6">
        <v>-6.4762184</v>
      </c>
      <c r="AO325" s="6">
        <v>-6.4515561</v>
      </c>
      <c r="AP325" s="6">
        <v>-6.4739881</v>
      </c>
      <c r="AQ325" s="6">
        <v>-6.4253629</v>
      </c>
      <c r="AR325" s="6">
        <v>-6.4020076</v>
      </c>
      <c r="AS325" s="6">
        <v>-6.4618417</v>
      </c>
      <c r="AT325" s="6">
        <v>-6.4506396</v>
      </c>
      <c r="AU325" s="6">
        <v>0.97344833</v>
      </c>
      <c r="AV325" s="6">
        <v>0.96974131</v>
      </c>
      <c r="AW325" s="6">
        <v>0.97311308</v>
      </c>
      <c r="AX325" s="6">
        <v>0.96580418</v>
      </c>
      <c r="AY325" s="6">
        <v>0.96229362</v>
      </c>
      <c r="AZ325" s="6">
        <v>0.97128734</v>
      </c>
      <c r="BA325" s="6">
        <v>0.96960354</v>
      </c>
      <c r="BB325" s="6">
        <v>0.02655167</v>
      </c>
      <c r="BC325" s="6">
        <v>0.03025869</v>
      </c>
      <c r="BD325" s="6">
        <v>0.02688692</v>
      </c>
      <c r="BE325" s="6">
        <v>0.03419582</v>
      </c>
      <c r="BF325" s="6">
        <v>0.03770638</v>
      </c>
      <c r="BG325" s="6">
        <v>0.02871266</v>
      </c>
      <c r="BH325" s="6">
        <v>0.03039646</v>
      </c>
      <c r="BI325" s="6">
        <v>0.21470859</v>
      </c>
      <c r="BJ325" s="6">
        <v>0.12366373</v>
      </c>
      <c r="BK325" s="6">
        <v>0.1409291</v>
      </c>
      <c r="BL325" s="6">
        <v>0.12522516</v>
      </c>
      <c r="BM325" s="6">
        <v>0.1592662</v>
      </c>
      <c r="BN325" s="6">
        <v>0.17561655</v>
      </c>
      <c r="BO325" s="6">
        <v>0.1337285</v>
      </c>
      <c r="BP325" s="6">
        <v>0.14157076</v>
      </c>
      <c r="BQ325" s="6">
        <v>0.07523718</v>
      </c>
      <c r="BR325" s="6">
        <v>0.08165503</v>
      </c>
      <c r="BS325" s="6">
        <v>0.07277424</v>
      </c>
      <c r="BT325" s="6">
        <v>0.08555898</v>
      </c>
      <c r="BU325" s="6">
        <v>0.09284732</v>
      </c>
      <c r="BV325" s="6">
        <v>0.11342414</v>
      </c>
      <c r="BW325" s="6">
        <v>0.10177752</v>
      </c>
      <c r="BX325" s="12">
        <v>14757.37</v>
      </c>
      <c r="BY325" s="13">
        <v>5027</v>
      </c>
      <c r="BZ325" s="12">
        <v>27202.4</v>
      </c>
      <c r="CA325" s="6">
        <f t="shared" si="30"/>
        <v>2.93562164312711</v>
      </c>
      <c r="CB325" s="6">
        <f t="shared" si="31"/>
        <v>0.542502499779431</v>
      </c>
      <c r="CC325" s="7">
        <v>362231610.6</v>
      </c>
      <c r="CD325" s="7">
        <f t="shared" si="32"/>
        <v>1.33161636693821</v>
      </c>
      <c r="CE325" s="8">
        <v>2651</v>
      </c>
      <c r="CF325" s="8">
        <v>11734.5</v>
      </c>
      <c r="CG325" s="8">
        <v>15823.9</v>
      </c>
      <c r="CH325" s="8">
        <v>72107</v>
      </c>
      <c r="CI325" s="14">
        <v>1</v>
      </c>
      <c r="CJ325" s="14">
        <v>0</v>
      </c>
      <c r="CK325" s="14">
        <f t="shared" si="33"/>
        <v>0</v>
      </c>
      <c r="CL325">
        <f t="shared" si="34"/>
        <v>1.2756783895882</v>
      </c>
      <c r="CM325">
        <f t="shared" si="35"/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</row>
    <row r="326" spans="1:101">
      <c r="A326" s="6">
        <v>2024</v>
      </c>
      <c r="B326" s="6" t="s">
        <v>112</v>
      </c>
      <c r="C326" s="6">
        <v>0.70666373</v>
      </c>
      <c r="D326" s="6">
        <v>0.091196</v>
      </c>
      <c r="E326" s="6">
        <v>0.029959</v>
      </c>
      <c r="F326" s="6">
        <v>0.04467</v>
      </c>
      <c r="G326" s="6">
        <v>0.022552</v>
      </c>
      <c r="H326" s="6">
        <v>0.022711</v>
      </c>
      <c r="I326" s="6">
        <v>0.088882</v>
      </c>
      <c r="J326" s="6">
        <v>0.048547</v>
      </c>
      <c r="K326" s="6">
        <v>0.6637795</v>
      </c>
      <c r="L326" s="6">
        <v>0.66781932</v>
      </c>
      <c r="M326" s="6">
        <v>0.64363669</v>
      </c>
      <c r="N326" s="6">
        <v>0.6381496</v>
      </c>
      <c r="O326" s="6">
        <v>0.6547375</v>
      </c>
      <c r="P326" s="6">
        <v>0.90020526</v>
      </c>
      <c r="Q326" s="6">
        <v>0.79721335</v>
      </c>
      <c r="R326" s="6">
        <v>217.69486</v>
      </c>
      <c r="S326" s="6">
        <v>0.00304913</v>
      </c>
      <c r="T326" s="6">
        <v>169.97573</v>
      </c>
      <c r="U326" s="6">
        <v>0.00392891</v>
      </c>
      <c r="V326" s="6">
        <v>197.11803</v>
      </c>
      <c r="W326" s="6">
        <v>0.00326524</v>
      </c>
      <c r="X326" s="6">
        <v>134.47093</v>
      </c>
      <c r="Y326" s="6">
        <v>0.00474563</v>
      </c>
      <c r="Z326" s="6">
        <v>134.86767</v>
      </c>
      <c r="AA326" s="6">
        <v>0.00485467</v>
      </c>
      <c r="AB326" s="6">
        <v>294.9318</v>
      </c>
      <c r="AC326" s="6">
        <v>0.00305225</v>
      </c>
      <c r="AD326" s="6">
        <v>243.86163</v>
      </c>
      <c r="AE326" s="6">
        <v>0.00326912</v>
      </c>
      <c r="AF326" s="6">
        <v>775</v>
      </c>
      <c r="AG326" s="6">
        <v>-0.01766329</v>
      </c>
      <c r="AH326" s="6">
        <v>-0.02176378</v>
      </c>
      <c r="AI326" s="6">
        <v>-0.01869159</v>
      </c>
      <c r="AJ326" s="6">
        <v>-0.02539165</v>
      </c>
      <c r="AK326" s="6">
        <v>-0.02586476</v>
      </c>
      <c r="AL326" s="6">
        <v>-0.01767825</v>
      </c>
      <c r="AM326" s="6">
        <v>-0.01870995</v>
      </c>
      <c r="AN326" s="6">
        <v>-6.4762184</v>
      </c>
      <c r="AO326" s="6">
        <v>-6.4515561</v>
      </c>
      <c r="AP326" s="6">
        <v>-6.4739881</v>
      </c>
      <c r="AQ326" s="6">
        <v>-6.4253629</v>
      </c>
      <c r="AR326" s="6">
        <v>-6.4020076</v>
      </c>
      <c r="AS326" s="6">
        <v>-6.4618417</v>
      </c>
      <c r="AT326" s="6">
        <v>-6.4506396</v>
      </c>
      <c r="AU326" s="6">
        <v>0.97344833</v>
      </c>
      <c r="AV326" s="6">
        <v>0.96974131</v>
      </c>
      <c r="AW326" s="6">
        <v>0.97311308</v>
      </c>
      <c r="AX326" s="6">
        <v>0.96580418</v>
      </c>
      <c r="AY326" s="6">
        <v>0.96229362</v>
      </c>
      <c r="AZ326" s="6">
        <v>0.97128734</v>
      </c>
      <c r="BA326" s="6">
        <v>0.96960354</v>
      </c>
      <c r="BB326" s="6">
        <v>0.02655167</v>
      </c>
      <c r="BC326" s="6">
        <v>0.03025869</v>
      </c>
      <c r="BD326" s="6">
        <v>0.02688692</v>
      </c>
      <c r="BE326" s="6">
        <v>0.03419582</v>
      </c>
      <c r="BF326" s="6">
        <v>0.03770638</v>
      </c>
      <c r="BG326" s="6">
        <v>0.02871266</v>
      </c>
      <c r="BH326" s="6">
        <v>0.03039646</v>
      </c>
      <c r="BI326" s="6">
        <v>0.21470859</v>
      </c>
      <c r="BJ326" s="6">
        <v>0.12366373</v>
      </c>
      <c r="BK326" s="6">
        <v>0.1409291</v>
      </c>
      <c r="BL326" s="6">
        <v>0.12522516</v>
      </c>
      <c r="BM326" s="6">
        <v>0.1592662</v>
      </c>
      <c r="BN326" s="6">
        <v>0.17561655</v>
      </c>
      <c r="BO326" s="6">
        <v>0.1337285</v>
      </c>
      <c r="BP326" s="6">
        <v>0.14157076</v>
      </c>
      <c r="BQ326" s="6">
        <v>0.08208545</v>
      </c>
      <c r="BR326" s="6">
        <v>0.09411517</v>
      </c>
      <c r="BS326" s="6">
        <v>0.08059951</v>
      </c>
      <c r="BT326" s="6">
        <v>0.10163566</v>
      </c>
      <c r="BU326" s="6">
        <v>0.11498274</v>
      </c>
      <c r="BV326" s="6">
        <v>0.1203831</v>
      </c>
      <c r="BW326" s="6">
        <v>0.1128621</v>
      </c>
      <c r="BX326" s="12">
        <v>15336.27</v>
      </c>
      <c r="BY326" s="13">
        <v>5013</v>
      </c>
      <c r="BZ326" s="12">
        <v>28649.4</v>
      </c>
      <c r="CA326" s="6">
        <f t="shared" si="30"/>
        <v>3.05929982046679</v>
      </c>
      <c r="CB326" s="6">
        <f t="shared" si="31"/>
        <v>0.535308592850112</v>
      </c>
      <c r="CC326" s="7">
        <v>369287720.9</v>
      </c>
      <c r="CD326" s="7">
        <f t="shared" si="32"/>
        <v>1.28898937115611</v>
      </c>
      <c r="CE326" s="8">
        <v>2565.7</v>
      </c>
      <c r="CF326" s="8">
        <v>11503.3</v>
      </c>
      <c r="CG326" s="8">
        <v>18543.7</v>
      </c>
      <c r="CH326" s="8">
        <v>78236</v>
      </c>
      <c r="CI326" s="14">
        <v>1</v>
      </c>
      <c r="CJ326" s="14">
        <v>0</v>
      </c>
      <c r="CK326" s="14">
        <f t="shared" si="33"/>
        <v>0</v>
      </c>
      <c r="CL326">
        <f t="shared" si="34"/>
        <v>1.21200651315194</v>
      </c>
      <c r="CM326">
        <f t="shared" si="35"/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</row>
    <row r="327" spans="1:101">
      <c r="A327" s="6">
        <v>2000</v>
      </c>
      <c r="B327" s="6" t="s">
        <v>113</v>
      </c>
      <c r="C327" s="6">
        <v>0.01403798</v>
      </c>
      <c r="D327" s="6">
        <v>0.009214</v>
      </c>
      <c r="E327" s="6">
        <v>0.00242</v>
      </c>
      <c r="F327" s="6">
        <v>0.00414</v>
      </c>
      <c r="G327" s="6">
        <v>0.001419</v>
      </c>
      <c r="H327" s="6">
        <v>0.001235</v>
      </c>
      <c r="I327" s="6">
        <v>0.009429</v>
      </c>
      <c r="J327" s="6">
        <v>0.004521</v>
      </c>
      <c r="K327" s="6">
        <v>0.02070943</v>
      </c>
      <c r="L327" s="6">
        <v>0.01672298</v>
      </c>
      <c r="M327" s="6">
        <v>0.02070991</v>
      </c>
      <c r="N327" s="6">
        <v>0.01345696</v>
      </c>
      <c r="O327" s="6">
        <v>0.00394296</v>
      </c>
      <c r="P327" s="6">
        <v>0.01523551</v>
      </c>
      <c r="Q327" s="6">
        <v>0.01168113</v>
      </c>
      <c r="R327" s="6">
        <v>217.69486</v>
      </c>
      <c r="S327" s="6">
        <v>9.513e-5</v>
      </c>
      <c r="T327" s="6">
        <v>169.97573</v>
      </c>
      <c r="U327" s="6">
        <v>9.838e-5</v>
      </c>
      <c r="V327" s="6">
        <v>197.11803</v>
      </c>
      <c r="W327" s="6">
        <v>0.00010506</v>
      </c>
      <c r="X327" s="6">
        <v>134.47093</v>
      </c>
      <c r="Y327" s="6">
        <v>0.00010007</v>
      </c>
      <c r="Z327" s="6">
        <v>134.86767</v>
      </c>
      <c r="AA327" s="6">
        <v>2.924e-5</v>
      </c>
      <c r="AB327" s="6">
        <v>294.9318</v>
      </c>
      <c r="AC327" s="6">
        <v>5.166e-5</v>
      </c>
      <c r="AD327" s="6">
        <v>243.86163</v>
      </c>
      <c r="AE327" s="6">
        <v>4.79e-5</v>
      </c>
      <c r="AF327" s="6">
        <v>775</v>
      </c>
      <c r="AG327" s="6">
        <v>-0.00088093</v>
      </c>
      <c r="AH327" s="6">
        <v>-0.00090776</v>
      </c>
      <c r="AI327" s="6">
        <v>-0.00096248</v>
      </c>
      <c r="AJ327" s="6">
        <v>-0.00092164</v>
      </c>
      <c r="AK327" s="6">
        <v>-0.00030522</v>
      </c>
      <c r="AL327" s="6">
        <v>-0.00050991</v>
      </c>
      <c r="AM327" s="6">
        <v>-0.00047644</v>
      </c>
      <c r="AN327" s="6">
        <v>-6.4762184</v>
      </c>
      <c r="AO327" s="6">
        <v>-6.4515561</v>
      </c>
      <c r="AP327" s="6">
        <v>-6.4739881</v>
      </c>
      <c r="AQ327" s="6">
        <v>-6.4253629</v>
      </c>
      <c r="AR327" s="6">
        <v>-6.4020076</v>
      </c>
      <c r="AS327" s="6">
        <v>-6.4618417</v>
      </c>
      <c r="AT327" s="6">
        <v>-6.4506396</v>
      </c>
      <c r="AU327" s="6">
        <v>0.97344833</v>
      </c>
      <c r="AV327" s="6">
        <v>0.96974131</v>
      </c>
      <c r="AW327" s="6">
        <v>0.97311308</v>
      </c>
      <c r="AX327" s="6">
        <v>0.96580418</v>
      </c>
      <c r="AY327" s="6">
        <v>0.96229362</v>
      </c>
      <c r="AZ327" s="6">
        <v>0.97128734</v>
      </c>
      <c r="BA327" s="6">
        <v>0.96960354</v>
      </c>
      <c r="BB327" s="6">
        <v>0.02655167</v>
      </c>
      <c r="BC327" s="6">
        <v>0.03025869</v>
      </c>
      <c r="BD327" s="6">
        <v>0.02688692</v>
      </c>
      <c r="BE327" s="6">
        <v>0.03419582</v>
      </c>
      <c r="BF327" s="6">
        <v>0.03770638</v>
      </c>
      <c r="BG327" s="6">
        <v>0.02871266</v>
      </c>
      <c r="BH327" s="6">
        <v>0.03039646</v>
      </c>
      <c r="BI327" s="6">
        <v>0.21470859</v>
      </c>
      <c r="BJ327" s="6">
        <v>0.12366373</v>
      </c>
      <c r="BK327" s="6">
        <v>0.1409291</v>
      </c>
      <c r="BL327" s="6">
        <v>0.12522516</v>
      </c>
      <c r="BM327" s="6">
        <v>0.1592662</v>
      </c>
      <c r="BN327" s="6">
        <v>0.17561655</v>
      </c>
      <c r="BO327" s="6">
        <v>0.1337285</v>
      </c>
      <c r="BP327" s="6">
        <v>0.14157076</v>
      </c>
      <c r="BQ327" s="6">
        <v>0.00256101</v>
      </c>
      <c r="BR327" s="6">
        <v>0.00235675</v>
      </c>
      <c r="BS327" s="6">
        <v>0.0025934</v>
      </c>
      <c r="BT327" s="6">
        <v>0.00214324</v>
      </c>
      <c r="BU327" s="6">
        <v>0.00069245</v>
      </c>
      <c r="BV327" s="6">
        <v>0.00203742</v>
      </c>
      <c r="BW327" s="6">
        <v>0.00165371</v>
      </c>
      <c r="BX327" s="12">
        <v>3328</v>
      </c>
      <c r="BY327" s="13">
        <v>1849.41</v>
      </c>
      <c r="BZ327" s="12">
        <v>1364.36</v>
      </c>
      <c r="CA327" s="6">
        <f t="shared" si="30"/>
        <v>1.79949281122088</v>
      </c>
      <c r="CB327" s="6">
        <f t="shared" si="31"/>
        <v>2.43923891055147</v>
      </c>
      <c r="CC327" s="7">
        <v>68216676.94</v>
      </c>
      <c r="CD327" s="7">
        <f t="shared" si="32"/>
        <v>4.99990302706031</v>
      </c>
      <c r="CE327" s="8">
        <v>194.1</v>
      </c>
      <c r="CF327" s="8">
        <v>421.7</v>
      </c>
      <c r="CG327" s="8">
        <v>437.1</v>
      </c>
      <c r="CH327" s="8">
        <v>4163</v>
      </c>
      <c r="CI327" s="14">
        <v>0</v>
      </c>
      <c r="CJ327" s="14">
        <v>1</v>
      </c>
      <c r="CK327" s="14">
        <f t="shared" si="33"/>
        <v>0</v>
      </c>
      <c r="CL327">
        <f t="shared" si="34"/>
        <v>4.53658228674969</v>
      </c>
      <c r="CM327">
        <f t="shared" si="35"/>
        <v>0</v>
      </c>
      <c r="CN327" s="15">
        <v>3327.63</v>
      </c>
      <c r="CO327" s="15">
        <v>2702.4</v>
      </c>
      <c r="CP327" s="15">
        <v>74.06</v>
      </c>
      <c r="CQ327" s="15">
        <v>1071.29</v>
      </c>
      <c r="CR327" s="15">
        <v>101.93</v>
      </c>
      <c r="CS327" s="15">
        <v>21.31</v>
      </c>
      <c r="CT327" s="15">
        <v>155.28</v>
      </c>
      <c r="CU327" s="15">
        <v>56.59</v>
      </c>
      <c r="CV327" s="15">
        <v>23.44</v>
      </c>
      <c r="CW327" s="15">
        <v>182.98</v>
      </c>
    </row>
    <row r="328" spans="1:101">
      <c r="A328" s="6">
        <v>2001</v>
      </c>
      <c r="B328" s="6" t="s">
        <v>113</v>
      </c>
      <c r="C328" s="6">
        <v>0.0109632</v>
      </c>
      <c r="D328" s="6">
        <v>0.008699</v>
      </c>
      <c r="E328" s="6">
        <v>0.002296</v>
      </c>
      <c r="F328" s="6">
        <v>0.003856</v>
      </c>
      <c r="G328" s="6">
        <v>0.001353</v>
      </c>
      <c r="H328" s="6">
        <v>0.001194</v>
      </c>
      <c r="I328" s="6">
        <v>0.008847</v>
      </c>
      <c r="J328" s="6">
        <v>0.004435</v>
      </c>
      <c r="K328" s="6">
        <v>0.01666984</v>
      </c>
      <c r="L328" s="6">
        <v>0.0137768</v>
      </c>
      <c r="M328" s="6">
        <v>0.01635376</v>
      </c>
      <c r="N328" s="6">
        <v>0.01152189</v>
      </c>
      <c r="O328" s="6">
        <v>0.00268577</v>
      </c>
      <c r="P328" s="6">
        <v>0.00875414</v>
      </c>
      <c r="Q328" s="6">
        <v>0.01013555</v>
      </c>
      <c r="R328" s="6">
        <v>217.69486</v>
      </c>
      <c r="S328" s="6">
        <v>7.657e-5</v>
      </c>
      <c r="T328" s="6">
        <v>169.97573</v>
      </c>
      <c r="U328" s="6">
        <v>8.105e-5</v>
      </c>
      <c r="V328" s="6">
        <v>197.11803</v>
      </c>
      <c r="W328" s="6">
        <v>8.296e-5</v>
      </c>
      <c r="X328" s="6">
        <v>134.47093</v>
      </c>
      <c r="Y328" s="6">
        <v>8.568e-5</v>
      </c>
      <c r="Z328" s="6">
        <v>134.86767</v>
      </c>
      <c r="AA328" s="6">
        <v>1.991e-5</v>
      </c>
      <c r="AB328" s="6">
        <v>294.9318</v>
      </c>
      <c r="AC328" s="6">
        <v>2.968e-5</v>
      </c>
      <c r="AD328" s="6">
        <v>243.86163</v>
      </c>
      <c r="AE328" s="6">
        <v>4.156e-5</v>
      </c>
      <c r="AF328" s="6">
        <v>775</v>
      </c>
      <c r="AG328" s="6">
        <v>-0.00072571</v>
      </c>
      <c r="AH328" s="6">
        <v>-0.00076354</v>
      </c>
      <c r="AI328" s="6">
        <v>-0.00077962</v>
      </c>
      <c r="AJ328" s="6">
        <v>-0.00080241</v>
      </c>
      <c r="AK328" s="6">
        <v>-0.00021555</v>
      </c>
      <c r="AL328" s="6">
        <v>-0.00030943</v>
      </c>
      <c r="AM328" s="6">
        <v>-0.0004193</v>
      </c>
      <c r="AN328" s="6">
        <v>-6.4762184</v>
      </c>
      <c r="AO328" s="6">
        <v>-6.4515561</v>
      </c>
      <c r="AP328" s="6">
        <v>-6.4739881</v>
      </c>
      <c r="AQ328" s="6">
        <v>-6.4253629</v>
      </c>
      <c r="AR328" s="6">
        <v>-6.4020076</v>
      </c>
      <c r="AS328" s="6">
        <v>-6.4618417</v>
      </c>
      <c r="AT328" s="6">
        <v>-6.4506396</v>
      </c>
      <c r="AU328" s="6">
        <v>0.97344833</v>
      </c>
      <c r="AV328" s="6">
        <v>0.96974131</v>
      </c>
      <c r="AW328" s="6">
        <v>0.97311308</v>
      </c>
      <c r="AX328" s="6">
        <v>0.96580418</v>
      </c>
      <c r="AY328" s="6">
        <v>0.96229362</v>
      </c>
      <c r="AZ328" s="6">
        <v>0.97128734</v>
      </c>
      <c r="BA328" s="6">
        <v>0.96960354</v>
      </c>
      <c r="BB328" s="6">
        <v>0.02655167</v>
      </c>
      <c r="BC328" s="6">
        <v>0.03025869</v>
      </c>
      <c r="BD328" s="6">
        <v>0.02688692</v>
      </c>
      <c r="BE328" s="6">
        <v>0.03419582</v>
      </c>
      <c r="BF328" s="6">
        <v>0.03770638</v>
      </c>
      <c r="BG328" s="6">
        <v>0.02871266</v>
      </c>
      <c r="BH328" s="6">
        <v>0.03039646</v>
      </c>
      <c r="BI328" s="6">
        <v>0.21470859</v>
      </c>
      <c r="BJ328" s="6">
        <v>0.12366373</v>
      </c>
      <c r="BK328" s="6">
        <v>0.1409291</v>
      </c>
      <c r="BL328" s="6">
        <v>0.12522516</v>
      </c>
      <c r="BM328" s="6">
        <v>0.1592662</v>
      </c>
      <c r="BN328" s="6">
        <v>0.17561655</v>
      </c>
      <c r="BO328" s="6">
        <v>0.1337285</v>
      </c>
      <c r="BP328" s="6">
        <v>0.14157076</v>
      </c>
      <c r="BQ328" s="6">
        <v>0.00206146</v>
      </c>
      <c r="BR328" s="6">
        <v>0.00194155</v>
      </c>
      <c r="BS328" s="6">
        <v>0.0020479</v>
      </c>
      <c r="BT328" s="6">
        <v>0.00183505</v>
      </c>
      <c r="BU328" s="6">
        <v>0.00047167</v>
      </c>
      <c r="BV328" s="6">
        <v>0.00117068</v>
      </c>
      <c r="BW328" s="6">
        <v>0.0014349</v>
      </c>
      <c r="BX328" s="12">
        <v>3496</v>
      </c>
      <c r="BY328" s="13">
        <v>1876.19</v>
      </c>
      <c r="BZ328" s="12">
        <v>1491.6</v>
      </c>
      <c r="CA328" s="6">
        <f t="shared" si="30"/>
        <v>1.86335072673876</v>
      </c>
      <c r="CB328" s="6">
        <f t="shared" si="31"/>
        <v>2.34379190131403</v>
      </c>
      <c r="CC328" s="7">
        <v>72329173</v>
      </c>
      <c r="CD328" s="7">
        <f t="shared" si="32"/>
        <v>4.84909982569053</v>
      </c>
      <c r="CE328" s="8">
        <v>208</v>
      </c>
      <c r="CF328" s="8">
        <v>458.1</v>
      </c>
      <c r="CG328" s="8">
        <v>459.4</v>
      </c>
      <c r="CH328" s="8">
        <v>4467</v>
      </c>
      <c r="CI328" s="14">
        <v>0</v>
      </c>
      <c r="CJ328" s="14">
        <v>1</v>
      </c>
      <c r="CK328" s="14">
        <f t="shared" si="33"/>
        <v>0</v>
      </c>
      <c r="CL328">
        <f t="shared" si="34"/>
        <v>4.16809156222866</v>
      </c>
      <c r="CM328">
        <f t="shared" si="35"/>
        <v>0</v>
      </c>
      <c r="CN328" s="15">
        <v>3496</v>
      </c>
      <c r="CO328" s="15">
        <v>2734</v>
      </c>
      <c r="CP328" s="15">
        <v>73.02</v>
      </c>
      <c r="CQ328" s="15">
        <v>1076.34</v>
      </c>
      <c r="CR328" s="15">
        <v>86.35</v>
      </c>
      <c r="CS328" s="15">
        <v>23.73</v>
      </c>
      <c r="CT328" s="15">
        <v>166.63</v>
      </c>
      <c r="CU328" s="15">
        <v>52.04</v>
      </c>
      <c r="CV328" s="15">
        <v>34.64</v>
      </c>
      <c r="CW328" s="15">
        <v>197.62</v>
      </c>
    </row>
    <row r="329" spans="1:101">
      <c r="A329" s="6">
        <v>2002</v>
      </c>
      <c r="B329" s="6" t="s">
        <v>113</v>
      </c>
      <c r="C329" s="6">
        <v>0.023042</v>
      </c>
      <c r="D329" s="6">
        <v>0.010265</v>
      </c>
      <c r="E329" s="6">
        <v>0.002581</v>
      </c>
      <c r="F329" s="6">
        <v>0.004605</v>
      </c>
      <c r="G329" s="6">
        <v>0.00155</v>
      </c>
      <c r="H329" s="6">
        <v>0.001529</v>
      </c>
      <c r="I329" s="6">
        <v>0.010836</v>
      </c>
      <c r="J329" s="6">
        <v>0.005423</v>
      </c>
      <c r="K329" s="6">
        <v>0.02895124</v>
      </c>
      <c r="L329" s="6">
        <v>0.020516</v>
      </c>
      <c r="M329" s="6">
        <v>0.02785845</v>
      </c>
      <c r="N329" s="6">
        <v>0.01734215</v>
      </c>
      <c r="O329" s="6">
        <v>0.01284435</v>
      </c>
      <c r="P329" s="6">
        <v>0.03090616</v>
      </c>
      <c r="Q329" s="6">
        <v>0.02776824</v>
      </c>
      <c r="R329" s="6">
        <v>217.69486</v>
      </c>
      <c r="S329" s="6">
        <v>0.00013299</v>
      </c>
      <c r="T329" s="6">
        <v>169.97573</v>
      </c>
      <c r="U329" s="6">
        <v>0.0001207</v>
      </c>
      <c r="V329" s="6">
        <v>197.11803</v>
      </c>
      <c r="W329" s="6">
        <v>0.00014133</v>
      </c>
      <c r="X329" s="6">
        <v>134.47093</v>
      </c>
      <c r="Y329" s="6">
        <v>0.00012897</v>
      </c>
      <c r="Z329" s="6">
        <v>134.86767</v>
      </c>
      <c r="AA329" s="6">
        <v>9.524e-5</v>
      </c>
      <c r="AB329" s="6">
        <v>294.9318</v>
      </c>
      <c r="AC329" s="6">
        <v>0.00010479</v>
      </c>
      <c r="AD329" s="6">
        <v>243.86163</v>
      </c>
      <c r="AE329" s="6">
        <v>0.00011387</v>
      </c>
      <c r="AF329" s="6">
        <v>775</v>
      </c>
      <c r="AG329" s="6">
        <v>-0.00118697</v>
      </c>
      <c r="AH329" s="6">
        <v>-0.00108898</v>
      </c>
      <c r="AI329" s="6">
        <v>-0.0012528</v>
      </c>
      <c r="AJ329" s="6">
        <v>-0.00115501</v>
      </c>
      <c r="AK329" s="6">
        <v>-0.00088181</v>
      </c>
      <c r="AL329" s="6">
        <v>-0.00096026</v>
      </c>
      <c r="AM329" s="6">
        <v>-0.00103398</v>
      </c>
      <c r="AN329" s="6">
        <v>-6.4762184</v>
      </c>
      <c r="AO329" s="6">
        <v>-6.4515561</v>
      </c>
      <c r="AP329" s="6">
        <v>-6.4739881</v>
      </c>
      <c r="AQ329" s="6">
        <v>-6.4253629</v>
      </c>
      <c r="AR329" s="6">
        <v>-6.4020076</v>
      </c>
      <c r="AS329" s="6">
        <v>-6.4618417</v>
      </c>
      <c r="AT329" s="6">
        <v>-6.4506396</v>
      </c>
      <c r="AU329" s="6">
        <v>0.97344833</v>
      </c>
      <c r="AV329" s="6">
        <v>0.96974131</v>
      </c>
      <c r="AW329" s="6">
        <v>0.97311308</v>
      </c>
      <c r="AX329" s="6">
        <v>0.96580418</v>
      </c>
      <c r="AY329" s="6">
        <v>0.96229362</v>
      </c>
      <c r="AZ329" s="6">
        <v>0.97128734</v>
      </c>
      <c r="BA329" s="6">
        <v>0.96960354</v>
      </c>
      <c r="BB329" s="6">
        <v>0.02655167</v>
      </c>
      <c r="BC329" s="6">
        <v>0.03025869</v>
      </c>
      <c r="BD329" s="6">
        <v>0.02688692</v>
      </c>
      <c r="BE329" s="6">
        <v>0.03419582</v>
      </c>
      <c r="BF329" s="6">
        <v>0.03770638</v>
      </c>
      <c r="BG329" s="6">
        <v>0.02871266</v>
      </c>
      <c r="BH329" s="6">
        <v>0.03039646</v>
      </c>
      <c r="BI329" s="6">
        <v>0.21470859</v>
      </c>
      <c r="BJ329" s="6">
        <v>0.12366373</v>
      </c>
      <c r="BK329" s="6">
        <v>0.1409291</v>
      </c>
      <c r="BL329" s="6">
        <v>0.12522516</v>
      </c>
      <c r="BM329" s="6">
        <v>0.1592662</v>
      </c>
      <c r="BN329" s="6">
        <v>0.17561655</v>
      </c>
      <c r="BO329" s="6">
        <v>0.1337285</v>
      </c>
      <c r="BP329" s="6">
        <v>0.14157076</v>
      </c>
      <c r="BQ329" s="6">
        <v>0.00358022</v>
      </c>
      <c r="BR329" s="6">
        <v>0.0028913</v>
      </c>
      <c r="BS329" s="6">
        <v>0.00348858</v>
      </c>
      <c r="BT329" s="6">
        <v>0.00276202</v>
      </c>
      <c r="BU329" s="6">
        <v>0.00225568</v>
      </c>
      <c r="BV329" s="6">
        <v>0.00413303</v>
      </c>
      <c r="BW329" s="6">
        <v>0.00393117</v>
      </c>
      <c r="BX329" s="12">
        <v>3723</v>
      </c>
      <c r="BY329" s="13">
        <v>1905.19</v>
      </c>
      <c r="BZ329" s="12">
        <v>1612.65</v>
      </c>
      <c r="CA329" s="6">
        <f t="shared" si="30"/>
        <v>1.95413580797716</v>
      </c>
      <c r="CB329" s="6">
        <f t="shared" si="31"/>
        <v>2.30862245372523</v>
      </c>
      <c r="CC329" s="7">
        <v>77163609.89</v>
      </c>
      <c r="CD329" s="7">
        <f t="shared" si="32"/>
        <v>4.78489504170155</v>
      </c>
      <c r="CE329" s="8">
        <v>215.5</v>
      </c>
      <c r="CF329" s="8">
        <v>501.7</v>
      </c>
      <c r="CG329" s="8">
        <v>514.8</v>
      </c>
      <c r="CH329" s="8">
        <v>4875</v>
      </c>
      <c r="CI329" s="14">
        <v>0</v>
      </c>
      <c r="CJ329" s="14">
        <v>1</v>
      </c>
      <c r="CK329" s="14">
        <f t="shared" si="33"/>
        <v>0</v>
      </c>
      <c r="CL329">
        <f t="shared" si="34"/>
        <v>4.06804884448575</v>
      </c>
      <c r="CM329">
        <f t="shared" si="35"/>
        <v>0</v>
      </c>
      <c r="CN329" s="15">
        <v>3723</v>
      </c>
      <c r="CO329" s="15">
        <v>2898</v>
      </c>
      <c r="CP329" s="15">
        <v>83.06</v>
      </c>
      <c r="CQ329" s="15">
        <v>1128.01</v>
      </c>
      <c r="CR329" s="15">
        <v>86.7</v>
      </c>
      <c r="CS329" s="15">
        <v>16.61</v>
      </c>
      <c r="CT329" s="15">
        <v>169.55</v>
      </c>
      <c r="CU329" s="15">
        <v>34.21</v>
      </c>
      <c r="CV329" s="15">
        <v>34.57</v>
      </c>
      <c r="CW329" s="15">
        <v>212.24</v>
      </c>
    </row>
    <row r="330" spans="1:101">
      <c r="A330" s="6">
        <v>2003</v>
      </c>
      <c r="B330" s="6" t="s">
        <v>113</v>
      </c>
      <c r="C330" s="6">
        <v>0.02376024</v>
      </c>
      <c r="D330" s="6">
        <v>0.010664</v>
      </c>
      <c r="E330" s="6">
        <v>0.002696</v>
      </c>
      <c r="F330" s="6">
        <v>0.004876</v>
      </c>
      <c r="G330" s="6">
        <v>0.001569</v>
      </c>
      <c r="H330" s="6">
        <v>0.001523</v>
      </c>
      <c r="I330" s="6">
        <v>0.010528</v>
      </c>
      <c r="J330" s="6">
        <v>0.005355</v>
      </c>
      <c r="K330" s="6">
        <v>0.03208541</v>
      </c>
      <c r="L330" s="6">
        <v>0.0232433</v>
      </c>
      <c r="M330" s="6">
        <v>0.03203473</v>
      </c>
      <c r="N330" s="6">
        <v>0.01790546</v>
      </c>
      <c r="O330" s="6">
        <v>0.01264507</v>
      </c>
      <c r="P330" s="6">
        <v>0.02747754</v>
      </c>
      <c r="Q330" s="6">
        <v>0.02654701</v>
      </c>
      <c r="R330" s="6">
        <v>217.69486</v>
      </c>
      <c r="S330" s="6">
        <v>0.00014739</v>
      </c>
      <c r="T330" s="6">
        <v>169.97573</v>
      </c>
      <c r="U330" s="6">
        <v>0.00013674</v>
      </c>
      <c r="V330" s="6">
        <v>197.11803</v>
      </c>
      <c r="W330" s="6">
        <v>0.00016252</v>
      </c>
      <c r="X330" s="6">
        <v>134.47093</v>
      </c>
      <c r="Y330" s="6">
        <v>0.00013315</v>
      </c>
      <c r="Z330" s="6">
        <v>134.86767</v>
      </c>
      <c r="AA330" s="6">
        <v>9.376e-5</v>
      </c>
      <c r="AB330" s="6">
        <v>294.9318</v>
      </c>
      <c r="AC330" s="6">
        <v>9.317e-5</v>
      </c>
      <c r="AD330" s="6">
        <v>243.86163</v>
      </c>
      <c r="AE330" s="6">
        <v>0.00010886</v>
      </c>
      <c r="AF330" s="6">
        <v>775</v>
      </c>
      <c r="AG330" s="6">
        <v>-0.00130031</v>
      </c>
      <c r="AH330" s="6">
        <v>-0.00121667</v>
      </c>
      <c r="AI330" s="6">
        <v>-0.0014179</v>
      </c>
      <c r="AJ330" s="6">
        <v>-0.00118827</v>
      </c>
      <c r="AK330" s="6">
        <v>-0.00086959</v>
      </c>
      <c r="AL330" s="6">
        <v>-0.00086468</v>
      </c>
      <c r="AM330" s="6">
        <v>-0.0009934</v>
      </c>
      <c r="AN330" s="6">
        <v>-6.4762184</v>
      </c>
      <c r="AO330" s="6">
        <v>-6.4515561</v>
      </c>
      <c r="AP330" s="6">
        <v>-6.4739881</v>
      </c>
      <c r="AQ330" s="6">
        <v>-6.4253629</v>
      </c>
      <c r="AR330" s="6">
        <v>-6.4020076</v>
      </c>
      <c r="AS330" s="6">
        <v>-6.4618417</v>
      </c>
      <c r="AT330" s="6">
        <v>-6.4506396</v>
      </c>
      <c r="AU330" s="6">
        <v>0.97344833</v>
      </c>
      <c r="AV330" s="6">
        <v>0.96974131</v>
      </c>
      <c r="AW330" s="6">
        <v>0.97311308</v>
      </c>
      <c r="AX330" s="6">
        <v>0.96580418</v>
      </c>
      <c r="AY330" s="6">
        <v>0.96229362</v>
      </c>
      <c r="AZ330" s="6">
        <v>0.97128734</v>
      </c>
      <c r="BA330" s="6">
        <v>0.96960354</v>
      </c>
      <c r="BB330" s="6">
        <v>0.02655167</v>
      </c>
      <c r="BC330" s="6">
        <v>0.03025869</v>
      </c>
      <c r="BD330" s="6">
        <v>0.02688692</v>
      </c>
      <c r="BE330" s="6">
        <v>0.03419582</v>
      </c>
      <c r="BF330" s="6">
        <v>0.03770638</v>
      </c>
      <c r="BG330" s="6">
        <v>0.02871266</v>
      </c>
      <c r="BH330" s="6">
        <v>0.03039646</v>
      </c>
      <c r="BI330" s="6">
        <v>0.21470859</v>
      </c>
      <c r="BJ330" s="6">
        <v>0.12366373</v>
      </c>
      <c r="BK330" s="6">
        <v>0.1409291</v>
      </c>
      <c r="BL330" s="6">
        <v>0.12522516</v>
      </c>
      <c r="BM330" s="6">
        <v>0.1592662</v>
      </c>
      <c r="BN330" s="6">
        <v>0.17561655</v>
      </c>
      <c r="BO330" s="6">
        <v>0.1337285</v>
      </c>
      <c r="BP330" s="6">
        <v>0.14157076</v>
      </c>
      <c r="BQ330" s="6">
        <v>0.0039678</v>
      </c>
      <c r="BR330" s="6">
        <v>0.00327566</v>
      </c>
      <c r="BS330" s="6">
        <v>0.00401155</v>
      </c>
      <c r="BT330" s="6">
        <v>0.00285173</v>
      </c>
      <c r="BU330" s="6">
        <v>0.00222068</v>
      </c>
      <c r="BV330" s="6">
        <v>0.00367453</v>
      </c>
      <c r="BW330" s="6">
        <v>0.00375828</v>
      </c>
      <c r="BX330" s="12">
        <v>4177</v>
      </c>
      <c r="BY330" s="13">
        <v>1933.95</v>
      </c>
      <c r="BZ330" s="12">
        <v>1886.35</v>
      </c>
      <c r="CA330" s="6">
        <f t="shared" si="30"/>
        <v>2.15982833061868</v>
      </c>
      <c r="CB330" s="6">
        <f t="shared" si="31"/>
        <v>2.21432926021152</v>
      </c>
      <c r="CC330" s="7">
        <v>89399450.13</v>
      </c>
      <c r="CD330" s="7">
        <f t="shared" si="32"/>
        <v>4.73928221857025</v>
      </c>
      <c r="CE330" s="8">
        <v>238</v>
      </c>
      <c r="CF330" s="8">
        <v>572.2</v>
      </c>
      <c r="CG330" s="8">
        <v>589.7</v>
      </c>
      <c r="CH330" s="8">
        <v>5525</v>
      </c>
      <c r="CI330" s="14">
        <v>0</v>
      </c>
      <c r="CJ330" s="14">
        <v>1</v>
      </c>
      <c r="CK330" s="14">
        <f t="shared" si="33"/>
        <v>0</v>
      </c>
      <c r="CL330">
        <f t="shared" si="34"/>
        <v>4.08414499624993</v>
      </c>
      <c r="CM330">
        <f t="shared" si="35"/>
        <v>0</v>
      </c>
      <c r="CN330" s="15">
        <v>4176.61</v>
      </c>
      <c r="CO330" s="15">
        <v>3184.06</v>
      </c>
      <c r="CP330" s="15">
        <v>86.61</v>
      </c>
      <c r="CQ330" s="15">
        <v>1189.14</v>
      </c>
      <c r="CR330" s="15">
        <v>91.35</v>
      </c>
      <c r="CS330" s="15">
        <v>15.61</v>
      </c>
      <c r="CT330" s="15">
        <v>181.55</v>
      </c>
      <c r="CU330" s="15">
        <v>46.52</v>
      </c>
      <c r="CV330" s="15">
        <v>40.55</v>
      </c>
      <c r="CW330" s="15">
        <v>234.62</v>
      </c>
    </row>
    <row r="331" spans="1:101">
      <c r="A331" s="6">
        <v>2004</v>
      </c>
      <c r="B331" s="6" t="s">
        <v>113</v>
      </c>
      <c r="C331" s="6">
        <v>0.03395775</v>
      </c>
      <c r="D331" s="6">
        <v>0.012201</v>
      </c>
      <c r="E331" s="6">
        <v>0.002886</v>
      </c>
      <c r="F331" s="6">
        <v>0.005486</v>
      </c>
      <c r="G331" s="6">
        <v>0.001847</v>
      </c>
      <c r="H331" s="6">
        <v>0.001982</v>
      </c>
      <c r="I331" s="6">
        <v>0.011914</v>
      </c>
      <c r="J331" s="6">
        <v>0.005785</v>
      </c>
      <c r="K331" s="6">
        <v>0.04413519</v>
      </c>
      <c r="L331" s="6">
        <v>0.0277283</v>
      </c>
      <c r="M331" s="6">
        <v>0.04140113</v>
      </c>
      <c r="N331" s="6">
        <v>0.02612297</v>
      </c>
      <c r="O331" s="6">
        <v>0.02655659</v>
      </c>
      <c r="P331" s="6">
        <v>0.04291112</v>
      </c>
      <c r="Q331" s="6">
        <v>0.03422259</v>
      </c>
      <c r="R331" s="6">
        <v>217.69486</v>
      </c>
      <c r="S331" s="6">
        <v>0.00020274</v>
      </c>
      <c r="T331" s="6">
        <v>169.97573</v>
      </c>
      <c r="U331" s="6">
        <v>0.00016313</v>
      </c>
      <c r="V331" s="6">
        <v>197.11803</v>
      </c>
      <c r="W331" s="6">
        <v>0.00021003</v>
      </c>
      <c r="X331" s="6">
        <v>134.47093</v>
      </c>
      <c r="Y331" s="6">
        <v>0.00019426</v>
      </c>
      <c r="Z331" s="6">
        <v>134.86767</v>
      </c>
      <c r="AA331" s="6">
        <v>0.00019691</v>
      </c>
      <c r="AB331" s="6">
        <v>294.9318</v>
      </c>
      <c r="AC331" s="6">
        <v>0.0001455</v>
      </c>
      <c r="AD331" s="6">
        <v>243.86163</v>
      </c>
      <c r="AE331" s="6">
        <v>0.00014034</v>
      </c>
      <c r="AF331" s="6">
        <v>775</v>
      </c>
      <c r="AG331" s="6">
        <v>-0.00172401</v>
      </c>
      <c r="AH331" s="6">
        <v>-0.00142266</v>
      </c>
      <c r="AI331" s="6">
        <v>-0.0017786</v>
      </c>
      <c r="AJ331" s="6">
        <v>-0.00166024</v>
      </c>
      <c r="AK331" s="6">
        <v>-0.00168018</v>
      </c>
      <c r="AL331" s="6">
        <v>-0.0012855</v>
      </c>
      <c r="AM331" s="6">
        <v>-0.00124499</v>
      </c>
      <c r="AN331" s="6">
        <v>-6.4762184</v>
      </c>
      <c r="AO331" s="6">
        <v>-6.4515561</v>
      </c>
      <c r="AP331" s="6">
        <v>-6.4739881</v>
      </c>
      <c r="AQ331" s="6">
        <v>-6.4253629</v>
      </c>
      <c r="AR331" s="6">
        <v>-6.4020076</v>
      </c>
      <c r="AS331" s="6">
        <v>-6.4618417</v>
      </c>
      <c r="AT331" s="6">
        <v>-6.4506396</v>
      </c>
      <c r="AU331" s="6">
        <v>0.97344833</v>
      </c>
      <c r="AV331" s="6">
        <v>0.96974131</v>
      </c>
      <c r="AW331" s="6">
        <v>0.97311308</v>
      </c>
      <c r="AX331" s="6">
        <v>0.96580418</v>
      </c>
      <c r="AY331" s="6">
        <v>0.96229362</v>
      </c>
      <c r="AZ331" s="6">
        <v>0.97128734</v>
      </c>
      <c r="BA331" s="6">
        <v>0.96960354</v>
      </c>
      <c r="BB331" s="6">
        <v>0.02655167</v>
      </c>
      <c r="BC331" s="6">
        <v>0.03025869</v>
      </c>
      <c r="BD331" s="6">
        <v>0.02688692</v>
      </c>
      <c r="BE331" s="6">
        <v>0.03419582</v>
      </c>
      <c r="BF331" s="6">
        <v>0.03770638</v>
      </c>
      <c r="BG331" s="6">
        <v>0.02871266</v>
      </c>
      <c r="BH331" s="6">
        <v>0.03039646</v>
      </c>
      <c r="BI331" s="6">
        <v>0.21470859</v>
      </c>
      <c r="BJ331" s="6">
        <v>0.12366373</v>
      </c>
      <c r="BK331" s="6">
        <v>0.1409291</v>
      </c>
      <c r="BL331" s="6">
        <v>0.12522516</v>
      </c>
      <c r="BM331" s="6">
        <v>0.1592662</v>
      </c>
      <c r="BN331" s="6">
        <v>0.17561655</v>
      </c>
      <c r="BO331" s="6">
        <v>0.1337285</v>
      </c>
      <c r="BP331" s="6">
        <v>0.14157076</v>
      </c>
      <c r="BQ331" s="6">
        <v>0.00545792</v>
      </c>
      <c r="BR331" s="6">
        <v>0.00390772</v>
      </c>
      <c r="BS331" s="6">
        <v>0.00518446</v>
      </c>
      <c r="BT331" s="6">
        <v>0.00416051</v>
      </c>
      <c r="BU331" s="6">
        <v>0.00466378</v>
      </c>
      <c r="BV331" s="6">
        <v>0.00573844</v>
      </c>
      <c r="BW331" s="6">
        <v>0.00484492</v>
      </c>
      <c r="BX331" s="12">
        <v>4910</v>
      </c>
      <c r="BY331" s="13">
        <v>1963.11</v>
      </c>
      <c r="BZ331" s="12">
        <v>2209.09</v>
      </c>
      <c r="CA331" s="6">
        <f t="shared" si="30"/>
        <v>2.50113340566754</v>
      </c>
      <c r="CB331" s="6">
        <f t="shared" si="31"/>
        <v>2.22263465952044</v>
      </c>
      <c r="CC331" s="7">
        <v>103135168.4</v>
      </c>
      <c r="CD331" s="7">
        <f t="shared" si="32"/>
        <v>4.66867209574983</v>
      </c>
      <c r="CE331" s="8">
        <v>283.3</v>
      </c>
      <c r="CF331" s="8">
        <v>680.3</v>
      </c>
      <c r="CG331" s="8">
        <v>690</v>
      </c>
      <c r="CH331" s="8">
        <v>6512</v>
      </c>
      <c r="CI331" s="14">
        <v>0</v>
      </c>
      <c r="CJ331" s="14">
        <v>1</v>
      </c>
      <c r="CK331" s="14">
        <f t="shared" si="33"/>
        <v>0</v>
      </c>
      <c r="CL331">
        <f t="shared" si="34"/>
        <v>3.89549779892895</v>
      </c>
      <c r="CM331">
        <f t="shared" si="35"/>
        <v>0</v>
      </c>
      <c r="CN331" s="15">
        <v>4909.66</v>
      </c>
      <c r="CO331" s="15">
        <v>3631.79</v>
      </c>
      <c r="CP331" s="15">
        <v>126.88</v>
      </c>
      <c r="CQ331" s="15">
        <v>1314.13</v>
      </c>
      <c r="CR331" s="15">
        <v>110.91</v>
      </c>
      <c r="CS331" s="15">
        <v>18.2</v>
      </c>
      <c r="CT331" s="15">
        <v>196.14</v>
      </c>
      <c r="CU331" s="15">
        <v>20.11</v>
      </c>
      <c r="CV331" s="15">
        <v>54.01</v>
      </c>
      <c r="CW331" s="15">
        <v>265.9</v>
      </c>
    </row>
    <row r="332" spans="1:101">
      <c r="A332" s="6">
        <v>2005</v>
      </c>
      <c r="B332" s="6" t="s">
        <v>113</v>
      </c>
      <c r="C332" s="6">
        <v>0.02468935</v>
      </c>
      <c r="D332" s="6">
        <v>0.01092</v>
      </c>
      <c r="E332" s="6">
        <v>0.002656</v>
      </c>
      <c r="F332" s="6">
        <v>0.004932</v>
      </c>
      <c r="G332" s="6">
        <v>0.001718</v>
      </c>
      <c r="H332" s="6">
        <v>0.001614</v>
      </c>
      <c r="I332" s="6">
        <v>0.010466</v>
      </c>
      <c r="J332" s="6">
        <v>0.005202</v>
      </c>
      <c r="K332" s="6">
        <v>0.03408944</v>
      </c>
      <c r="L332" s="6">
        <v>0.02229617</v>
      </c>
      <c r="M332" s="6">
        <v>0.03289041</v>
      </c>
      <c r="N332" s="6">
        <v>0.02229818</v>
      </c>
      <c r="O332" s="6">
        <v>0.01541075</v>
      </c>
      <c r="P332" s="6">
        <v>0.02678151</v>
      </c>
      <c r="Q332" s="6">
        <v>0.02383016</v>
      </c>
      <c r="R332" s="6">
        <v>217.69486</v>
      </c>
      <c r="S332" s="6">
        <v>0.00015659</v>
      </c>
      <c r="T332" s="6">
        <v>169.97573</v>
      </c>
      <c r="U332" s="6">
        <v>0.00013117</v>
      </c>
      <c r="V332" s="6">
        <v>197.11803</v>
      </c>
      <c r="W332" s="6">
        <v>0.00016686</v>
      </c>
      <c r="X332" s="6">
        <v>134.47093</v>
      </c>
      <c r="Y332" s="6">
        <v>0.00016582</v>
      </c>
      <c r="Z332" s="6">
        <v>134.86767</v>
      </c>
      <c r="AA332" s="6">
        <v>0.00011427</v>
      </c>
      <c r="AB332" s="6">
        <v>294.9318</v>
      </c>
      <c r="AC332" s="6">
        <v>9.081e-5</v>
      </c>
      <c r="AD332" s="6">
        <v>243.86163</v>
      </c>
      <c r="AE332" s="6">
        <v>9.772e-5</v>
      </c>
      <c r="AF332" s="6">
        <v>775</v>
      </c>
      <c r="AG332" s="6">
        <v>-0.00137204</v>
      </c>
      <c r="AH332" s="6">
        <v>-0.00117255</v>
      </c>
      <c r="AI332" s="6">
        <v>-0.00145138</v>
      </c>
      <c r="AJ332" s="6">
        <v>-0.00144341</v>
      </c>
      <c r="AK332" s="6">
        <v>-0.00103719</v>
      </c>
      <c r="AL332" s="6">
        <v>-0.00084511</v>
      </c>
      <c r="AM332" s="6">
        <v>-0.00090229</v>
      </c>
      <c r="AN332" s="6">
        <v>-6.4762184</v>
      </c>
      <c r="AO332" s="6">
        <v>-6.4515561</v>
      </c>
      <c r="AP332" s="6">
        <v>-6.4739881</v>
      </c>
      <c r="AQ332" s="6">
        <v>-6.4253629</v>
      </c>
      <c r="AR332" s="6">
        <v>-6.4020076</v>
      </c>
      <c r="AS332" s="6">
        <v>-6.4618417</v>
      </c>
      <c r="AT332" s="6">
        <v>-6.4506396</v>
      </c>
      <c r="AU332" s="6">
        <v>0.97344833</v>
      </c>
      <c r="AV332" s="6">
        <v>0.96974131</v>
      </c>
      <c r="AW332" s="6">
        <v>0.97311308</v>
      </c>
      <c r="AX332" s="6">
        <v>0.96580418</v>
      </c>
      <c r="AY332" s="6">
        <v>0.96229362</v>
      </c>
      <c r="AZ332" s="6">
        <v>0.97128734</v>
      </c>
      <c r="BA332" s="6">
        <v>0.96960354</v>
      </c>
      <c r="BB332" s="6">
        <v>0.02655167</v>
      </c>
      <c r="BC332" s="6">
        <v>0.03025869</v>
      </c>
      <c r="BD332" s="6">
        <v>0.02688692</v>
      </c>
      <c r="BE332" s="6">
        <v>0.03419582</v>
      </c>
      <c r="BF332" s="6">
        <v>0.03770638</v>
      </c>
      <c r="BG332" s="6">
        <v>0.02871266</v>
      </c>
      <c r="BH332" s="6">
        <v>0.03039646</v>
      </c>
      <c r="BI332" s="6">
        <v>0.21470859</v>
      </c>
      <c r="BJ332" s="6">
        <v>0.12366373</v>
      </c>
      <c r="BK332" s="6">
        <v>0.1409291</v>
      </c>
      <c r="BL332" s="6">
        <v>0.12522516</v>
      </c>
      <c r="BM332" s="6">
        <v>0.1592662</v>
      </c>
      <c r="BN332" s="6">
        <v>0.17561655</v>
      </c>
      <c r="BO332" s="6">
        <v>0.1337285</v>
      </c>
      <c r="BP332" s="6">
        <v>0.14157076</v>
      </c>
      <c r="BQ332" s="6">
        <v>0.00421563</v>
      </c>
      <c r="BR332" s="6">
        <v>0.00314218</v>
      </c>
      <c r="BS332" s="6">
        <v>0.00411871</v>
      </c>
      <c r="BT332" s="6">
        <v>0.00355135</v>
      </c>
      <c r="BU332" s="6">
        <v>0.00270638</v>
      </c>
      <c r="BV332" s="6">
        <v>0.00358145</v>
      </c>
      <c r="BW332" s="6">
        <v>0.00337365</v>
      </c>
      <c r="BX332" s="12">
        <v>5506</v>
      </c>
      <c r="BY332" s="13">
        <v>2010.35</v>
      </c>
      <c r="BZ332" s="12">
        <v>2604.19</v>
      </c>
      <c r="CA332" s="6">
        <f t="shared" si="30"/>
        <v>2.73882657248738</v>
      </c>
      <c r="CB332" s="6">
        <f t="shared" si="31"/>
        <v>2.1142850560059</v>
      </c>
      <c r="CC332" s="7">
        <v>114009656.4</v>
      </c>
      <c r="CD332" s="7">
        <f t="shared" si="32"/>
        <v>4.37793157949305</v>
      </c>
      <c r="CE332" s="8">
        <v>304.3</v>
      </c>
      <c r="CF332" s="8">
        <v>772.2</v>
      </c>
      <c r="CG332" s="8">
        <v>788.1</v>
      </c>
      <c r="CH332" s="8">
        <v>7332</v>
      </c>
      <c r="CI332" s="14">
        <v>0</v>
      </c>
      <c r="CJ332" s="14">
        <v>1</v>
      </c>
      <c r="CK332" s="14">
        <f t="shared" si="33"/>
        <v>0</v>
      </c>
      <c r="CL332">
        <f t="shared" si="34"/>
        <v>3.71995059106252</v>
      </c>
      <c r="CM332">
        <f t="shared" si="35"/>
        <v>0</v>
      </c>
      <c r="CN332" s="15">
        <v>5506.5</v>
      </c>
      <c r="CO332" s="15">
        <v>3859.91</v>
      </c>
      <c r="CP332" s="15">
        <v>183.27</v>
      </c>
      <c r="CQ332" s="15">
        <v>1628.77</v>
      </c>
      <c r="CR332" s="15">
        <v>106.73</v>
      </c>
      <c r="CS332" s="15">
        <v>26.12</v>
      </c>
      <c r="CT332" s="15">
        <v>302.74</v>
      </c>
      <c r="CU332" s="15">
        <v>17.32</v>
      </c>
      <c r="CV332" s="15">
        <v>56.46</v>
      </c>
      <c r="CW332" s="15">
        <v>310.14</v>
      </c>
    </row>
    <row r="333" spans="1:101">
      <c r="A333" s="6">
        <v>2006</v>
      </c>
      <c r="B333" s="6" t="s">
        <v>113</v>
      </c>
      <c r="C333" s="6">
        <v>0.03536486</v>
      </c>
      <c r="D333" s="6">
        <v>0.012246</v>
      </c>
      <c r="E333" s="6">
        <v>0.002984</v>
      </c>
      <c r="F333" s="6">
        <v>0.005611</v>
      </c>
      <c r="G333" s="6">
        <v>0.001763</v>
      </c>
      <c r="H333" s="6">
        <v>0.001888</v>
      </c>
      <c r="I333" s="6">
        <v>0.012251</v>
      </c>
      <c r="J333" s="6">
        <v>0.006254</v>
      </c>
      <c r="K333" s="6">
        <v>0.04449428</v>
      </c>
      <c r="L333" s="6">
        <v>0.03004213</v>
      </c>
      <c r="M333" s="6">
        <v>0.04333019</v>
      </c>
      <c r="N333" s="6">
        <v>0.02363659</v>
      </c>
      <c r="O333" s="6">
        <v>0.02372354</v>
      </c>
      <c r="P333" s="6">
        <v>0.04666999</v>
      </c>
      <c r="Q333" s="6">
        <v>0.0425994</v>
      </c>
      <c r="R333" s="6">
        <v>217.69486</v>
      </c>
      <c r="S333" s="6">
        <v>0.00020439</v>
      </c>
      <c r="T333" s="6">
        <v>169.97573</v>
      </c>
      <c r="U333" s="6">
        <v>0.00017674</v>
      </c>
      <c r="V333" s="6">
        <v>197.11803</v>
      </c>
      <c r="W333" s="6">
        <v>0.00021982</v>
      </c>
      <c r="X333" s="6">
        <v>134.47093</v>
      </c>
      <c r="Y333" s="6">
        <v>0.00017577</v>
      </c>
      <c r="Z333" s="6">
        <v>134.86767</v>
      </c>
      <c r="AA333" s="6">
        <v>0.0001759</v>
      </c>
      <c r="AB333" s="6">
        <v>294.9318</v>
      </c>
      <c r="AC333" s="6">
        <v>0.00015824</v>
      </c>
      <c r="AD333" s="6">
        <v>243.86163</v>
      </c>
      <c r="AE333" s="6">
        <v>0.00017469</v>
      </c>
      <c r="AF333" s="6">
        <v>775</v>
      </c>
      <c r="AG333" s="6">
        <v>-0.00173638</v>
      </c>
      <c r="AH333" s="6">
        <v>-0.00152721</v>
      </c>
      <c r="AI333" s="6">
        <v>-0.00185147</v>
      </c>
      <c r="AJ333" s="6">
        <v>-0.0015198</v>
      </c>
      <c r="AK333" s="6">
        <v>-0.00152078</v>
      </c>
      <c r="AL333" s="6">
        <v>-0.00138482</v>
      </c>
      <c r="AM333" s="6">
        <v>-0.00151148</v>
      </c>
      <c r="AN333" s="6">
        <v>-6.4762184</v>
      </c>
      <c r="AO333" s="6">
        <v>-6.4515561</v>
      </c>
      <c r="AP333" s="6">
        <v>-6.4739881</v>
      </c>
      <c r="AQ333" s="6">
        <v>-6.4253629</v>
      </c>
      <c r="AR333" s="6">
        <v>-6.4020076</v>
      </c>
      <c r="AS333" s="6">
        <v>-6.4618417</v>
      </c>
      <c r="AT333" s="6">
        <v>-6.4506396</v>
      </c>
      <c r="AU333" s="6">
        <v>0.97344833</v>
      </c>
      <c r="AV333" s="6">
        <v>0.96974131</v>
      </c>
      <c r="AW333" s="6">
        <v>0.97311308</v>
      </c>
      <c r="AX333" s="6">
        <v>0.96580418</v>
      </c>
      <c r="AY333" s="6">
        <v>0.96229362</v>
      </c>
      <c r="AZ333" s="6">
        <v>0.97128734</v>
      </c>
      <c r="BA333" s="6">
        <v>0.96960354</v>
      </c>
      <c r="BB333" s="6">
        <v>0.02655167</v>
      </c>
      <c r="BC333" s="6">
        <v>0.03025869</v>
      </c>
      <c r="BD333" s="6">
        <v>0.02688692</v>
      </c>
      <c r="BE333" s="6">
        <v>0.03419582</v>
      </c>
      <c r="BF333" s="6">
        <v>0.03770638</v>
      </c>
      <c r="BG333" s="6">
        <v>0.02871266</v>
      </c>
      <c r="BH333" s="6">
        <v>0.03039646</v>
      </c>
      <c r="BI333" s="6">
        <v>0.21470859</v>
      </c>
      <c r="BJ333" s="6">
        <v>0.12366373</v>
      </c>
      <c r="BK333" s="6">
        <v>0.1409291</v>
      </c>
      <c r="BL333" s="6">
        <v>0.12522516</v>
      </c>
      <c r="BM333" s="6">
        <v>0.1592662</v>
      </c>
      <c r="BN333" s="6">
        <v>0.17561655</v>
      </c>
      <c r="BO333" s="6">
        <v>0.1337285</v>
      </c>
      <c r="BP333" s="6">
        <v>0.14157076</v>
      </c>
      <c r="BQ333" s="6">
        <v>0.00550233</v>
      </c>
      <c r="BR333" s="6">
        <v>0.00423381</v>
      </c>
      <c r="BS333" s="6">
        <v>0.00542603</v>
      </c>
      <c r="BT333" s="6">
        <v>0.00376451</v>
      </c>
      <c r="BU333" s="6">
        <v>0.00416625</v>
      </c>
      <c r="BV333" s="6">
        <v>0.00624111</v>
      </c>
      <c r="BW333" s="6">
        <v>0.00603083</v>
      </c>
      <c r="BX333" s="12">
        <v>6047</v>
      </c>
      <c r="BY333" s="13">
        <v>2050</v>
      </c>
      <c r="BZ333" s="12">
        <v>3045.26</v>
      </c>
      <c r="CA333" s="6">
        <f t="shared" si="30"/>
        <v>2.94975609756098</v>
      </c>
      <c r="CB333" s="6">
        <f t="shared" si="31"/>
        <v>1.98570893782468</v>
      </c>
      <c r="CC333" s="7">
        <v>126438827.2</v>
      </c>
      <c r="CD333" s="7">
        <f t="shared" si="32"/>
        <v>4.15198791564595</v>
      </c>
      <c r="CE333" s="8">
        <v>329.8</v>
      </c>
      <c r="CF333" s="8">
        <v>972.5</v>
      </c>
      <c r="CG333" s="8">
        <v>900.6</v>
      </c>
      <c r="CH333" s="8">
        <v>8653</v>
      </c>
      <c r="CI333" s="14">
        <v>0</v>
      </c>
      <c r="CJ333" s="14">
        <v>1</v>
      </c>
      <c r="CK333" s="14">
        <f t="shared" si="33"/>
        <v>0</v>
      </c>
      <c r="CL333">
        <f t="shared" si="34"/>
        <v>3.57740717995078</v>
      </c>
      <c r="CM333">
        <f t="shared" si="35"/>
        <v>0</v>
      </c>
      <c r="CN333" s="15">
        <v>6047.27</v>
      </c>
      <c r="CO333" s="15">
        <v>4436.21</v>
      </c>
      <c r="CP333" s="15">
        <v>230.6</v>
      </c>
      <c r="CQ333" s="15">
        <v>1813.64</v>
      </c>
      <c r="CR333" s="15">
        <v>117.82</v>
      </c>
      <c r="CS333" s="15">
        <v>30.88</v>
      </c>
      <c r="CT333" s="15">
        <v>341.01</v>
      </c>
      <c r="CU333" s="15">
        <v>19.31</v>
      </c>
      <c r="CV333" s="15">
        <v>65.04</v>
      </c>
      <c r="CW333" s="15">
        <v>356.15</v>
      </c>
    </row>
    <row r="334" spans="1:101">
      <c r="A334" s="6">
        <v>2007</v>
      </c>
      <c r="B334" s="6" t="s">
        <v>113</v>
      </c>
      <c r="C334" s="6">
        <v>0.03272789</v>
      </c>
      <c r="D334" s="6">
        <v>0.012059</v>
      </c>
      <c r="E334" s="6">
        <v>0.003037</v>
      </c>
      <c r="F334" s="6">
        <v>0.005535</v>
      </c>
      <c r="G334" s="6">
        <v>0.001838</v>
      </c>
      <c r="H334" s="6">
        <v>0.001649</v>
      </c>
      <c r="I334" s="6">
        <v>0.01189</v>
      </c>
      <c r="J334" s="6">
        <v>0.005848</v>
      </c>
      <c r="K334" s="6">
        <v>0.04302125</v>
      </c>
      <c r="L334" s="6">
        <v>0.03130599</v>
      </c>
      <c r="M334" s="6">
        <v>0.0421492</v>
      </c>
      <c r="N334" s="6">
        <v>0.02584172</v>
      </c>
      <c r="O334" s="6">
        <v>0.01648063</v>
      </c>
      <c r="P334" s="6">
        <v>0.04264478</v>
      </c>
      <c r="Q334" s="6">
        <v>0.03535231</v>
      </c>
      <c r="R334" s="6">
        <v>217.69486</v>
      </c>
      <c r="S334" s="6">
        <v>0.00019762</v>
      </c>
      <c r="T334" s="6">
        <v>169.97573</v>
      </c>
      <c r="U334" s="6">
        <v>0.00018418</v>
      </c>
      <c r="V334" s="6">
        <v>197.11803</v>
      </c>
      <c r="W334" s="6">
        <v>0.00021383</v>
      </c>
      <c r="X334" s="6">
        <v>134.47093</v>
      </c>
      <c r="Y334" s="6">
        <v>0.00019217</v>
      </c>
      <c r="Z334" s="6">
        <v>134.86767</v>
      </c>
      <c r="AA334" s="6">
        <v>0.0001222</v>
      </c>
      <c r="AB334" s="6">
        <v>294.9318</v>
      </c>
      <c r="AC334" s="6">
        <v>0.00014459</v>
      </c>
      <c r="AD334" s="6">
        <v>243.86163</v>
      </c>
      <c r="AE334" s="6">
        <v>0.00014497</v>
      </c>
      <c r="AF334" s="6">
        <v>775</v>
      </c>
      <c r="AG334" s="6">
        <v>-0.00168555</v>
      </c>
      <c r="AH334" s="6">
        <v>-0.00158387</v>
      </c>
      <c r="AI334" s="6">
        <v>-0.00180691</v>
      </c>
      <c r="AJ334" s="6">
        <v>-0.00164445</v>
      </c>
      <c r="AK334" s="6">
        <v>-0.00110099</v>
      </c>
      <c r="AL334" s="6">
        <v>-0.00127842</v>
      </c>
      <c r="AM334" s="6">
        <v>-0.00128138</v>
      </c>
      <c r="AN334" s="6">
        <v>-6.4762184</v>
      </c>
      <c r="AO334" s="6">
        <v>-6.4515561</v>
      </c>
      <c r="AP334" s="6">
        <v>-6.4739881</v>
      </c>
      <c r="AQ334" s="6">
        <v>-6.4253629</v>
      </c>
      <c r="AR334" s="6">
        <v>-6.4020076</v>
      </c>
      <c r="AS334" s="6">
        <v>-6.4618417</v>
      </c>
      <c r="AT334" s="6">
        <v>-6.4506396</v>
      </c>
      <c r="AU334" s="6">
        <v>0.97344833</v>
      </c>
      <c r="AV334" s="6">
        <v>0.96974131</v>
      </c>
      <c r="AW334" s="6">
        <v>0.97311308</v>
      </c>
      <c r="AX334" s="6">
        <v>0.96580418</v>
      </c>
      <c r="AY334" s="6">
        <v>0.96229362</v>
      </c>
      <c r="AZ334" s="6">
        <v>0.97128734</v>
      </c>
      <c r="BA334" s="6">
        <v>0.96960354</v>
      </c>
      <c r="BB334" s="6">
        <v>0.02655167</v>
      </c>
      <c r="BC334" s="6">
        <v>0.03025869</v>
      </c>
      <c r="BD334" s="6">
        <v>0.02688692</v>
      </c>
      <c r="BE334" s="6">
        <v>0.03419582</v>
      </c>
      <c r="BF334" s="6">
        <v>0.03770638</v>
      </c>
      <c r="BG334" s="6">
        <v>0.02871266</v>
      </c>
      <c r="BH334" s="6">
        <v>0.03039646</v>
      </c>
      <c r="BI334" s="6">
        <v>0.21470859</v>
      </c>
      <c r="BJ334" s="6">
        <v>0.12366373</v>
      </c>
      <c r="BK334" s="6">
        <v>0.1409291</v>
      </c>
      <c r="BL334" s="6">
        <v>0.12522516</v>
      </c>
      <c r="BM334" s="6">
        <v>0.1592662</v>
      </c>
      <c r="BN334" s="6">
        <v>0.17561655</v>
      </c>
      <c r="BO334" s="6">
        <v>0.1337285</v>
      </c>
      <c r="BP334" s="6">
        <v>0.14157076</v>
      </c>
      <c r="BQ334" s="6">
        <v>0.00532017</v>
      </c>
      <c r="BR334" s="6">
        <v>0.00441192</v>
      </c>
      <c r="BS334" s="6">
        <v>0.00527814</v>
      </c>
      <c r="BT334" s="6">
        <v>0.00411571</v>
      </c>
      <c r="BU334" s="6">
        <v>0.00289427</v>
      </c>
      <c r="BV334" s="6">
        <v>0.00570282</v>
      </c>
      <c r="BW334" s="6">
        <v>0.00500485</v>
      </c>
      <c r="BX334" s="12">
        <v>6576</v>
      </c>
      <c r="BY334" s="13">
        <v>2095.19</v>
      </c>
      <c r="BZ334" s="12">
        <v>3523.16</v>
      </c>
      <c r="CA334" s="6">
        <f t="shared" si="30"/>
        <v>3.13861750008352</v>
      </c>
      <c r="CB334" s="6">
        <f t="shared" si="31"/>
        <v>1.86650620465718</v>
      </c>
      <c r="CC334" s="7">
        <v>132574284.9</v>
      </c>
      <c r="CD334" s="7">
        <f t="shared" si="32"/>
        <v>3.76293682092213</v>
      </c>
      <c r="CE334" s="8">
        <v>365.9</v>
      </c>
      <c r="CF334" s="8">
        <v>1254.1</v>
      </c>
      <c r="CG334" s="8">
        <v>1055.1</v>
      </c>
      <c r="CH334" s="8">
        <v>10501</v>
      </c>
      <c r="CI334" s="14">
        <v>0</v>
      </c>
      <c r="CJ334" s="14">
        <v>1</v>
      </c>
      <c r="CK334" s="14">
        <f t="shared" si="33"/>
        <v>0</v>
      </c>
      <c r="CL334">
        <f t="shared" si="34"/>
        <v>3.23986794305777</v>
      </c>
      <c r="CM334">
        <f t="shared" si="35"/>
        <v>0</v>
      </c>
      <c r="CN334" s="15">
        <v>6575.73</v>
      </c>
      <c r="CO334" s="15">
        <v>4943.69</v>
      </c>
      <c r="CP334" s="15">
        <v>284.75</v>
      </c>
      <c r="CQ334" s="15">
        <v>1873.37</v>
      </c>
      <c r="CR334" s="15">
        <v>124.51</v>
      </c>
      <c r="CS334" s="15">
        <v>33.28</v>
      </c>
      <c r="CT334" s="15">
        <v>378.39</v>
      </c>
      <c r="CU334" s="15">
        <v>22.26</v>
      </c>
      <c r="CV334" s="15">
        <v>69.81</v>
      </c>
      <c r="CW334" s="15">
        <v>416.87</v>
      </c>
    </row>
    <row r="335" spans="1:101">
      <c r="A335" s="6">
        <v>2008</v>
      </c>
      <c r="B335" s="6" t="s">
        <v>113</v>
      </c>
      <c r="C335" s="6">
        <v>0.0398874</v>
      </c>
      <c r="D335" s="6">
        <v>0.013348</v>
      </c>
      <c r="E335" s="6">
        <v>0.003282</v>
      </c>
      <c r="F335" s="6">
        <v>0.006072</v>
      </c>
      <c r="G335" s="6">
        <v>0.001966</v>
      </c>
      <c r="H335" s="6">
        <v>0.002028</v>
      </c>
      <c r="I335" s="6">
        <v>0.012304</v>
      </c>
      <c r="J335" s="6">
        <v>0.006173</v>
      </c>
      <c r="K335" s="6">
        <v>0.05313703</v>
      </c>
      <c r="L335" s="6">
        <v>0.03709001</v>
      </c>
      <c r="M335" s="6">
        <v>0.05041366</v>
      </c>
      <c r="N335" s="6">
        <v>0.02963039</v>
      </c>
      <c r="O335" s="6">
        <v>0.02796848</v>
      </c>
      <c r="P335" s="6">
        <v>0.04725683</v>
      </c>
      <c r="Q335" s="6">
        <v>0.04115064</v>
      </c>
      <c r="R335" s="6">
        <v>217.69486</v>
      </c>
      <c r="S335" s="6">
        <v>0.00024409</v>
      </c>
      <c r="T335" s="6">
        <v>169.97573</v>
      </c>
      <c r="U335" s="6">
        <v>0.00021821</v>
      </c>
      <c r="V335" s="6">
        <v>197.11803</v>
      </c>
      <c r="W335" s="6">
        <v>0.00025575</v>
      </c>
      <c r="X335" s="6">
        <v>134.47093</v>
      </c>
      <c r="Y335" s="6">
        <v>0.00022035</v>
      </c>
      <c r="Z335" s="6">
        <v>134.86767</v>
      </c>
      <c r="AA335" s="6">
        <v>0.00020738</v>
      </c>
      <c r="AB335" s="6">
        <v>294.9318</v>
      </c>
      <c r="AC335" s="6">
        <v>0.00016023</v>
      </c>
      <c r="AD335" s="6">
        <v>243.86163</v>
      </c>
      <c r="AE335" s="6">
        <v>0.00016875</v>
      </c>
      <c r="AF335" s="6">
        <v>775</v>
      </c>
      <c r="AG335" s="6">
        <v>-0.00203033</v>
      </c>
      <c r="AH335" s="6">
        <v>-0.0018395</v>
      </c>
      <c r="AI335" s="6">
        <v>-0.00211541</v>
      </c>
      <c r="AJ335" s="6">
        <v>-0.0018554</v>
      </c>
      <c r="AK335" s="6">
        <v>-0.00175876</v>
      </c>
      <c r="AL335" s="6">
        <v>-0.00140023</v>
      </c>
      <c r="AM335" s="6">
        <v>-0.00146591</v>
      </c>
      <c r="AN335" s="6">
        <v>-6.4762184</v>
      </c>
      <c r="AO335" s="6">
        <v>-6.4515561</v>
      </c>
      <c r="AP335" s="6">
        <v>-6.4739881</v>
      </c>
      <c r="AQ335" s="6">
        <v>-6.4253629</v>
      </c>
      <c r="AR335" s="6">
        <v>-6.4020076</v>
      </c>
      <c r="AS335" s="6">
        <v>-6.4618417</v>
      </c>
      <c r="AT335" s="6">
        <v>-6.4506396</v>
      </c>
      <c r="AU335" s="6">
        <v>0.97344833</v>
      </c>
      <c r="AV335" s="6">
        <v>0.96974131</v>
      </c>
      <c r="AW335" s="6">
        <v>0.97311308</v>
      </c>
      <c r="AX335" s="6">
        <v>0.96580418</v>
      </c>
      <c r="AY335" s="6">
        <v>0.96229362</v>
      </c>
      <c r="AZ335" s="6">
        <v>0.97128734</v>
      </c>
      <c r="BA335" s="6">
        <v>0.96960354</v>
      </c>
      <c r="BB335" s="6">
        <v>0.02655167</v>
      </c>
      <c r="BC335" s="6">
        <v>0.03025869</v>
      </c>
      <c r="BD335" s="6">
        <v>0.02688692</v>
      </c>
      <c r="BE335" s="6">
        <v>0.03419582</v>
      </c>
      <c r="BF335" s="6">
        <v>0.03770638</v>
      </c>
      <c r="BG335" s="6">
        <v>0.02871266</v>
      </c>
      <c r="BH335" s="6">
        <v>0.03039646</v>
      </c>
      <c r="BI335" s="6">
        <v>0.21470859</v>
      </c>
      <c r="BJ335" s="6">
        <v>0.12366373</v>
      </c>
      <c r="BK335" s="6">
        <v>0.1409291</v>
      </c>
      <c r="BL335" s="6">
        <v>0.12522516</v>
      </c>
      <c r="BM335" s="6">
        <v>0.1592662</v>
      </c>
      <c r="BN335" s="6">
        <v>0.17561655</v>
      </c>
      <c r="BO335" s="6">
        <v>0.1337285</v>
      </c>
      <c r="BP335" s="6">
        <v>0.14157076</v>
      </c>
      <c r="BQ335" s="6">
        <v>0.00657112</v>
      </c>
      <c r="BR335" s="6">
        <v>0.00522706</v>
      </c>
      <c r="BS335" s="6">
        <v>0.00631306</v>
      </c>
      <c r="BT335" s="6">
        <v>0.00471912</v>
      </c>
      <c r="BU335" s="6">
        <v>0.00491173</v>
      </c>
      <c r="BV335" s="6">
        <v>0.00631958</v>
      </c>
      <c r="BW335" s="6">
        <v>0.00582573</v>
      </c>
      <c r="BX335" s="12">
        <v>7069</v>
      </c>
      <c r="BY335" s="13">
        <v>2130.81</v>
      </c>
      <c r="BZ335" s="12">
        <v>4183.21</v>
      </c>
      <c r="CA335" s="6">
        <f t="shared" si="30"/>
        <v>3.3175177514654</v>
      </c>
      <c r="CB335" s="6">
        <f t="shared" si="31"/>
        <v>1.68985061710983</v>
      </c>
      <c r="CC335" s="7">
        <v>143831977.4</v>
      </c>
      <c r="CD335" s="7">
        <f t="shared" si="32"/>
        <v>3.43831596788113</v>
      </c>
      <c r="CE335" s="8">
        <v>391.2</v>
      </c>
      <c r="CF335" s="8">
        <v>1429.9</v>
      </c>
      <c r="CG335" s="8">
        <v>1250.5</v>
      </c>
      <c r="CH335" s="8">
        <v>12048</v>
      </c>
      <c r="CI335" s="14">
        <v>0</v>
      </c>
      <c r="CJ335" s="14">
        <v>1</v>
      </c>
      <c r="CK335" s="14">
        <f t="shared" si="33"/>
        <v>0</v>
      </c>
      <c r="CL335">
        <f t="shared" si="34"/>
        <v>2.71728515287532</v>
      </c>
      <c r="CM335">
        <f t="shared" si="35"/>
        <v>0</v>
      </c>
      <c r="CN335" s="15">
        <v>7069</v>
      </c>
      <c r="CO335" s="15">
        <v>5709</v>
      </c>
      <c r="CP335" s="15">
        <v>456.12</v>
      </c>
      <c r="CQ335" s="15">
        <v>1940.53</v>
      </c>
      <c r="CR335" s="15">
        <v>123.66</v>
      </c>
      <c r="CS335" s="15">
        <v>38.15</v>
      </c>
      <c r="CT335" s="15">
        <v>335.44</v>
      </c>
      <c r="CU335" s="15">
        <v>27.34</v>
      </c>
      <c r="CV335" s="15">
        <v>69.84</v>
      </c>
      <c r="CW335" s="15">
        <v>479.37</v>
      </c>
    </row>
    <row r="336" spans="1:101">
      <c r="A336" s="6">
        <v>2009</v>
      </c>
      <c r="B336" s="6" t="s">
        <v>113</v>
      </c>
      <c r="C336" s="6">
        <v>0.041254</v>
      </c>
      <c r="D336" s="6">
        <v>0.013588</v>
      </c>
      <c r="E336" s="6">
        <v>0.003214</v>
      </c>
      <c r="F336" s="6">
        <v>0.00606</v>
      </c>
      <c r="G336" s="6">
        <v>0.001872</v>
      </c>
      <c r="H336" s="6">
        <v>0.002442</v>
      </c>
      <c r="I336" s="6">
        <v>0.012421</v>
      </c>
      <c r="J336" s="6">
        <v>0.005954</v>
      </c>
      <c r="K336" s="6">
        <v>0.05502114</v>
      </c>
      <c r="L336" s="6">
        <v>0.03548664</v>
      </c>
      <c r="M336" s="6">
        <v>0.05022948</v>
      </c>
      <c r="N336" s="6">
        <v>0.02685205</v>
      </c>
      <c r="O336" s="6">
        <v>0.04051424</v>
      </c>
      <c r="P336" s="6">
        <v>0.04856112</v>
      </c>
      <c r="Q336" s="6">
        <v>0.03724769</v>
      </c>
      <c r="R336" s="6">
        <v>217.69486</v>
      </c>
      <c r="S336" s="6">
        <v>0.00025274</v>
      </c>
      <c r="T336" s="6">
        <v>169.97573</v>
      </c>
      <c r="U336" s="6">
        <v>0.00020877</v>
      </c>
      <c r="V336" s="6">
        <v>197.11803</v>
      </c>
      <c r="W336" s="6">
        <v>0.00025482</v>
      </c>
      <c r="X336" s="6">
        <v>134.47093</v>
      </c>
      <c r="Y336" s="6">
        <v>0.00019969</v>
      </c>
      <c r="Z336" s="6">
        <v>134.86767</v>
      </c>
      <c r="AA336" s="6">
        <v>0.0003004</v>
      </c>
      <c r="AB336" s="6">
        <v>294.9318</v>
      </c>
      <c r="AC336" s="6">
        <v>0.00016465</v>
      </c>
      <c r="AD336" s="6">
        <v>243.86163</v>
      </c>
      <c r="AE336" s="6">
        <v>0.00015274</v>
      </c>
      <c r="AF336" s="6">
        <v>775</v>
      </c>
      <c r="AG336" s="6">
        <v>-0.00209351</v>
      </c>
      <c r="AH336" s="6">
        <v>-0.00176921</v>
      </c>
      <c r="AI336" s="6">
        <v>-0.00210862</v>
      </c>
      <c r="AJ336" s="6">
        <v>-0.00170108</v>
      </c>
      <c r="AK336" s="6">
        <v>-0.00243636</v>
      </c>
      <c r="AL336" s="6">
        <v>-0.0014344</v>
      </c>
      <c r="AM336" s="6">
        <v>-0.0013421</v>
      </c>
      <c r="AN336" s="6">
        <v>-6.4762184</v>
      </c>
      <c r="AO336" s="6">
        <v>-6.4515561</v>
      </c>
      <c r="AP336" s="6">
        <v>-6.4739881</v>
      </c>
      <c r="AQ336" s="6">
        <v>-6.4253629</v>
      </c>
      <c r="AR336" s="6">
        <v>-6.4020076</v>
      </c>
      <c r="AS336" s="6">
        <v>-6.4618417</v>
      </c>
      <c r="AT336" s="6">
        <v>-6.4506396</v>
      </c>
      <c r="AU336" s="6">
        <v>0.97344833</v>
      </c>
      <c r="AV336" s="6">
        <v>0.96974131</v>
      </c>
      <c r="AW336" s="6">
        <v>0.97311308</v>
      </c>
      <c r="AX336" s="6">
        <v>0.96580418</v>
      </c>
      <c r="AY336" s="6">
        <v>0.96229362</v>
      </c>
      <c r="AZ336" s="6">
        <v>0.97128734</v>
      </c>
      <c r="BA336" s="6">
        <v>0.96960354</v>
      </c>
      <c r="BB336" s="6">
        <v>0.02655167</v>
      </c>
      <c r="BC336" s="6">
        <v>0.03025869</v>
      </c>
      <c r="BD336" s="6">
        <v>0.02688692</v>
      </c>
      <c r="BE336" s="6">
        <v>0.03419582</v>
      </c>
      <c r="BF336" s="6">
        <v>0.03770638</v>
      </c>
      <c r="BG336" s="6">
        <v>0.02871266</v>
      </c>
      <c r="BH336" s="6">
        <v>0.03039646</v>
      </c>
      <c r="BI336" s="6">
        <v>0.21470859</v>
      </c>
      <c r="BJ336" s="6">
        <v>0.12366373</v>
      </c>
      <c r="BK336" s="6">
        <v>0.1409291</v>
      </c>
      <c r="BL336" s="6">
        <v>0.12522516</v>
      </c>
      <c r="BM336" s="6">
        <v>0.1592662</v>
      </c>
      <c r="BN336" s="6">
        <v>0.17561655</v>
      </c>
      <c r="BO336" s="6">
        <v>0.1337285</v>
      </c>
      <c r="BP336" s="6">
        <v>0.14157076</v>
      </c>
      <c r="BQ336" s="6">
        <v>0.00680412</v>
      </c>
      <c r="BR336" s="6">
        <v>0.0050011</v>
      </c>
      <c r="BS336" s="6">
        <v>0.00629</v>
      </c>
      <c r="BT336" s="6">
        <v>0.00427662</v>
      </c>
      <c r="BU336" s="6">
        <v>0.00711497</v>
      </c>
      <c r="BV336" s="6">
        <v>0.00649401</v>
      </c>
      <c r="BW336" s="6">
        <v>0.00527318</v>
      </c>
      <c r="BX336" s="12">
        <v>7526</v>
      </c>
      <c r="BY336" s="13">
        <v>2158.63</v>
      </c>
      <c r="BZ336" s="12">
        <v>4277.05</v>
      </c>
      <c r="CA336" s="6">
        <f t="shared" si="30"/>
        <v>3.48647058551025</v>
      </c>
      <c r="CB336" s="6">
        <f t="shared" si="31"/>
        <v>1.75962403993407</v>
      </c>
      <c r="CC336" s="7">
        <v>151435405.1</v>
      </c>
      <c r="CD336" s="7">
        <f t="shared" si="32"/>
        <v>3.5406508013701</v>
      </c>
      <c r="CE336" s="8">
        <v>418.4</v>
      </c>
      <c r="CF336" s="8">
        <v>1473.2</v>
      </c>
      <c r="CG336" s="8">
        <v>1376.6</v>
      </c>
      <c r="CH336" s="8">
        <v>12802</v>
      </c>
      <c r="CI336" s="14">
        <v>0</v>
      </c>
      <c r="CJ336" s="14">
        <v>1</v>
      </c>
      <c r="CK336" s="14">
        <f t="shared" si="33"/>
        <v>0</v>
      </c>
      <c r="CL336">
        <f t="shared" si="34"/>
        <v>2.66960201713366</v>
      </c>
      <c r="CM336">
        <f t="shared" si="35"/>
        <v>0</v>
      </c>
      <c r="CN336" s="15">
        <v>7526</v>
      </c>
      <c r="CO336" s="15">
        <v>7418</v>
      </c>
      <c r="CP336" s="15">
        <v>528.24</v>
      </c>
      <c r="CQ336" s="15">
        <v>1997.9</v>
      </c>
      <c r="CR336" s="15">
        <v>121.87</v>
      </c>
      <c r="CS336" s="15">
        <v>31.4</v>
      </c>
      <c r="CT336" s="15">
        <v>331.7</v>
      </c>
      <c r="CU336" s="15">
        <v>22.37</v>
      </c>
      <c r="CV336" s="15">
        <v>67.93</v>
      </c>
      <c r="CW336" s="15">
        <v>547.88</v>
      </c>
    </row>
    <row r="337" spans="1:101">
      <c r="A337" s="6">
        <v>2010</v>
      </c>
      <c r="B337" s="6" t="s">
        <v>113</v>
      </c>
      <c r="C337" s="6">
        <v>0.05117928</v>
      </c>
      <c r="D337" s="6">
        <v>0.014116</v>
      </c>
      <c r="E337" s="6">
        <v>0.003574</v>
      </c>
      <c r="F337" s="6">
        <v>0.006228</v>
      </c>
      <c r="G337" s="6">
        <v>0.001998</v>
      </c>
      <c r="H337" s="6">
        <v>0.002315</v>
      </c>
      <c r="I337" s="6">
        <v>0.014945</v>
      </c>
      <c r="J337" s="6">
        <v>0.007622</v>
      </c>
      <c r="K337" s="6">
        <v>0.05915976</v>
      </c>
      <c r="L337" s="6">
        <v>0.04400814</v>
      </c>
      <c r="M337" s="6">
        <v>0.052812</v>
      </c>
      <c r="N337" s="6">
        <v>0.03058303</v>
      </c>
      <c r="O337" s="6">
        <v>0.03666359</v>
      </c>
      <c r="P337" s="6">
        <v>0.07667282</v>
      </c>
      <c r="Q337" s="6">
        <v>0.06699848</v>
      </c>
      <c r="R337" s="6">
        <v>217.69486</v>
      </c>
      <c r="S337" s="6">
        <v>0.00027176</v>
      </c>
      <c r="T337" s="6">
        <v>169.97573</v>
      </c>
      <c r="U337" s="6">
        <v>0.00025891</v>
      </c>
      <c r="V337" s="6">
        <v>197.11803</v>
      </c>
      <c r="W337" s="6">
        <v>0.00026792</v>
      </c>
      <c r="X337" s="6">
        <v>134.47093</v>
      </c>
      <c r="Y337" s="6">
        <v>0.00022743</v>
      </c>
      <c r="Z337" s="6">
        <v>134.86767</v>
      </c>
      <c r="AA337" s="6">
        <v>0.00027185</v>
      </c>
      <c r="AB337" s="6">
        <v>294.9318</v>
      </c>
      <c r="AC337" s="6">
        <v>0.00025997</v>
      </c>
      <c r="AD337" s="6">
        <v>243.86163</v>
      </c>
      <c r="AE337" s="6">
        <v>0.00027474</v>
      </c>
      <c r="AF337" s="6">
        <v>775</v>
      </c>
      <c r="AG337" s="6">
        <v>-0.00223128</v>
      </c>
      <c r="AH337" s="6">
        <v>-0.00213833</v>
      </c>
      <c r="AI337" s="6">
        <v>-0.0022036</v>
      </c>
      <c r="AJ337" s="6">
        <v>-0.00190785</v>
      </c>
      <c r="AK337" s="6">
        <v>-0.00223195</v>
      </c>
      <c r="AL337" s="6">
        <v>-0.00214602</v>
      </c>
      <c r="AM337" s="6">
        <v>-0.00225278</v>
      </c>
      <c r="AN337" s="6">
        <v>-6.4762184</v>
      </c>
      <c r="AO337" s="6">
        <v>-6.4515561</v>
      </c>
      <c r="AP337" s="6">
        <v>-6.4739881</v>
      </c>
      <c r="AQ337" s="6">
        <v>-6.4253629</v>
      </c>
      <c r="AR337" s="6">
        <v>-6.4020076</v>
      </c>
      <c r="AS337" s="6">
        <v>-6.4618417</v>
      </c>
      <c r="AT337" s="6">
        <v>-6.4506396</v>
      </c>
      <c r="AU337" s="6">
        <v>0.97344833</v>
      </c>
      <c r="AV337" s="6">
        <v>0.96974131</v>
      </c>
      <c r="AW337" s="6">
        <v>0.97311308</v>
      </c>
      <c r="AX337" s="6">
        <v>0.96580418</v>
      </c>
      <c r="AY337" s="6">
        <v>0.96229362</v>
      </c>
      <c r="AZ337" s="6">
        <v>0.97128734</v>
      </c>
      <c r="BA337" s="6">
        <v>0.96960354</v>
      </c>
      <c r="BB337" s="6">
        <v>0.02655167</v>
      </c>
      <c r="BC337" s="6">
        <v>0.03025869</v>
      </c>
      <c r="BD337" s="6">
        <v>0.02688692</v>
      </c>
      <c r="BE337" s="6">
        <v>0.03419582</v>
      </c>
      <c r="BF337" s="6">
        <v>0.03770638</v>
      </c>
      <c r="BG337" s="6">
        <v>0.02871266</v>
      </c>
      <c r="BH337" s="6">
        <v>0.03039646</v>
      </c>
      <c r="BI337" s="6">
        <v>0.21470859</v>
      </c>
      <c r="BJ337" s="6">
        <v>0.12366373</v>
      </c>
      <c r="BK337" s="6">
        <v>0.1409291</v>
      </c>
      <c r="BL337" s="6">
        <v>0.12522516</v>
      </c>
      <c r="BM337" s="6">
        <v>0.1592662</v>
      </c>
      <c r="BN337" s="6">
        <v>0.17561655</v>
      </c>
      <c r="BO337" s="6">
        <v>0.1337285</v>
      </c>
      <c r="BP337" s="6">
        <v>0.14157076</v>
      </c>
      <c r="BQ337" s="6">
        <v>0.00731592</v>
      </c>
      <c r="BR337" s="6">
        <v>0.00620203</v>
      </c>
      <c r="BS337" s="6">
        <v>0.00661339</v>
      </c>
      <c r="BT337" s="6">
        <v>0.00487084</v>
      </c>
      <c r="BU337" s="6">
        <v>0.00643873</v>
      </c>
      <c r="BV337" s="6">
        <v>0.01025334</v>
      </c>
      <c r="BW337" s="6">
        <v>0.00948503</v>
      </c>
      <c r="BX337" s="12">
        <v>8290</v>
      </c>
      <c r="BY337" s="13">
        <v>2185</v>
      </c>
      <c r="BZ337" s="12">
        <v>5437.47</v>
      </c>
      <c r="CA337" s="6">
        <f t="shared" si="30"/>
        <v>3.79405034324943</v>
      </c>
      <c r="CB337" s="6">
        <f t="shared" si="31"/>
        <v>1.52460611276936</v>
      </c>
      <c r="CC337" s="7">
        <v>172639725.2</v>
      </c>
      <c r="CD337" s="7">
        <f t="shared" si="32"/>
        <v>3.17500096920075</v>
      </c>
      <c r="CE337" s="8">
        <v>472.6</v>
      </c>
      <c r="CF337" s="8">
        <v>1910.4</v>
      </c>
      <c r="CG337" s="8">
        <v>1560.8</v>
      </c>
      <c r="CH337" s="8">
        <v>15421</v>
      </c>
      <c r="CI337" s="14">
        <v>0</v>
      </c>
      <c r="CJ337" s="14">
        <v>1</v>
      </c>
      <c r="CK337" s="14">
        <f t="shared" si="33"/>
        <v>0</v>
      </c>
      <c r="CL337">
        <f t="shared" si="34"/>
        <v>2.40850270516871</v>
      </c>
      <c r="CM337">
        <f t="shared" si="35"/>
        <v>0</v>
      </c>
      <c r="CN337" s="15">
        <v>8290.2</v>
      </c>
      <c r="CO337" s="15">
        <v>8106.35</v>
      </c>
      <c r="CP337" s="15">
        <v>648.21</v>
      </c>
      <c r="CQ337" s="15">
        <v>2308.44</v>
      </c>
      <c r="CR337" s="15">
        <v>131.17</v>
      </c>
      <c r="CS337" s="15">
        <v>33.33</v>
      </c>
      <c r="CT337" s="15">
        <v>363.72</v>
      </c>
      <c r="CU337" s="15">
        <v>14.95</v>
      </c>
      <c r="CV337" s="15">
        <v>80.15</v>
      </c>
      <c r="CW337" s="15">
        <v>661.96</v>
      </c>
    </row>
    <row r="338" spans="1:101">
      <c r="A338" s="6">
        <v>2011</v>
      </c>
      <c r="B338" s="6" t="s">
        <v>113</v>
      </c>
      <c r="C338" s="6">
        <v>0.04698715</v>
      </c>
      <c r="D338" s="6">
        <v>0.013393</v>
      </c>
      <c r="E338" s="6">
        <v>0.003404</v>
      </c>
      <c r="F338" s="6">
        <v>0.005914</v>
      </c>
      <c r="G338" s="6">
        <v>0.002029</v>
      </c>
      <c r="H338" s="6">
        <v>0.002047</v>
      </c>
      <c r="I338" s="6">
        <v>0.014488</v>
      </c>
      <c r="J338" s="6">
        <v>0.007482</v>
      </c>
      <c r="K338" s="6">
        <v>0.05348787</v>
      </c>
      <c r="L338" s="6">
        <v>0.03997339</v>
      </c>
      <c r="M338" s="6">
        <v>0.0479732</v>
      </c>
      <c r="N338" s="6">
        <v>0.03149097</v>
      </c>
      <c r="O338" s="6">
        <v>0.02853248</v>
      </c>
      <c r="P338" s="6">
        <v>0.07158436</v>
      </c>
      <c r="Q338" s="6">
        <v>0.06450964</v>
      </c>
      <c r="R338" s="6">
        <v>217.69486</v>
      </c>
      <c r="S338" s="6">
        <v>0.0002457</v>
      </c>
      <c r="T338" s="6">
        <v>169.97573</v>
      </c>
      <c r="U338" s="6">
        <v>0.00023517</v>
      </c>
      <c r="V338" s="6">
        <v>197.11803</v>
      </c>
      <c r="W338" s="6">
        <v>0.00024337</v>
      </c>
      <c r="X338" s="6">
        <v>134.47093</v>
      </c>
      <c r="Y338" s="6">
        <v>0.00023418</v>
      </c>
      <c r="Z338" s="6">
        <v>134.86767</v>
      </c>
      <c r="AA338" s="6">
        <v>0.00021156</v>
      </c>
      <c r="AB338" s="6">
        <v>294.9318</v>
      </c>
      <c r="AC338" s="6">
        <v>0.00024271</v>
      </c>
      <c r="AD338" s="6">
        <v>243.86163</v>
      </c>
      <c r="AE338" s="6">
        <v>0.00026453</v>
      </c>
      <c r="AF338" s="6">
        <v>775</v>
      </c>
      <c r="AG338" s="6">
        <v>-0.00204212</v>
      </c>
      <c r="AH338" s="6">
        <v>-0.0019649</v>
      </c>
      <c r="AI338" s="6">
        <v>-0.00202509</v>
      </c>
      <c r="AJ338" s="6">
        <v>-0.00195764</v>
      </c>
      <c r="AK338" s="6">
        <v>-0.00179</v>
      </c>
      <c r="AL338" s="6">
        <v>-0.00202027</v>
      </c>
      <c r="AM338" s="6">
        <v>-0.00217911</v>
      </c>
      <c r="AN338" s="6">
        <v>-6.4762184</v>
      </c>
      <c r="AO338" s="6">
        <v>-6.4515561</v>
      </c>
      <c r="AP338" s="6">
        <v>-6.4739881</v>
      </c>
      <c r="AQ338" s="6">
        <v>-6.4253629</v>
      </c>
      <c r="AR338" s="6">
        <v>-6.4020076</v>
      </c>
      <c r="AS338" s="6">
        <v>-6.4618417</v>
      </c>
      <c r="AT338" s="6">
        <v>-6.4506396</v>
      </c>
      <c r="AU338" s="6">
        <v>0.97344833</v>
      </c>
      <c r="AV338" s="6">
        <v>0.96974131</v>
      </c>
      <c r="AW338" s="6">
        <v>0.97311308</v>
      </c>
      <c r="AX338" s="6">
        <v>0.96580418</v>
      </c>
      <c r="AY338" s="6">
        <v>0.96229362</v>
      </c>
      <c r="AZ338" s="6">
        <v>0.97128734</v>
      </c>
      <c r="BA338" s="6">
        <v>0.96960354</v>
      </c>
      <c r="BB338" s="6">
        <v>0.02655167</v>
      </c>
      <c r="BC338" s="6">
        <v>0.03025869</v>
      </c>
      <c r="BD338" s="6">
        <v>0.02688692</v>
      </c>
      <c r="BE338" s="6">
        <v>0.03419582</v>
      </c>
      <c r="BF338" s="6">
        <v>0.03770638</v>
      </c>
      <c r="BG338" s="6">
        <v>0.02871266</v>
      </c>
      <c r="BH338" s="6">
        <v>0.03039646</v>
      </c>
      <c r="BI338" s="6">
        <v>0.21470859</v>
      </c>
      <c r="BJ338" s="6">
        <v>0.12366373</v>
      </c>
      <c r="BK338" s="6">
        <v>0.1409291</v>
      </c>
      <c r="BL338" s="6">
        <v>0.12522516</v>
      </c>
      <c r="BM338" s="6">
        <v>0.1592662</v>
      </c>
      <c r="BN338" s="6">
        <v>0.17561655</v>
      </c>
      <c r="BO338" s="6">
        <v>0.1337285</v>
      </c>
      <c r="BP338" s="6">
        <v>0.14157076</v>
      </c>
      <c r="BQ338" s="6">
        <v>0.00661451</v>
      </c>
      <c r="BR338" s="6">
        <v>0.00563341</v>
      </c>
      <c r="BS338" s="6">
        <v>0.00600745</v>
      </c>
      <c r="BT338" s="6">
        <v>0.00501545</v>
      </c>
      <c r="BU338" s="6">
        <v>0.00501078</v>
      </c>
      <c r="BV338" s="6">
        <v>0.00957287</v>
      </c>
      <c r="BW338" s="6">
        <v>0.00913268</v>
      </c>
      <c r="BX338" s="12">
        <v>9927</v>
      </c>
      <c r="BY338" s="13">
        <v>2225</v>
      </c>
      <c r="BZ338" s="12">
        <v>6610.05</v>
      </c>
      <c r="CA338" s="6">
        <f t="shared" si="30"/>
        <v>4.46157303370787</v>
      </c>
      <c r="CB338" s="6">
        <f t="shared" si="31"/>
        <v>1.50180407107359</v>
      </c>
      <c r="CC338" s="7">
        <v>211855856.7</v>
      </c>
      <c r="CD338" s="7">
        <f t="shared" si="32"/>
        <v>3.20505679533438</v>
      </c>
      <c r="CE338" s="8">
        <v>525.6</v>
      </c>
      <c r="CF338" s="8">
        <v>2288.6</v>
      </c>
      <c r="CG338" s="8">
        <v>2002.7</v>
      </c>
      <c r="CH338" s="8">
        <v>18846</v>
      </c>
      <c r="CI338" s="14">
        <v>0</v>
      </c>
      <c r="CJ338" s="14">
        <v>1</v>
      </c>
      <c r="CK338" s="14">
        <f t="shared" si="33"/>
        <v>0</v>
      </c>
      <c r="CL338">
        <f t="shared" si="34"/>
        <v>2.18035126729488</v>
      </c>
      <c r="CM338">
        <f t="shared" si="35"/>
        <v>0</v>
      </c>
      <c r="CN338" s="15">
        <v>9927</v>
      </c>
      <c r="CO338" s="15">
        <v>9745</v>
      </c>
      <c r="CP338" s="15">
        <v>880.23</v>
      </c>
      <c r="CQ338" s="15">
        <v>2598.46</v>
      </c>
      <c r="CR338" s="15">
        <v>138.84</v>
      </c>
      <c r="CS338" s="15">
        <v>37.32</v>
      </c>
      <c r="CT338" s="15">
        <v>390.52</v>
      </c>
      <c r="CU338" s="15">
        <v>2.4</v>
      </c>
      <c r="CV338" s="15">
        <v>95.02</v>
      </c>
      <c r="CW338" s="15">
        <v>839</v>
      </c>
    </row>
    <row r="339" spans="1:101">
      <c r="A339" s="6">
        <v>2012</v>
      </c>
      <c r="B339" s="6" t="s">
        <v>113</v>
      </c>
      <c r="C339" s="6">
        <v>0.0566643</v>
      </c>
      <c r="D339" s="6">
        <v>0.015498</v>
      </c>
      <c r="E339" s="6">
        <v>0.003894</v>
      </c>
      <c r="F339" s="6">
        <v>0.007143</v>
      </c>
      <c r="G339" s="6">
        <v>0.002482</v>
      </c>
      <c r="H339" s="6">
        <v>0.001979</v>
      </c>
      <c r="I339" s="6">
        <v>0.015504</v>
      </c>
      <c r="J339" s="6">
        <v>0.007621</v>
      </c>
      <c r="K339" s="6">
        <v>0.07000133</v>
      </c>
      <c r="L339" s="6">
        <v>0.05156121</v>
      </c>
      <c r="M339" s="6">
        <v>0.06687526</v>
      </c>
      <c r="N339" s="6">
        <v>0.04487953</v>
      </c>
      <c r="O339" s="6">
        <v>0.02648159</v>
      </c>
      <c r="P339" s="6">
        <v>0.08289925</v>
      </c>
      <c r="Q339" s="6">
        <v>0.06697955</v>
      </c>
      <c r="R339" s="6">
        <v>217.69486</v>
      </c>
      <c r="S339" s="6">
        <v>0.00032156</v>
      </c>
      <c r="T339" s="6">
        <v>169.97573</v>
      </c>
      <c r="U339" s="6">
        <v>0.00030334</v>
      </c>
      <c r="V339" s="6">
        <v>197.11803</v>
      </c>
      <c r="W339" s="6">
        <v>0.00033927</v>
      </c>
      <c r="X339" s="6">
        <v>134.47093</v>
      </c>
      <c r="Y339" s="6">
        <v>0.00033375</v>
      </c>
      <c r="Z339" s="6">
        <v>134.86767</v>
      </c>
      <c r="AA339" s="6">
        <v>0.00019635</v>
      </c>
      <c r="AB339" s="6">
        <v>294.9318</v>
      </c>
      <c r="AC339" s="6">
        <v>0.00028108</v>
      </c>
      <c r="AD339" s="6">
        <v>243.86163</v>
      </c>
      <c r="AE339" s="6">
        <v>0.00027466</v>
      </c>
      <c r="AF339" s="6">
        <v>775</v>
      </c>
      <c r="AG339" s="6">
        <v>-0.00258607</v>
      </c>
      <c r="AH339" s="6">
        <v>-0.00245729</v>
      </c>
      <c r="AI339" s="6">
        <v>-0.0027103</v>
      </c>
      <c r="AJ339" s="6">
        <v>-0.0026717</v>
      </c>
      <c r="AK339" s="6">
        <v>-0.00167599</v>
      </c>
      <c r="AL339" s="6">
        <v>-0.00229835</v>
      </c>
      <c r="AM339" s="6">
        <v>-0.00225222</v>
      </c>
      <c r="AN339" s="6">
        <v>-6.4762184</v>
      </c>
      <c r="AO339" s="6">
        <v>-6.4515561</v>
      </c>
      <c r="AP339" s="6">
        <v>-6.4739881</v>
      </c>
      <c r="AQ339" s="6">
        <v>-6.4253629</v>
      </c>
      <c r="AR339" s="6">
        <v>-6.4020076</v>
      </c>
      <c r="AS339" s="6">
        <v>-6.4618417</v>
      </c>
      <c r="AT339" s="6">
        <v>-6.4506396</v>
      </c>
      <c r="AU339" s="6">
        <v>0.97344833</v>
      </c>
      <c r="AV339" s="6">
        <v>0.96974131</v>
      </c>
      <c r="AW339" s="6">
        <v>0.97311308</v>
      </c>
      <c r="AX339" s="6">
        <v>0.96580418</v>
      </c>
      <c r="AY339" s="6">
        <v>0.96229362</v>
      </c>
      <c r="AZ339" s="6">
        <v>0.97128734</v>
      </c>
      <c r="BA339" s="6">
        <v>0.96960354</v>
      </c>
      <c r="BB339" s="6">
        <v>0.02655167</v>
      </c>
      <c r="BC339" s="6">
        <v>0.03025869</v>
      </c>
      <c r="BD339" s="6">
        <v>0.02688692</v>
      </c>
      <c r="BE339" s="6">
        <v>0.03419582</v>
      </c>
      <c r="BF339" s="6">
        <v>0.03770638</v>
      </c>
      <c r="BG339" s="6">
        <v>0.02871266</v>
      </c>
      <c r="BH339" s="6">
        <v>0.03039646</v>
      </c>
      <c r="BI339" s="6">
        <v>0.21470859</v>
      </c>
      <c r="BJ339" s="6">
        <v>0.12366373</v>
      </c>
      <c r="BK339" s="6">
        <v>0.1409291</v>
      </c>
      <c r="BL339" s="6">
        <v>0.12522516</v>
      </c>
      <c r="BM339" s="6">
        <v>0.1592662</v>
      </c>
      <c r="BN339" s="6">
        <v>0.17561655</v>
      </c>
      <c r="BO339" s="6">
        <v>0.1337285</v>
      </c>
      <c r="BP339" s="6">
        <v>0.14157076</v>
      </c>
      <c r="BQ339" s="6">
        <v>0.00865663</v>
      </c>
      <c r="BR339" s="6">
        <v>0.00726648</v>
      </c>
      <c r="BS339" s="6">
        <v>0.00837447</v>
      </c>
      <c r="BT339" s="6">
        <v>0.00714779</v>
      </c>
      <c r="BU339" s="6">
        <v>0.00465061</v>
      </c>
      <c r="BV339" s="6">
        <v>0.01108599</v>
      </c>
      <c r="BW339" s="6">
        <v>0.00948235</v>
      </c>
      <c r="BX339" s="12">
        <v>11831</v>
      </c>
      <c r="BY339" s="13">
        <v>2253</v>
      </c>
      <c r="BZ339" s="12">
        <v>7505.31</v>
      </c>
      <c r="CA339" s="6">
        <f t="shared" si="30"/>
        <v>5.25122059476254</v>
      </c>
      <c r="CB339" s="6">
        <f t="shared" si="31"/>
        <v>1.57635061043448</v>
      </c>
      <c r="CC339" s="7">
        <v>240269795.8</v>
      </c>
      <c r="CD339" s="7">
        <f t="shared" si="32"/>
        <v>3.20133073517283</v>
      </c>
      <c r="CE339" s="8">
        <v>590.9</v>
      </c>
      <c r="CF339" s="8">
        <v>2493.3</v>
      </c>
      <c r="CG339" s="8">
        <v>2308.9</v>
      </c>
      <c r="CH339" s="8">
        <v>21141</v>
      </c>
      <c r="CI339" s="14">
        <v>0</v>
      </c>
      <c r="CJ339" s="14">
        <v>1</v>
      </c>
      <c r="CK339" s="14">
        <f t="shared" si="33"/>
        <v>0</v>
      </c>
      <c r="CL339">
        <f t="shared" si="34"/>
        <v>2.01609935715007</v>
      </c>
      <c r="CM339">
        <f t="shared" si="35"/>
        <v>0</v>
      </c>
      <c r="CN339" s="15">
        <v>11831.39</v>
      </c>
      <c r="CO339" s="15">
        <v>12028</v>
      </c>
      <c r="CP339" s="15">
        <v>1011.07</v>
      </c>
      <c r="CQ339" s="15">
        <v>2594.85</v>
      </c>
      <c r="CR339" s="15">
        <v>154.63</v>
      </c>
      <c r="CS339" s="15">
        <v>45.34</v>
      </c>
      <c r="CT339" s="15">
        <v>433.35</v>
      </c>
      <c r="CU339" s="15">
        <v>8.06</v>
      </c>
      <c r="CV339" s="15">
        <v>101.95</v>
      </c>
      <c r="CW339" s="15">
        <v>1151.5</v>
      </c>
    </row>
    <row r="340" spans="1:101">
      <c r="A340" s="6">
        <v>2013</v>
      </c>
      <c r="B340" s="6" t="s">
        <v>113</v>
      </c>
      <c r="C340" s="6">
        <v>0.04786279</v>
      </c>
      <c r="D340" s="6">
        <v>0.014105</v>
      </c>
      <c r="E340" s="6">
        <v>0.003432</v>
      </c>
      <c r="F340" s="6">
        <v>0.006417</v>
      </c>
      <c r="G340" s="6">
        <v>0.002126</v>
      </c>
      <c r="H340" s="6">
        <v>0.00213</v>
      </c>
      <c r="I340" s="6">
        <v>0.013713</v>
      </c>
      <c r="J340" s="6">
        <v>0.007236</v>
      </c>
      <c r="K340" s="6">
        <v>0.05906991</v>
      </c>
      <c r="L340" s="6">
        <v>0.04064354</v>
      </c>
      <c r="M340" s="6">
        <v>0.0557129</v>
      </c>
      <c r="N340" s="6">
        <v>0.03435346</v>
      </c>
      <c r="O340" s="6">
        <v>0.03104388</v>
      </c>
      <c r="P340" s="6">
        <v>0.06295202</v>
      </c>
      <c r="Q340" s="6">
        <v>0.06012416</v>
      </c>
      <c r="R340" s="6">
        <v>217.69486</v>
      </c>
      <c r="S340" s="6">
        <v>0.00027134</v>
      </c>
      <c r="T340" s="6">
        <v>169.97573</v>
      </c>
      <c r="U340" s="6">
        <v>0.00023911</v>
      </c>
      <c r="V340" s="6">
        <v>197.11803</v>
      </c>
      <c r="W340" s="6">
        <v>0.00028264</v>
      </c>
      <c r="X340" s="6">
        <v>134.47093</v>
      </c>
      <c r="Y340" s="6">
        <v>0.00025547</v>
      </c>
      <c r="Z340" s="6">
        <v>134.86767</v>
      </c>
      <c r="AA340" s="6">
        <v>0.00023018</v>
      </c>
      <c r="AB340" s="6">
        <v>294.9318</v>
      </c>
      <c r="AC340" s="6">
        <v>0.00021345</v>
      </c>
      <c r="AD340" s="6">
        <v>243.86163</v>
      </c>
      <c r="AE340" s="6">
        <v>0.00024655</v>
      </c>
      <c r="AF340" s="6">
        <v>775</v>
      </c>
      <c r="AG340" s="6">
        <v>-0.0022283</v>
      </c>
      <c r="AH340" s="6">
        <v>-0.00199387</v>
      </c>
      <c r="AI340" s="6">
        <v>-0.00230953</v>
      </c>
      <c r="AJ340" s="6">
        <v>-0.00211336</v>
      </c>
      <c r="AK340" s="6">
        <v>-0.00192814</v>
      </c>
      <c r="AL340" s="6">
        <v>-0.00180407</v>
      </c>
      <c r="AM340" s="6">
        <v>-0.00204833</v>
      </c>
      <c r="AN340" s="6">
        <v>-6.4762184</v>
      </c>
      <c r="AO340" s="6">
        <v>-6.4515561</v>
      </c>
      <c r="AP340" s="6">
        <v>-6.4739881</v>
      </c>
      <c r="AQ340" s="6">
        <v>-6.4253629</v>
      </c>
      <c r="AR340" s="6">
        <v>-6.4020076</v>
      </c>
      <c r="AS340" s="6">
        <v>-6.4618417</v>
      </c>
      <c r="AT340" s="6">
        <v>-6.4506396</v>
      </c>
      <c r="AU340" s="6">
        <v>0.97344833</v>
      </c>
      <c r="AV340" s="6">
        <v>0.96974131</v>
      </c>
      <c r="AW340" s="6">
        <v>0.97311308</v>
      </c>
      <c r="AX340" s="6">
        <v>0.96580418</v>
      </c>
      <c r="AY340" s="6">
        <v>0.96229362</v>
      </c>
      <c r="AZ340" s="6">
        <v>0.97128734</v>
      </c>
      <c r="BA340" s="6">
        <v>0.96960354</v>
      </c>
      <c r="BB340" s="6">
        <v>0.02655167</v>
      </c>
      <c r="BC340" s="6">
        <v>0.03025869</v>
      </c>
      <c r="BD340" s="6">
        <v>0.02688692</v>
      </c>
      <c r="BE340" s="6">
        <v>0.03419582</v>
      </c>
      <c r="BF340" s="6">
        <v>0.03770638</v>
      </c>
      <c r="BG340" s="6">
        <v>0.02871266</v>
      </c>
      <c r="BH340" s="6">
        <v>0.03039646</v>
      </c>
      <c r="BI340" s="6">
        <v>0.21470859</v>
      </c>
      <c r="BJ340" s="6">
        <v>0.12366373</v>
      </c>
      <c r="BK340" s="6">
        <v>0.1409291</v>
      </c>
      <c r="BL340" s="6">
        <v>0.12522516</v>
      </c>
      <c r="BM340" s="6">
        <v>0.1592662</v>
      </c>
      <c r="BN340" s="6">
        <v>0.17561655</v>
      </c>
      <c r="BO340" s="6">
        <v>0.1337285</v>
      </c>
      <c r="BP340" s="6">
        <v>0.14157076</v>
      </c>
      <c r="BQ340" s="6">
        <v>0.00730481</v>
      </c>
      <c r="BR340" s="6">
        <v>0.00572786</v>
      </c>
      <c r="BS340" s="6">
        <v>0.00697666</v>
      </c>
      <c r="BT340" s="6">
        <v>0.00547135</v>
      </c>
      <c r="BU340" s="6">
        <v>0.00545182</v>
      </c>
      <c r="BV340" s="6">
        <v>0.00841848</v>
      </c>
      <c r="BW340" s="6">
        <v>0.00851182</v>
      </c>
      <c r="BX340" s="12">
        <v>13632</v>
      </c>
      <c r="BY340" s="13">
        <v>2285</v>
      </c>
      <c r="BZ340" s="12">
        <v>8443.84</v>
      </c>
      <c r="CA340" s="6">
        <f t="shared" si="30"/>
        <v>5.96586433260394</v>
      </c>
      <c r="CB340" s="6">
        <f t="shared" si="31"/>
        <v>1.61443134877023</v>
      </c>
      <c r="CC340" s="7">
        <v>273563753.9</v>
      </c>
      <c r="CD340" s="7">
        <f t="shared" si="32"/>
        <v>3.23980267153333</v>
      </c>
      <c r="CE340" s="8">
        <v>658.1</v>
      </c>
      <c r="CF340" s="8">
        <v>2674</v>
      </c>
      <c r="CG340" s="8">
        <v>2682.4</v>
      </c>
      <c r="CH340" s="8">
        <v>23647</v>
      </c>
      <c r="CI340" s="14">
        <v>0</v>
      </c>
      <c r="CJ340" s="14">
        <v>1</v>
      </c>
      <c r="CK340" s="14">
        <f t="shared" si="33"/>
        <v>0</v>
      </c>
      <c r="CL340">
        <f t="shared" si="34"/>
        <v>1.91398219724656</v>
      </c>
      <c r="CM340">
        <f t="shared" si="35"/>
        <v>0</v>
      </c>
      <c r="CN340" s="15">
        <v>13632</v>
      </c>
      <c r="CO340" s="15">
        <v>14205.5</v>
      </c>
      <c r="CP340" s="15">
        <v>1110.05</v>
      </c>
      <c r="CQ340" s="15">
        <v>2560.76</v>
      </c>
      <c r="CR340" s="15">
        <v>209.36</v>
      </c>
      <c r="CS340" s="15">
        <v>22.93</v>
      </c>
      <c r="CT340" s="15">
        <v>545.89</v>
      </c>
      <c r="CU340" s="15">
        <v>13.19</v>
      </c>
      <c r="CV340" s="15">
        <v>127.41</v>
      </c>
      <c r="CW340" s="15">
        <v>1539.75</v>
      </c>
    </row>
    <row r="341" spans="1:101">
      <c r="A341" s="6">
        <v>2014</v>
      </c>
      <c r="B341" s="6" t="s">
        <v>113</v>
      </c>
      <c r="C341" s="6">
        <v>0.05846509</v>
      </c>
      <c r="D341" s="6">
        <v>0.01621</v>
      </c>
      <c r="E341" s="6">
        <v>0.004129</v>
      </c>
      <c r="F341" s="6">
        <v>0.007371</v>
      </c>
      <c r="G341" s="6">
        <v>0.002338</v>
      </c>
      <c r="H341" s="6">
        <v>0.002373</v>
      </c>
      <c r="I341" s="6">
        <v>0.015316</v>
      </c>
      <c r="J341" s="6">
        <v>0.007127</v>
      </c>
      <c r="K341" s="6">
        <v>0.07558425</v>
      </c>
      <c r="L341" s="6">
        <v>0.05712087</v>
      </c>
      <c r="M341" s="6">
        <v>0.07036722</v>
      </c>
      <c r="N341" s="6">
        <v>0.04062352</v>
      </c>
      <c r="O341" s="6">
        <v>0.03840247</v>
      </c>
      <c r="P341" s="6">
        <v>0.08081155</v>
      </c>
      <c r="Q341" s="6">
        <v>0.05817195</v>
      </c>
      <c r="R341" s="6">
        <v>217.69486</v>
      </c>
      <c r="S341" s="6">
        <v>0.0003472</v>
      </c>
      <c r="T341" s="6">
        <v>169.97573</v>
      </c>
      <c r="U341" s="6">
        <v>0.00033605</v>
      </c>
      <c r="V341" s="6">
        <v>197.11803</v>
      </c>
      <c r="W341" s="6">
        <v>0.00035698</v>
      </c>
      <c r="X341" s="6">
        <v>134.47093</v>
      </c>
      <c r="Y341" s="6">
        <v>0.0003021</v>
      </c>
      <c r="Z341" s="6">
        <v>134.86767</v>
      </c>
      <c r="AA341" s="6">
        <v>0.00028474</v>
      </c>
      <c r="AB341" s="6">
        <v>294.9318</v>
      </c>
      <c r="AC341" s="6">
        <v>0.000274</v>
      </c>
      <c r="AD341" s="6">
        <v>243.86163</v>
      </c>
      <c r="AE341" s="6">
        <v>0.00023854</v>
      </c>
      <c r="AF341" s="6">
        <v>775</v>
      </c>
      <c r="AG341" s="6">
        <v>-0.00276568</v>
      </c>
      <c r="AH341" s="6">
        <v>-0.00268783</v>
      </c>
      <c r="AI341" s="6">
        <v>-0.00283365</v>
      </c>
      <c r="AJ341" s="6">
        <v>-0.00244844</v>
      </c>
      <c r="AK341" s="6">
        <v>-0.00232461</v>
      </c>
      <c r="AL341" s="6">
        <v>-0.00224746</v>
      </c>
      <c r="AM341" s="6">
        <v>-0.00198969</v>
      </c>
      <c r="AN341" s="6">
        <v>-6.4762184</v>
      </c>
      <c r="AO341" s="6">
        <v>-6.4515561</v>
      </c>
      <c r="AP341" s="6">
        <v>-6.4739881</v>
      </c>
      <c r="AQ341" s="6">
        <v>-6.4253629</v>
      </c>
      <c r="AR341" s="6">
        <v>-6.4020076</v>
      </c>
      <c r="AS341" s="6">
        <v>-6.4618417</v>
      </c>
      <c r="AT341" s="6">
        <v>-6.4506396</v>
      </c>
      <c r="AU341" s="6">
        <v>0.97344833</v>
      </c>
      <c r="AV341" s="6">
        <v>0.96974131</v>
      </c>
      <c r="AW341" s="6">
        <v>0.97311308</v>
      </c>
      <c r="AX341" s="6">
        <v>0.96580418</v>
      </c>
      <c r="AY341" s="6">
        <v>0.96229362</v>
      </c>
      <c r="AZ341" s="6">
        <v>0.97128734</v>
      </c>
      <c r="BA341" s="6">
        <v>0.96960354</v>
      </c>
      <c r="BB341" s="6">
        <v>0.02655167</v>
      </c>
      <c r="BC341" s="6">
        <v>0.03025869</v>
      </c>
      <c r="BD341" s="6">
        <v>0.02688692</v>
      </c>
      <c r="BE341" s="6">
        <v>0.03419582</v>
      </c>
      <c r="BF341" s="6">
        <v>0.03770638</v>
      </c>
      <c r="BG341" s="6">
        <v>0.02871266</v>
      </c>
      <c r="BH341" s="6">
        <v>0.03039646</v>
      </c>
      <c r="BI341" s="6">
        <v>0.21470859</v>
      </c>
      <c r="BJ341" s="6">
        <v>0.12366373</v>
      </c>
      <c r="BK341" s="6">
        <v>0.1409291</v>
      </c>
      <c r="BL341" s="6">
        <v>0.12522516</v>
      </c>
      <c r="BM341" s="6">
        <v>0.1592662</v>
      </c>
      <c r="BN341" s="6">
        <v>0.17561655</v>
      </c>
      <c r="BO341" s="6">
        <v>0.1337285</v>
      </c>
      <c r="BP341" s="6">
        <v>0.14157076</v>
      </c>
      <c r="BQ341" s="6">
        <v>0.00934703</v>
      </c>
      <c r="BR341" s="6">
        <v>0.00804999</v>
      </c>
      <c r="BS341" s="6">
        <v>0.00881175</v>
      </c>
      <c r="BT341" s="6">
        <v>0.00646995</v>
      </c>
      <c r="BU341" s="6">
        <v>0.00674411</v>
      </c>
      <c r="BV341" s="6">
        <v>0.01080681</v>
      </c>
      <c r="BW341" s="6">
        <v>0.00823545</v>
      </c>
      <c r="BX341" s="12">
        <v>14926</v>
      </c>
      <c r="BY341" s="13">
        <v>2325</v>
      </c>
      <c r="BZ341" s="12">
        <v>9273.46</v>
      </c>
      <c r="CA341" s="6">
        <f t="shared" si="30"/>
        <v>6.41978494623656</v>
      </c>
      <c r="CB341" s="6">
        <f t="shared" si="31"/>
        <v>1.60953948148803</v>
      </c>
      <c r="CC341" s="7">
        <v>321638839.7</v>
      </c>
      <c r="CD341" s="7">
        <f t="shared" si="32"/>
        <v>3.46838008359339</v>
      </c>
      <c r="CE341" s="8">
        <v>695.8</v>
      </c>
      <c r="CF341" s="8">
        <v>2823.3</v>
      </c>
      <c r="CG341" s="8">
        <v>2999.4</v>
      </c>
      <c r="CH341" s="8">
        <v>25724</v>
      </c>
      <c r="CI341" s="14">
        <v>0</v>
      </c>
      <c r="CJ341" s="14">
        <v>1</v>
      </c>
      <c r="CK341" s="14">
        <f t="shared" si="33"/>
        <v>0</v>
      </c>
      <c r="CL341">
        <f t="shared" si="34"/>
        <v>1.79640226266579</v>
      </c>
      <c r="CM341">
        <f t="shared" si="35"/>
        <v>0</v>
      </c>
      <c r="CN341" s="15">
        <v>14926.08</v>
      </c>
      <c r="CO341" s="15">
        <v>16088.03</v>
      </c>
      <c r="CP341" s="15">
        <v>1073.73</v>
      </c>
      <c r="CQ341" s="15">
        <v>2693.05</v>
      </c>
      <c r="CR341" s="15">
        <v>215.84</v>
      </c>
      <c r="CS341" s="15">
        <v>22.57</v>
      </c>
      <c r="CT341" s="15">
        <v>561.52</v>
      </c>
      <c r="CU341" s="15">
        <v>6.22</v>
      </c>
      <c r="CV341" s="15">
        <v>169.87</v>
      </c>
      <c r="CW341" s="15">
        <v>1900.24</v>
      </c>
    </row>
    <row r="342" spans="1:101">
      <c r="A342" s="6">
        <v>2015</v>
      </c>
      <c r="B342" s="6" t="s">
        <v>113</v>
      </c>
      <c r="C342" s="6">
        <v>0.05347495</v>
      </c>
      <c r="D342" s="6">
        <v>0.014389</v>
      </c>
      <c r="E342" s="6">
        <v>0.00354</v>
      </c>
      <c r="F342" s="6">
        <v>0.006433</v>
      </c>
      <c r="G342" s="6">
        <v>0.002153</v>
      </c>
      <c r="H342" s="6">
        <v>0.002263</v>
      </c>
      <c r="I342" s="6">
        <v>0.015926</v>
      </c>
      <c r="J342" s="6">
        <v>0.007559</v>
      </c>
      <c r="K342" s="6">
        <v>0.06129729</v>
      </c>
      <c r="L342" s="6">
        <v>0.04318866</v>
      </c>
      <c r="M342" s="6">
        <v>0.05596299</v>
      </c>
      <c r="N342" s="6">
        <v>0.03514252</v>
      </c>
      <c r="O342" s="6">
        <v>0.03508475</v>
      </c>
      <c r="P342" s="6">
        <v>0.08759691</v>
      </c>
      <c r="Q342" s="6">
        <v>0.06588582</v>
      </c>
      <c r="R342" s="6">
        <v>217.69486</v>
      </c>
      <c r="S342" s="6">
        <v>0.00028157</v>
      </c>
      <c r="T342" s="6">
        <v>169.97573</v>
      </c>
      <c r="U342" s="6">
        <v>0.00025409</v>
      </c>
      <c r="V342" s="6">
        <v>197.11803</v>
      </c>
      <c r="W342" s="6">
        <v>0.00028391</v>
      </c>
      <c r="X342" s="6">
        <v>134.47093</v>
      </c>
      <c r="Y342" s="6">
        <v>0.00026134</v>
      </c>
      <c r="Z342" s="6">
        <v>134.86767</v>
      </c>
      <c r="AA342" s="6">
        <v>0.00026014</v>
      </c>
      <c r="AB342" s="6">
        <v>294.9318</v>
      </c>
      <c r="AC342" s="6">
        <v>0.00029701</v>
      </c>
      <c r="AD342" s="6">
        <v>243.86163</v>
      </c>
      <c r="AE342" s="6">
        <v>0.00027018</v>
      </c>
      <c r="AF342" s="6">
        <v>775</v>
      </c>
      <c r="AG342" s="6">
        <v>-0.0023019</v>
      </c>
      <c r="AH342" s="6">
        <v>-0.00210329</v>
      </c>
      <c r="AI342" s="6">
        <v>-0.00231862</v>
      </c>
      <c r="AJ342" s="6">
        <v>-0.00215597</v>
      </c>
      <c r="AK342" s="6">
        <v>-0.00214729</v>
      </c>
      <c r="AL342" s="6">
        <v>-0.00241222</v>
      </c>
      <c r="AM342" s="6">
        <v>-0.00221989</v>
      </c>
      <c r="AN342" s="6">
        <v>-6.4762184</v>
      </c>
      <c r="AO342" s="6">
        <v>-6.4515561</v>
      </c>
      <c r="AP342" s="6">
        <v>-6.4739881</v>
      </c>
      <c r="AQ342" s="6">
        <v>-6.4253629</v>
      </c>
      <c r="AR342" s="6">
        <v>-6.4020076</v>
      </c>
      <c r="AS342" s="6">
        <v>-6.4618417</v>
      </c>
      <c r="AT342" s="6">
        <v>-6.4506396</v>
      </c>
      <c r="AU342" s="6">
        <v>0.97344833</v>
      </c>
      <c r="AV342" s="6">
        <v>0.96974131</v>
      </c>
      <c r="AW342" s="6">
        <v>0.97311308</v>
      </c>
      <c r="AX342" s="6">
        <v>0.96580418</v>
      </c>
      <c r="AY342" s="6">
        <v>0.96229362</v>
      </c>
      <c r="AZ342" s="6">
        <v>0.97128734</v>
      </c>
      <c r="BA342" s="6">
        <v>0.96960354</v>
      </c>
      <c r="BB342" s="6">
        <v>0.02655167</v>
      </c>
      <c r="BC342" s="6">
        <v>0.03025869</v>
      </c>
      <c r="BD342" s="6">
        <v>0.02688692</v>
      </c>
      <c r="BE342" s="6">
        <v>0.03419582</v>
      </c>
      <c r="BF342" s="6">
        <v>0.03770638</v>
      </c>
      <c r="BG342" s="6">
        <v>0.02871266</v>
      </c>
      <c r="BH342" s="6">
        <v>0.03039646</v>
      </c>
      <c r="BI342" s="6">
        <v>0.21470859</v>
      </c>
      <c r="BJ342" s="6">
        <v>0.12366373</v>
      </c>
      <c r="BK342" s="6">
        <v>0.1409291</v>
      </c>
      <c r="BL342" s="6">
        <v>0.12522516</v>
      </c>
      <c r="BM342" s="6">
        <v>0.1592662</v>
      </c>
      <c r="BN342" s="6">
        <v>0.17561655</v>
      </c>
      <c r="BO342" s="6">
        <v>0.1337285</v>
      </c>
      <c r="BP342" s="6">
        <v>0.14157076</v>
      </c>
      <c r="BQ342" s="6">
        <v>0.00758025</v>
      </c>
      <c r="BR342" s="6">
        <v>0.00608654</v>
      </c>
      <c r="BS342" s="6">
        <v>0.00700797</v>
      </c>
      <c r="BT342" s="6">
        <v>0.00559702</v>
      </c>
      <c r="BU342" s="6">
        <v>0.00616146</v>
      </c>
      <c r="BV342" s="6">
        <v>0.0117142</v>
      </c>
      <c r="BW342" s="6">
        <v>0.00932751</v>
      </c>
      <c r="BX342" s="12">
        <v>15666</v>
      </c>
      <c r="BY342" s="13">
        <v>2385</v>
      </c>
      <c r="BZ342" s="12">
        <v>9324.8</v>
      </c>
      <c r="CA342" s="6">
        <f t="shared" si="30"/>
        <v>6.5685534591195</v>
      </c>
      <c r="CB342" s="6">
        <f t="shared" si="31"/>
        <v>1.68003603294441</v>
      </c>
      <c r="CC342" s="7">
        <v>342200268.2</v>
      </c>
      <c r="CD342" s="7">
        <f t="shared" si="32"/>
        <v>3.66978667853466</v>
      </c>
      <c r="CE342" s="8">
        <v>733.4</v>
      </c>
      <c r="CF342" s="8">
        <v>2505.4</v>
      </c>
      <c r="CG342" s="8">
        <v>3317.8</v>
      </c>
      <c r="CH342" s="8">
        <v>25946</v>
      </c>
      <c r="CI342" s="14">
        <v>0</v>
      </c>
      <c r="CJ342" s="14">
        <v>1</v>
      </c>
      <c r="CK342" s="14">
        <f t="shared" si="33"/>
        <v>0</v>
      </c>
      <c r="CL342">
        <f t="shared" si="34"/>
        <v>1.71577514742415</v>
      </c>
      <c r="CM342">
        <f t="shared" si="35"/>
        <v>0</v>
      </c>
      <c r="CN342" s="15">
        <v>15666</v>
      </c>
      <c r="CO342" s="15">
        <v>18119.78</v>
      </c>
      <c r="CP342" s="15">
        <v>748.59</v>
      </c>
      <c r="CQ342" s="15">
        <v>2489.49</v>
      </c>
      <c r="CR342" s="15">
        <v>234.82</v>
      </c>
      <c r="CS342" s="15">
        <v>46.93</v>
      </c>
      <c r="CT342" s="15">
        <v>537.18</v>
      </c>
      <c r="CU342" s="15">
        <v>1.76</v>
      </c>
      <c r="CV342" s="15">
        <v>136.82</v>
      </c>
      <c r="CW342" s="15">
        <v>2160</v>
      </c>
    </row>
    <row r="343" spans="1:101">
      <c r="A343" s="6">
        <v>2016</v>
      </c>
      <c r="B343" s="6" t="s">
        <v>113</v>
      </c>
      <c r="C343" s="6">
        <v>0.05830101</v>
      </c>
      <c r="D343" s="6">
        <v>0.015603</v>
      </c>
      <c r="E343" s="6">
        <v>0.003944</v>
      </c>
      <c r="F343" s="6">
        <v>0.007099</v>
      </c>
      <c r="G343" s="6">
        <v>0.002476</v>
      </c>
      <c r="H343" s="6">
        <v>0.002084</v>
      </c>
      <c r="I343" s="6">
        <v>0.016246</v>
      </c>
      <c r="J343" s="6">
        <v>0.007549</v>
      </c>
      <c r="K343" s="6">
        <v>0.07082099</v>
      </c>
      <c r="L343" s="6">
        <v>0.05274299</v>
      </c>
      <c r="M343" s="6">
        <v>0.06619628</v>
      </c>
      <c r="N343" s="6">
        <v>0.04469647</v>
      </c>
      <c r="O343" s="6">
        <v>0.0296599</v>
      </c>
      <c r="P343" s="6">
        <v>0.09116425</v>
      </c>
      <c r="Q343" s="6">
        <v>0.06570492</v>
      </c>
      <c r="R343" s="6">
        <v>217.69486</v>
      </c>
      <c r="S343" s="6">
        <v>0.00032532</v>
      </c>
      <c r="T343" s="6">
        <v>169.97573</v>
      </c>
      <c r="U343" s="6">
        <v>0.0003103</v>
      </c>
      <c r="V343" s="6">
        <v>197.11803</v>
      </c>
      <c r="W343" s="6">
        <v>0.00033582</v>
      </c>
      <c r="X343" s="6">
        <v>134.47093</v>
      </c>
      <c r="Y343" s="6">
        <v>0.00033239</v>
      </c>
      <c r="Z343" s="6">
        <v>134.86767</v>
      </c>
      <c r="AA343" s="6">
        <v>0.00021992</v>
      </c>
      <c r="AB343" s="6">
        <v>294.9318</v>
      </c>
      <c r="AC343" s="6">
        <v>0.0003091</v>
      </c>
      <c r="AD343" s="6">
        <v>243.86163</v>
      </c>
      <c r="AE343" s="6">
        <v>0.00026944</v>
      </c>
      <c r="AF343" s="6">
        <v>775</v>
      </c>
      <c r="AG343" s="6">
        <v>-0.00261256</v>
      </c>
      <c r="AH343" s="6">
        <v>-0.00250657</v>
      </c>
      <c r="AI343" s="6">
        <v>-0.00268621</v>
      </c>
      <c r="AJ343" s="6">
        <v>-0.00266216</v>
      </c>
      <c r="AK343" s="6">
        <v>-0.00185221</v>
      </c>
      <c r="AL343" s="6">
        <v>-0.00249812</v>
      </c>
      <c r="AM343" s="6">
        <v>-0.00221454</v>
      </c>
      <c r="AN343" s="6">
        <v>-6.4762184</v>
      </c>
      <c r="AO343" s="6">
        <v>-6.4515561</v>
      </c>
      <c r="AP343" s="6">
        <v>-6.4739881</v>
      </c>
      <c r="AQ343" s="6">
        <v>-6.4253629</v>
      </c>
      <c r="AR343" s="6">
        <v>-6.4020076</v>
      </c>
      <c r="AS343" s="6">
        <v>-6.4618417</v>
      </c>
      <c r="AT343" s="6">
        <v>-6.4506396</v>
      </c>
      <c r="AU343" s="6">
        <v>0.97344833</v>
      </c>
      <c r="AV343" s="6">
        <v>0.96974131</v>
      </c>
      <c r="AW343" s="6">
        <v>0.97311308</v>
      </c>
      <c r="AX343" s="6">
        <v>0.96580418</v>
      </c>
      <c r="AY343" s="6">
        <v>0.96229362</v>
      </c>
      <c r="AZ343" s="6">
        <v>0.97128734</v>
      </c>
      <c r="BA343" s="6">
        <v>0.96960354</v>
      </c>
      <c r="BB343" s="6">
        <v>0.02655167</v>
      </c>
      <c r="BC343" s="6">
        <v>0.03025869</v>
      </c>
      <c r="BD343" s="6">
        <v>0.02688692</v>
      </c>
      <c r="BE343" s="6">
        <v>0.03419582</v>
      </c>
      <c r="BF343" s="6">
        <v>0.03770638</v>
      </c>
      <c r="BG343" s="6">
        <v>0.02871266</v>
      </c>
      <c r="BH343" s="6">
        <v>0.03039646</v>
      </c>
      <c r="BI343" s="6">
        <v>0.21470859</v>
      </c>
      <c r="BJ343" s="6">
        <v>0.12366373</v>
      </c>
      <c r="BK343" s="6">
        <v>0.1409291</v>
      </c>
      <c r="BL343" s="6">
        <v>0.12522516</v>
      </c>
      <c r="BM343" s="6">
        <v>0.1592662</v>
      </c>
      <c r="BN343" s="6">
        <v>0.17561655</v>
      </c>
      <c r="BO343" s="6">
        <v>0.1337285</v>
      </c>
      <c r="BP343" s="6">
        <v>0.14157076</v>
      </c>
      <c r="BQ343" s="6">
        <v>0.00875799</v>
      </c>
      <c r="BR343" s="6">
        <v>0.00743302</v>
      </c>
      <c r="BS343" s="6">
        <v>0.00828944</v>
      </c>
      <c r="BT343" s="6">
        <v>0.00711864</v>
      </c>
      <c r="BU343" s="6">
        <v>0.00520877</v>
      </c>
      <c r="BV343" s="6">
        <v>0.01219126</v>
      </c>
      <c r="BW343" s="6">
        <v>0.0093019</v>
      </c>
      <c r="BX343" s="12">
        <v>16302</v>
      </c>
      <c r="BY343" s="13">
        <v>2428</v>
      </c>
      <c r="BZ343" s="12">
        <v>9649.7</v>
      </c>
      <c r="CA343" s="6">
        <f t="shared" si="30"/>
        <v>6.71416803953872</v>
      </c>
      <c r="CB343" s="6">
        <f t="shared" si="31"/>
        <v>1.68937894442314</v>
      </c>
      <c r="CC343" s="7">
        <v>359341479.4</v>
      </c>
      <c r="CD343" s="7">
        <f t="shared" si="32"/>
        <v>3.72386166823839</v>
      </c>
      <c r="CE343" s="8">
        <v>800.8</v>
      </c>
      <c r="CF343" s="8">
        <v>2483.5</v>
      </c>
      <c r="CG343" s="8">
        <v>3623.7</v>
      </c>
      <c r="CH343" s="8">
        <v>27396</v>
      </c>
      <c r="CI343" s="14">
        <v>0</v>
      </c>
      <c r="CJ343" s="14">
        <v>1</v>
      </c>
      <c r="CK343" s="14">
        <f t="shared" si="33"/>
        <v>0</v>
      </c>
      <c r="CL343">
        <f t="shared" si="34"/>
        <v>1.62438398605541</v>
      </c>
      <c r="CM343">
        <f t="shared" si="35"/>
        <v>0</v>
      </c>
      <c r="CN343" s="15">
        <v>16302</v>
      </c>
      <c r="CO343" s="15">
        <v>19245.92</v>
      </c>
      <c r="CP343" s="15">
        <v>801.03</v>
      </c>
      <c r="CQ343" s="15">
        <v>2452.8</v>
      </c>
      <c r="CR343" s="15">
        <v>245.89</v>
      </c>
      <c r="CS343" s="15">
        <v>57.08</v>
      </c>
      <c r="CT343" s="15">
        <v>546.57</v>
      </c>
      <c r="CU343" s="15">
        <v>0.99</v>
      </c>
      <c r="CV343" s="15">
        <v>130.64</v>
      </c>
      <c r="CW343" s="15">
        <v>2316.46</v>
      </c>
    </row>
    <row r="344" spans="1:101">
      <c r="A344" s="6">
        <v>2017</v>
      </c>
      <c r="B344" s="6" t="s">
        <v>113</v>
      </c>
      <c r="C344" s="6">
        <v>0.06262902</v>
      </c>
      <c r="D344" s="6">
        <v>0.016099</v>
      </c>
      <c r="E344" s="6">
        <v>0.004074</v>
      </c>
      <c r="F344" s="6">
        <v>0.007213</v>
      </c>
      <c r="G344" s="6">
        <v>0.002323</v>
      </c>
      <c r="H344" s="6">
        <v>0.002488</v>
      </c>
      <c r="I344" s="6">
        <v>0.017244</v>
      </c>
      <c r="J344" s="6">
        <v>0.007657</v>
      </c>
      <c r="K344" s="6">
        <v>0.07471209</v>
      </c>
      <c r="L344" s="6">
        <v>0.05583038</v>
      </c>
      <c r="M344" s="6">
        <v>0.06794088</v>
      </c>
      <c r="N344" s="6">
        <v>0.04019426</v>
      </c>
      <c r="O344" s="6">
        <v>0.04191122</v>
      </c>
      <c r="P344" s="6">
        <v>0.10227755</v>
      </c>
      <c r="Q344" s="6">
        <v>0.06763043</v>
      </c>
      <c r="R344" s="6">
        <v>217.69486</v>
      </c>
      <c r="S344" s="6">
        <v>0.0003432</v>
      </c>
      <c r="T344" s="6">
        <v>169.97573</v>
      </c>
      <c r="U344" s="6">
        <v>0.00032846</v>
      </c>
      <c r="V344" s="6">
        <v>197.11803</v>
      </c>
      <c r="W344" s="6">
        <v>0.00034467</v>
      </c>
      <c r="X344" s="6">
        <v>134.47093</v>
      </c>
      <c r="Y344" s="6">
        <v>0.00029891</v>
      </c>
      <c r="Z344" s="6">
        <v>134.86767</v>
      </c>
      <c r="AA344" s="6">
        <v>0.00031076</v>
      </c>
      <c r="AB344" s="6">
        <v>294.9318</v>
      </c>
      <c r="AC344" s="6">
        <v>0.00034678</v>
      </c>
      <c r="AD344" s="6">
        <v>243.86163</v>
      </c>
      <c r="AE344" s="6">
        <v>0.00027733</v>
      </c>
      <c r="AF344" s="6">
        <v>775</v>
      </c>
      <c r="AG344" s="6">
        <v>-0.00273775</v>
      </c>
      <c r="AH344" s="6">
        <v>-0.00263462</v>
      </c>
      <c r="AI344" s="6">
        <v>-0.00274803</v>
      </c>
      <c r="AJ344" s="6">
        <v>-0.00242574</v>
      </c>
      <c r="AK344" s="6">
        <v>-0.00250984</v>
      </c>
      <c r="AL344" s="6">
        <v>-0.00276276</v>
      </c>
      <c r="AM344" s="6">
        <v>-0.00227143</v>
      </c>
      <c r="AN344" s="6">
        <v>-6.4762184</v>
      </c>
      <c r="AO344" s="6">
        <v>-6.4515561</v>
      </c>
      <c r="AP344" s="6">
        <v>-6.4739881</v>
      </c>
      <c r="AQ344" s="6">
        <v>-6.4253629</v>
      </c>
      <c r="AR344" s="6">
        <v>-6.4020076</v>
      </c>
      <c r="AS344" s="6">
        <v>-6.4618417</v>
      </c>
      <c r="AT344" s="6">
        <v>-6.4506396</v>
      </c>
      <c r="AU344" s="6">
        <v>0.97344833</v>
      </c>
      <c r="AV344" s="6">
        <v>0.96974131</v>
      </c>
      <c r="AW344" s="6">
        <v>0.97311308</v>
      </c>
      <c r="AX344" s="6">
        <v>0.96580418</v>
      </c>
      <c r="AY344" s="6">
        <v>0.96229362</v>
      </c>
      <c r="AZ344" s="6">
        <v>0.97128734</v>
      </c>
      <c r="BA344" s="6">
        <v>0.96960354</v>
      </c>
      <c r="BB344" s="6">
        <v>0.02655167</v>
      </c>
      <c r="BC344" s="6">
        <v>0.03025869</v>
      </c>
      <c r="BD344" s="6">
        <v>0.02688692</v>
      </c>
      <c r="BE344" s="6">
        <v>0.03419582</v>
      </c>
      <c r="BF344" s="6">
        <v>0.03770638</v>
      </c>
      <c r="BG344" s="6">
        <v>0.02871266</v>
      </c>
      <c r="BH344" s="6">
        <v>0.03039646</v>
      </c>
      <c r="BI344" s="6">
        <v>0.21470859</v>
      </c>
      <c r="BJ344" s="6">
        <v>0.12366373</v>
      </c>
      <c r="BK344" s="6">
        <v>0.1409291</v>
      </c>
      <c r="BL344" s="6">
        <v>0.12522516</v>
      </c>
      <c r="BM344" s="6">
        <v>0.1592662</v>
      </c>
      <c r="BN344" s="6">
        <v>0.17561655</v>
      </c>
      <c r="BO344" s="6">
        <v>0.1337285</v>
      </c>
      <c r="BP344" s="6">
        <v>0.14157076</v>
      </c>
      <c r="BQ344" s="6">
        <v>0.00923918</v>
      </c>
      <c r="BR344" s="6">
        <v>0.00786813</v>
      </c>
      <c r="BS344" s="6">
        <v>0.00850791</v>
      </c>
      <c r="BT344" s="6">
        <v>0.00640159</v>
      </c>
      <c r="BU344" s="6">
        <v>0.0073603</v>
      </c>
      <c r="BV344" s="6">
        <v>0.01367742</v>
      </c>
      <c r="BW344" s="6">
        <v>0.00957449</v>
      </c>
      <c r="BX344" s="12">
        <v>17386</v>
      </c>
      <c r="BY344" s="13">
        <v>2480</v>
      </c>
      <c r="BZ344" s="12">
        <v>10881.96</v>
      </c>
      <c r="CA344" s="6">
        <f t="shared" si="30"/>
        <v>7.01048387096774</v>
      </c>
      <c r="CB344" s="6">
        <f t="shared" si="31"/>
        <v>1.59769012200008</v>
      </c>
      <c r="CC344" s="7">
        <v>390093572.3</v>
      </c>
      <c r="CD344" s="7">
        <f t="shared" si="32"/>
        <v>3.58477307672515</v>
      </c>
      <c r="CE344" s="8">
        <v>859.8</v>
      </c>
      <c r="CF344" s="8">
        <v>2515.8</v>
      </c>
      <c r="CG344" s="8">
        <v>3961.2</v>
      </c>
      <c r="CH344" s="8">
        <v>29103</v>
      </c>
      <c r="CI344" s="14">
        <v>1</v>
      </c>
      <c r="CJ344" s="14">
        <v>1</v>
      </c>
      <c r="CK344" s="14">
        <f t="shared" si="33"/>
        <v>1</v>
      </c>
      <c r="CL344">
        <f t="shared" si="34"/>
        <v>1.56738551218677</v>
      </c>
      <c r="CM344">
        <f t="shared" si="35"/>
        <v>0</v>
      </c>
      <c r="CN344" s="15">
        <v>17386</v>
      </c>
      <c r="CO344" s="15">
        <v>20437.23</v>
      </c>
      <c r="CP344" s="15">
        <v>1003.89</v>
      </c>
      <c r="CQ344" s="15">
        <v>2532</v>
      </c>
      <c r="CR344" s="15">
        <v>282.06</v>
      </c>
      <c r="CS344" s="15">
        <v>78.04</v>
      </c>
      <c r="CT344" s="15">
        <v>600.92</v>
      </c>
      <c r="CU344" s="15">
        <v>0.37</v>
      </c>
      <c r="CV344" s="15">
        <v>122.49</v>
      </c>
      <c r="CW344" s="15">
        <v>2542.85</v>
      </c>
    </row>
    <row r="345" spans="1:101">
      <c r="A345" s="6">
        <v>2018</v>
      </c>
      <c r="B345" s="6" t="s">
        <v>113</v>
      </c>
      <c r="C345" s="6">
        <v>0.06891873</v>
      </c>
      <c r="D345" s="6">
        <v>0.016771</v>
      </c>
      <c r="E345" s="6">
        <v>0.004294</v>
      </c>
      <c r="F345" s="6">
        <v>0.00753</v>
      </c>
      <c r="G345" s="6">
        <v>0.002608</v>
      </c>
      <c r="H345" s="6">
        <v>0.00234</v>
      </c>
      <c r="I345" s="6">
        <v>0.018142</v>
      </c>
      <c r="J345" s="6">
        <v>0.008611</v>
      </c>
      <c r="K345" s="6">
        <v>0.07998646</v>
      </c>
      <c r="L345" s="6">
        <v>0.06102416</v>
      </c>
      <c r="M345" s="6">
        <v>0.07281579</v>
      </c>
      <c r="N345" s="6">
        <v>0.04859791</v>
      </c>
      <c r="O345" s="6">
        <v>0.03740342</v>
      </c>
      <c r="P345" s="6">
        <v>0.11228186</v>
      </c>
      <c r="Q345" s="6">
        <v>0.08465665</v>
      </c>
      <c r="R345" s="6">
        <v>217.69486</v>
      </c>
      <c r="S345" s="6">
        <v>0.00036742</v>
      </c>
      <c r="T345" s="6">
        <v>169.97573</v>
      </c>
      <c r="U345" s="6">
        <v>0.00035902</v>
      </c>
      <c r="V345" s="6">
        <v>197.11803</v>
      </c>
      <c r="W345" s="6">
        <v>0.0003694</v>
      </c>
      <c r="X345" s="6">
        <v>134.47093</v>
      </c>
      <c r="Y345" s="6">
        <v>0.0003614</v>
      </c>
      <c r="Z345" s="6">
        <v>134.86767</v>
      </c>
      <c r="AA345" s="6">
        <v>0.00027733</v>
      </c>
      <c r="AB345" s="6">
        <v>294.9318</v>
      </c>
      <c r="AC345" s="6">
        <v>0.0003807</v>
      </c>
      <c r="AD345" s="6">
        <v>243.86163</v>
      </c>
      <c r="AE345" s="6">
        <v>0.00034715</v>
      </c>
      <c r="AF345" s="6">
        <v>775</v>
      </c>
      <c r="AG345" s="6">
        <v>-0.00290596</v>
      </c>
      <c r="AH345" s="6">
        <v>-0.00284777</v>
      </c>
      <c r="AI345" s="6">
        <v>-0.00291961</v>
      </c>
      <c r="AJ345" s="6">
        <v>-0.00286429</v>
      </c>
      <c r="AK345" s="6">
        <v>-0.00227145</v>
      </c>
      <c r="AL345" s="6">
        <v>-0.00299747</v>
      </c>
      <c r="AM345" s="6">
        <v>-0.00276531</v>
      </c>
      <c r="AN345" s="6">
        <v>-6.4762184</v>
      </c>
      <c r="AO345" s="6">
        <v>-6.4515561</v>
      </c>
      <c r="AP345" s="6">
        <v>-6.4739881</v>
      </c>
      <c r="AQ345" s="6">
        <v>-6.4253629</v>
      </c>
      <c r="AR345" s="6">
        <v>-6.4020076</v>
      </c>
      <c r="AS345" s="6">
        <v>-6.4618417</v>
      </c>
      <c r="AT345" s="6">
        <v>-6.4506396</v>
      </c>
      <c r="AU345" s="6">
        <v>0.97344833</v>
      </c>
      <c r="AV345" s="6">
        <v>0.96974131</v>
      </c>
      <c r="AW345" s="6">
        <v>0.97311308</v>
      </c>
      <c r="AX345" s="6">
        <v>0.96580418</v>
      </c>
      <c r="AY345" s="6">
        <v>0.96229362</v>
      </c>
      <c r="AZ345" s="6">
        <v>0.97128734</v>
      </c>
      <c r="BA345" s="6">
        <v>0.96960354</v>
      </c>
      <c r="BB345" s="6">
        <v>0.02655167</v>
      </c>
      <c r="BC345" s="6">
        <v>0.03025869</v>
      </c>
      <c r="BD345" s="6">
        <v>0.02688692</v>
      </c>
      <c r="BE345" s="6">
        <v>0.03419582</v>
      </c>
      <c r="BF345" s="6">
        <v>0.03770638</v>
      </c>
      <c r="BG345" s="6">
        <v>0.02871266</v>
      </c>
      <c r="BH345" s="6">
        <v>0.03039646</v>
      </c>
      <c r="BI345" s="6">
        <v>0.21470859</v>
      </c>
      <c r="BJ345" s="6">
        <v>0.12366373</v>
      </c>
      <c r="BK345" s="6">
        <v>0.1409291</v>
      </c>
      <c r="BL345" s="6">
        <v>0.12522516</v>
      </c>
      <c r="BM345" s="6">
        <v>0.1592662</v>
      </c>
      <c r="BN345" s="6">
        <v>0.17561655</v>
      </c>
      <c r="BO345" s="6">
        <v>0.1337285</v>
      </c>
      <c r="BP345" s="6">
        <v>0.14157076</v>
      </c>
      <c r="BQ345" s="6">
        <v>0.00989142</v>
      </c>
      <c r="BR345" s="6">
        <v>0.00860008</v>
      </c>
      <c r="BS345" s="6">
        <v>0.00911837</v>
      </c>
      <c r="BT345" s="6">
        <v>0.00774001</v>
      </c>
      <c r="BU345" s="6">
        <v>0.00656866</v>
      </c>
      <c r="BV345" s="6">
        <v>0.01501528</v>
      </c>
      <c r="BW345" s="6">
        <v>0.01198491</v>
      </c>
      <c r="BX345" s="12">
        <v>17694</v>
      </c>
      <c r="BY345" s="13">
        <v>2520</v>
      </c>
      <c r="BZ345" s="12">
        <v>12199.08</v>
      </c>
      <c r="CA345" s="6">
        <f t="shared" si="30"/>
        <v>7.02142857142857</v>
      </c>
      <c r="CB345" s="6">
        <f t="shared" si="31"/>
        <v>1.45043724608741</v>
      </c>
      <c r="CC345" s="7">
        <v>417543305.3</v>
      </c>
      <c r="CD345" s="7">
        <f t="shared" si="32"/>
        <v>3.42274421759674</v>
      </c>
      <c r="CE345" s="8">
        <v>926.1</v>
      </c>
      <c r="CF345" s="8">
        <v>2761.6</v>
      </c>
      <c r="CG345" s="8">
        <v>4416.4</v>
      </c>
      <c r="CH345" s="8">
        <v>32178</v>
      </c>
      <c r="CI345" s="14">
        <v>1</v>
      </c>
      <c r="CJ345" s="14">
        <v>1</v>
      </c>
      <c r="CK345" s="14">
        <f t="shared" si="33"/>
        <v>1</v>
      </c>
      <c r="CL345">
        <f t="shared" si="34"/>
        <v>1.51591455826218</v>
      </c>
      <c r="CM345">
        <f t="shared" si="35"/>
        <v>0</v>
      </c>
      <c r="CN345" s="15">
        <v>17694</v>
      </c>
      <c r="CO345" s="15">
        <v>21790.02</v>
      </c>
      <c r="CP345" s="15">
        <v>995.29</v>
      </c>
      <c r="CQ345" s="15">
        <v>2404.54</v>
      </c>
      <c r="CR345" s="15">
        <v>297.83</v>
      </c>
      <c r="CS345" s="15">
        <v>66.3</v>
      </c>
      <c r="CT345" s="15">
        <v>577.68</v>
      </c>
      <c r="CU345" s="15">
        <v>0.48</v>
      </c>
      <c r="CV345" s="15">
        <v>130.85</v>
      </c>
      <c r="CW345" s="15">
        <v>2686.48</v>
      </c>
    </row>
    <row r="346" spans="1:101">
      <c r="A346" s="6">
        <v>2019</v>
      </c>
      <c r="B346" s="6" t="s">
        <v>113</v>
      </c>
      <c r="C346" s="6">
        <v>0.06992055</v>
      </c>
      <c r="D346" s="6">
        <v>0.017466</v>
      </c>
      <c r="E346" s="6">
        <v>0.004313</v>
      </c>
      <c r="F346" s="6">
        <v>0.007773</v>
      </c>
      <c r="G346" s="6">
        <v>0.002715</v>
      </c>
      <c r="H346" s="6">
        <v>0.002666</v>
      </c>
      <c r="I346" s="6">
        <v>0.016998</v>
      </c>
      <c r="J346" s="6">
        <v>0.008319</v>
      </c>
      <c r="K346" s="6">
        <v>0.08543644</v>
      </c>
      <c r="L346" s="6">
        <v>0.06146841</v>
      </c>
      <c r="M346" s="6">
        <v>0.07655085</v>
      </c>
      <c r="N346" s="6">
        <v>0.05175585</v>
      </c>
      <c r="O346" s="6">
        <v>0.04728728</v>
      </c>
      <c r="P346" s="6">
        <v>0.0995458</v>
      </c>
      <c r="Q346" s="6">
        <v>0.07944354</v>
      </c>
      <c r="R346" s="6">
        <v>217.69486</v>
      </c>
      <c r="S346" s="6">
        <v>0.00039246</v>
      </c>
      <c r="T346" s="6">
        <v>169.97573</v>
      </c>
      <c r="U346" s="6">
        <v>0.00036163</v>
      </c>
      <c r="V346" s="6">
        <v>197.11803</v>
      </c>
      <c r="W346" s="6">
        <v>0.00038835</v>
      </c>
      <c r="X346" s="6">
        <v>134.47093</v>
      </c>
      <c r="Y346" s="6">
        <v>0.00038489</v>
      </c>
      <c r="Z346" s="6">
        <v>134.86767</v>
      </c>
      <c r="AA346" s="6">
        <v>0.00035062</v>
      </c>
      <c r="AB346" s="6">
        <v>294.9318</v>
      </c>
      <c r="AC346" s="6">
        <v>0.00033752</v>
      </c>
      <c r="AD346" s="6">
        <v>243.86163</v>
      </c>
      <c r="AE346" s="6">
        <v>0.00032577</v>
      </c>
      <c r="AF346" s="6">
        <v>775</v>
      </c>
      <c r="AG346" s="6">
        <v>-0.00307809</v>
      </c>
      <c r="AH346" s="6">
        <v>-0.00286588</v>
      </c>
      <c r="AI346" s="6">
        <v>-0.00304995</v>
      </c>
      <c r="AJ346" s="6">
        <v>-0.00302618</v>
      </c>
      <c r="AK346" s="6">
        <v>-0.00278946</v>
      </c>
      <c r="AL346" s="6">
        <v>-0.00269811</v>
      </c>
      <c r="AM346" s="6">
        <v>-0.00261573</v>
      </c>
      <c r="AN346" s="6">
        <v>-6.4762184</v>
      </c>
      <c r="AO346" s="6">
        <v>-6.4515561</v>
      </c>
      <c r="AP346" s="6">
        <v>-6.4739881</v>
      </c>
      <c r="AQ346" s="6">
        <v>-6.4253629</v>
      </c>
      <c r="AR346" s="6">
        <v>-6.4020076</v>
      </c>
      <c r="AS346" s="6">
        <v>-6.4618417</v>
      </c>
      <c r="AT346" s="6">
        <v>-6.4506396</v>
      </c>
      <c r="AU346" s="6">
        <v>0.97344833</v>
      </c>
      <c r="AV346" s="6">
        <v>0.96974131</v>
      </c>
      <c r="AW346" s="6">
        <v>0.97311308</v>
      </c>
      <c r="AX346" s="6">
        <v>0.96580418</v>
      </c>
      <c r="AY346" s="6">
        <v>0.96229362</v>
      </c>
      <c r="AZ346" s="6">
        <v>0.97128734</v>
      </c>
      <c r="BA346" s="6">
        <v>0.96960354</v>
      </c>
      <c r="BB346" s="6">
        <v>0.02655167</v>
      </c>
      <c r="BC346" s="6">
        <v>0.03025869</v>
      </c>
      <c r="BD346" s="6">
        <v>0.02688692</v>
      </c>
      <c r="BE346" s="6">
        <v>0.03419582</v>
      </c>
      <c r="BF346" s="6">
        <v>0.03770638</v>
      </c>
      <c r="BG346" s="6">
        <v>0.02871266</v>
      </c>
      <c r="BH346" s="6">
        <v>0.03039646</v>
      </c>
      <c r="BI346" s="6">
        <v>0.21470859</v>
      </c>
      <c r="BJ346" s="6">
        <v>0.12366373</v>
      </c>
      <c r="BK346" s="6">
        <v>0.1409291</v>
      </c>
      <c r="BL346" s="6">
        <v>0.12522516</v>
      </c>
      <c r="BM346" s="6">
        <v>0.1592662</v>
      </c>
      <c r="BN346" s="6">
        <v>0.17561655</v>
      </c>
      <c r="BO346" s="6">
        <v>0.1337285</v>
      </c>
      <c r="BP346" s="6">
        <v>0.14157076</v>
      </c>
      <c r="BQ346" s="6">
        <v>0.01056539</v>
      </c>
      <c r="BR346" s="6">
        <v>0.00866269</v>
      </c>
      <c r="BS346" s="6">
        <v>0.00958609</v>
      </c>
      <c r="BT346" s="6">
        <v>0.00824296</v>
      </c>
      <c r="BU346" s="6">
        <v>0.00830443</v>
      </c>
      <c r="BV346" s="6">
        <v>0.01331211</v>
      </c>
      <c r="BW346" s="6">
        <v>0.01124688</v>
      </c>
      <c r="BX346" s="12">
        <v>18490</v>
      </c>
      <c r="BY346" s="13">
        <v>2559</v>
      </c>
      <c r="BZ346" s="12">
        <v>13597.11</v>
      </c>
      <c r="CA346" s="6">
        <f t="shared" si="30"/>
        <v>7.22547870261821</v>
      </c>
      <c r="CB346" s="6">
        <f t="shared" si="31"/>
        <v>1.35984779118504</v>
      </c>
      <c r="CC346" s="7">
        <v>430888589.8</v>
      </c>
      <c r="CD346" s="7">
        <f t="shared" si="32"/>
        <v>3.16897186093221</v>
      </c>
      <c r="CE346" s="8">
        <v>1059.3</v>
      </c>
      <c r="CF346" s="8">
        <v>2862.4</v>
      </c>
      <c r="CG346" s="8">
        <v>4796.6</v>
      </c>
      <c r="CH346" s="8">
        <v>34707</v>
      </c>
      <c r="CI346" s="14">
        <v>1</v>
      </c>
      <c r="CJ346" s="14">
        <v>1</v>
      </c>
      <c r="CK346" s="14">
        <f t="shared" si="33"/>
        <v>1</v>
      </c>
      <c r="CL346">
        <f t="shared" si="34"/>
        <v>1.5000536746505</v>
      </c>
      <c r="CM346">
        <f t="shared" si="35"/>
        <v>0</v>
      </c>
      <c r="CN346" s="15">
        <v>18490</v>
      </c>
      <c r="CO346" s="15">
        <v>23702.13</v>
      </c>
      <c r="CP346" s="15">
        <v>1016.41</v>
      </c>
      <c r="CQ346" s="15">
        <v>2376.51</v>
      </c>
      <c r="CR346" s="15">
        <v>307.42</v>
      </c>
      <c r="CS346" s="15">
        <v>61.44</v>
      </c>
      <c r="CT346" s="15">
        <v>591.8</v>
      </c>
      <c r="CU346" s="15">
        <v>0.76</v>
      </c>
      <c r="CV346" s="15">
        <v>131.09</v>
      </c>
      <c r="CW346" s="15">
        <v>2867.55</v>
      </c>
    </row>
    <row r="347" spans="1:101">
      <c r="A347" s="6">
        <v>2020</v>
      </c>
      <c r="B347" s="6" t="s">
        <v>113</v>
      </c>
      <c r="C347" s="6">
        <v>0.07876251</v>
      </c>
      <c r="D347" s="6">
        <v>0.018795</v>
      </c>
      <c r="E347" s="6">
        <v>0.004829</v>
      </c>
      <c r="F347" s="6">
        <v>0.008557</v>
      </c>
      <c r="G347" s="6">
        <v>0.002652</v>
      </c>
      <c r="H347" s="6">
        <v>0.002757</v>
      </c>
      <c r="I347" s="6">
        <v>0.018661</v>
      </c>
      <c r="J347" s="6">
        <v>0.008975</v>
      </c>
      <c r="K347" s="6">
        <v>0.09586269</v>
      </c>
      <c r="L347" s="6">
        <v>0.07366756</v>
      </c>
      <c r="M347" s="6">
        <v>0.08860954</v>
      </c>
      <c r="N347" s="6">
        <v>0.04990346</v>
      </c>
      <c r="O347" s="6">
        <v>0.05005403</v>
      </c>
      <c r="P347" s="6">
        <v>0.11806155</v>
      </c>
      <c r="Q347" s="6">
        <v>0.09114369</v>
      </c>
      <c r="R347" s="6">
        <v>217.69486</v>
      </c>
      <c r="S347" s="6">
        <v>0.00044035</v>
      </c>
      <c r="T347" s="6">
        <v>169.97573</v>
      </c>
      <c r="U347" s="6">
        <v>0.0004334</v>
      </c>
      <c r="V347" s="6">
        <v>197.11803</v>
      </c>
      <c r="W347" s="6">
        <v>0.00044953</v>
      </c>
      <c r="X347" s="6">
        <v>134.47093</v>
      </c>
      <c r="Y347" s="6">
        <v>0.00037111</v>
      </c>
      <c r="Z347" s="6">
        <v>134.86767</v>
      </c>
      <c r="AA347" s="6">
        <v>0.00037113</v>
      </c>
      <c r="AB347" s="6">
        <v>294.9318</v>
      </c>
      <c r="AC347" s="6">
        <v>0.0004003</v>
      </c>
      <c r="AD347" s="6">
        <v>243.86163</v>
      </c>
      <c r="AE347" s="6">
        <v>0.00037375</v>
      </c>
      <c r="AF347" s="6">
        <v>775</v>
      </c>
      <c r="AG347" s="6">
        <v>-0.00340302</v>
      </c>
      <c r="AH347" s="6">
        <v>-0.00335619</v>
      </c>
      <c r="AI347" s="6">
        <v>-0.00346463</v>
      </c>
      <c r="AJ347" s="6">
        <v>-0.0029314</v>
      </c>
      <c r="AK347" s="6">
        <v>-0.00293157</v>
      </c>
      <c r="AL347" s="6">
        <v>-0.00313167</v>
      </c>
      <c r="AM347" s="6">
        <v>-0.00294962</v>
      </c>
      <c r="AN347" s="6">
        <v>-6.4762184</v>
      </c>
      <c r="AO347" s="6">
        <v>-6.4515561</v>
      </c>
      <c r="AP347" s="6">
        <v>-6.4739881</v>
      </c>
      <c r="AQ347" s="6">
        <v>-6.4253629</v>
      </c>
      <c r="AR347" s="6">
        <v>-6.4020076</v>
      </c>
      <c r="AS347" s="6">
        <v>-6.4618417</v>
      </c>
      <c r="AT347" s="6">
        <v>-6.4506396</v>
      </c>
      <c r="AU347" s="6">
        <v>0.97344833</v>
      </c>
      <c r="AV347" s="6">
        <v>0.96974131</v>
      </c>
      <c r="AW347" s="6">
        <v>0.97311308</v>
      </c>
      <c r="AX347" s="6">
        <v>0.96580418</v>
      </c>
      <c r="AY347" s="6">
        <v>0.96229362</v>
      </c>
      <c r="AZ347" s="6">
        <v>0.97128734</v>
      </c>
      <c r="BA347" s="6">
        <v>0.96960354</v>
      </c>
      <c r="BB347" s="6">
        <v>0.02655167</v>
      </c>
      <c r="BC347" s="6">
        <v>0.03025869</v>
      </c>
      <c r="BD347" s="6">
        <v>0.02688692</v>
      </c>
      <c r="BE347" s="6">
        <v>0.03419582</v>
      </c>
      <c r="BF347" s="6">
        <v>0.03770638</v>
      </c>
      <c r="BG347" s="6">
        <v>0.02871266</v>
      </c>
      <c r="BH347" s="6">
        <v>0.03039646</v>
      </c>
      <c r="BI347" s="6">
        <v>0.21470859</v>
      </c>
      <c r="BJ347" s="6">
        <v>0.12366373</v>
      </c>
      <c r="BK347" s="6">
        <v>0.1409291</v>
      </c>
      <c r="BL347" s="6">
        <v>0.12522516</v>
      </c>
      <c r="BM347" s="6">
        <v>0.1592662</v>
      </c>
      <c r="BN347" s="6">
        <v>0.17561655</v>
      </c>
      <c r="BO347" s="6">
        <v>0.1337285</v>
      </c>
      <c r="BP347" s="6">
        <v>0.14157076</v>
      </c>
      <c r="BQ347" s="6">
        <v>0.01185474</v>
      </c>
      <c r="BR347" s="6">
        <v>0.0103819</v>
      </c>
      <c r="BS347" s="6">
        <v>0.01109614</v>
      </c>
      <c r="BT347" s="6">
        <v>0.00794793</v>
      </c>
      <c r="BU347" s="6">
        <v>0.00879032</v>
      </c>
      <c r="BV347" s="6">
        <v>0.01578819</v>
      </c>
      <c r="BW347" s="6">
        <v>0.01290328</v>
      </c>
      <c r="BX347" s="12">
        <v>18981.81</v>
      </c>
      <c r="BY347" s="13">
        <v>2590.49</v>
      </c>
      <c r="BZ347" s="12">
        <v>13797.58</v>
      </c>
      <c r="CA347" s="6">
        <f t="shared" si="30"/>
        <v>7.32749788650024</v>
      </c>
      <c r="CB347" s="6">
        <f t="shared" si="31"/>
        <v>1.37573473029328</v>
      </c>
      <c r="CC347" s="7">
        <v>443138738</v>
      </c>
      <c r="CD347" s="7">
        <f t="shared" si="32"/>
        <v>3.21171348888718</v>
      </c>
      <c r="CE347" s="8">
        <v>1188.1</v>
      </c>
      <c r="CF347" s="8">
        <v>2824.8</v>
      </c>
      <c r="CG347" s="8">
        <v>4966.7</v>
      </c>
      <c r="CH347" s="8">
        <v>35848</v>
      </c>
      <c r="CI347" s="14">
        <v>1</v>
      </c>
      <c r="CJ347" s="14">
        <v>1</v>
      </c>
      <c r="CK347" s="14">
        <f t="shared" si="33"/>
        <v>1</v>
      </c>
      <c r="CL347">
        <f t="shared" si="34"/>
        <v>1.47141701078949</v>
      </c>
      <c r="CM347">
        <f t="shared" si="35"/>
        <v>0</v>
      </c>
      <c r="CN347" s="15">
        <v>18981.8</v>
      </c>
      <c r="CO347" s="15">
        <v>25504.36</v>
      </c>
      <c r="CP347" s="15">
        <v>1018.67</v>
      </c>
      <c r="CQ347" s="15">
        <v>2471.55</v>
      </c>
      <c r="CR347" s="15">
        <v>257.1</v>
      </c>
      <c r="CS347" s="15">
        <v>51.03</v>
      </c>
      <c r="CT347" s="15">
        <v>505.34</v>
      </c>
      <c r="CU347" s="15">
        <v>0.69</v>
      </c>
      <c r="CV347" s="15">
        <v>138.55</v>
      </c>
      <c r="CW347" s="15">
        <v>3099</v>
      </c>
    </row>
    <row r="348" spans="1:101">
      <c r="A348" s="6">
        <v>2021</v>
      </c>
      <c r="B348" s="6" t="s">
        <v>113</v>
      </c>
      <c r="C348" s="6">
        <v>0.0808396</v>
      </c>
      <c r="D348" s="6">
        <v>0.018691</v>
      </c>
      <c r="E348" s="6">
        <v>0.004765</v>
      </c>
      <c r="F348" s="6">
        <v>0.008159</v>
      </c>
      <c r="G348" s="6">
        <v>0.002763</v>
      </c>
      <c r="H348" s="6">
        <v>0.003004</v>
      </c>
      <c r="I348" s="6">
        <v>0.018629</v>
      </c>
      <c r="J348" s="6">
        <v>0.009515</v>
      </c>
      <c r="K348" s="6">
        <v>0.09504799</v>
      </c>
      <c r="L348" s="6">
        <v>0.07216425</v>
      </c>
      <c r="M348" s="6">
        <v>0.08248357</v>
      </c>
      <c r="N348" s="6">
        <v>0.05318986</v>
      </c>
      <c r="O348" s="6">
        <v>0.0575429</v>
      </c>
      <c r="P348" s="6">
        <v>0.11770963</v>
      </c>
      <c r="Q348" s="6">
        <v>0.10078769</v>
      </c>
      <c r="R348" s="6">
        <v>217.69486</v>
      </c>
      <c r="S348" s="6">
        <v>0.00043661</v>
      </c>
      <c r="T348" s="6">
        <v>169.97573</v>
      </c>
      <c r="U348" s="6">
        <v>0.00042456</v>
      </c>
      <c r="V348" s="6">
        <v>197.11803</v>
      </c>
      <c r="W348" s="6">
        <v>0.00041845</v>
      </c>
      <c r="X348" s="6">
        <v>134.47093</v>
      </c>
      <c r="Y348" s="6">
        <v>0.00039555</v>
      </c>
      <c r="Z348" s="6">
        <v>134.86767</v>
      </c>
      <c r="AA348" s="6">
        <v>0.00042666</v>
      </c>
      <c r="AB348" s="6">
        <v>294.9318</v>
      </c>
      <c r="AC348" s="6">
        <v>0.00039911</v>
      </c>
      <c r="AD348" s="6">
        <v>243.86163</v>
      </c>
      <c r="AE348" s="6">
        <v>0.0004133</v>
      </c>
      <c r="AF348" s="6">
        <v>775</v>
      </c>
      <c r="AG348" s="6">
        <v>-0.00337783</v>
      </c>
      <c r="AH348" s="6">
        <v>-0.00329645</v>
      </c>
      <c r="AI348" s="6">
        <v>-0.00325509</v>
      </c>
      <c r="AJ348" s="6">
        <v>-0.00309922</v>
      </c>
      <c r="AK348" s="6">
        <v>-0.00331069</v>
      </c>
      <c r="AL348" s="6">
        <v>-0.00312353</v>
      </c>
      <c r="AM348" s="6">
        <v>-0.00322015</v>
      </c>
      <c r="AN348" s="6">
        <v>-6.4762184</v>
      </c>
      <c r="AO348" s="6">
        <v>-6.4515561</v>
      </c>
      <c r="AP348" s="6">
        <v>-6.4739881</v>
      </c>
      <c r="AQ348" s="6">
        <v>-6.4253629</v>
      </c>
      <c r="AR348" s="6">
        <v>-6.4020076</v>
      </c>
      <c r="AS348" s="6">
        <v>-6.4618417</v>
      </c>
      <c r="AT348" s="6">
        <v>-6.4506396</v>
      </c>
      <c r="AU348" s="6">
        <v>0.97344833</v>
      </c>
      <c r="AV348" s="6">
        <v>0.96974131</v>
      </c>
      <c r="AW348" s="6">
        <v>0.97311308</v>
      </c>
      <c r="AX348" s="6">
        <v>0.96580418</v>
      </c>
      <c r="AY348" s="6">
        <v>0.96229362</v>
      </c>
      <c r="AZ348" s="6">
        <v>0.97128734</v>
      </c>
      <c r="BA348" s="6">
        <v>0.96960354</v>
      </c>
      <c r="BB348" s="6">
        <v>0.02655167</v>
      </c>
      <c r="BC348" s="6">
        <v>0.03025869</v>
      </c>
      <c r="BD348" s="6">
        <v>0.02688692</v>
      </c>
      <c r="BE348" s="6">
        <v>0.03419582</v>
      </c>
      <c r="BF348" s="6">
        <v>0.03770638</v>
      </c>
      <c r="BG348" s="6">
        <v>0.02871266</v>
      </c>
      <c r="BH348" s="6">
        <v>0.03039646</v>
      </c>
      <c r="BI348" s="6">
        <v>0.21470859</v>
      </c>
      <c r="BJ348" s="6">
        <v>0.12366373</v>
      </c>
      <c r="BK348" s="6">
        <v>0.1409291</v>
      </c>
      <c r="BL348" s="6">
        <v>0.12522516</v>
      </c>
      <c r="BM348" s="6">
        <v>0.1592662</v>
      </c>
      <c r="BN348" s="6">
        <v>0.17561655</v>
      </c>
      <c r="BO348" s="6">
        <v>0.1337285</v>
      </c>
      <c r="BP348" s="6">
        <v>0.14157076</v>
      </c>
      <c r="BQ348" s="6">
        <v>0.01175399</v>
      </c>
      <c r="BR348" s="6">
        <v>0.01017004</v>
      </c>
      <c r="BS348" s="6">
        <v>0.01032902</v>
      </c>
      <c r="BT348" s="6">
        <v>0.00847135</v>
      </c>
      <c r="BU348" s="6">
        <v>0.01010548</v>
      </c>
      <c r="BV348" s="6">
        <v>0.01574113</v>
      </c>
      <c r="BW348" s="6">
        <v>0.01426859</v>
      </c>
      <c r="BX348" s="12">
        <v>19661.2231088512</v>
      </c>
      <c r="BY348" s="13">
        <v>2589</v>
      </c>
      <c r="BZ348" s="12">
        <v>15983.6</v>
      </c>
      <c r="CA348" s="6">
        <f t="shared" si="30"/>
        <v>7.59413793312136</v>
      </c>
      <c r="CB348" s="6">
        <f t="shared" si="31"/>
        <v>1.23008728376906</v>
      </c>
      <c r="CC348" s="7">
        <v>479659763.8</v>
      </c>
      <c r="CD348" s="7">
        <f t="shared" si="32"/>
        <v>3.00094949698441</v>
      </c>
      <c r="CE348" s="8">
        <v>1364.8</v>
      </c>
      <c r="CF348" s="8">
        <v>3451.2</v>
      </c>
      <c r="CG348" s="8">
        <v>5409.5</v>
      </c>
      <c r="CH348" s="8">
        <v>40976</v>
      </c>
      <c r="CI348" s="14">
        <v>1</v>
      </c>
      <c r="CJ348" s="14">
        <v>1</v>
      </c>
      <c r="CK348" s="14">
        <f t="shared" si="33"/>
        <v>1</v>
      </c>
      <c r="CL348">
        <f t="shared" si="34"/>
        <v>1.36781889095748</v>
      </c>
      <c r="CM348">
        <f t="shared" si="35"/>
        <v>0</v>
      </c>
      <c r="CN348" s="15">
        <v>20538.3076</v>
      </c>
      <c r="CO348" s="15">
        <v>29160.52</v>
      </c>
      <c r="CP348" s="15">
        <v>1054.12</v>
      </c>
      <c r="CQ348" s="15">
        <v>2529.32</v>
      </c>
      <c r="CR348" s="15">
        <v>289.94</v>
      </c>
      <c r="CS348" s="15">
        <v>48.03</v>
      </c>
      <c r="CT348" s="15">
        <v>519.41</v>
      </c>
      <c r="CU348" s="15">
        <v>0.52</v>
      </c>
      <c r="CV348" s="15">
        <v>153.07</v>
      </c>
      <c r="CW348" s="15">
        <v>3460</v>
      </c>
    </row>
    <row r="349" spans="1:101">
      <c r="A349" s="6">
        <v>2022</v>
      </c>
      <c r="B349" s="6" t="s">
        <v>113</v>
      </c>
      <c r="C349" s="6">
        <v>0.08560039</v>
      </c>
      <c r="D349" s="6">
        <v>0.019256</v>
      </c>
      <c r="E349" s="6">
        <v>0.004891</v>
      </c>
      <c r="F349" s="6">
        <v>0.008898</v>
      </c>
      <c r="G349" s="6">
        <v>0.002988</v>
      </c>
      <c r="H349" s="6">
        <v>0.002479</v>
      </c>
      <c r="I349" s="6">
        <v>0.020905</v>
      </c>
      <c r="J349" s="6">
        <v>0.0098</v>
      </c>
      <c r="K349" s="6">
        <v>0.09947455</v>
      </c>
      <c r="L349" s="6">
        <v>0.07513262</v>
      </c>
      <c r="M349" s="6">
        <v>0.09384119</v>
      </c>
      <c r="N349" s="6">
        <v>0.059835</v>
      </c>
      <c r="O349" s="6">
        <v>0.04163287</v>
      </c>
      <c r="P349" s="6">
        <v>0.14306414</v>
      </c>
      <c r="Q349" s="6">
        <v>0.10585858</v>
      </c>
      <c r="R349" s="6">
        <v>217.69486</v>
      </c>
      <c r="S349" s="6">
        <v>0.00045694</v>
      </c>
      <c r="T349" s="6">
        <v>169.97573</v>
      </c>
      <c r="U349" s="6">
        <v>0.00044202</v>
      </c>
      <c r="V349" s="6">
        <v>197.11803</v>
      </c>
      <c r="W349" s="6">
        <v>0.00047607</v>
      </c>
      <c r="X349" s="6">
        <v>134.47093</v>
      </c>
      <c r="Y349" s="6">
        <v>0.00044497</v>
      </c>
      <c r="Z349" s="6">
        <v>134.86767</v>
      </c>
      <c r="AA349" s="6">
        <v>0.00030869</v>
      </c>
      <c r="AB349" s="6">
        <v>294.9318</v>
      </c>
      <c r="AC349" s="6">
        <v>0.00048508</v>
      </c>
      <c r="AD349" s="6">
        <v>243.86163</v>
      </c>
      <c r="AE349" s="6">
        <v>0.00043409</v>
      </c>
      <c r="AF349" s="6">
        <v>775</v>
      </c>
      <c r="AG349" s="6">
        <v>-0.00351434</v>
      </c>
      <c r="AH349" s="6">
        <v>-0.00341423</v>
      </c>
      <c r="AI349" s="6">
        <v>-0.00364188</v>
      </c>
      <c r="AJ349" s="6">
        <v>-0.00343403</v>
      </c>
      <c r="AK349" s="6">
        <v>-0.00249522</v>
      </c>
      <c r="AL349" s="6">
        <v>-0.00370171</v>
      </c>
      <c r="AM349" s="6">
        <v>-0.00336086</v>
      </c>
      <c r="AN349" s="6">
        <v>-6.4762184</v>
      </c>
      <c r="AO349" s="6">
        <v>-6.4515561</v>
      </c>
      <c r="AP349" s="6">
        <v>-6.4739881</v>
      </c>
      <c r="AQ349" s="6">
        <v>-6.4253629</v>
      </c>
      <c r="AR349" s="6">
        <v>-6.4020076</v>
      </c>
      <c r="AS349" s="6">
        <v>-6.4618417</v>
      </c>
      <c r="AT349" s="6">
        <v>-6.4506396</v>
      </c>
      <c r="AU349" s="6">
        <v>0.97344833</v>
      </c>
      <c r="AV349" s="6">
        <v>0.96974131</v>
      </c>
      <c r="AW349" s="6">
        <v>0.97311308</v>
      </c>
      <c r="AX349" s="6">
        <v>0.96580418</v>
      </c>
      <c r="AY349" s="6">
        <v>0.96229362</v>
      </c>
      <c r="AZ349" s="6">
        <v>0.97128734</v>
      </c>
      <c r="BA349" s="6">
        <v>0.96960354</v>
      </c>
      <c r="BB349" s="6">
        <v>0.02655167</v>
      </c>
      <c r="BC349" s="6">
        <v>0.03025869</v>
      </c>
      <c r="BD349" s="6">
        <v>0.02688692</v>
      </c>
      <c r="BE349" s="6">
        <v>0.03419582</v>
      </c>
      <c r="BF349" s="6">
        <v>0.03770638</v>
      </c>
      <c r="BG349" s="6">
        <v>0.02871266</v>
      </c>
      <c r="BH349" s="6">
        <v>0.03039646</v>
      </c>
      <c r="BI349" s="6">
        <v>0.21470859</v>
      </c>
      <c r="BJ349" s="6">
        <v>0.12366373</v>
      </c>
      <c r="BK349" s="6">
        <v>0.1409291</v>
      </c>
      <c r="BL349" s="6">
        <v>0.12522516</v>
      </c>
      <c r="BM349" s="6">
        <v>0.1592662</v>
      </c>
      <c r="BN349" s="6">
        <v>0.17561655</v>
      </c>
      <c r="BO349" s="6">
        <v>0.1337285</v>
      </c>
      <c r="BP349" s="6">
        <v>0.14157076</v>
      </c>
      <c r="BQ349" s="6">
        <v>0.01230139</v>
      </c>
      <c r="BR349" s="6">
        <v>0.01058837</v>
      </c>
      <c r="BS349" s="6">
        <v>0.01175128</v>
      </c>
      <c r="BT349" s="6">
        <v>0.00952969</v>
      </c>
      <c r="BU349" s="6">
        <v>0.00731142</v>
      </c>
      <c r="BV349" s="6">
        <v>0.01913175</v>
      </c>
      <c r="BW349" s="6">
        <v>0.01498648</v>
      </c>
      <c r="BX349" s="12">
        <v>20340.6362177024</v>
      </c>
      <c r="BY349" s="13">
        <v>2587</v>
      </c>
      <c r="BZ349" s="12">
        <v>17741.3</v>
      </c>
      <c r="CA349" s="6">
        <f t="shared" si="30"/>
        <v>7.8626347961741</v>
      </c>
      <c r="CB349" s="6">
        <f t="shared" si="31"/>
        <v>1.14651328920104</v>
      </c>
      <c r="CC349" s="7">
        <v>481241147.5</v>
      </c>
      <c r="CD349" s="7">
        <f t="shared" si="32"/>
        <v>2.71254726260195</v>
      </c>
      <c r="CE349" s="8">
        <v>1499.7</v>
      </c>
      <c r="CF349" s="8">
        <v>3928.3</v>
      </c>
      <c r="CG349" s="8">
        <v>5693.4</v>
      </c>
      <c r="CH349" s="8">
        <v>44646</v>
      </c>
      <c r="CI349" s="14">
        <v>1</v>
      </c>
      <c r="CJ349" s="14">
        <v>1</v>
      </c>
      <c r="CK349" s="14">
        <f t="shared" si="33"/>
        <v>1</v>
      </c>
      <c r="CL349">
        <f t="shared" si="34"/>
        <v>1.27047633725244</v>
      </c>
      <c r="CM349">
        <f t="shared" si="35"/>
        <v>0</v>
      </c>
      <c r="CN349" s="15">
        <v>20723.1523684</v>
      </c>
      <c r="CO349" s="15">
        <v>29942.69</v>
      </c>
      <c r="CP349" s="15">
        <v>1013.62</v>
      </c>
      <c r="CQ349" s="15">
        <v>2529.3</v>
      </c>
      <c r="CR349" s="15">
        <v>237.77</v>
      </c>
      <c r="CS349" s="15">
        <v>50.87</v>
      </c>
      <c r="CT349" s="15">
        <v>544.49</v>
      </c>
      <c r="CU349" s="15">
        <v>0.8</v>
      </c>
      <c r="CV349" s="15">
        <v>156.63</v>
      </c>
      <c r="CW349" s="15">
        <v>3585.48</v>
      </c>
    </row>
    <row r="350" spans="1:101">
      <c r="A350" s="6">
        <v>2023</v>
      </c>
      <c r="B350" s="6" t="s">
        <v>113</v>
      </c>
      <c r="C350" s="6">
        <v>0.27676109</v>
      </c>
      <c r="D350" s="6">
        <v>0.029015</v>
      </c>
      <c r="E350" s="6">
        <v>0.014211</v>
      </c>
      <c r="F350" s="6">
        <v>0.018832</v>
      </c>
      <c r="G350" s="6">
        <v>0.012408</v>
      </c>
      <c r="H350" s="6">
        <v>0.011149</v>
      </c>
      <c r="I350" s="6">
        <v>0.032377</v>
      </c>
      <c r="J350" s="6">
        <v>0.019279</v>
      </c>
      <c r="K350" s="6">
        <v>0.17602705</v>
      </c>
      <c r="L350" s="6">
        <v>0.29549467</v>
      </c>
      <c r="M350" s="6">
        <v>0.24652198</v>
      </c>
      <c r="N350" s="6">
        <v>0.33827791</v>
      </c>
      <c r="O350" s="6">
        <v>0.30437339</v>
      </c>
      <c r="P350" s="6">
        <v>0.2708349</v>
      </c>
      <c r="Q350" s="6">
        <v>0.27499175</v>
      </c>
      <c r="R350" s="6">
        <v>217.69486</v>
      </c>
      <c r="S350" s="6">
        <v>0.0008086</v>
      </c>
      <c r="T350" s="6">
        <v>169.97573</v>
      </c>
      <c r="U350" s="6">
        <v>0.00173845</v>
      </c>
      <c r="V350" s="6">
        <v>197.11803</v>
      </c>
      <c r="W350" s="6">
        <v>0.00125063</v>
      </c>
      <c r="X350" s="6">
        <v>134.47093</v>
      </c>
      <c r="Y350" s="6">
        <v>0.00251562</v>
      </c>
      <c r="Z350" s="6">
        <v>134.86767</v>
      </c>
      <c r="AA350" s="6">
        <v>0.00225683</v>
      </c>
      <c r="AB350" s="6">
        <v>294.9318</v>
      </c>
      <c r="AC350" s="6">
        <v>0.0009183</v>
      </c>
      <c r="AD350" s="6">
        <v>243.86163</v>
      </c>
      <c r="AE350" s="6">
        <v>0.00112765</v>
      </c>
      <c r="AF350" s="6">
        <v>775</v>
      </c>
      <c r="AG350" s="6">
        <v>-0.00575737</v>
      </c>
      <c r="AH350" s="6">
        <v>-0.01104745</v>
      </c>
      <c r="AI350" s="6">
        <v>-0.00835935</v>
      </c>
      <c r="AJ350" s="6">
        <v>-0.01505659</v>
      </c>
      <c r="AK350" s="6">
        <v>-0.01375266</v>
      </c>
      <c r="AL350" s="6">
        <v>-0.00642164</v>
      </c>
      <c r="AM350" s="6">
        <v>-0.00765409</v>
      </c>
      <c r="AN350" s="6">
        <v>-6.4762184</v>
      </c>
      <c r="AO350" s="6">
        <v>-6.4515561</v>
      </c>
      <c r="AP350" s="6">
        <v>-6.4739881</v>
      </c>
      <c r="AQ350" s="6">
        <v>-6.4253629</v>
      </c>
      <c r="AR350" s="6">
        <v>-6.4020076</v>
      </c>
      <c r="AS350" s="6">
        <v>-6.4618417</v>
      </c>
      <c r="AT350" s="6">
        <v>-6.4506396</v>
      </c>
      <c r="AU350" s="6">
        <v>0.97344833</v>
      </c>
      <c r="AV350" s="6">
        <v>0.96974131</v>
      </c>
      <c r="AW350" s="6">
        <v>0.97311308</v>
      </c>
      <c r="AX350" s="6">
        <v>0.96580418</v>
      </c>
      <c r="AY350" s="6">
        <v>0.96229362</v>
      </c>
      <c r="AZ350" s="6">
        <v>0.97128734</v>
      </c>
      <c r="BA350" s="6">
        <v>0.96960354</v>
      </c>
      <c r="BB350" s="6">
        <v>0.02655167</v>
      </c>
      <c r="BC350" s="6">
        <v>0.03025869</v>
      </c>
      <c r="BD350" s="6">
        <v>0.02688692</v>
      </c>
      <c r="BE350" s="6">
        <v>0.03419582</v>
      </c>
      <c r="BF350" s="6">
        <v>0.03770638</v>
      </c>
      <c r="BG350" s="6">
        <v>0.02871266</v>
      </c>
      <c r="BH350" s="6">
        <v>0.03039646</v>
      </c>
      <c r="BI350" s="6">
        <v>0.21470859</v>
      </c>
      <c r="BJ350" s="6">
        <v>0.12366373</v>
      </c>
      <c r="BK350" s="6">
        <v>0.1409291</v>
      </c>
      <c r="BL350" s="6">
        <v>0.12522516</v>
      </c>
      <c r="BM350" s="6">
        <v>0.1592662</v>
      </c>
      <c r="BN350" s="6">
        <v>0.17561655</v>
      </c>
      <c r="BO350" s="6">
        <v>0.1337285</v>
      </c>
      <c r="BP350" s="6">
        <v>0.14157076</v>
      </c>
      <c r="BQ350" s="6">
        <v>0.02176816</v>
      </c>
      <c r="BR350" s="6">
        <v>0.0416438</v>
      </c>
      <c r="BS350" s="6">
        <v>0.03087075</v>
      </c>
      <c r="BT350" s="6">
        <v>0.05387624</v>
      </c>
      <c r="BU350" s="6">
        <v>0.053453</v>
      </c>
      <c r="BV350" s="6">
        <v>0.03621834</v>
      </c>
      <c r="BW350" s="6">
        <v>0.03893079</v>
      </c>
      <c r="BX350" s="12">
        <v>21020.0493265536</v>
      </c>
      <c r="BY350" s="13">
        <v>2598</v>
      </c>
      <c r="BZ350" s="12">
        <v>19125.9</v>
      </c>
      <c r="CA350" s="6">
        <f t="shared" si="30"/>
        <v>8.09085809336166</v>
      </c>
      <c r="CB350" s="6">
        <f t="shared" si="31"/>
        <v>1.09903582715342</v>
      </c>
      <c r="CC350" s="7">
        <v>512796560.3</v>
      </c>
      <c r="CD350" s="7">
        <f t="shared" si="32"/>
        <v>2.68116303180504</v>
      </c>
      <c r="CE350" s="8">
        <v>1641.3</v>
      </c>
      <c r="CF350" s="8">
        <v>4080.8</v>
      </c>
      <c r="CG350" s="8">
        <v>6141.8</v>
      </c>
      <c r="CH350" s="8">
        <v>47867</v>
      </c>
      <c r="CI350" s="14">
        <v>1</v>
      </c>
      <c r="CJ350" s="14">
        <v>1</v>
      </c>
      <c r="CK350" s="14">
        <f t="shared" si="33"/>
        <v>1</v>
      </c>
      <c r="CL350">
        <f t="shared" si="34"/>
        <v>1.2756783895882</v>
      </c>
      <c r="CM350">
        <f t="shared" si="35"/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</row>
    <row r="351" spans="1:101">
      <c r="A351" s="6">
        <v>2024</v>
      </c>
      <c r="B351" s="6" t="s">
        <v>113</v>
      </c>
      <c r="C351" s="6">
        <v>0.40769713</v>
      </c>
      <c r="D351" s="6">
        <v>0.032781</v>
      </c>
      <c r="E351" s="6">
        <v>0.020018</v>
      </c>
      <c r="F351" s="6">
        <v>0.023704</v>
      </c>
      <c r="G351" s="6">
        <v>0.020581</v>
      </c>
      <c r="H351" s="6">
        <v>0.019145</v>
      </c>
      <c r="I351" s="6">
        <v>0.036935</v>
      </c>
      <c r="J351" s="6">
        <v>0.023529</v>
      </c>
      <c r="K351" s="6">
        <v>0.20556994</v>
      </c>
      <c r="L351" s="6">
        <v>0.43277884</v>
      </c>
      <c r="M351" s="6">
        <v>0.32140819</v>
      </c>
      <c r="N351" s="6">
        <v>0.57988715</v>
      </c>
      <c r="O351" s="6">
        <v>0.54667171</v>
      </c>
      <c r="P351" s="6">
        <v>0.32160971</v>
      </c>
      <c r="Q351" s="6">
        <v>0.35082565</v>
      </c>
      <c r="R351" s="6">
        <v>217.69486</v>
      </c>
      <c r="S351" s="6">
        <v>0.0009443</v>
      </c>
      <c r="T351" s="6">
        <v>169.97573</v>
      </c>
      <c r="U351" s="6">
        <v>0.00254612</v>
      </c>
      <c r="V351" s="6">
        <v>197.11803</v>
      </c>
      <c r="W351" s="6">
        <v>0.00163054</v>
      </c>
      <c r="X351" s="6">
        <v>134.47093</v>
      </c>
      <c r="Y351" s="6">
        <v>0.00431236</v>
      </c>
      <c r="Z351" s="6">
        <v>134.86767</v>
      </c>
      <c r="AA351" s="6">
        <v>0.00405339</v>
      </c>
      <c r="AB351" s="6">
        <v>294.9318</v>
      </c>
      <c r="AC351" s="6">
        <v>0.00109045</v>
      </c>
      <c r="AD351" s="6">
        <v>243.86163</v>
      </c>
      <c r="AE351" s="6">
        <v>0.00143863</v>
      </c>
      <c r="AF351" s="6">
        <v>775</v>
      </c>
      <c r="AG351" s="6">
        <v>-0.00657713</v>
      </c>
      <c r="AH351" s="6">
        <v>-0.01520845</v>
      </c>
      <c r="AI351" s="6">
        <v>-0.01046616</v>
      </c>
      <c r="AJ351" s="6">
        <v>-0.02348628</v>
      </c>
      <c r="AK351" s="6">
        <v>-0.02232691</v>
      </c>
      <c r="AL351" s="6">
        <v>-0.00743817</v>
      </c>
      <c r="AM351" s="6">
        <v>-0.00941446</v>
      </c>
      <c r="AN351" s="6">
        <v>-6.4762184</v>
      </c>
      <c r="AO351" s="6">
        <v>-6.4515561</v>
      </c>
      <c r="AP351" s="6">
        <v>-6.4739881</v>
      </c>
      <c r="AQ351" s="6">
        <v>-6.4253629</v>
      </c>
      <c r="AR351" s="6">
        <v>-6.4020076</v>
      </c>
      <c r="AS351" s="6">
        <v>-6.4618417</v>
      </c>
      <c r="AT351" s="6">
        <v>-6.4506396</v>
      </c>
      <c r="AU351" s="6">
        <v>0.97344833</v>
      </c>
      <c r="AV351" s="6">
        <v>0.96974131</v>
      </c>
      <c r="AW351" s="6">
        <v>0.97311308</v>
      </c>
      <c r="AX351" s="6">
        <v>0.96580418</v>
      </c>
      <c r="AY351" s="6">
        <v>0.96229362</v>
      </c>
      <c r="AZ351" s="6">
        <v>0.97128734</v>
      </c>
      <c r="BA351" s="6">
        <v>0.96960354</v>
      </c>
      <c r="BB351" s="6">
        <v>0.02655167</v>
      </c>
      <c r="BC351" s="6">
        <v>0.03025869</v>
      </c>
      <c r="BD351" s="6">
        <v>0.02688692</v>
      </c>
      <c r="BE351" s="6">
        <v>0.03419582</v>
      </c>
      <c r="BF351" s="6">
        <v>0.03770638</v>
      </c>
      <c r="BG351" s="6">
        <v>0.02871266</v>
      </c>
      <c r="BH351" s="6">
        <v>0.03039646</v>
      </c>
      <c r="BI351" s="6">
        <v>0.21470859</v>
      </c>
      <c r="BJ351" s="6">
        <v>0.12366373</v>
      </c>
      <c r="BK351" s="6">
        <v>0.1409291</v>
      </c>
      <c r="BL351" s="6">
        <v>0.12522516</v>
      </c>
      <c r="BM351" s="6">
        <v>0.1592662</v>
      </c>
      <c r="BN351" s="6">
        <v>0.17561655</v>
      </c>
      <c r="BO351" s="6">
        <v>0.1337285</v>
      </c>
      <c r="BP351" s="6">
        <v>0.14157076</v>
      </c>
      <c r="BQ351" s="6">
        <v>0.02542155</v>
      </c>
      <c r="BR351" s="6">
        <v>0.06099113</v>
      </c>
      <c r="BS351" s="6">
        <v>0.04024839</v>
      </c>
      <c r="BT351" s="6">
        <v>0.09235642</v>
      </c>
      <c r="BU351" s="6">
        <v>0.0960046</v>
      </c>
      <c r="BV351" s="6">
        <v>0.04300838</v>
      </c>
      <c r="BW351" s="6">
        <v>0.04966666</v>
      </c>
      <c r="BX351" s="12">
        <v>21699.4624354048</v>
      </c>
      <c r="BY351" s="13">
        <v>2623</v>
      </c>
      <c r="BZ351" s="12">
        <v>20534.1</v>
      </c>
      <c r="CA351" s="6">
        <f t="shared" si="30"/>
        <v>8.27276493915547</v>
      </c>
      <c r="CB351" s="6">
        <f t="shared" si="31"/>
        <v>1.05675254505456</v>
      </c>
      <c r="CC351" s="7">
        <v>510683439.5</v>
      </c>
      <c r="CD351" s="7">
        <f t="shared" si="32"/>
        <v>2.48700181405564</v>
      </c>
      <c r="CE351" s="8">
        <v>1621.7</v>
      </c>
      <c r="CF351" s="8">
        <v>4436.4</v>
      </c>
      <c r="CG351" s="8">
        <v>6944.8</v>
      </c>
      <c r="CH351" s="8">
        <v>52825</v>
      </c>
      <c r="CI351" s="14">
        <v>1</v>
      </c>
      <c r="CJ351" s="14">
        <v>1</v>
      </c>
      <c r="CK351" s="14">
        <f t="shared" si="33"/>
        <v>1</v>
      </c>
      <c r="CL351">
        <f t="shared" si="34"/>
        <v>1.21200651315194</v>
      </c>
      <c r="CM351">
        <f t="shared" si="35"/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</row>
    <row r="352" spans="1:101">
      <c r="A352" s="6">
        <v>2000</v>
      </c>
      <c r="B352" s="6" t="s">
        <v>114</v>
      </c>
      <c r="C352" s="6">
        <v>0.17594047</v>
      </c>
      <c r="D352" s="6">
        <v>0.032857</v>
      </c>
      <c r="E352" s="6">
        <v>0.008455</v>
      </c>
      <c r="F352" s="6">
        <v>0.014907</v>
      </c>
      <c r="G352" s="6">
        <v>0.005201</v>
      </c>
      <c r="H352" s="6">
        <v>0.004295</v>
      </c>
      <c r="I352" s="6">
        <v>0.032876</v>
      </c>
      <c r="J352" s="6">
        <v>0.016052</v>
      </c>
      <c r="K352" s="6">
        <v>0.20616641</v>
      </c>
      <c r="L352" s="6">
        <v>0.15939895</v>
      </c>
      <c r="M352" s="6">
        <v>0.18619674</v>
      </c>
      <c r="N352" s="6">
        <v>0.12524459</v>
      </c>
      <c r="O352" s="6">
        <v>0.09665567</v>
      </c>
      <c r="P352" s="6">
        <v>0.27639682</v>
      </c>
      <c r="Q352" s="6">
        <v>0.21742484</v>
      </c>
      <c r="R352" s="6">
        <v>217.69486</v>
      </c>
      <c r="S352" s="6">
        <v>0.00094704</v>
      </c>
      <c r="T352" s="6">
        <v>169.97573</v>
      </c>
      <c r="U352" s="6">
        <v>0.00093777</v>
      </c>
      <c r="V352" s="6">
        <v>197.11803</v>
      </c>
      <c r="W352" s="6">
        <v>0.0009446</v>
      </c>
      <c r="X352" s="6">
        <v>134.47093</v>
      </c>
      <c r="Y352" s="6">
        <v>0.00093139</v>
      </c>
      <c r="Z352" s="6">
        <v>134.86767</v>
      </c>
      <c r="AA352" s="6">
        <v>0.00071667</v>
      </c>
      <c r="AB352" s="6">
        <v>294.9318</v>
      </c>
      <c r="AC352" s="6">
        <v>0.00093716</v>
      </c>
      <c r="AD352" s="6">
        <v>243.86163</v>
      </c>
      <c r="AE352" s="6">
        <v>0.00089159</v>
      </c>
      <c r="AF352" s="6">
        <v>775</v>
      </c>
      <c r="AG352" s="6">
        <v>-0.00659347</v>
      </c>
      <c r="AH352" s="6">
        <v>-0.00653817</v>
      </c>
      <c r="AI352" s="6">
        <v>-0.00657887</v>
      </c>
      <c r="AJ352" s="6">
        <v>-0.0065</v>
      </c>
      <c r="AK352" s="6">
        <v>-0.00518934</v>
      </c>
      <c r="AL352" s="6">
        <v>-0.00653447</v>
      </c>
      <c r="AM352" s="6">
        <v>-0.0062612</v>
      </c>
      <c r="AN352" s="6">
        <v>-6.4762184</v>
      </c>
      <c r="AO352" s="6">
        <v>-6.4515561</v>
      </c>
      <c r="AP352" s="6">
        <v>-6.4739881</v>
      </c>
      <c r="AQ352" s="6">
        <v>-6.4253629</v>
      </c>
      <c r="AR352" s="6">
        <v>-6.4020076</v>
      </c>
      <c r="AS352" s="6">
        <v>-6.4618417</v>
      </c>
      <c r="AT352" s="6">
        <v>-6.4506396</v>
      </c>
      <c r="AU352" s="6">
        <v>0.97344833</v>
      </c>
      <c r="AV352" s="6">
        <v>0.96974131</v>
      </c>
      <c r="AW352" s="6">
        <v>0.97311308</v>
      </c>
      <c r="AX352" s="6">
        <v>0.96580418</v>
      </c>
      <c r="AY352" s="6">
        <v>0.96229362</v>
      </c>
      <c r="AZ352" s="6">
        <v>0.97128734</v>
      </c>
      <c r="BA352" s="6">
        <v>0.96960354</v>
      </c>
      <c r="BB352" s="6">
        <v>0.02655167</v>
      </c>
      <c r="BC352" s="6">
        <v>0.03025869</v>
      </c>
      <c r="BD352" s="6">
        <v>0.02688692</v>
      </c>
      <c r="BE352" s="6">
        <v>0.03419582</v>
      </c>
      <c r="BF352" s="6">
        <v>0.03770638</v>
      </c>
      <c r="BG352" s="6">
        <v>0.02871266</v>
      </c>
      <c r="BH352" s="6">
        <v>0.03039646</v>
      </c>
      <c r="BI352" s="6">
        <v>0.21470859</v>
      </c>
      <c r="BJ352" s="6">
        <v>0.12366373</v>
      </c>
      <c r="BK352" s="6">
        <v>0.1409291</v>
      </c>
      <c r="BL352" s="6">
        <v>0.12522516</v>
      </c>
      <c r="BM352" s="6">
        <v>0.1592662</v>
      </c>
      <c r="BN352" s="6">
        <v>0.17561655</v>
      </c>
      <c r="BO352" s="6">
        <v>0.1337285</v>
      </c>
      <c r="BP352" s="6">
        <v>0.14157076</v>
      </c>
      <c r="BQ352" s="6">
        <v>0.02549531</v>
      </c>
      <c r="BR352" s="6">
        <v>0.02246395</v>
      </c>
      <c r="BS352" s="6">
        <v>0.02331652</v>
      </c>
      <c r="BT352" s="6">
        <v>0.01994723</v>
      </c>
      <c r="BU352" s="6">
        <v>0.01697434</v>
      </c>
      <c r="BV352" s="6">
        <v>0.03696213</v>
      </c>
      <c r="BW352" s="6">
        <v>0.030781</v>
      </c>
      <c r="BX352" s="12">
        <v>8612</v>
      </c>
      <c r="BY352" s="13">
        <v>7327.24</v>
      </c>
      <c r="BZ352" s="12">
        <v>8582.72763</v>
      </c>
      <c r="CA352" s="6">
        <f t="shared" si="30"/>
        <v>1.17534023725168</v>
      </c>
      <c r="CB352" s="6">
        <f t="shared" si="31"/>
        <v>1.00341061388196</v>
      </c>
      <c r="CC352" s="7">
        <v>278077897.8</v>
      </c>
      <c r="CD352" s="7">
        <f t="shared" si="32"/>
        <v>3.23997113491064</v>
      </c>
      <c r="CE352" s="8">
        <v>1252.1</v>
      </c>
      <c r="CF352" s="8">
        <v>4120.2</v>
      </c>
      <c r="CG352" s="8">
        <v>2905.8</v>
      </c>
      <c r="CH352" s="8">
        <v>9260</v>
      </c>
      <c r="CI352" s="14">
        <v>0</v>
      </c>
      <c r="CJ352" s="14">
        <v>0</v>
      </c>
      <c r="CK352" s="14">
        <f t="shared" si="33"/>
        <v>0</v>
      </c>
      <c r="CL352">
        <f t="shared" si="34"/>
        <v>4.53658228674969</v>
      </c>
      <c r="CM352">
        <f t="shared" si="35"/>
        <v>0.285812329609043</v>
      </c>
      <c r="CN352" s="15">
        <v>8612.43</v>
      </c>
      <c r="CO352" s="15">
        <v>8769.8</v>
      </c>
      <c r="CP352" s="15">
        <v>383.69</v>
      </c>
      <c r="CQ352" s="15">
        <v>1376.65</v>
      </c>
      <c r="CR352" s="15">
        <v>187.3</v>
      </c>
      <c r="CS352" s="15">
        <v>38.94</v>
      </c>
      <c r="CT352" s="15">
        <v>345.02</v>
      </c>
      <c r="CU352" s="15">
        <v>202.44</v>
      </c>
      <c r="CV352" s="15">
        <v>0.24</v>
      </c>
      <c r="CW352" s="15">
        <v>971.34</v>
      </c>
    </row>
    <row r="353" spans="1:101">
      <c r="A353" s="6">
        <v>2001</v>
      </c>
      <c r="B353" s="6" t="s">
        <v>114</v>
      </c>
      <c r="C353" s="6">
        <v>0.21389944</v>
      </c>
      <c r="D353" s="6">
        <v>0.037024</v>
      </c>
      <c r="E353" s="6">
        <v>0.009006</v>
      </c>
      <c r="F353" s="6">
        <v>0.016297</v>
      </c>
      <c r="G353" s="6">
        <v>0.005764</v>
      </c>
      <c r="H353" s="6">
        <v>0.005957</v>
      </c>
      <c r="I353" s="6">
        <v>0.039632</v>
      </c>
      <c r="J353" s="6">
        <v>0.019157</v>
      </c>
      <c r="K353" s="6">
        <v>0.23885078</v>
      </c>
      <c r="L353" s="6">
        <v>0.1724341</v>
      </c>
      <c r="M353" s="6">
        <v>0.20755848</v>
      </c>
      <c r="N353" s="6">
        <v>0.14189328</v>
      </c>
      <c r="O353" s="6">
        <v>0.14703199</v>
      </c>
      <c r="P353" s="6">
        <v>0.35165063</v>
      </c>
      <c r="Q353" s="6">
        <v>0.2728245</v>
      </c>
      <c r="R353" s="6">
        <v>217.69486</v>
      </c>
      <c r="S353" s="6">
        <v>0.00109718</v>
      </c>
      <c r="T353" s="6">
        <v>169.97573</v>
      </c>
      <c r="U353" s="6">
        <v>0.00101446</v>
      </c>
      <c r="V353" s="6">
        <v>197.11803</v>
      </c>
      <c r="W353" s="6">
        <v>0.00105297</v>
      </c>
      <c r="X353" s="6">
        <v>134.47093</v>
      </c>
      <c r="Y353" s="6">
        <v>0.0010552</v>
      </c>
      <c r="Z353" s="6">
        <v>134.86767</v>
      </c>
      <c r="AA353" s="6">
        <v>0.00109019</v>
      </c>
      <c r="AB353" s="6">
        <v>294.9318</v>
      </c>
      <c r="AC353" s="6">
        <v>0.00119231</v>
      </c>
      <c r="AD353" s="6">
        <v>243.86163</v>
      </c>
      <c r="AE353" s="6">
        <v>0.00111877</v>
      </c>
      <c r="AF353" s="6">
        <v>775</v>
      </c>
      <c r="AG353" s="6">
        <v>-0.0074773</v>
      </c>
      <c r="AH353" s="6">
        <v>-0.0069931</v>
      </c>
      <c r="AI353" s="6">
        <v>-0.00721928</v>
      </c>
      <c r="AJ353" s="6">
        <v>-0.00723235</v>
      </c>
      <c r="AK353" s="6">
        <v>-0.00743665</v>
      </c>
      <c r="AL353" s="6">
        <v>-0.00802648</v>
      </c>
      <c r="AM353" s="6">
        <v>-0.00760262</v>
      </c>
      <c r="AN353" s="6">
        <v>-6.4762184</v>
      </c>
      <c r="AO353" s="6">
        <v>-6.4515561</v>
      </c>
      <c r="AP353" s="6">
        <v>-6.4739881</v>
      </c>
      <c r="AQ353" s="6">
        <v>-6.4253629</v>
      </c>
      <c r="AR353" s="6">
        <v>-6.4020076</v>
      </c>
      <c r="AS353" s="6">
        <v>-6.4618417</v>
      </c>
      <c r="AT353" s="6">
        <v>-6.4506396</v>
      </c>
      <c r="AU353" s="6">
        <v>0.97344833</v>
      </c>
      <c r="AV353" s="6">
        <v>0.96974131</v>
      </c>
      <c r="AW353" s="6">
        <v>0.97311308</v>
      </c>
      <c r="AX353" s="6">
        <v>0.96580418</v>
      </c>
      <c r="AY353" s="6">
        <v>0.96229362</v>
      </c>
      <c r="AZ353" s="6">
        <v>0.97128734</v>
      </c>
      <c r="BA353" s="6">
        <v>0.96960354</v>
      </c>
      <c r="BB353" s="6">
        <v>0.02655167</v>
      </c>
      <c r="BC353" s="6">
        <v>0.03025869</v>
      </c>
      <c r="BD353" s="6">
        <v>0.02688692</v>
      </c>
      <c r="BE353" s="6">
        <v>0.03419582</v>
      </c>
      <c r="BF353" s="6">
        <v>0.03770638</v>
      </c>
      <c r="BG353" s="6">
        <v>0.02871266</v>
      </c>
      <c r="BH353" s="6">
        <v>0.03039646</v>
      </c>
      <c r="BI353" s="6">
        <v>0.21470859</v>
      </c>
      <c r="BJ353" s="6">
        <v>0.12366373</v>
      </c>
      <c r="BK353" s="6">
        <v>0.1409291</v>
      </c>
      <c r="BL353" s="6">
        <v>0.12522516</v>
      </c>
      <c r="BM353" s="6">
        <v>0.1592662</v>
      </c>
      <c r="BN353" s="6">
        <v>0.17561655</v>
      </c>
      <c r="BO353" s="6">
        <v>0.1337285</v>
      </c>
      <c r="BP353" s="6">
        <v>0.14157076</v>
      </c>
      <c r="BQ353" s="6">
        <v>0.02953718</v>
      </c>
      <c r="BR353" s="6">
        <v>0.02430098</v>
      </c>
      <c r="BS353" s="6">
        <v>0.02599154</v>
      </c>
      <c r="BT353" s="6">
        <v>0.0225988</v>
      </c>
      <c r="BU353" s="6">
        <v>0.02582125</v>
      </c>
      <c r="BV353" s="6">
        <v>0.04702571</v>
      </c>
      <c r="BW353" s="6">
        <v>0.03862397</v>
      </c>
      <c r="BX353" s="12">
        <v>8881</v>
      </c>
      <c r="BY353" s="13">
        <v>7358.52</v>
      </c>
      <c r="BZ353" s="12">
        <v>9456.84</v>
      </c>
      <c r="CA353" s="6">
        <f t="shared" si="30"/>
        <v>1.20690030060393</v>
      </c>
      <c r="CB353" s="6">
        <f t="shared" si="31"/>
        <v>0.939108624022401</v>
      </c>
      <c r="CC353" s="7">
        <v>296178708</v>
      </c>
      <c r="CD353" s="7">
        <f t="shared" si="32"/>
        <v>3.13189932366414</v>
      </c>
      <c r="CE353" s="8">
        <v>1340.5</v>
      </c>
      <c r="CF353" s="8">
        <v>4466.7</v>
      </c>
      <c r="CG353" s="8">
        <v>3269</v>
      </c>
      <c r="CH353" s="8">
        <v>10063</v>
      </c>
      <c r="CI353" s="14">
        <v>0</v>
      </c>
      <c r="CJ353" s="14">
        <v>0</v>
      </c>
      <c r="CK353" s="14">
        <f t="shared" si="33"/>
        <v>0</v>
      </c>
      <c r="CL353">
        <f t="shared" si="34"/>
        <v>4.16809156222866</v>
      </c>
      <c r="CM353">
        <f t="shared" si="35"/>
        <v>0.248601121903012</v>
      </c>
      <c r="CN353" s="15">
        <v>8881</v>
      </c>
      <c r="CO353" s="15">
        <v>8963</v>
      </c>
      <c r="CP353" s="15">
        <v>374.61</v>
      </c>
      <c r="CQ353" s="15">
        <v>1317.61</v>
      </c>
      <c r="CR353" s="15">
        <v>247.71</v>
      </c>
      <c r="CS353" s="15">
        <v>6.08</v>
      </c>
      <c r="CT353" s="15">
        <v>355.95</v>
      </c>
      <c r="CU353" s="15">
        <v>170.64</v>
      </c>
      <c r="CV353" s="15">
        <v>0.23</v>
      </c>
      <c r="CW353" s="15">
        <v>1078.44</v>
      </c>
    </row>
    <row r="354" spans="1:101">
      <c r="A354" s="6">
        <v>2002</v>
      </c>
      <c r="B354" s="6" t="s">
        <v>114</v>
      </c>
      <c r="C354" s="6">
        <v>0.21589839</v>
      </c>
      <c r="D354" s="6">
        <v>0.037546</v>
      </c>
      <c r="E354" s="6">
        <v>0.009263</v>
      </c>
      <c r="F354" s="6">
        <v>0.017201</v>
      </c>
      <c r="G354" s="6">
        <v>0.005791</v>
      </c>
      <c r="H354" s="6">
        <v>0.005292</v>
      </c>
      <c r="I354" s="6">
        <v>0.039884</v>
      </c>
      <c r="J354" s="6">
        <v>0.019924</v>
      </c>
      <c r="K354" s="6">
        <v>0.24294872</v>
      </c>
      <c r="L354" s="6">
        <v>0.17850358</v>
      </c>
      <c r="M354" s="6">
        <v>0.22145119</v>
      </c>
      <c r="N354" s="6">
        <v>0.14269741</v>
      </c>
      <c r="O354" s="6">
        <v>0.12686721</v>
      </c>
      <c r="P354" s="6">
        <v>0.35444676</v>
      </c>
      <c r="Q354" s="6">
        <v>0.28650226</v>
      </c>
      <c r="R354" s="6">
        <v>217.69486</v>
      </c>
      <c r="S354" s="6">
        <v>0.00111601</v>
      </c>
      <c r="T354" s="6">
        <v>169.97573</v>
      </c>
      <c r="U354" s="6">
        <v>0.00105017</v>
      </c>
      <c r="V354" s="6">
        <v>197.11803</v>
      </c>
      <c r="W354" s="6">
        <v>0.00112344</v>
      </c>
      <c r="X354" s="6">
        <v>134.47093</v>
      </c>
      <c r="Y354" s="6">
        <v>0.00106118</v>
      </c>
      <c r="Z354" s="6">
        <v>134.86767</v>
      </c>
      <c r="AA354" s="6">
        <v>0.00094068</v>
      </c>
      <c r="AB354" s="6">
        <v>294.9318</v>
      </c>
      <c r="AC354" s="6">
        <v>0.00120179</v>
      </c>
      <c r="AD354" s="6">
        <v>243.86163</v>
      </c>
      <c r="AE354" s="6">
        <v>0.00117486</v>
      </c>
      <c r="AF354" s="6">
        <v>775</v>
      </c>
      <c r="AG354" s="6">
        <v>-0.00758661</v>
      </c>
      <c r="AH354" s="6">
        <v>-0.00720292</v>
      </c>
      <c r="AI354" s="6">
        <v>-0.00762971</v>
      </c>
      <c r="AJ354" s="6">
        <v>-0.00726734</v>
      </c>
      <c r="AK354" s="6">
        <v>-0.00655551</v>
      </c>
      <c r="AL354" s="6">
        <v>-0.00808078</v>
      </c>
      <c r="AM354" s="6">
        <v>-0.00792629</v>
      </c>
      <c r="AN354" s="6">
        <v>-6.4762184</v>
      </c>
      <c r="AO354" s="6">
        <v>-6.4515561</v>
      </c>
      <c r="AP354" s="6">
        <v>-6.4739881</v>
      </c>
      <c r="AQ354" s="6">
        <v>-6.4253629</v>
      </c>
      <c r="AR354" s="6">
        <v>-6.4020076</v>
      </c>
      <c r="AS354" s="6">
        <v>-6.4618417</v>
      </c>
      <c r="AT354" s="6">
        <v>-6.4506396</v>
      </c>
      <c r="AU354" s="6">
        <v>0.97344833</v>
      </c>
      <c r="AV354" s="6">
        <v>0.96974131</v>
      </c>
      <c r="AW354" s="6">
        <v>0.97311308</v>
      </c>
      <c r="AX354" s="6">
        <v>0.96580418</v>
      </c>
      <c r="AY354" s="6">
        <v>0.96229362</v>
      </c>
      <c r="AZ354" s="6">
        <v>0.97128734</v>
      </c>
      <c r="BA354" s="6">
        <v>0.96960354</v>
      </c>
      <c r="BB354" s="6">
        <v>0.02655167</v>
      </c>
      <c r="BC354" s="6">
        <v>0.03025869</v>
      </c>
      <c r="BD354" s="6">
        <v>0.02688692</v>
      </c>
      <c r="BE354" s="6">
        <v>0.03419582</v>
      </c>
      <c r="BF354" s="6">
        <v>0.03770638</v>
      </c>
      <c r="BG354" s="6">
        <v>0.02871266</v>
      </c>
      <c r="BH354" s="6">
        <v>0.03039646</v>
      </c>
      <c r="BI354" s="6">
        <v>0.21470859</v>
      </c>
      <c r="BJ354" s="6">
        <v>0.12366373</v>
      </c>
      <c r="BK354" s="6">
        <v>0.1409291</v>
      </c>
      <c r="BL354" s="6">
        <v>0.12522516</v>
      </c>
      <c r="BM354" s="6">
        <v>0.1592662</v>
      </c>
      <c r="BN354" s="6">
        <v>0.17561655</v>
      </c>
      <c r="BO354" s="6">
        <v>0.1337285</v>
      </c>
      <c r="BP354" s="6">
        <v>0.14157076</v>
      </c>
      <c r="BQ354" s="6">
        <v>0.03004395</v>
      </c>
      <c r="BR354" s="6">
        <v>0.02515635</v>
      </c>
      <c r="BS354" s="6">
        <v>0.02773126</v>
      </c>
      <c r="BT354" s="6">
        <v>0.02272687</v>
      </c>
      <c r="BU354" s="6">
        <v>0.02227998</v>
      </c>
      <c r="BV354" s="6">
        <v>0.04739963</v>
      </c>
      <c r="BW354" s="6">
        <v>0.04056034</v>
      </c>
      <c r="BX354" s="12">
        <v>9609</v>
      </c>
      <c r="BY354" s="13">
        <v>7405.5</v>
      </c>
      <c r="BZ354" s="12">
        <v>10606.85</v>
      </c>
      <c r="CA354" s="6">
        <f t="shared" si="30"/>
        <v>1.29754911889812</v>
      </c>
      <c r="CB354" s="6">
        <f t="shared" si="31"/>
        <v>0.905924001942141</v>
      </c>
      <c r="CC354" s="7">
        <v>311325995.4</v>
      </c>
      <c r="CD354" s="7">
        <f t="shared" si="32"/>
        <v>2.93514092685387</v>
      </c>
      <c r="CE354" s="8">
        <v>1369.2</v>
      </c>
      <c r="CF354" s="8">
        <v>5037.6</v>
      </c>
      <c r="CG354" s="8">
        <v>3669.7</v>
      </c>
      <c r="CH354" s="8">
        <v>11120</v>
      </c>
      <c r="CI354" s="14">
        <v>0</v>
      </c>
      <c r="CJ354" s="14">
        <v>0</v>
      </c>
      <c r="CK354" s="14">
        <f t="shared" si="33"/>
        <v>0</v>
      </c>
      <c r="CL354">
        <f t="shared" si="34"/>
        <v>4.06804884448575</v>
      </c>
      <c r="CM354">
        <f t="shared" si="35"/>
        <v>0.278489261299687</v>
      </c>
      <c r="CN354" s="15">
        <v>9609</v>
      </c>
      <c r="CO354" s="15">
        <v>9663</v>
      </c>
      <c r="CP354" s="15">
        <v>398.92</v>
      </c>
      <c r="CQ354" s="15">
        <v>1407.68</v>
      </c>
      <c r="CR354" s="15">
        <v>293.39</v>
      </c>
      <c r="CS354" s="15">
        <v>6.52</v>
      </c>
      <c r="CT354" s="15">
        <v>379.28</v>
      </c>
      <c r="CU354" s="15">
        <v>181.52</v>
      </c>
      <c r="CV354" s="15">
        <v>1.01</v>
      </c>
      <c r="CW354" s="15">
        <v>1244.6</v>
      </c>
    </row>
    <row r="355" spans="1:101">
      <c r="A355" s="6">
        <v>2003</v>
      </c>
      <c r="B355" s="6" t="s">
        <v>114</v>
      </c>
      <c r="C355" s="6">
        <v>0.19873116</v>
      </c>
      <c r="D355" s="6">
        <v>0.033177</v>
      </c>
      <c r="E355" s="6">
        <v>0.008489</v>
      </c>
      <c r="F355" s="6">
        <v>0.015083</v>
      </c>
      <c r="G355" s="6">
        <v>0.005488</v>
      </c>
      <c r="H355" s="6">
        <v>0.004118</v>
      </c>
      <c r="I355" s="6">
        <v>0.038201</v>
      </c>
      <c r="J355" s="6">
        <v>0.021471</v>
      </c>
      <c r="K355" s="6">
        <v>0.20867581</v>
      </c>
      <c r="L355" s="6">
        <v>0.1602027</v>
      </c>
      <c r="M355" s="6">
        <v>0.18889783</v>
      </c>
      <c r="N355" s="6">
        <v>0.13373074</v>
      </c>
      <c r="O355" s="6">
        <v>0.09129434</v>
      </c>
      <c r="P355" s="6">
        <v>0.33570264</v>
      </c>
      <c r="Q355" s="6">
        <v>0.31411114</v>
      </c>
      <c r="R355" s="6">
        <v>217.69486</v>
      </c>
      <c r="S355" s="6">
        <v>0.00095857</v>
      </c>
      <c r="T355" s="6">
        <v>169.97573</v>
      </c>
      <c r="U355" s="6">
        <v>0.0009425</v>
      </c>
      <c r="V355" s="6">
        <v>197.11803</v>
      </c>
      <c r="W355" s="6">
        <v>0.0009583</v>
      </c>
      <c r="X355" s="6">
        <v>134.47093</v>
      </c>
      <c r="Y355" s="6">
        <v>0.0009945</v>
      </c>
      <c r="Z355" s="6">
        <v>134.86767</v>
      </c>
      <c r="AA355" s="6">
        <v>0.00067692</v>
      </c>
      <c r="AB355" s="6">
        <v>294.9318</v>
      </c>
      <c r="AC355" s="6">
        <v>0.00113824</v>
      </c>
      <c r="AD355" s="6">
        <v>243.86163</v>
      </c>
      <c r="AE355" s="6">
        <v>0.00128807</v>
      </c>
      <c r="AF355" s="6">
        <v>775</v>
      </c>
      <c r="AG355" s="6">
        <v>-0.00666213</v>
      </c>
      <c r="AH355" s="6">
        <v>-0.00656639</v>
      </c>
      <c r="AI355" s="6">
        <v>-0.00666051</v>
      </c>
      <c r="AJ355" s="6">
        <v>-0.00687522</v>
      </c>
      <c r="AK355" s="6">
        <v>-0.00494012</v>
      </c>
      <c r="AL355" s="6">
        <v>-0.00771529</v>
      </c>
      <c r="AM355" s="6">
        <v>-0.00857161</v>
      </c>
      <c r="AN355" s="6">
        <v>-6.4762184</v>
      </c>
      <c r="AO355" s="6">
        <v>-6.4515561</v>
      </c>
      <c r="AP355" s="6">
        <v>-6.4739881</v>
      </c>
      <c r="AQ355" s="6">
        <v>-6.4253629</v>
      </c>
      <c r="AR355" s="6">
        <v>-6.4020076</v>
      </c>
      <c r="AS355" s="6">
        <v>-6.4618417</v>
      </c>
      <c r="AT355" s="6">
        <v>-6.4506396</v>
      </c>
      <c r="AU355" s="6">
        <v>0.97344833</v>
      </c>
      <c r="AV355" s="6">
        <v>0.96974131</v>
      </c>
      <c r="AW355" s="6">
        <v>0.97311308</v>
      </c>
      <c r="AX355" s="6">
        <v>0.96580418</v>
      </c>
      <c r="AY355" s="6">
        <v>0.96229362</v>
      </c>
      <c r="AZ355" s="6">
        <v>0.97128734</v>
      </c>
      <c r="BA355" s="6">
        <v>0.96960354</v>
      </c>
      <c r="BB355" s="6">
        <v>0.02655167</v>
      </c>
      <c r="BC355" s="6">
        <v>0.03025869</v>
      </c>
      <c r="BD355" s="6">
        <v>0.02688692</v>
      </c>
      <c r="BE355" s="6">
        <v>0.03419582</v>
      </c>
      <c r="BF355" s="6">
        <v>0.03770638</v>
      </c>
      <c r="BG355" s="6">
        <v>0.02871266</v>
      </c>
      <c r="BH355" s="6">
        <v>0.03039646</v>
      </c>
      <c r="BI355" s="6">
        <v>0.21470859</v>
      </c>
      <c r="BJ355" s="6">
        <v>0.12366373</v>
      </c>
      <c r="BK355" s="6">
        <v>0.1409291</v>
      </c>
      <c r="BL355" s="6">
        <v>0.12522516</v>
      </c>
      <c r="BM355" s="6">
        <v>0.1592662</v>
      </c>
      <c r="BN355" s="6">
        <v>0.17561655</v>
      </c>
      <c r="BO355" s="6">
        <v>0.1337285</v>
      </c>
      <c r="BP355" s="6">
        <v>0.14157076</v>
      </c>
      <c r="BQ355" s="6">
        <v>0.02580563</v>
      </c>
      <c r="BR355" s="6">
        <v>0.02257722</v>
      </c>
      <c r="BS355" s="6">
        <v>0.02365476</v>
      </c>
      <c r="BT355" s="6">
        <v>0.02129879</v>
      </c>
      <c r="BU355" s="6">
        <v>0.0160328</v>
      </c>
      <c r="BV355" s="6">
        <v>0.04489301</v>
      </c>
      <c r="BW355" s="6">
        <v>0.04446895</v>
      </c>
      <c r="BX355" s="12">
        <v>11060</v>
      </c>
      <c r="BY355" s="13">
        <v>7457.7</v>
      </c>
      <c r="BZ355" s="12">
        <v>12442.87</v>
      </c>
      <c r="CA355" s="6">
        <f t="shared" si="30"/>
        <v>1.48303096128833</v>
      </c>
      <c r="CB355" s="6">
        <f t="shared" si="31"/>
        <v>0.888862456973351</v>
      </c>
      <c r="CC355" s="7">
        <v>362865736.3</v>
      </c>
      <c r="CD355" s="7">
        <f t="shared" si="32"/>
        <v>2.91625433923203</v>
      </c>
      <c r="CE355" s="8">
        <v>1457</v>
      </c>
      <c r="CF355" s="8">
        <v>5720</v>
      </c>
      <c r="CG355" s="8">
        <v>3726.2</v>
      </c>
      <c r="CH355" s="8">
        <v>11977</v>
      </c>
      <c r="CI355" s="14">
        <v>0</v>
      </c>
      <c r="CJ355" s="14">
        <v>0</v>
      </c>
      <c r="CK355" s="14">
        <f t="shared" si="33"/>
        <v>0</v>
      </c>
      <c r="CL355">
        <f t="shared" si="34"/>
        <v>4.08414499624993</v>
      </c>
      <c r="CM355">
        <f t="shared" si="35"/>
        <v>0.285957197428167</v>
      </c>
      <c r="CN355" s="15">
        <v>11060.15</v>
      </c>
      <c r="CO355" s="15">
        <v>10848.82</v>
      </c>
      <c r="CP355" s="15">
        <v>448.06</v>
      </c>
      <c r="CQ355" s="15">
        <v>1714.54</v>
      </c>
      <c r="CR355" s="15">
        <v>339.17</v>
      </c>
      <c r="CS355" s="15">
        <v>14.92</v>
      </c>
      <c r="CT355" s="15">
        <v>413.94</v>
      </c>
      <c r="CU355" s="15">
        <v>216.31</v>
      </c>
      <c r="CV355" s="15">
        <v>0.62</v>
      </c>
      <c r="CW355" s="15">
        <v>1505.13</v>
      </c>
    </row>
    <row r="356" spans="1:101">
      <c r="A356" s="6">
        <v>2004</v>
      </c>
      <c r="B356" s="6" t="s">
        <v>114</v>
      </c>
      <c r="C356" s="6">
        <v>0.21954251</v>
      </c>
      <c r="D356" s="6">
        <v>0.037102</v>
      </c>
      <c r="E356" s="6">
        <v>0.009844</v>
      </c>
      <c r="F356" s="6">
        <v>0.016307</v>
      </c>
      <c r="G356" s="6">
        <v>0.005234</v>
      </c>
      <c r="H356" s="6">
        <v>0.005717</v>
      </c>
      <c r="I356" s="6">
        <v>0.041669</v>
      </c>
      <c r="J356" s="6">
        <v>0.020542</v>
      </c>
      <c r="K356" s="6">
        <v>0.23946377</v>
      </c>
      <c r="L356" s="6">
        <v>0.19225038</v>
      </c>
      <c r="M356" s="6">
        <v>0.20772398</v>
      </c>
      <c r="N356" s="6">
        <v>0.12621937</v>
      </c>
      <c r="O356" s="6">
        <v>0.13974292</v>
      </c>
      <c r="P356" s="6">
        <v>0.3743324</v>
      </c>
      <c r="Q356" s="6">
        <v>0.2975263</v>
      </c>
      <c r="R356" s="6">
        <v>217.69486</v>
      </c>
      <c r="S356" s="6">
        <v>0.0011</v>
      </c>
      <c r="T356" s="6">
        <v>169.97573</v>
      </c>
      <c r="U356" s="6">
        <v>0.00113105</v>
      </c>
      <c r="V356" s="6">
        <v>197.11803</v>
      </c>
      <c r="W356" s="6">
        <v>0.00105381</v>
      </c>
      <c r="X356" s="6">
        <v>134.47093</v>
      </c>
      <c r="Y356" s="6">
        <v>0.00093864</v>
      </c>
      <c r="Z356" s="6">
        <v>134.86767</v>
      </c>
      <c r="AA356" s="6">
        <v>0.00103615</v>
      </c>
      <c r="AB356" s="6">
        <v>294.9318</v>
      </c>
      <c r="AC356" s="6">
        <v>0.00126922</v>
      </c>
      <c r="AD356" s="6">
        <v>243.86163</v>
      </c>
      <c r="AE356" s="6">
        <v>0.00122006</v>
      </c>
      <c r="AF356" s="6">
        <v>775</v>
      </c>
      <c r="AG356" s="6">
        <v>-0.00749367</v>
      </c>
      <c r="AH356" s="6">
        <v>-0.00767371</v>
      </c>
      <c r="AI356" s="6">
        <v>-0.0072242</v>
      </c>
      <c r="AJ356" s="6">
        <v>-0.00654331</v>
      </c>
      <c r="AK356" s="6">
        <v>-0.00712067</v>
      </c>
      <c r="AL356" s="6">
        <v>-0.00846486</v>
      </c>
      <c r="AM356" s="6">
        <v>-0.00818522</v>
      </c>
      <c r="AN356" s="6">
        <v>-6.4762184</v>
      </c>
      <c r="AO356" s="6">
        <v>-6.4515561</v>
      </c>
      <c r="AP356" s="6">
        <v>-6.4739881</v>
      </c>
      <c r="AQ356" s="6">
        <v>-6.4253629</v>
      </c>
      <c r="AR356" s="6">
        <v>-6.4020076</v>
      </c>
      <c r="AS356" s="6">
        <v>-6.4618417</v>
      </c>
      <c r="AT356" s="6">
        <v>-6.4506396</v>
      </c>
      <c r="AU356" s="6">
        <v>0.97344833</v>
      </c>
      <c r="AV356" s="6">
        <v>0.96974131</v>
      </c>
      <c r="AW356" s="6">
        <v>0.97311308</v>
      </c>
      <c r="AX356" s="6">
        <v>0.96580418</v>
      </c>
      <c r="AY356" s="6">
        <v>0.96229362</v>
      </c>
      <c r="AZ356" s="6">
        <v>0.97128734</v>
      </c>
      <c r="BA356" s="6">
        <v>0.96960354</v>
      </c>
      <c r="BB356" s="6">
        <v>0.02655167</v>
      </c>
      <c r="BC356" s="6">
        <v>0.03025869</v>
      </c>
      <c r="BD356" s="6">
        <v>0.02688692</v>
      </c>
      <c r="BE356" s="6">
        <v>0.03419582</v>
      </c>
      <c r="BF356" s="6">
        <v>0.03770638</v>
      </c>
      <c r="BG356" s="6">
        <v>0.02871266</v>
      </c>
      <c r="BH356" s="6">
        <v>0.03039646</v>
      </c>
      <c r="BI356" s="6">
        <v>0.21470859</v>
      </c>
      <c r="BJ356" s="6">
        <v>0.12366373</v>
      </c>
      <c r="BK356" s="6">
        <v>0.1409291</v>
      </c>
      <c r="BL356" s="6">
        <v>0.12522516</v>
      </c>
      <c r="BM356" s="6">
        <v>0.1592662</v>
      </c>
      <c r="BN356" s="6">
        <v>0.17561655</v>
      </c>
      <c r="BO356" s="6">
        <v>0.1337285</v>
      </c>
      <c r="BP356" s="6">
        <v>0.14157076</v>
      </c>
      <c r="BQ356" s="6">
        <v>0.02961298</v>
      </c>
      <c r="BR356" s="6">
        <v>0.02709367</v>
      </c>
      <c r="BS356" s="6">
        <v>0.02601227</v>
      </c>
      <c r="BT356" s="6">
        <v>0.02010248</v>
      </c>
      <c r="BU356" s="6">
        <v>0.02454117</v>
      </c>
      <c r="BV356" s="6">
        <v>0.05005891</v>
      </c>
      <c r="BW356" s="6">
        <v>0.04212103</v>
      </c>
      <c r="BX356" s="12">
        <v>13652</v>
      </c>
      <c r="BY356" s="13">
        <v>7522.95</v>
      </c>
      <c r="BZ356" s="12">
        <v>15003.6</v>
      </c>
      <c r="CA356" s="6">
        <f t="shared" si="30"/>
        <v>1.81471364291933</v>
      </c>
      <c r="CB356" s="6">
        <f t="shared" si="31"/>
        <v>0.909914953744435</v>
      </c>
      <c r="CC356" s="7">
        <v>433528736.4</v>
      </c>
      <c r="CD356" s="7">
        <f t="shared" si="32"/>
        <v>2.88949809645685</v>
      </c>
      <c r="CE356" s="8">
        <v>1748.2</v>
      </c>
      <c r="CF356" s="8">
        <v>7327.6</v>
      </c>
      <c r="CG356" s="8">
        <v>4232.3</v>
      </c>
      <c r="CH356" s="8">
        <v>14540</v>
      </c>
      <c r="CI356" s="14">
        <v>0</v>
      </c>
      <c r="CJ356" s="14">
        <v>0</v>
      </c>
      <c r="CK356" s="14">
        <f t="shared" si="33"/>
        <v>0</v>
      </c>
      <c r="CL356">
        <f t="shared" si="34"/>
        <v>3.89549779892895</v>
      </c>
      <c r="CM356">
        <f t="shared" si="35"/>
        <v>0.258246764443993</v>
      </c>
      <c r="CN356" s="15">
        <v>13651.69</v>
      </c>
      <c r="CO356" s="15">
        <v>13272.08</v>
      </c>
      <c r="CP356" s="15">
        <v>801.07</v>
      </c>
      <c r="CQ356" s="15">
        <v>1875.39</v>
      </c>
      <c r="CR356" s="15">
        <v>364.23</v>
      </c>
      <c r="CS356" s="15">
        <v>20.18</v>
      </c>
      <c r="CT356" s="15">
        <v>508.11</v>
      </c>
      <c r="CU356" s="15">
        <v>328.2</v>
      </c>
      <c r="CV356" s="15">
        <v>3.14</v>
      </c>
      <c r="CW356" s="15">
        <v>1820.08</v>
      </c>
    </row>
    <row r="357" spans="1:101">
      <c r="A357" s="6">
        <v>2005</v>
      </c>
      <c r="B357" s="6" t="s">
        <v>114</v>
      </c>
      <c r="C357" s="6">
        <v>0.2175249</v>
      </c>
      <c r="D357" s="6">
        <v>0.039125</v>
      </c>
      <c r="E357" s="6">
        <v>0.009617</v>
      </c>
      <c r="F357" s="6">
        <v>0.017638</v>
      </c>
      <c r="G357" s="6">
        <v>0.006001</v>
      </c>
      <c r="H357" s="6">
        <v>0.00587</v>
      </c>
      <c r="I357" s="6">
        <v>0.037716</v>
      </c>
      <c r="J357" s="6">
        <v>0.018831</v>
      </c>
      <c r="K357" s="6">
        <v>0.25533466</v>
      </c>
      <c r="L357" s="6">
        <v>0.18686642</v>
      </c>
      <c r="M357" s="6">
        <v>0.22817075</v>
      </c>
      <c r="N357" s="6">
        <v>0.14890714</v>
      </c>
      <c r="O357" s="6">
        <v>0.14438419</v>
      </c>
      <c r="P357" s="6">
        <v>0.33029935</v>
      </c>
      <c r="Q357" s="6">
        <v>0.2669977</v>
      </c>
      <c r="R357" s="6">
        <v>217.69486</v>
      </c>
      <c r="S357" s="6">
        <v>0.0011729</v>
      </c>
      <c r="T357" s="6">
        <v>169.97573</v>
      </c>
      <c r="U357" s="6">
        <v>0.00109937</v>
      </c>
      <c r="V357" s="6">
        <v>197.11803</v>
      </c>
      <c r="W357" s="6">
        <v>0.00115753</v>
      </c>
      <c r="X357" s="6">
        <v>134.47093</v>
      </c>
      <c r="Y357" s="6">
        <v>0.00110736</v>
      </c>
      <c r="Z357" s="6">
        <v>134.86767</v>
      </c>
      <c r="AA357" s="6">
        <v>0.00107056</v>
      </c>
      <c r="AB357" s="6">
        <v>294.9318</v>
      </c>
      <c r="AC357" s="6">
        <v>0.00111992</v>
      </c>
      <c r="AD357" s="6">
        <v>243.86163</v>
      </c>
      <c r="AE357" s="6">
        <v>0.00109487</v>
      </c>
      <c r="AF357" s="6">
        <v>775</v>
      </c>
      <c r="AG357" s="6">
        <v>-0.00791506</v>
      </c>
      <c r="AH357" s="6">
        <v>-0.00749003</v>
      </c>
      <c r="AI357" s="6">
        <v>-0.00782662</v>
      </c>
      <c r="AJ357" s="6">
        <v>-0.00753642</v>
      </c>
      <c r="AK357" s="6">
        <v>-0.00732219</v>
      </c>
      <c r="AL357" s="6">
        <v>-0.00760928</v>
      </c>
      <c r="AM357" s="6">
        <v>-0.00746388</v>
      </c>
      <c r="AN357" s="6">
        <v>-6.4762184</v>
      </c>
      <c r="AO357" s="6">
        <v>-6.4515561</v>
      </c>
      <c r="AP357" s="6">
        <v>-6.4739881</v>
      </c>
      <c r="AQ357" s="6">
        <v>-6.4253629</v>
      </c>
      <c r="AR357" s="6">
        <v>-6.4020076</v>
      </c>
      <c r="AS357" s="6">
        <v>-6.4618417</v>
      </c>
      <c r="AT357" s="6">
        <v>-6.4506396</v>
      </c>
      <c r="AU357" s="6">
        <v>0.97344833</v>
      </c>
      <c r="AV357" s="6">
        <v>0.96974131</v>
      </c>
      <c r="AW357" s="6">
        <v>0.97311308</v>
      </c>
      <c r="AX357" s="6">
        <v>0.96580418</v>
      </c>
      <c r="AY357" s="6">
        <v>0.96229362</v>
      </c>
      <c r="AZ357" s="6">
        <v>0.97128734</v>
      </c>
      <c r="BA357" s="6">
        <v>0.96960354</v>
      </c>
      <c r="BB357" s="6">
        <v>0.02655167</v>
      </c>
      <c r="BC357" s="6">
        <v>0.03025869</v>
      </c>
      <c r="BD357" s="6">
        <v>0.02688692</v>
      </c>
      <c r="BE357" s="6">
        <v>0.03419582</v>
      </c>
      <c r="BF357" s="6">
        <v>0.03770638</v>
      </c>
      <c r="BG357" s="6">
        <v>0.02871266</v>
      </c>
      <c r="BH357" s="6">
        <v>0.03039646</v>
      </c>
      <c r="BI357" s="6">
        <v>0.21470859</v>
      </c>
      <c r="BJ357" s="6">
        <v>0.12366373</v>
      </c>
      <c r="BK357" s="6">
        <v>0.1409291</v>
      </c>
      <c r="BL357" s="6">
        <v>0.12522516</v>
      </c>
      <c r="BM357" s="6">
        <v>0.1592662</v>
      </c>
      <c r="BN357" s="6">
        <v>0.17561655</v>
      </c>
      <c r="BO357" s="6">
        <v>0.1337285</v>
      </c>
      <c r="BP357" s="6">
        <v>0.14157076</v>
      </c>
      <c r="BQ357" s="6">
        <v>0.03157564</v>
      </c>
      <c r="BR357" s="6">
        <v>0.02633492</v>
      </c>
      <c r="BS357" s="6">
        <v>0.02857272</v>
      </c>
      <c r="BT357" s="6">
        <v>0.02371587</v>
      </c>
      <c r="BU357" s="6">
        <v>0.02535625</v>
      </c>
      <c r="BV357" s="6">
        <v>0.04417044</v>
      </c>
      <c r="BW357" s="6">
        <v>0.03779907</v>
      </c>
      <c r="BX357" s="12">
        <v>17167</v>
      </c>
      <c r="BY357" s="13">
        <v>7588.24</v>
      </c>
      <c r="BZ357" s="12">
        <v>18598.69</v>
      </c>
      <c r="CA357" s="6">
        <f t="shared" si="30"/>
        <v>2.26231642647043</v>
      </c>
      <c r="CB357" s="6">
        <f t="shared" si="31"/>
        <v>0.923021997785866</v>
      </c>
      <c r="CC357" s="7">
        <v>530050202.1</v>
      </c>
      <c r="CD357" s="7">
        <f t="shared" si="32"/>
        <v>2.8499329904418</v>
      </c>
      <c r="CE357" s="8">
        <v>1928.2</v>
      </c>
      <c r="CF357" s="8">
        <v>8841.1</v>
      </c>
      <c r="CG357" s="8">
        <v>5178.2</v>
      </c>
      <c r="CH357" s="8">
        <v>17308</v>
      </c>
      <c r="CI357" s="14">
        <v>0</v>
      </c>
      <c r="CJ357" s="14">
        <v>0</v>
      </c>
      <c r="CK357" s="14">
        <f t="shared" si="33"/>
        <v>0</v>
      </c>
      <c r="CL357">
        <f t="shared" si="34"/>
        <v>3.71995059106252</v>
      </c>
      <c r="CM357">
        <f t="shared" si="35"/>
        <v>0.23387880546344</v>
      </c>
      <c r="CN357" s="15">
        <v>16895.4</v>
      </c>
      <c r="CO357" s="15">
        <v>16778.57</v>
      </c>
      <c r="CP357" s="15">
        <v>1593.12</v>
      </c>
      <c r="CQ357" s="15">
        <v>2264.76</v>
      </c>
      <c r="CR357" s="15">
        <v>420.13</v>
      </c>
      <c r="CS357" s="15">
        <v>21.55</v>
      </c>
      <c r="CT357" s="15">
        <v>515.12</v>
      </c>
      <c r="CU357" s="15">
        <v>257.72</v>
      </c>
      <c r="CV357" s="15">
        <v>13.62</v>
      </c>
      <c r="CW357" s="15">
        <v>2193.45</v>
      </c>
    </row>
    <row r="358" spans="1:101">
      <c r="A358" s="6">
        <v>2006</v>
      </c>
      <c r="B358" s="6" t="s">
        <v>114</v>
      </c>
      <c r="C358" s="6">
        <v>0.2529073</v>
      </c>
      <c r="D358" s="6">
        <v>0.045719</v>
      </c>
      <c r="E358" s="6">
        <v>0.01093</v>
      </c>
      <c r="F358" s="6">
        <v>0.019661</v>
      </c>
      <c r="G358" s="6">
        <v>0.005959</v>
      </c>
      <c r="H358" s="6">
        <v>0.009169</v>
      </c>
      <c r="I358" s="6">
        <v>0.038892</v>
      </c>
      <c r="J358" s="6">
        <v>0.019465</v>
      </c>
      <c r="K358" s="6">
        <v>0.3070573</v>
      </c>
      <c r="L358" s="6">
        <v>0.2179248</v>
      </c>
      <c r="M358" s="6">
        <v>0.25926222</v>
      </c>
      <c r="N358" s="6">
        <v>0.14765973</v>
      </c>
      <c r="O358" s="6">
        <v>0.24437391</v>
      </c>
      <c r="P358" s="6">
        <v>0.34340004</v>
      </c>
      <c r="Q358" s="6">
        <v>0.27831787</v>
      </c>
      <c r="R358" s="6">
        <v>217.69486</v>
      </c>
      <c r="S358" s="6">
        <v>0.00141049</v>
      </c>
      <c r="T358" s="6">
        <v>169.97573</v>
      </c>
      <c r="U358" s="6">
        <v>0.00128209</v>
      </c>
      <c r="V358" s="6">
        <v>197.11803</v>
      </c>
      <c r="W358" s="6">
        <v>0.00131526</v>
      </c>
      <c r="X358" s="6">
        <v>134.47093</v>
      </c>
      <c r="Y358" s="6">
        <v>0.00109808</v>
      </c>
      <c r="Z358" s="6">
        <v>134.86767</v>
      </c>
      <c r="AA358" s="6">
        <v>0.00181195</v>
      </c>
      <c r="AB358" s="6">
        <v>294.9318</v>
      </c>
      <c r="AC358" s="6">
        <v>0.00116434</v>
      </c>
      <c r="AD358" s="6">
        <v>243.86163</v>
      </c>
      <c r="AE358" s="6">
        <v>0.00114129</v>
      </c>
      <c r="AF358" s="6">
        <v>775</v>
      </c>
      <c r="AG358" s="6">
        <v>-0.00925822</v>
      </c>
      <c r="AH358" s="6">
        <v>-0.0085378</v>
      </c>
      <c r="AI358" s="6">
        <v>-0.00872509</v>
      </c>
      <c r="AJ358" s="6">
        <v>-0.00748252</v>
      </c>
      <c r="AK358" s="6">
        <v>-0.0114395</v>
      </c>
      <c r="AL358" s="6">
        <v>-0.0078658</v>
      </c>
      <c r="AM358" s="6">
        <v>-0.00773294</v>
      </c>
      <c r="AN358" s="6">
        <v>-6.4762184</v>
      </c>
      <c r="AO358" s="6">
        <v>-6.4515561</v>
      </c>
      <c r="AP358" s="6">
        <v>-6.4739881</v>
      </c>
      <c r="AQ358" s="6">
        <v>-6.4253629</v>
      </c>
      <c r="AR358" s="6">
        <v>-6.4020076</v>
      </c>
      <c r="AS358" s="6">
        <v>-6.4618417</v>
      </c>
      <c r="AT358" s="6">
        <v>-6.4506396</v>
      </c>
      <c r="AU358" s="6">
        <v>0.97344833</v>
      </c>
      <c r="AV358" s="6">
        <v>0.96974131</v>
      </c>
      <c r="AW358" s="6">
        <v>0.97311308</v>
      </c>
      <c r="AX358" s="6">
        <v>0.96580418</v>
      </c>
      <c r="AY358" s="6">
        <v>0.96229362</v>
      </c>
      <c r="AZ358" s="6">
        <v>0.97128734</v>
      </c>
      <c r="BA358" s="6">
        <v>0.96960354</v>
      </c>
      <c r="BB358" s="6">
        <v>0.02655167</v>
      </c>
      <c r="BC358" s="6">
        <v>0.03025869</v>
      </c>
      <c r="BD358" s="6">
        <v>0.02688692</v>
      </c>
      <c r="BE358" s="6">
        <v>0.03419582</v>
      </c>
      <c r="BF358" s="6">
        <v>0.03770638</v>
      </c>
      <c r="BG358" s="6">
        <v>0.02871266</v>
      </c>
      <c r="BH358" s="6">
        <v>0.03039646</v>
      </c>
      <c r="BI358" s="6">
        <v>0.21470859</v>
      </c>
      <c r="BJ358" s="6">
        <v>0.12366373</v>
      </c>
      <c r="BK358" s="6">
        <v>0.1409291</v>
      </c>
      <c r="BL358" s="6">
        <v>0.12522516</v>
      </c>
      <c r="BM358" s="6">
        <v>0.1592662</v>
      </c>
      <c r="BN358" s="6">
        <v>0.17561655</v>
      </c>
      <c r="BO358" s="6">
        <v>0.1337285</v>
      </c>
      <c r="BP358" s="6">
        <v>0.14157076</v>
      </c>
      <c r="BQ358" s="6">
        <v>0.03797185</v>
      </c>
      <c r="BR358" s="6">
        <v>0.03071195</v>
      </c>
      <c r="BS358" s="6">
        <v>0.03246615</v>
      </c>
      <c r="BT358" s="6">
        <v>0.02351721</v>
      </c>
      <c r="BU358" s="6">
        <v>0.0429161</v>
      </c>
      <c r="BV358" s="6">
        <v>0.04592237</v>
      </c>
      <c r="BW358" s="6">
        <v>0.03940167</v>
      </c>
      <c r="BX358" s="12">
        <v>19041</v>
      </c>
      <c r="BY358" s="13">
        <v>7655.66</v>
      </c>
      <c r="BZ358" s="12">
        <v>21742.05</v>
      </c>
      <c r="CA358" s="6">
        <f t="shared" si="30"/>
        <v>2.48717942019369</v>
      </c>
      <c r="CB358" s="6">
        <f t="shared" si="31"/>
        <v>0.875768384305988</v>
      </c>
      <c r="CC358" s="7">
        <v>595855389.8</v>
      </c>
      <c r="CD358" s="7">
        <f t="shared" si="32"/>
        <v>2.74056673496749</v>
      </c>
      <c r="CE358" s="8">
        <v>2098.3</v>
      </c>
      <c r="CF358" s="8">
        <v>10568.5</v>
      </c>
      <c r="CG358" s="8">
        <v>6301.1</v>
      </c>
      <c r="CH358" s="8">
        <v>20443</v>
      </c>
      <c r="CI358" s="14">
        <v>0</v>
      </c>
      <c r="CJ358" s="14">
        <v>0</v>
      </c>
      <c r="CK358" s="14">
        <f t="shared" si="33"/>
        <v>0</v>
      </c>
      <c r="CL358">
        <f t="shared" si="34"/>
        <v>3.57740717995078</v>
      </c>
      <c r="CM358">
        <f t="shared" si="35"/>
        <v>0.233923733835298</v>
      </c>
      <c r="CN358" s="15">
        <v>18742.19</v>
      </c>
      <c r="CO358" s="15">
        <v>18427.68</v>
      </c>
      <c r="CP358" s="15">
        <v>1844.49</v>
      </c>
      <c r="CQ358" s="15">
        <v>2302.7</v>
      </c>
      <c r="CR358" s="15">
        <v>449.51</v>
      </c>
      <c r="CS358" s="15">
        <v>18.41</v>
      </c>
      <c r="CT358" s="15">
        <v>587.17</v>
      </c>
      <c r="CU358" s="15">
        <v>201.06</v>
      </c>
      <c r="CV358" s="15">
        <v>31.3</v>
      </c>
      <c r="CW358" s="15">
        <v>2569.75</v>
      </c>
    </row>
    <row r="359" spans="1:101">
      <c r="A359" s="6">
        <v>2007</v>
      </c>
      <c r="B359" s="6" t="s">
        <v>114</v>
      </c>
      <c r="C359" s="6">
        <v>0.2540119</v>
      </c>
      <c r="D359" s="6">
        <v>0.04265</v>
      </c>
      <c r="E359" s="6">
        <v>0.011139</v>
      </c>
      <c r="F359" s="6">
        <v>0.019677</v>
      </c>
      <c r="G359" s="6">
        <v>0.006154</v>
      </c>
      <c r="H359" s="6">
        <v>0.00568</v>
      </c>
      <c r="I359" s="6">
        <v>0.045315</v>
      </c>
      <c r="J359" s="6">
        <v>0.023995</v>
      </c>
      <c r="K359" s="6">
        <v>0.28297961</v>
      </c>
      <c r="L359" s="6">
        <v>0.22286835</v>
      </c>
      <c r="M359" s="6">
        <v>0.25950838</v>
      </c>
      <c r="N359" s="6">
        <v>0.15342078</v>
      </c>
      <c r="O359" s="6">
        <v>0.1386242</v>
      </c>
      <c r="P359" s="6">
        <v>0.41494348</v>
      </c>
      <c r="Q359" s="6">
        <v>0.35913314</v>
      </c>
      <c r="R359" s="6">
        <v>217.69486</v>
      </c>
      <c r="S359" s="6">
        <v>0.00129989</v>
      </c>
      <c r="T359" s="6">
        <v>169.97573</v>
      </c>
      <c r="U359" s="6">
        <v>0.00131118</v>
      </c>
      <c r="V359" s="6">
        <v>197.11803</v>
      </c>
      <c r="W359" s="6">
        <v>0.00131651</v>
      </c>
      <c r="X359" s="6">
        <v>134.47093</v>
      </c>
      <c r="Y359" s="6">
        <v>0.00114092</v>
      </c>
      <c r="Z359" s="6">
        <v>134.86767</v>
      </c>
      <c r="AA359" s="6">
        <v>0.00102785</v>
      </c>
      <c r="AB359" s="6">
        <v>294.9318</v>
      </c>
      <c r="AC359" s="6">
        <v>0.00140691</v>
      </c>
      <c r="AD359" s="6">
        <v>243.86163</v>
      </c>
      <c r="AE359" s="6">
        <v>0.00147269</v>
      </c>
      <c r="AF359" s="6">
        <v>775</v>
      </c>
      <c r="AG359" s="6">
        <v>-0.00863839</v>
      </c>
      <c r="AH359" s="6">
        <v>-0.00870206</v>
      </c>
      <c r="AI359" s="6">
        <v>-0.00873212</v>
      </c>
      <c r="AJ359" s="6">
        <v>-0.00773079</v>
      </c>
      <c r="AK359" s="6">
        <v>-0.00707192</v>
      </c>
      <c r="AL359" s="6">
        <v>-0.0092383</v>
      </c>
      <c r="AM359" s="6">
        <v>-0.00960293</v>
      </c>
      <c r="AN359" s="6">
        <v>-6.4762184</v>
      </c>
      <c r="AO359" s="6">
        <v>-6.4515561</v>
      </c>
      <c r="AP359" s="6">
        <v>-6.4739881</v>
      </c>
      <c r="AQ359" s="6">
        <v>-6.4253629</v>
      </c>
      <c r="AR359" s="6">
        <v>-6.4020076</v>
      </c>
      <c r="AS359" s="6">
        <v>-6.4618417</v>
      </c>
      <c r="AT359" s="6">
        <v>-6.4506396</v>
      </c>
      <c r="AU359" s="6">
        <v>0.97344833</v>
      </c>
      <c r="AV359" s="6">
        <v>0.96974131</v>
      </c>
      <c r="AW359" s="6">
        <v>0.97311308</v>
      </c>
      <c r="AX359" s="6">
        <v>0.96580418</v>
      </c>
      <c r="AY359" s="6">
        <v>0.96229362</v>
      </c>
      <c r="AZ359" s="6">
        <v>0.97128734</v>
      </c>
      <c r="BA359" s="6">
        <v>0.96960354</v>
      </c>
      <c r="BB359" s="6">
        <v>0.02655167</v>
      </c>
      <c r="BC359" s="6">
        <v>0.03025869</v>
      </c>
      <c r="BD359" s="6">
        <v>0.02688692</v>
      </c>
      <c r="BE359" s="6">
        <v>0.03419582</v>
      </c>
      <c r="BF359" s="6">
        <v>0.03770638</v>
      </c>
      <c r="BG359" s="6">
        <v>0.02871266</v>
      </c>
      <c r="BH359" s="6">
        <v>0.03039646</v>
      </c>
      <c r="BI359" s="6">
        <v>0.21470859</v>
      </c>
      <c r="BJ359" s="6">
        <v>0.12366373</v>
      </c>
      <c r="BK359" s="6">
        <v>0.1409291</v>
      </c>
      <c r="BL359" s="6">
        <v>0.12522516</v>
      </c>
      <c r="BM359" s="6">
        <v>0.1592662</v>
      </c>
      <c r="BN359" s="6">
        <v>0.17561655</v>
      </c>
      <c r="BO359" s="6">
        <v>0.1337285</v>
      </c>
      <c r="BP359" s="6">
        <v>0.14157076</v>
      </c>
      <c r="BQ359" s="6">
        <v>0.03499431</v>
      </c>
      <c r="BR359" s="6">
        <v>0.03140864</v>
      </c>
      <c r="BS359" s="6">
        <v>0.03249698</v>
      </c>
      <c r="BT359" s="6">
        <v>0.02443475</v>
      </c>
      <c r="BU359" s="6">
        <v>0.0243447</v>
      </c>
      <c r="BV359" s="6">
        <v>0.05548977</v>
      </c>
      <c r="BW359" s="6">
        <v>0.05084275</v>
      </c>
      <c r="BX359" s="12">
        <v>20948</v>
      </c>
      <c r="BY359" s="13">
        <v>7723.13</v>
      </c>
      <c r="BZ359" s="12">
        <v>26018.48</v>
      </c>
      <c r="CA359" s="6">
        <f t="shared" si="30"/>
        <v>2.71237179744482</v>
      </c>
      <c r="CB359" s="6">
        <f t="shared" si="31"/>
        <v>0.805120053131467</v>
      </c>
      <c r="CC359" s="7">
        <v>616874556.9</v>
      </c>
      <c r="CD359" s="7">
        <f t="shared" si="32"/>
        <v>2.37090928025004</v>
      </c>
      <c r="CE359" s="8">
        <v>2451</v>
      </c>
      <c r="CF359" s="8">
        <v>12529.4</v>
      </c>
      <c r="CG359" s="8">
        <v>7737.6</v>
      </c>
      <c r="CH359" s="8">
        <v>24329</v>
      </c>
      <c r="CI359" s="14">
        <v>0</v>
      </c>
      <c r="CJ359" s="14">
        <v>0</v>
      </c>
      <c r="CK359" s="14">
        <f t="shared" si="33"/>
        <v>0</v>
      </c>
      <c r="CL359">
        <f t="shared" si="34"/>
        <v>3.23986794305777</v>
      </c>
      <c r="CM359">
        <f t="shared" si="35"/>
        <v>0.26820804985885</v>
      </c>
      <c r="CN359" s="15">
        <v>20604.43</v>
      </c>
      <c r="CO359" s="15">
        <v>19951.8</v>
      </c>
      <c r="CP359" s="15">
        <v>1884.7</v>
      </c>
      <c r="CQ359" s="15">
        <v>2454</v>
      </c>
      <c r="CR359" s="15">
        <v>481.56</v>
      </c>
      <c r="CS359" s="15">
        <v>20.79</v>
      </c>
      <c r="CT359" s="15">
        <v>607.99</v>
      </c>
      <c r="CU359" s="15">
        <v>236.59</v>
      </c>
      <c r="CV359" s="15">
        <v>44.58</v>
      </c>
      <c r="CW359" s="15">
        <v>2952.02</v>
      </c>
    </row>
    <row r="360" spans="1:101">
      <c r="A360" s="6">
        <v>2008</v>
      </c>
      <c r="B360" s="6" t="s">
        <v>114</v>
      </c>
      <c r="C360" s="6">
        <v>0.26883919</v>
      </c>
      <c r="D360" s="6">
        <v>0.044464</v>
      </c>
      <c r="E360" s="6">
        <v>0.011249</v>
      </c>
      <c r="F360" s="6">
        <v>0.019454</v>
      </c>
      <c r="G360" s="6">
        <v>0.006435</v>
      </c>
      <c r="H360" s="6">
        <v>0.007325</v>
      </c>
      <c r="I360" s="6">
        <v>0.049188</v>
      </c>
      <c r="J360" s="6">
        <v>0.022918</v>
      </c>
      <c r="K360" s="6">
        <v>0.29720655</v>
      </c>
      <c r="L360" s="6">
        <v>0.22545981</v>
      </c>
      <c r="M360" s="6">
        <v>0.25608181</v>
      </c>
      <c r="N360" s="6">
        <v>0.16173723</v>
      </c>
      <c r="O360" s="6">
        <v>0.18849686</v>
      </c>
      <c r="P360" s="6">
        <v>0.45808515</v>
      </c>
      <c r="Q360" s="6">
        <v>0.33991696</v>
      </c>
      <c r="R360" s="6">
        <v>217.69486</v>
      </c>
      <c r="S360" s="6">
        <v>0.00136524</v>
      </c>
      <c r="T360" s="6">
        <v>169.97573</v>
      </c>
      <c r="U360" s="6">
        <v>0.00132642</v>
      </c>
      <c r="V360" s="6">
        <v>197.11803</v>
      </c>
      <c r="W360" s="6">
        <v>0.00129913</v>
      </c>
      <c r="X360" s="6">
        <v>134.47093</v>
      </c>
      <c r="Y360" s="6">
        <v>0.00120277</v>
      </c>
      <c r="Z360" s="6">
        <v>134.86767</v>
      </c>
      <c r="AA360" s="6">
        <v>0.00139764</v>
      </c>
      <c r="AB360" s="6">
        <v>294.9318</v>
      </c>
      <c r="AC360" s="6">
        <v>0.00155319</v>
      </c>
      <c r="AD360" s="6">
        <v>243.86163</v>
      </c>
      <c r="AE360" s="6">
        <v>0.00139389</v>
      </c>
      <c r="AF360" s="6">
        <v>775</v>
      </c>
      <c r="AG360" s="6">
        <v>-0.00900572</v>
      </c>
      <c r="AH360" s="6">
        <v>-0.00878791</v>
      </c>
      <c r="AI360" s="6">
        <v>-0.00863409</v>
      </c>
      <c r="AJ360" s="6">
        <v>-0.00808636</v>
      </c>
      <c r="AK360" s="6">
        <v>-0.00918666</v>
      </c>
      <c r="AL360" s="6">
        <v>-0.01004517</v>
      </c>
      <c r="AM360" s="6">
        <v>-0.00916576</v>
      </c>
      <c r="AN360" s="6">
        <v>-6.4762184</v>
      </c>
      <c r="AO360" s="6">
        <v>-6.4515561</v>
      </c>
      <c r="AP360" s="6">
        <v>-6.4739881</v>
      </c>
      <c r="AQ360" s="6">
        <v>-6.4253629</v>
      </c>
      <c r="AR360" s="6">
        <v>-6.4020076</v>
      </c>
      <c r="AS360" s="6">
        <v>-6.4618417</v>
      </c>
      <c r="AT360" s="6">
        <v>-6.4506396</v>
      </c>
      <c r="AU360" s="6">
        <v>0.97344833</v>
      </c>
      <c r="AV360" s="6">
        <v>0.96974131</v>
      </c>
      <c r="AW360" s="6">
        <v>0.97311308</v>
      </c>
      <c r="AX360" s="6">
        <v>0.96580418</v>
      </c>
      <c r="AY360" s="6">
        <v>0.96229362</v>
      </c>
      <c r="AZ360" s="6">
        <v>0.97128734</v>
      </c>
      <c r="BA360" s="6">
        <v>0.96960354</v>
      </c>
      <c r="BB360" s="6">
        <v>0.02655167</v>
      </c>
      <c r="BC360" s="6">
        <v>0.03025869</v>
      </c>
      <c r="BD360" s="6">
        <v>0.02688692</v>
      </c>
      <c r="BE360" s="6">
        <v>0.03419582</v>
      </c>
      <c r="BF360" s="6">
        <v>0.03770638</v>
      </c>
      <c r="BG360" s="6">
        <v>0.02871266</v>
      </c>
      <c r="BH360" s="6">
        <v>0.03039646</v>
      </c>
      <c r="BI360" s="6">
        <v>0.21470859</v>
      </c>
      <c r="BJ360" s="6">
        <v>0.12366373</v>
      </c>
      <c r="BK360" s="6">
        <v>0.1409291</v>
      </c>
      <c r="BL360" s="6">
        <v>0.12522516</v>
      </c>
      <c r="BM360" s="6">
        <v>0.1592662</v>
      </c>
      <c r="BN360" s="6">
        <v>0.17561655</v>
      </c>
      <c r="BO360" s="6">
        <v>0.1337285</v>
      </c>
      <c r="BP360" s="6">
        <v>0.14157076</v>
      </c>
      <c r="BQ360" s="6">
        <v>0.03675367</v>
      </c>
      <c r="BR360" s="6">
        <v>0.03177385</v>
      </c>
      <c r="BS360" s="6">
        <v>0.03206789</v>
      </c>
      <c r="BT360" s="6">
        <v>0.02575927</v>
      </c>
      <c r="BU360" s="6">
        <v>0.03310317</v>
      </c>
      <c r="BV360" s="6">
        <v>0.06125904</v>
      </c>
      <c r="BW360" s="6">
        <v>0.0481223</v>
      </c>
      <c r="BX360" s="12">
        <v>22232</v>
      </c>
      <c r="BY360" s="13">
        <v>7762.48</v>
      </c>
      <c r="BZ360" s="12">
        <v>30981.98</v>
      </c>
      <c r="CA360" s="6">
        <f t="shared" si="30"/>
        <v>2.86403314404675</v>
      </c>
      <c r="CB360" s="6">
        <f t="shared" si="31"/>
        <v>0.717578411709</v>
      </c>
      <c r="CC360" s="7">
        <v>628449599.3</v>
      </c>
      <c r="CD360" s="7">
        <f t="shared" si="32"/>
        <v>2.02843588208371</v>
      </c>
      <c r="CE360" s="8">
        <v>2876.2</v>
      </c>
      <c r="CF360" s="8">
        <v>14911.5</v>
      </c>
      <c r="CG360" s="8">
        <v>9318.5</v>
      </c>
      <c r="CH360" s="8">
        <v>28861</v>
      </c>
      <c r="CI360" s="14">
        <v>0</v>
      </c>
      <c r="CJ360" s="14">
        <v>0</v>
      </c>
      <c r="CK360" s="14">
        <f t="shared" si="33"/>
        <v>0</v>
      </c>
      <c r="CL360">
        <f t="shared" si="34"/>
        <v>2.71728515287532</v>
      </c>
      <c r="CM360">
        <f t="shared" si="35"/>
        <v>0.253506434561237</v>
      </c>
      <c r="CN360" s="15">
        <v>22232</v>
      </c>
      <c r="CO360" s="15">
        <v>20737</v>
      </c>
      <c r="CP360" s="15">
        <v>1888.95</v>
      </c>
      <c r="CQ360" s="15">
        <v>2313.13</v>
      </c>
      <c r="CR360" s="15">
        <v>561.8</v>
      </c>
      <c r="CS360" s="15">
        <v>21.45</v>
      </c>
      <c r="CT360" s="15">
        <v>646.21</v>
      </c>
      <c r="CU360" s="15">
        <v>218</v>
      </c>
      <c r="CV360" s="15">
        <v>63.13</v>
      </c>
      <c r="CW360" s="15">
        <v>3118.33</v>
      </c>
    </row>
    <row r="361" spans="1:101">
      <c r="A361" s="6">
        <v>2009</v>
      </c>
      <c r="B361" s="6" t="s">
        <v>114</v>
      </c>
      <c r="C361" s="6">
        <v>0.28145085</v>
      </c>
      <c r="D361" s="6">
        <v>0.047171</v>
      </c>
      <c r="E361" s="6">
        <v>0.011736</v>
      </c>
      <c r="F361" s="6">
        <v>0.021437</v>
      </c>
      <c r="G361" s="6">
        <v>0.006857</v>
      </c>
      <c r="H361" s="6">
        <v>0.007141</v>
      </c>
      <c r="I361" s="6">
        <v>0.049595</v>
      </c>
      <c r="J361" s="6">
        <v>0.02408</v>
      </c>
      <c r="K361" s="6">
        <v>0.31844089</v>
      </c>
      <c r="L361" s="6">
        <v>0.23697071</v>
      </c>
      <c r="M361" s="6">
        <v>0.28655914</v>
      </c>
      <c r="N361" s="6">
        <v>0.17421212</v>
      </c>
      <c r="O361" s="6">
        <v>0.1828966</v>
      </c>
      <c r="P361" s="6">
        <v>0.46262016</v>
      </c>
      <c r="Q361" s="6">
        <v>0.36066421</v>
      </c>
      <c r="R361" s="6">
        <v>217.69486</v>
      </c>
      <c r="S361" s="6">
        <v>0.00146279</v>
      </c>
      <c r="T361" s="6">
        <v>169.97573</v>
      </c>
      <c r="U361" s="6">
        <v>0.00139414</v>
      </c>
      <c r="V361" s="6">
        <v>197.11803</v>
      </c>
      <c r="W361" s="6">
        <v>0.00145374</v>
      </c>
      <c r="X361" s="6">
        <v>134.47093</v>
      </c>
      <c r="Y361" s="6">
        <v>0.00129554</v>
      </c>
      <c r="Z361" s="6">
        <v>134.86767</v>
      </c>
      <c r="AA361" s="6">
        <v>0.00135612</v>
      </c>
      <c r="AB361" s="6">
        <v>294.9318</v>
      </c>
      <c r="AC361" s="6">
        <v>0.00156857</v>
      </c>
      <c r="AD361" s="6">
        <v>243.86163</v>
      </c>
      <c r="AE361" s="6">
        <v>0.00147897</v>
      </c>
      <c r="AF361" s="6">
        <v>775</v>
      </c>
      <c r="AG361" s="6">
        <v>-0.00954821</v>
      </c>
      <c r="AH361" s="6">
        <v>-0.00916716</v>
      </c>
      <c r="AI361" s="6">
        <v>-0.0094982</v>
      </c>
      <c r="AJ361" s="6">
        <v>-0.00861381</v>
      </c>
      <c r="AK361" s="6">
        <v>-0.00895463</v>
      </c>
      <c r="AL361" s="6">
        <v>-0.01012916</v>
      </c>
      <c r="AM361" s="6">
        <v>-0.00963758</v>
      </c>
      <c r="AN361" s="6">
        <v>-6.4762184</v>
      </c>
      <c r="AO361" s="6">
        <v>-6.4515561</v>
      </c>
      <c r="AP361" s="6">
        <v>-6.4739881</v>
      </c>
      <c r="AQ361" s="6">
        <v>-6.4253629</v>
      </c>
      <c r="AR361" s="6">
        <v>-6.4020076</v>
      </c>
      <c r="AS361" s="6">
        <v>-6.4618417</v>
      </c>
      <c r="AT361" s="6">
        <v>-6.4506396</v>
      </c>
      <c r="AU361" s="6">
        <v>0.97344833</v>
      </c>
      <c r="AV361" s="6">
        <v>0.96974131</v>
      </c>
      <c r="AW361" s="6">
        <v>0.97311308</v>
      </c>
      <c r="AX361" s="6">
        <v>0.96580418</v>
      </c>
      <c r="AY361" s="6">
        <v>0.96229362</v>
      </c>
      <c r="AZ361" s="6">
        <v>0.97128734</v>
      </c>
      <c r="BA361" s="6">
        <v>0.96960354</v>
      </c>
      <c r="BB361" s="6">
        <v>0.02655167</v>
      </c>
      <c r="BC361" s="6">
        <v>0.03025869</v>
      </c>
      <c r="BD361" s="6">
        <v>0.02688692</v>
      </c>
      <c r="BE361" s="6">
        <v>0.03419582</v>
      </c>
      <c r="BF361" s="6">
        <v>0.03770638</v>
      </c>
      <c r="BG361" s="6">
        <v>0.02871266</v>
      </c>
      <c r="BH361" s="6">
        <v>0.03039646</v>
      </c>
      <c r="BI361" s="6">
        <v>0.21470859</v>
      </c>
      <c r="BJ361" s="6">
        <v>0.12366373</v>
      </c>
      <c r="BK361" s="6">
        <v>0.1409291</v>
      </c>
      <c r="BL361" s="6">
        <v>0.12522516</v>
      </c>
      <c r="BM361" s="6">
        <v>0.1592662</v>
      </c>
      <c r="BN361" s="6">
        <v>0.17561655</v>
      </c>
      <c r="BO361" s="6">
        <v>0.1337285</v>
      </c>
      <c r="BP361" s="6">
        <v>0.14157076</v>
      </c>
      <c r="BQ361" s="6">
        <v>0.03937959</v>
      </c>
      <c r="BR361" s="6">
        <v>0.03339607</v>
      </c>
      <c r="BS361" s="6">
        <v>0.03588441</v>
      </c>
      <c r="BT361" s="6">
        <v>0.0277461</v>
      </c>
      <c r="BU361" s="6">
        <v>0.03211967</v>
      </c>
      <c r="BV361" s="6">
        <v>0.0618655</v>
      </c>
      <c r="BW361" s="6">
        <v>0.05105951</v>
      </c>
      <c r="BX361" s="12">
        <v>23709</v>
      </c>
      <c r="BY361" s="13">
        <v>7810.27</v>
      </c>
      <c r="BZ361" s="12">
        <v>34457.3</v>
      </c>
      <c r="CA361" s="6">
        <f t="shared" si="30"/>
        <v>3.03561848694091</v>
      </c>
      <c r="CB361" s="6">
        <f t="shared" si="31"/>
        <v>0.688069001343692</v>
      </c>
      <c r="CC361" s="7">
        <v>668045287.5</v>
      </c>
      <c r="CD361" s="7">
        <f t="shared" si="32"/>
        <v>1.93876272226785</v>
      </c>
      <c r="CE361" s="8">
        <v>3076.2</v>
      </c>
      <c r="CF361" s="8">
        <v>15919.7</v>
      </c>
      <c r="CG361" s="8">
        <v>10544.9</v>
      </c>
      <c r="CH361" s="8">
        <v>31282</v>
      </c>
      <c r="CI361" s="14">
        <v>0</v>
      </c>
      <c r="CJ361" s="14">
        <v>0</v>
      </c>
      <c r="CK361" s="14">
        <f t="shared" si="33"/>
        <v>0</v>
      </c>
      <c r="CL361">
        <f t="shared" si="34"/>
        <v>2.66960201713366</v>
      </c>
      <c r="CM361">
        <f t="shared" si="35"/>
        <v>0.273763388765531</v>
      </c>
      <c r="CN361" s="15">
        <v>23709</v>
      </c>
      <c r="CO361" s="15">
        <v>21003</v>
      </c>
      <c r="CP361" s="15">
        <v>2221.2</v>
      </c>
      <c r="CQ361" s="15">
        <v>2661.44</v>
      </c>
      <c r="CR361" s="15">
        <v>585.66</v>
      </c>
      <c r="CS361" s="15">
        <v>21.18</v>
      </c>
      <c r="CT361" s="15">
        <v>655.87</v>
      </c>
      <c r="CU361" s="15">
        <v>217.1</v>
      </c>
      <c r="CV361" s="15">
        <v>63.43</v>
      </c>
      <c r="CW361" s="15">
        <v>3313.98</v>
      </c>
    </row>
    <row r="362" spans="1:101">
      <c r="A362" s="6">
        <v>2010</v>
      </c>
      <c r="B362" s="6" t="s">
        <v>114</v>
      </c>
      <c r="C362" s="6">
        <v>0.28611668</v>
      </c>
      <c r="D362" s="6">
        <v>0.050893</v>
      </c>
      <c r="E362" s="6">
        <v>0.012801</v>
      </c>
      <c r="F362" s="6">
        <v>0.022082</v>
      </c>
      <c r="G362" s="6">
        <v>0.00819</v>
      </c>
      <c r="H362" s="6">
        <v>0.007819</v>
      </c>
      <c r="I362" s="6">
        <v>0.044575</v>
      </c>
      <c r="J362" s="6">
        <v>0.021647</v>
      </c>
      <c r="K362" s="6">
        <v>0.34763978</v>
      </c>
      <c r="L362" s="6">
        <v>0.26216095</v>
      </c>
      <c r="M362" s="6">
        <v>0.29647901</v>
      </c>
      <c r="N362" s="6">
        <v>0.21361475</v>
      </c>
      <c r="O362" s="6">
        <v>0.20345968</v>
      </c>
      <c r="P362" s="6">
        <v>0.40669736</v>
      </c>
      <c r="Q362" s="6">
        <v>0.31725467</v>
      </c>
      <c r="R362" s="6">
        <v>217.69486</v>
      </c>
      <c r="S362" s="6">
        <v>0.00159691</v>
      </c>
      <c r="T362" s="6">
        <v>169.97573</v>
      </c>
      <c r="U362" s="6">
        <v>0.00154234</v>
      </c>
      <c r="V362" s="6">
        <v>197.11803</v>
      </c>
      <c r="W362" s="6">
        <v>0.00150407</v>
      </c>
      <c r="X362" s="6">
        <v>134.47093</v>
      </c>
      <c r="Y362" s="6">
        <v>0.00158856</v>
      </c>
      <c r="Z362" s="6">
        <v>134.86767</v>
      </c>
      <c r="AA362" s="6">
        <v>0.00150859</v>
      </c>
      <c r="AB362" s="6">
        <v>294.9318</v>
      </c>
      <c r="AC362" s="6">
        <v>0.00137895</v>
      </c>
      <c r="AD362" s="6">
        <v>243.86163</v>
      </c>
      <c r="AE362" s="6">
        <v>0.00130096</v>
      </c>
      <c r="AF362" s="6">
        <v>775</v>
      </c>
      <c r="AG362" s="6">
        <v>-0.01028361</v>
      </c>
      <c r="AH362" s="6">
        <v>-0.00998583</v>
      </c>
      <c r="AI362" s="6">
        <v>-0.00977582</v>
      </c>
      <c r="AJ362" s="6">
        <v>-0.01023814</v>
      </c>
      <c r="AK362" s="6">
        <v>-0.00980066</v>
      </c>
      <c r="AL362" s="6">
        <v>-0.00908238</v>
      </c>
      <c r="AM362" s="6">
        <v>-0.00864444</v>
      </c>
      <c r="AN362" s="6">
        <v>-6.4762184</v>
      </c>
      <c r="AO362" s="6">
        <v>-6.4515561</v>
      </c>
      <c r="AP362" s="6">
        <v>-6.4739881</v>
      </c>
      <c r="AQ362" s="6">
        <v>-6.4253629</v>
      </c>
      <c r="AR362" s="6">
        <v>-6.4020076</v>
      </c>
      <c r="AS362" s="6">
        <v>-6.4618417</v>
      </c>
      <c r="AT362" s="6">
        <v>-6.4506396</v>
      </c>
      <c r="AU362" s="6">
        <v>0.97344833</v>
      </c>
      <c r="AV362" s="6">
        <v>0.96974131</v>
      </c>
      <c r="AW362" s="6">
        <v>0.97311308</v>
      </c>
      <c r="AX362" s="6">
        <v>0.96580418</v>
      </c>
      <c r="AY362" s="6">
        <v>0.96229362</v>
      </c>
      <c r="AZ362" s="6">
        <v>0.97128734</v>
      </c>
      <c r="BA362" s="6">
        <v>0.96960354</v>
      </c>
      <c r="BB362" s="6">
        <v>0.02655167</v>
      </c>
      <c r="BC362" s="6">
        <v>0.03025869</v>
      </c>
      <c r="BD362" s="6">
        <v>0.02688692</v>
      </c>
      <c r="BE362" s="6">
        <v>0.03419582</v>
      </c>
      <c r="BF362" s="6">
        <v>0.03770638</v>
      </c>
      <c r="BG362" s="6">
        <v>0.02871266</v>
      </c>
      <c r="BH362" s="6">
        <v>0.03039646</v>
      </c>
      <c r="BI362" s="6">
        <v>0.21470859</v>
      </c>
      <c r="BJ362" s="6">
        <v>0.12366373</v>
      </c>
      <c r="BK362" s="6">
        <v>0.1409291</v>
      </c>
      <c r="BL362" s="6">
        <v>0.12522516</v>
      </c>
      <c r="BM362" s="6">
        <v>0.1592662</v>
      </c>
      <c r="BN362" s="6">
        <v>0.17561655</v>
      </c>
      <c r="BO362" s="6">
        <v>0.1337285</v>
      </c>
      <c r="BP362" s="6">
        <v>0.14157076</v>
      </c>
      <c r="BQ362" s="6">
        <v>0.04299043</v>
      </c>
      <c r="BR362" s="6">
        <v>0.03694611</v>
      </c>
      <c r="BS362" s="6">
        <v>0.03712663</v>
      </c>
      <c r="BT362" s="6">
        <v>0.03402161</v>
      </c>
      <c r="BU362" s="6">
        <v>0.03573089</v>
      </c>
      <c r="BV362" s="6">
        <v>0.05438703</v>
      </c>
      <c r="BW362" s="6">
        <v>0.04491399</v>
      </c>
      <c r="BX362" s="12">
        <v>25774</v>
      </c>
      <c r="BY362" s="13">
        <v>7869.34</v>
      </c>
      <c r="BZ362" s="12">
        <v>41425.48</v>
      </c>
      <c r="CA362" s="6">
        <f t="shared" si="30"/>
        <v>3.27524290474169</v>
      </c>
      <c r="CB362" s="6">
        <f t="shared" si="31"/>
        <v>0.622177461794046</v>
      </c>
      <c r="CC362" s="7">
        <v>729570991.2</v>
      </c>
      <c r="CD362" s="7">
        <f t="shared" si="32"/>
        <v>1.76116484636992</v>
      </c>
      <c r="CE362" s="8">
        <v>3411.3</v>
      </c>
      <c r="CF362" s="8">
        <v>17733.1</v>
      </c>
      <c r="CG362" s="8">
        <v>12778.1</v>
      </c>
      <c r="CH362" s="8">
        <v>35599</v>
      </c>
      <c r="CI362" s="14">
        <v>0</v>
      </c>
      <c r="CJ362" s="14">
        <v>0</v>
      </c>
      <c r="CK362" s="14">
        <f t="shared" si="33"/>
        <v>0</v>
      </c>
      <c r="CL362">
        <f t="shared" si="34"/>
        <v>2.40850270516871</v>
      </c>
      <c r="CM362">
        <f t="shared" si="35"/>
        <v>0.268771904390883</v>
      </c>
      <c r="CN362" s="15">
        <v>25773.71</v>
      </c>
      <c r="CO362" s="15">
        <v>23100.48</v>
      </c>
      <c r="CP362" s="15">
        <v>2663.47</v>
      </c>
      <c r="CQ362" s="15">
        <v>2998.55</v>
      </c>
      <c r="CR362" s="15">
        <v>749.84</v>
      </c>
      <c r="CS362" s="15">
        <v>35.69</v>
      </c>
      <c r="CT362" s="15">
        <v>727.96</v>
      </c>
      <c r="CU362" s="15">
        <v>157.71</v>
      </c>
      <c r="CV362" s="15">
        <v>71.57</v>
      </c>
      <c r="CW362" s="15">
        <v>3864.37</v>
      </c>
    </row>
    <row r="363" spans="1:101">
      <c r="A363" s="6">
        <v>2011</v>
      </c>
      <c r="B363" s="6" t="s">
        <v>114</v>
      </c>
      <c r="C363" s="6">
        <v>0.30500871</v>
      </c>
      <c r="D363" s="6">
        <v>0.051222</v>
      </c>
      <c r="E363" s="6">
        <v>0.012534</v>
      </c>
      <c r="F363" s="6">
        <v>0.022597</v>
      </c>
      <c r="G363" s="6">
        <v>0.007955</v>
      </c>
      <c r="H363" s="6">
        <v>0.008136</v>
      </c>
      <c r="I363" s="6">
        <v>0.048744</v>
      </c>
      <c r="J363" s="6">
        <v>0.026273</v>
      </c>
      <c r="K363" s="6">
        <v>0.35021962</v>
      </c>
      <c r="L363" s="6">
        <v>0.25583492</v>
      </c>
      <c r="M363" s="6">
        <v>0.30439732</v>
      </c>
      <c r="N363" s="6">
        <v>0.20666385</v>
      </c>
      <c r="O363" s="6">
        <v>0.21304856</v>
      </c>
      <c r="P363" s="6">
        <v>0.45314142</v>
      </c>
      <c r="Q363" s="6">
        <v>0.39979381</v>
      </c>
      <c r="R363" s="6">
        <v>217.69486</v>
      </c>
      <c r="S363" s="6">
        <v>0.00160876</v>
      </c>
      <c r="T363" s="6">
        <v>169.97573</v>
      </c>
      <c r="U363" s="6">
        <v>0.00150513</v>
      </c>
      <c r="V363" s="6">
        <v>197.11803</v>
      </c>
      <c r="W363" s="6">
        <v>0.00154424</v>
      </c>
      <c r="X363" s="6">
        <v>134.47093</v>
      </c>
      <c r="Y363" s="6">
        <v>0.00153687</v>
      </c>
      <c r="Z363" s="6">
        <v>134.86767</v>
      </c>
      <c r="AA363" s="6">
        <v>0.00157969</v>
      </c>
      <c r="AB363" s="6">
        <v>294.9318</v>
      </c>
      <c r="AC363" s="6">
        <v>0.00153643</v>
      </c>
      <c r="AD363" s="6">
        <v>243.86163</v>
      </c>
      <c r="AE363" s="6">
        <v>0.00163943</v>
      </c>
      <c r="AF363" s="6">
        <v>775</v>
      </c>
      <c r="AG363" s="6">
        <v>-0.01034803</v>
      </c>
      <c r="AH363" s="6">
        <v>-0.00978163</v>
      </c>
      <c r="AI363" s="6">
        <v>-0.0099962</v>
      </c>
      <c r="AJ363" s="6">
        <v>-0.00995584</v>
      </c>
      <c r="AK363" s="6">
        <v>-0.01018981</v>
      </c>
      <c r="AL363" s="6">
        <v>-0.00995343</v>
      </c>
      <c r="AM363" s="6">
        <v>-0.01051433</v>
      </c>
      <c r="AN363" s="6">
        <v>-6.4762184</v>
      </c>
      <c r="AO363" s="6">
        <v>-6.4515561</v>
      </c>
      <c r="AP363" s="6">
        <v>-6.4739881</v>
      </c>
      <c r="AQ363" s="6">
        <v>-6.4253629</v>
      </c>
      <c r="AR363" s="6">
        <v>-6.4020076</v>
      </c>
      <c r="AS363" s="6">
        <v>-6.4618417</v>
      </c>
      <c r="AT363" s="6">
        <v>-6.4506396</v>
      </c>
      <c r="AU363" s="6">
        <v>0.97344833</v>
      </c>
      <c r="AV363" s="6">
        <v>0.96974131</v>
      </c>
      <c r="AW363" s="6">
        <v>0.97311308</v>
      </c>
      <c r="AX363" s="6">
        <v>0.96580418</v>
      </c>
      <c r="AY363" s="6">
        <v>0.96229362</v>
      </c>
      <c r="AZ363" s="6">
        <v>0.97128734</v>
      </c>
      <c r="BA363" s="6">
        <v>0.96960354</v>
      </c>
      <c r="BB363" s="6">
        <v>0.02655167</v>
      </c>
      <c r="BC363" s="6">
        <v>0.03025869</v>
      </c>
      <c r="BD363" s="6">
        <v>0.02688692</v>
      </c>
      <c r="BE363" s="6">
        <v>0.03419582</v>
      </c>
      <c r="BF363" s="6">
        <v>0.03770638</v>
      </c>
      <c r="BG363" s="6">
        <v>0.02871266</v>
      </c>
      <c r="BH363" s="6">
        <v>0.03039646</v>
      </c>
      <c r="BI363" s="6">
        <v>0.21470859</v>
      </c>
      <c r="BJ363" s="6">
        <v>0.12366373</v>
      </c>
      <c r="BK363" s="6">
        <v>0.1409291</v>
      </c>
      <c r="BL363" s="6">
        <v>0.12522516</v>
      </c>
      <c r="BM363" s="6">
        <v>0.1592662</v>
      </c>
      <c r="BN363" s="6">
        <v>0.17561655</v>
      </c>
      <c r="BO363" s="6">
        <v>0.1337285</v>
      </c>
      <c r="BP363" s="6">
        <v>0.14157076</v>
      </c>
      <c r="BQ363" s="6">
        <v>0.04330947</v>
      </c>
      <c r="BR363" s="6">
        <v>0.03605458</v>
      </c>
      <c r="BS363" s="6">
        <v>0.0381182</v>
      </c>
      <c r="BT363" s="6">
        <v>0.03291457</v>
      </c>
      <c r="BU363" s="6">
        <v>0.03741485</v>
      </c>
      <c r="BV363" s="6">
        <v>0.06059792</v>
      </c>
      <c r="BW363" s="6">
        <v>0.05659911</v>
      </c>
      <c r="BX363" s="12">
        <v>27589</v>
      </c>
      <c r="BY363" s="13">
        <v>8023</v>
      </c>
      <c r="BZ363" s="12">
        <v>49110.27</v>
      </c>
      <c r="CA363" s="6">
        <f t="shared" si="30"/>
        <v>3.43873862644896</v>
      </c>
      <c r="CB363" s="6">
        <f t="shared" si="31"/>
        <v>0.561776589703131</v>
      </c>
      <c r="CC363" s="7">
        <v>794859728.8</v>
      </c>
      <c r="CD363" s="7">
        <f t="shared" si="32"/>
        <v>1.61852038036036</v>
      </c>
      <c r="CE363" s="8">
        <v>3768.6</v>
      </c>
      <c r="CF363" s="8">
        <v>19926.1</v>
      </c>
      <c r="CG363" s="8">
        <v>15370.3</v>
      </c>
      <c r="CH363" s="8">
        <v>40581</v>
      </c>
      <c r="CI363" s="14">
        <v>0</v>
      </c>
      <c r="CJ363" s="14">
        <v>0</v>
      </c>
      <c r="CK363" s="14">
        <f t="shared" si="33"/>
        <v>0</v>
      </c>
      <c r="CL363">
        <f t="shared" si="34"/>
        <v>2.18035126729488</v>
      </c>
      <c r="CM363">
        <f t="shared" si="35"/>
        <v>0.257679070047999</v>
      </c>
      <c r="CN363" s="15">
        <v>27589</v>
      </c>
      <c r="CO363" s="15">
        <v>27364</v>
      </c>
      <c r="CP363" s="15">
        <v>3151.47</v>
      </c>
      <c r="CQ363" s="15">
        <v>2981.07</v>
      </c>
      <c r="CR363" s="15">
        <v>827.38</v>
      </c>
      <c r="CS363" s="15">
        <v>44.73</v>
      </c>
      <c r="CT363" s="15">
        <v>759.4</v>
      </c>
      <c r="CU363" s="15">
        <v>151.19</v>
      </c>
      <c r="CV363" s="15">
        <v>93.74</v>
      </c>
      <c r="CW363" s="15">
        <v>4282</v>
      </c>
    </row>
    <row r="364" spans="1:101">
      <c r="A364" s="6">
        <v>2012</v>
      </c>
      <c r="B364" s="6" t="s">
        <v>114</v>
      </c>
      <c r="C364" s="6">
        <v>0.32057975</v>
      </c>
      <c r="D364" s="6">
        <v>0.052102</v>
      </c>
      <c r="E364" s="6">
        <v>0.013198</v>
      </c>
      <c r="F364" s="6">
        <v>0.023387</v>
      </c>
      <c r="G364" s="6">
        <v>0.00757</v>
      </c>
      <c r="H364" s="6">
        <v>0.007948</v>
      </c>
      <c r="I364" s="6">
        <v>0.053841</v>
      </c>
      <c r="J364" s="6">
        <v>0.028731</v>
      </c>
      <c r="K364" s="6">
        <v>0.3571266</v>
      </c>
      <c r="L364" s="6">
        <v>0.27152812</v>
      </c>
      <c r="M364" s="6">
        <v>0.31653536</v>
      </c>
      <c r="N364" s="6">
        <v>0.1952837</v>
      </c>
      <c r="O364" s="6">
        <v>0.20735191</v>
      </c>
      <c r="P364" s="6">
        <v>0.50990799</v>
      </c>
      <c r="Q364" s="6">
        <v>0.44363674</v>
      </c>
      <c r="R364" s="6">
        <v>217.69486</v>
      </c>
      <c r="S364" s="6">
        <v>0.00164049</v>
      </c>
      <c r="T364" s="6">
        <v>169.97573</v>
      </c>
      <c r="U364" s="6">
        <v>0.00159745</v>
      </c>
      <c r="V364" s="6">
        <v>197.11803</v>
      </c>
      <c r="W364" s="6">
        <v>0.00160582</v>
      </c>
      <c r="X364" s="6">
        <v>134.47093</v>
      </c>
      <c r="Y364" s="6">
        <v>0.00145224</v>
      </c>
      <c r="Z364" s="6">
        <v>134.86767</v>
      </c>
      <c r="AA364" s="6">
        <v>0.00153745</v>
      </c>
      <c r="AB364" s="6">
        <v>294.9318</v>
      </c>
      <c r="AC364" s="6">
        <v>0.0017289</v>
      </c>
      <c r="AD364" s="6">
        <v>243.86163</v>
      </c>
      <c r="AE364" s="6">
        <v>0.00181922</v>
      </c>
      <c r="AF364" s="6">
        <v>775</v>
      </c>
      <c r="AG364" s="6">
        <v>-0.01052008</v>
      </c>
      <c r="AH364" s="6">
        <v>-0.01028655</v>
      </c>
      <c r="AI364" s="6">
        <v>-0.01033202</v>
      </c>
      <c r="AJ364" s="6">
        <v>-0.00948986</v>
      </c>
      <c r="AK364" s="6">
        <v>-0.00995902</v>
      </c>
      <c r="AL364" s="6">
        <v>-0.01099628</v>
      </c>
      <c r="AM364" s="6">
        <v>-0.01147806</v>
      </c>
      <c r="AN364" s="6">
        <v>-6.4762184</v>
      </c>
      <c r="AO364" s="6">
        <v>-6.4515561</v>
      </c>
      <c r="AP364" s="6">
        <v>-6.4739881</v>
      </c>
      <c r="AQ364" s="6">
        <v>-6.4253629</v>
      </c>
      <c r="AR364" s="6">
        <v>-6.4020076</v>
      </c>
      <c r="AS364" s="6">
        <v>-6.4618417</v>
      </c>
      <c r="AT364" s="6">
        <v>-6.4506396</v>
      </c>
      <c r="AU364" s="6">
        <v>0.97344833</v>
      </c>
      <c r="AV364" s="6">
        <v>0.96974131</v>
      </c>
      <c r="AW364" s="6">
        <v>0.97311308</v>
      </c>
      <c r="AX364" s="6">
        <v>0.96580418</v>
      </c>
      <c r="AY364" s="6">
        <v>0.96229362</v>
      </c>
      <c r="AZ364" s="6">
        <v>0.97128734</v>
      </c>
      <c r="BA364" s="6">
        <v>0.96960354</v>
      </c>
      <c r="BB364" s="6">
        <v>0.02655167</v>
      </c>
      <c r="BC364" s="6">
        <v>0.03025869</v>
      </c>
      <c r="BD364" s="6">
        <v>0.02688692</v>
      </c>
      <c r="BE364" s="6">
        <v>0.03419582</v>
      </c>
      <c r="BF364" s="6">
        <v>0.03770638</v>
      </c>
      <c r="BG364" s="6">
        <v>0.02871266</v>
      </c>
      <c r="BH364" s="6">
        <v>0.03039646</v>
      </c>
      <c r="BI364" s="6">
        <v>0.21470859</v>
      </c>
      <c r="BJ364" s="6">
        <v>0.12366373</v>
      </c>
      <c r="BK364" s="6">
        <v>0.1409291</v>
      </c>
      <c r="BL364" s="6">
        <v>0.12522516</v>
      </c>
      <c r="BM364" s="6">
        <v>0.1592662</v>
      </c>
      <c r="BN364" s="6">
        <v>0.17561655</v>
      </c>
      <c r="BO364" s="6">
        <v>0.1337285</v>
      </c>
      <c r="BP364" s="6">
        <v>0.14157076</v>
      </c>
      <c r="BQ364" s="6">
        <v>0.04416361</v>
      </c>
      <c r="BR364" s="6">
        <v>0.03826621</v>
      </c>
      <c r="BS364" s="6">
        <v>0.03963819</v>
      </c>
      <c r="BT364" s="6">
        <v>0.03110209</v>
      </c>
      <c r="BU364" s="6">
        <v>0.03641443</v>
      </c>
      <c r="BV364" s="6">
        <v>0.06818923</v>
      </c>
      <c r="BW364" s="6">
        <v>0.06280599</v>
      </c>
      <c r="BX364" s="12">
        <v>28850</v>
      </c>
      <c r="BY364" s="13">
        <v>8120</v>
      </c>
      <c r="BZ364" s="12">
        <v>54058.22</v>
      </c>
      <c r="CA364" s="6">
        <f t="shared" si="30"/>
        <v>3.55295566502463</v>
      </c>
      <c r="CB364" s="6">
        <f t="shared" si="31"/>
        <v>0.533683868984217</v>
      </c>
      <c r="CC364" s="7">
        <v>817930757.6</v>
      </c>
      <c r="CD364" s="7">
        <f t="shared" si="32"/>
        <v>1.51305529038877</v>
      </c>
      <c r="CE364" s="8">
        <v>4047.1</v>
      </c>
      <c r="CF364" s="8">
        <v>21275.9</v>
      </c>
      <c r="CG364" s="8">
        <v>17634.4</v>
      </c>
      <c r="CH364" s="8">
        <v>44348</v>
      </c>
      <c r="CI364" s="14">
        <v>0</v>
      </c>
      <c r="CJ364" s="14">
        <v>0</v>
      </c>
      <c r="CK364" s="14">
        <f t="shared" si="33"/>
        <v>0</v>
      </c>
      <c r="CL364">
        <f t="shared" si="34"/>
        <v>2.01609935715007</v>
      </c>
      <c r="CM364">
        <f t="shared" si="35"/>
        <v>0.249513529666712</v>
      </c>
      <c r="CN364" s="15">
        <v>28849.84</v>
      </c>
      <c r="CO364" s="15">
        <v>27762</v>
      </c>
      <c r="CP364" s="15">
        <v>3170.1</v>
      </c>
      <c r="CQ364" s="15">
        <v>2947.99</v>
      </c>
      <c r="CR364" s="15">
        <v>935</v>
      </c>
      <c r="CS364" s="15">
        <v>53.14</v>
      </c>
      <c r="CT364" s="15">
        <v>803.54</v>
      </c>
      <c r="CU364" s="15">
        <v>158.35</v>
      </c>
      <c r="CV364" s="15">
        <v>113.14</v>
      </c>
      <c r="CW364" s="15">
        <v>4580.91</v>
      </c>
    </row>
    <row r="365" spans="1:101">
      <c r="A365" s="6">
        <v>2013</v>
      </c>
      <c r="B365" s="6" t="s">
        <v>114</v>
      </c>
      <c r="C365" s="6">
        <v>0.3411389</v>
      </c>
      <c r="D365" s="6">
        <v>0.052885</v>
      </c>
      <c r="E365" s="6">
        <v>0.01306</v>
      </c>
      <c r="F365" s="6">
        <v>0.023141</v>
      </c>
      <c r="G365" s="6">
        <v>0.007801</v>
      </c>
      <c r="H365" s="6">
        <v>0.008884</v>
      </c>
      <c r="I365" s="6">
        <v>0.058483</v>
      </c>
      <c r="J365" s="6">
        <v>0.031799</v>
      </c>
      <c r="K365" s="6">
        <v>0.3632646</v>
      </c>
      <c r="L365" s="6">
        <v>0.26827374</v>
      </c>
      <c r="M365" s="6">
        <v>0.31274458</v>
      </c>
      <c r="N365" s="6">
        <v>0.20210667</v>
      </c>
      <c r="O365" s="6">
        <v>0.23571614</v>
      </c>
      <c r="P365" s="6">
        <v>0.56161223</v>
      </c>
      <c r="Q365" s="6">
        <v>0.4983882</v>
      </c>
      <c r="R365" s="6">
        <v>217.69486</v>
      </c>
      <c r="S365" s="6">
        <v>0.00166869</v>
      </c>
      <c r="T365" s="6">
        <v>169.97573</v>
      </c>
      <c r="U365" s="6">
        <v>0.00157831</v>
      </c>
      <c r="V365" s="6">
        <v>197.11803</v>
      </c>
      <c r="W365" s="6">
        <v>0.00158659</v>
      </c>
      <c r="X365" s="6">
        <v>134.47093</v>
      </c>
      <c r="Y365" s="6">
        <v>0.00150298</v>
      </c>
      <c r="Z365" s="6">
        <v>134.86767</v>
      </c>
      <c r="AA365" s="6">
        <v>0.00174776</v>
      </c>
      <c r="AB365" s="6">
        <v>294.9318</v>
      </c>
      <c r="AC365" s="6">
        <v>0.00190421</v>
      </c>
      <c r="AD365" s="6">
        <v>243.86163</v>
      </c>
      <c r="AE365" s="6">
        <v>0.00204373</v>
      </c>
      <c r="AF365" s="6">
        <v>775</v>
      </c>
      <c r="AG365" s="6">
        <v>-0.01067245</v>
      </c>
      <c r="AH365" s="6">
        <v>-0.01018229</v>
      </c>
      <c r="AI365" s="6">
        <v>-0.0102274</v>
      </c>
      <c r="AJ365" s="6">
        <v>-0.00976981</v>
      </c>
      <c r="AK365" s="6">
        <v>-0.01109726</v>
      </c>
      <c r="AL365" s="6">
        <v>-0.01192738</v>
      </c>
      <c r="AM365" s="6">
        <v>-0.0126568</v>
      </c>
      <c r="AN365" s="6">
        <v>-6.4762184</v>
      </c>
      <c r="AO365" s="6">
        <v>-6.4515561</v>
      </c>
      <c r="AP365" s="6">
        <v>-6.4739881</v>
      </c>
      <c r="AQ365" s="6">
        <v>-6.4253629</v>
      </c>
      <c r="AR365" s="6">
        <v>-6.4020076</v>
      </c>
      <c r="AS365" s="6">
        <v>-6.4618417</v>
      </c>
      <c r="AT365" s="6">
        <v>-6.4506396</v>
      </c>
      <c r="AU365" s="6">
        <v>0.97344833</v>
      </c>
      <c r="AV365" s="6">
        <v>0.96974131</v>
      </c>
      <c r="AW365" s="6">
        <v>0.97311308</v>
      </c>
      <c r="AX365" s="6">
        <v>0.96580418</v>
      </c>
      <c r="AY365" s="6">
        <v>0.96229362</v>
      </c>
      <c r="AZ365" s="6">
        <v>0.97128734</v>
      </c>
      <c r="BA365" s="6">
        <v>0.96960354</v>
      </c>
      <c r="BB365" s="6">
        <v>0.02655167</v>
      </c>
      <c r="BC365" s="6">
        <v>0.03025869</v>
      </c>
      <c r="BD365" s="6">
        <v>0.02688692</v>
      </c>
      <c r="BE365" s="6">
        <v>0.03419582</v>
      </c>
      <c r="BF365" s="6">
        <v>0.03770638</v>
      </c>
      <c r="BG365" s="6">
        <v>0.02871266</v>
      </c>
      <c r="BH365" s="6">
        <v>0.03039646</v>
      </c>
      <c r="BI365" s="6">
        <v>0.21470859</v>
      </c>
      <c r="BJ365" s="6">
        <v>0.12366373</v>
      </c>
      <c r="BK365" s="6">
        <v>0.1409291</v>
      </c>
      <c r="BL365" s="6">
        <v>0.12522516</v>
      </c>
      <c r="BM365" s="6">
        <v>0.1592662</v>
      </c>
      <c r="BN365" s="6">
        <v>0.17561655</v>
      </c>
      <c r="BO365" s="6">
        <v>0.1337285</v>
      </c>
      <c r="BP365" s="6">
        <v>0.14157076</v>
      </c>
      <c r="BQ365" s="6">
        <v>0.04492266</v>
      </c>
      <c r="BR365" s="6">
        <v>0.03780758</v>
      </c>
      <c r="BS365" s="6">
        <v>0.03916349</v>
      </c>
      <c r="BT365" s="6">
        <v>0.03218876</v>
      </c>
      <c r="BU365" s="6">
        <v>0.04139565</v>
      </c>
      <c r="BV365" s="6">
        <v>0.07510356</v>
      </c>
      <c r="BW365" s="6">
        <v>0.0705572</v>
      </c>
      <c r="BX365" s="12">
        <v>29205</v>
      </c>
      <c r="BY365" s="13">
        <v>8192</v>
      </c>
      <c r="BZ365" s="12">
        <v>59753.37</v>
      </c>
      <c r="CA365" s="6">
        <f t="shared" si="30"/>
        <v>3.5650634765625</v>
      </c>
      <c r="CB365" s="6">
        <f t="shared" si="31"/>
        <v>0.48875904405057</v>
      </c>
      <c r="CC365" s="7">
        <v>860018044</v>
      </c>
      <c r="CD365" s="7">
        <f t="shared" si="32"/>
        <v>1.43927956531991</v>
      </c>
      <c r="CE365" s="8">
        <v>4454.1</v>
      </c>
      <c r="CF365" s="8">
        <v>22615.9</v>
      </c>
      <c r="CG365" s="8">
        <v>20274.3</v>
      </c>
      <c r="CH365" s="8">
        <v>48673</v>
      </c>
      <c r="CI365" s="14">
        <v>0</v>
      </c>
      <c r="CJ365" s="14">
        <v>0</v>
      </c>
      <c r="CK365" s="14">
        <f t="shared" si="33"/>
        <v>0</v>
      </c>
      <c r="CL365">
        <f t="shared" si="34"/>
        <v>1.91398219724656</v>
      </c>
      <c r="CM365">
        <f t="shared" si="35"/>
        <v>0.248018311042576</v>
      </c>
      <c r="CN365" s="15">
        <v>29205</v>
      </c>
      <c r="CO365" s="15">
        <v>27946.07</v>
      </c>
      <c r="CP365" s="15">
        <v>3190.61</v>
      </c>
      <c r="CQ365" s="15">
        <v>3394.78</v>
      </c>
      <c r="CR365" s="15">
        <v>891.46</v>
      </c>
      <c r="CS365" s="15">
        <v>63.79</v>
      </c>
      <c r="CT365" s="15">
        <v>752.28</v>
      </c>
      <c r="CU365" s="15">
        <v>182.7</v>
      </c>
      <c r="CV365" s="15">
        <v>124.47</v>
      </c>
      <c r="CW365" s="15">
        <v>4956.62</v>
      </c>
    </row>
    <row r="366" spans="1:101">
      <c r="A366" s="6">
        <v>2014</v>
      </c>
      <c r="B366" s="6" t="s">
        <v>114</v>
      </c>
      <c r="C366" s="6">
        <v>0.32917466</v>
      </c>
      <c r="D366" s="6">
        <v>0.055487</v>
      </c>
      <c r="E366" s="6">
        <v>0.014672</v>
      </c>
      <c r="F366" s="6">
        <v>0.025371</v>
      </c>
      <c r="G366" s="6">
        <v>0.009466</v>
      </c>
      <c r="H366" s="6">
        <v>0.005978</v>
      </c>
      <c r="I366" s="6">
        <v>0.054467</v>
      </c>
      <c r="J366" s="6">
        <v>0.027624</v>
      </c>
      <c r="K366" s="6">
        <v>0.38367555</v>
      </c>
      <c r="L366" s="6">
        <v>0.30638657</v>
      </c>
      <c r="M366" s="6">
        <v>0.34703385</v>
      </c>
      <c r="N366" s="6">
        <v>0.25130874</v>
      </c>
      <c r="O366" s="6">
        <v>0.14766775</v>
      </c>
      <c r="P366" s="6">
        <v>0.51688447</v>
      </c>
      <c r="Q366" s="6">
        <v>0.42389884</v>
      </c>
      <c r="R366" s="6">
        <v>217.69486</v>
      </c>
      <c r="S366" s="6">
        <v>0.00176245</v>
      </c>
      <c r="T366" s="6">
        <v>169.97573</v>
      </c>
      <c r="U366" s="6">
        <v>0.00180253</v>
      </c>
      <c r="V366" s="6">
        <v>197.11803</v>
      </c>
      <c r="W366" s="6">
        <v>0.00176054</v>
      </c>
      <c r="X366" s="6">
        <v>134.47093</v>
      </c>
      <c r="Y366" s="6">
        <v>0.00186887</v>
      </c>
      <c r="Z366" s="6">
        <v>134.86767</v>
      </c>
      <c r="AA366" s="6">
        <v>0.00109491</v>
      </c>
      <c r="AB366" s="6">
        <v>294.9318</v>
      </c>
      <c r="AC366" s="6">
        <v>0.00175256</v>
      </c>
      <c r="AD366" s="6">
        <v>243.86163</v>
      </c>
      <c r="AE366" s="6">
        <v>0.00173828</v>
      </c>
      <c r="AF366" s="6">
        <v>775</v>
      </c>
      <c r="AG366" s="6">
        <v>-0.01117577</v>
      </c>
      <c r="AH366" s="6">
        <v>-0.01138941</v>
      </c>
      <c r="AI366" s="6">
        <v>-0.01116557</v>
      </c>
      <c r="AJ366" s="6">
        <v>-0.01174103</v>
      </c>
      <c r="AK366" s="6">
        <v>-0.00746408</v>
      </c>
      <c r="AL366" s="6">
        <v>-0.01112291</v>
      </c>
      <c r="AM366" s="6">
        <v>-0.0110465</v>
      </c>
      <c r="AN366" s="6">
        <v>-6.4762184</v>
      </c>
      <c r="AO366" s="6">
        <v>-6.4515561</v>
      </c>
      <c r="AP366" s="6">
        <v>-6.4739881</v>
      </c>
      <c r="AQ366" s="6">
        <v>-6.4253629</v>
      </c>
      <c r="AR366" s="6">
        <v>-6.4020076</v>
      </c>
      <c r="AS366" s="6">
        <v>-6.4618417</v>
      </c>
      <c r="AT366" s="6">
        <v>-6.4506396</v>
      </c>
      <c r="AU366" s="6">
        <v>0.97344833</v>
      </c>
      <c r="AV366" s="6">
        <v>0.96974131</v>
      </c>
      <c r="AW366" s="6">
        <v>0.97311308</v>
      </c>
      <c r="AX366" s="6">
        <v>0.96580418</v>
      </c>
      <c r="AY366" s="6">
        <v>0.96229362</v>
      </c>
      <c r="AZ366" s="6">
        <v>0.97128734</v>
      </c>
      <c r="BA366" s="6">
        <v>0.96960354</v>
      </c>
      <c r="BB366" s="6">
        <v>0.02655167</v>
      </c>
      <c r="BC366" s="6">
        <v>0.03025869</v>
      </c>
      <c r="BD366" s="6">
        <v>0.02688692</v>
      </c>
      <c r="BE366" s="6">
        <v>0.03419582</v>
      </c>
      <c r="BF366" s="6">
        <v>0.03770638</v>
      </c>
      <c r="BG366" s="6">
        <v>0.02871266</v>
      </c>
      <c r="BH366" s="6">
        <v>0.03039646</v>
      </c>
      <c r="BI366" s="6">
        <v>0.21470859</v>
      </c>
      <c r="BJ366" s="6">
        <v>0.12366373</v>
      </c>
      <c r="BK366" s="6">
        <v>0.1409291</v>
      </c>
      <c r="BL366" s="6">
        <v>0.12522516</v>
      </c>
      <c r="BM366" s="6">
        <v>0.1592662</v>
      </c>
      <c r="BN366" s="6">
        <v>0.17561655</v>
      </c>
      <c r="BO366" s="6">
        <v>0.1337285</v>
      </c>
      <c r="BP366" s="6">
        <v>0.14157076</v>
      </c>
      <c r="BQ366" s="6">
        <v>0.04744675</v>
      </c>
      <c r="BR366" s="6">
        <v>0.04317878</v>
      </c>
      <c r="BS366" s="6">
        <v>0.04345737</v>
      </c>
      <c r="BT366" s="6">
        <v>0.04002499</v>
      </c>
      <c r="BU366" s="6">
        <v>0.0259329</v>
      </c>
      <c r="BV366" s="6">
        <v>0.06912218</v>
      </c>
      <c r="BW366" s="6">
        <v>0.06001168</v>
      </c>
      <c r="BX366" s="12">
        <v>29863</v>
      </c>
      <c r="BY366" s="13">
        <v>8281</v>
      </c>
      <c r="BZ366" s="12">
        <v>65088.32</v>
      </c>
      <c r="CA366" s="6">
        <f t="shared" ref="CA366:CA429" si="36">BX366/BY366</f>
        <v>3.60620697983335</v>
      </c>
      <c r="CB366" s="6">
        <f t="shared" ref="CB366:CB429" si="37">BX366/BZ366</f>
        <v>0.458807355912704</v>
      </c>
      <c r="CC366" s="7">
        <v>868470666.9</v>
      </c>
      <c r="CD366" s="7">
        <f t="shared" si="32"/>
        <v>1.33429571834086</v>
      </c>
      <c r="CE366" s="8">
        <v>4662.8</v>
      </c>
      <c r="CF366" s="8">
        <v>23588</v>
      </c>
      <c r="CG366" s="8">
        <v>22524</v>
      </c>
      <c r="CH366" s="8">
        <v>51933</v>
      </c>
      <c r="CI366" s="14">
        <v>0</v>
      </c>
      <c r="CJ366" s="14">
        <v>0</v>
      </c>
      <c r="CK366" s="14">
        <f t="shared" si="33"/>
        <v>0</v>
      </c>
      <c r="CL366">
        <f t="shared" si="34"/>
        <v>1.79640226266579</v>
      </c>
      <c r="CM366">
        <f t="shared" si="35"/>
        <v>0.257240014627447</v>
      </c>
      <c r="CN366" s="15">
        <v>29863.03</v>
      </c>
      <c r="CO366" s="15">
        <v>26912.61</v>
      </c>
      <c r="CP366" s="15">
        <v>3408.6</v>
      </c>
      <c r="CQ366" s="15">
        <v>3511.4</v>
      </c>
      <c r="CR366" s="15">
        <v>974.61</v>
      </c>
      <c r="CS366" s="15">
        <v>82.77</v>
      </c>
      <c r="CT366" s="15">
        <v>814.06</v>
      </c>
      <c r="CU366" s="15">
        <v>151.78</v>
      </c>
      <c r="CV366" s="15">
        <v>127.7</v>
      </c>
      <c r="CW366" s="15">
        <v>5012.54</v>
      </c>
    </row>
    <row r="367" spans="1:101">
      <c r="A367" s="6">
        <v>2015</v>
      </c>
      <c r="B367" s="6" t="s">
        <v>114</v>
      </c>
      <c r="C367" s="6">
        <v>0.3357438</v>
      </c>
      <c r="D367" s="6">
        <v>0.058236</v>
      </c>
      <c r="E367" s="6">
        <v>0.014873</v>
      </c>
      <c r="F367" s="6">
        <v>0.026424</v>
      </c>
      <c r="G367" s="6">
        <v>0.008396</v>
      </c>
      <c r="H367" s="6">
        <v>0.008542</v>
      </c>
      <c r="I367" s="6">
        <v>0.051839</v>
      </c>
      <c r="J367" s="6">
        <v>0.026242</v>
      </c>
      <c r="K367" s="6">
        <v>0.40523826</v>
      </c>
      <c r="L367" s="6">
        <v>0.31114065</v>
      </c>
      <c r="M367" s="6">
        <v>0.36321437</v>
      </c>
      <c r="N367" s="6">
        <v>0.21970811</v>
      </c>
      <c r="O367" s="6">
        <v>0.22537304</v>
      </c>
      <c r="P367" s="6">
        <v>0.48761417</v>
      </c>
      <c r="Q367" s="6">
        <v>0.39922763</v>
      </c>
      <c r="R367" s="6">
        <v>217.69486</v>
      </c>
      <c r="S367" s="6">
        <v>0.0018615</v>
      </c>
      <c r="T367" s="6">
        <v>169.97573</v>
      </c>
      <c r="U367" s="6">
        <v>0.0018305</v>
      </c>
      <c r="V367" s="6">
        <v>197.11803</v>
      </c>
      <c r="W367" s="6">
        <v>0.00184262</v>
      </c>
      <c r="X367" s="6">
        <v>134.47093</v>
      </c>
      <c r="Y367" s="6">
        <v>0.00163387</v>
      </c>
      <c r="Z367" s="6">
        <v>134.86767</v>
      </c>
      <c r="AA367" s="6">
        <v>0.00167107</v>
      </c>
      <c r="AB367" s="6">
        <v>294.9318</v>
      </c>
      <c r="AC367" s="6">
        <v>0.00165331</v>
      </c>
      <c r="AD367" s="6">
        <v>243.86163</v>
      </c>
      <c r="AE367" s="6">
        <v>0.00163711</v>
      </c>
      <c r="AF367" s="6">
        <v>775</v>
      </c>
      <c r="AG367" s="6">
        <v>-0.01170207</v>
      </c>
      <c r="AH367" s="6">
        <v>-0.01153795</v>
      </c>
      <c r="AI367" s="6">
        <v>-0.0116022</v>
      </c>
      <c r="AJ367" s="6">
        <v>-0.01048423</v>
      </c>
      <c r="AK367" s="6">
        <v>-0.0106853</v>
      </c>
      <c r="AL367" s="6">
        <v>-0.01058942</v>
      </c>
      <c r="AM367" s="6">
        <v>-0.01050176</v>
      </c>
      <c r="AN367" s="6">
        <v>-6.4762184</v>
      </c>
      <c r="AO367" s="6">
        <v>-6.4515561</v>
      </c>
      <c r="AP367" s="6">
        <v>-6.4739881</v>
      </c>
      <c r="AQ367" s="6">
        <v>-6.4253629</v>
      </c>
      <c r="AR367" s="6">
        <v>-6.4020076</v>
      </c>
      <c r="AS367" s="6">
        <v>-6.4618417</v>
      </c>
      <c r="AT367" s="6">
        <v>-6.4506396</v>
      </c>
      <c r="AU367" s="6">
        <v>0.97344833</v>
      </c>
      <c r="AV367" s="6">
        <v>0.96974131</v>
      </c>
      <c r="AW367" s="6">
        <v>0.97311308</v>
      </c>
      <c r="AX367" s="6">
        <v>0.96580418</v>
      </c>
      <c r="AY367" s="6">
        <v>0.96229362</v>
      </c>
      <c r="AZ367" s="6">
        <v>0.97128734</v>
      </c>
      <c r="BA367" s="6">
        <v>0.96960354</v>
      </c>
      <c r="BB367" s="6">
        <v>0.02655167</v>
      </c>
      <c r="BC367" s="6">
        <v>0.03025869</v>
      </c>
      <c r="BD367" s="6">
        <v>0.02688692</v>
      </c>
      <c r="BE367" s="6">
        <v>0.03419582</v>
      </c>
      <c r="BF367" s="6">
        <v>0.03770638</v>
      </c>
      <c r="BG367" s="6">
        <v>0.02871266</v>
      </c>
      <c r="BH367" s="6">
        <v>0.03039646</v>
      </c>
      <c r="BI367" s="6">
        <v>0.21470859</v>
      </c>
      <c r="BJ367" s="6">
        <v>0.12366373</v>
      </c>
      <c r="BK367" s="6">
        <v>0.1409291</v>
      </c>
      <c r="BL367" s="6">
        <v>0.12522516</v>
      </c>
      <c r="BM367" s="6">
        <v>0.1592662</v>
      </c>
      <c r="BN367" s="6">
        <v>0.17561655</v>
      </c>
      <c r="BO367" s="6">
        <v>0.1337285</v>
      </c>
      <c r="BP367" s="6">
        <v>0.14157076</v>
      </c>
      <c r="BQ367" s="6">
        <v>0.05011328</v>
      </c>
      <c r="BR367" s="6">
        <v>0.04384877</v>
      </c>
      <c r="BS367" s="6">
        <v>0.04548358</v>
      </c>
      <c r="BT367" s="6">
        <v>0.03499208</v>
      </c>
      <c r="BU367" s="6">
        <v>0.03957923</v>
      </c>
      <c r="BV367" s="6">
        <v>0.06520791</v>
      </c>
      <c r="BW367" s="6">
        <v>0.05651896</v>
      </c>
      <c r="BX367" s="12">
        <v>30374</v>
      </c>
      <c r="BY367" s="13">
        <v>8315</v>
      </c>
      <c r="BZ367" s="12">
        <v>70116.38</v>
      </c>
      <c r="CA367" s="6">
        <f t="shared" si="36"/>
        <v>3.65291641611545</v>
      </c>
      <c r="CB367" s="6">
        <f t="shared" si="37"/>
        <v>0.43319406963109</v>
      </c>
      <c r="CC367" s="7">
        <v>832392293.3</v>
      </c>
      <c r="CD367" s="7">
        <f t="shared" si="32"/>
        <v>1.18715811241253</v>
      </c>
      <c r="CE367" s="8">
        <v>4902.8</v>
      </c>
      <c r="CF367" s="8">
        <v>24814.9</v>
      </c>
      <c r="CG367" s="8">
        <v>25571.1</v>
      </c>
      <c r="CH367" s="8">
        <v>56205</v>
      </c>
      <c r="CI367" s="14">
        <v>0</v>
      </c>
      <c r="CJ367" s="14">
        <v>0</v>
      </c>
      <c r="CK367" s="14">
        <f t="shared" si="33"/>
        <v>0</v>
      </c>
      <c r="CL367">
        <f t="shared" si="34"/>
        <v>1.71577514742415</v>
      </c>
      <c r="CM367">
        <f t="shared" si="35"/>
        <v>0.30809225544805</v>
      </c>
      <c r="CN367" s="15">
        <v>30374</v>
      </c>
      <c r="CO367" s="15">
        <v>27209.12</v>
      </c>
      <c r="CP367" s="15">
        <v>3588.61</v>
      </c>
      <c r="CQ367" s="15">
        <v>3823.2</v>
      </c>
      <c r="CR367" s="15">
        <v>1003.89</v>
      </c>
      <c r="CS367" s="15">
        <v>84.85</v>
      </c>
      <c r="CT367" s="15">
        <v>819.38</v>
      </c>
      <c r="CU367" s="15">
        <v>143.73</v>
      </c>
      <c r="CV367" s="15">
        <v>165.02</v>
      </c>
      <c r="CW367" s="15">
        <v>5115</v>
      </c>
    </row>
    <row r="368" spans="1:101">
      <c r="A368" s="6">
        <v>2016</v>
      </c>
      <c r="B368" s="6" t="s">
        <v>114</v>
      </c>
      <c r="C368" s="6">
        <v>0.3740584</v>
      </c>
      <c r="D368" s="6">
        <v>0.063358</v>
      </c>
      <c r="E368" s="6">
        <v>0.015579</v>
      </c>
      <c r="F368" s="6">
        <v>0.02808</v>
      </c>
      <c r="G368" s="6">
        <v>0.009422</v>
      </c>
      <c r="H368" s="6">
        <v>0.010277</v>
      </c>
      <c r="I368" s="6">
        <v>0.058678</v>
      </c>
      <c r="J368" s="6">
        <v>0.027652</v>
      </c>
      <c r="K368" s="6">
        <v>0.44541577</v>
      </c>
      <c r="L368" s="6">
        <v>0.32782409</v>
      </c>
      <c r="M368" s="6">
        <v>0.38866657</v>
      </c>
      <c r="N368" s="6">
        <v>0.25001848</v>
      </c>
      <c r="O368" s="6">
        <v>0.27795056</v>
      </c>
      <c r="P368" s="6">
        <v>0.56377991</v>
      </c>
      <c r="Q368" s="6">
        <v>0.42438275</v>
      </c>
      <c r="R368" s="6">
        <v>217.69486</v>
      </c>
      <c r="S368" s="6">
        <v>0.00204606</v>
      </c>
      <c r="T368" s="6">
        <v>169.97573</v>
      </c>
      <c r="U368" s="6">
        <v>0.00192865</v>
      </c>
      <c r="V368" s="6">
        <v>197.11803</v>
      </c>
      <c r="W368" s="6">
        <v>0.00197175</v>
      </c>
      <c r="X368" s="6">
        <v>134.47093</v>
      </c>
      <c r="Y368" s="6">
        <v>0.00185928</v>
      </c>
      <c r="Z368" s="6">
        <v>134.86767</v>
      </c>
      <c r="AA368" s="6">
        <v>0.00206091</v>
      </c>
      <c r="AB368" s="6">
        <v>294.9318</v>
      </c>
      <c r="AC368" s="6">
        <v>0.00191156</v>
      </c>
      <c r="AD368" s="6">
        <v>243.86163</v>
      </c>
      <c r="AE368" s="6">
        <v>0.00174026</v>
      </c>
      <c r="AF368" s="6">
        <v>775</v>
      </c>
      <c r="AG368" s="6">
        <v>-0.01266885</v>
      </c>
      <c r="AH368" s="6">
        <v>-0.01205588</v>
      </c>
      <c r="AI368" s="6">
        <v>-0.01228168</v>
      </c>
      <c r="AJ368" s="6">
        <v>-0.01169032</v>
      </c>
      <c r="AK368" s="6">
        <v>-0.01274594</v>
      </c>
      <c r="AL368" s="6">
        <v>-0.01196605</v>
      </c>
      <c r="AM368" s="6">
        <v>-0.01105713</v>
      </c>
      <c r="AN368" s="6">
        <v>-6.4762184</v>
      </c>
      <c r="AO368" s="6">
        <v>-6.4515561</v>
      </c>
      <c r="AP368" s="6">
        <v>-6.4739881</v>
      </c>
      <c r="AQ368" s="6">
        <v>-6.4253629</v>
      </c>
      <c r="AR368" s="6">
        <v>-6.4020076</v>
      </c>
      <c r="AS368" s="6">
        <v>-6.4618417</v>
      </c>
      <c r="AT368" s="6">
        <v>-6.4506396</v>
      </c>
      <c r="AU368" s="6">
        <v>0.97344833</v>
      </c>
      <c r="AV368" s="6">
        <v>0.96974131</v>
      </c>
      <c r="AW368" s="6">
        <v>0.97311308</v>
      </c>
      <c r="AX368" s="6">
        <v>0.96580418</v>
      </c>
      <c r="AY368" s="6">
        <v>0.96229362</v>
      </c>
      <c r="AZ368" s="6">
        <v>0.97128734</v>
      </c>
      <c r="BA368" s="6">
        <v>0.96960354</v>
      </c>
      <c r="BB368" s="6">
        <v>0.02655167</v>
      </c>
      <c r="BC368" s="6">
        <v>0.03025869</v>
      </c>
      <c r="BD368" s="6">
        <v>0.02688692</v>
      </c>
      <c r="BE368" s="6">
        <v>0.03419582</v>
      </c>
      <c r="BF368" s="6">
        <v>0.03770638</v>
      </c>
      <c r="BG368" s="6">
        <v>0.02871266</v>
      </c>
      <c r="BH368" s="6">
        <v>0.03039646</v>
      </c>
      <c r="BI368" s="6">
        <v>0.21470859</v>
      </c>
      <c r="BJ368" s="6">
        <v>0.12366373</v>
      </c>
      <c r="BK368" s="6">
        <v>0.1409291</v>
      </c>
      <c r="BL368" s="6">
        <v>0.12522516</v>
      </c>
      <c r="BM368" s="6">
        <v>0.1592662</v>
      </c>
      <c r="BN368" s="6">
        <v>0.17561655</v>
      </c>
      <c r="BO368" s="6">
        <v>0.1337285</v>
      </c>
      <c r="BP368" s="6">
        <v>0.14157076</v>
      </c>
      <c r="BQ368" s="6">
        <v>0.05508178</v>
      </c>
      <c r="BR368" s="6">
        <v>0.04619995</v>
      </c>
      <c r="BS368" s="6">
        <v>0.04867083</v>
      </c>
      <c r="BT368" s="6">
        <v>0.03981949</v>
      </c>
      <c r="BU368" s="6">
        <v>0.04881272</v>
      </c>
      <c r="BV368" s="6">
        <v>0.07539344</v>
      </c>
      <c r="BW368" s="6">
        <v>0.06008019</v>
      </c>
      <c r="BX368" s="12">
        <v>31210</v>
      </c>
      <c r="BY368" s="13">
        <v>8381</v>
      </c>
      <c r="BZ368" s="12">
        <v>77388.28</v>
      </c>
      <c r="CA368" s="6">
        <f t="shared" si="36"/>
        <v>3.72389929602673</v>
      </c>
      <c r="CB368" s="6">
        <f t="shared" si="37"/>
        <v>0.403291040968994</v>
      </c>
      <c r="CC368" s="7">
        <v>829472519.1</v>
      </c>
      <c r="CD368" s="7">
        <f t="shared" si="32"/>
        <v>1.07183221942651</v>
      </c>
      <c r="CE368" s="8">
        <v>4830.3</v>
      </c>
      <c r="CF368" s="8">
        <v>25565</v>
      </c>
      <c r="CG368" s="8">
        <v>28367.2</v>
      </c>
      <c r="CH368" s="8">
        <v>59239</v>
      </c>
      <c r="CI368" s="14">
        <v>0</v>
      </c>
      <c r="CJ368" s="14">
        <v>0</v>
      </c>
      <c r="CK368" s="14">
        <f t="shared" si="33"/>
        <v>0</v>
      </c>
      <c r="CL368">
        <f t="shared" si="34"/>
        <v>1.62438398605541</v>
      </c>
      <c r="CM368">
        <f t="shared" si="35"/>
        <v>0.34016080641788</v>
      </c>
      <c r="CN368" s="15">
        <v>31210</v>
      </c>
      <c r="CO368" s="15">
        <v>28048.13</v>
      </c>
      <c r="CP368" s="15">
        <v>3840.21</v>
      </c>
      <c r="CQ368" s="15">
        <v>4092.04</v>
      </c>
      <c r="CR368" s="15">
        <v>1027.31</v>
      </c>
      <c r="CS368" s="15">
        <v>90.58</v>
      </c>
      <c r="CT368" s="15">
        <v>821.31</v>
      </c>
      <c r="CU368" s="15">
        <v>151.6</v>
      </c>
      <c r="CV368" s="15">
        <v>172.73</v>
      </c>
      <c r="CW368" s="15">
        <v>5458.95</v>
      </c>
    </row>
    <row r="369" spans="1:101">
      <c r="A369" s="6">
        <v>2017</v>
      </c>
      <c r="B369" s="6" t="s">
        <v>114</v>
      </c>
      <c r="C369" s="6">
        <v>0.39186866</v>
      </c>
      <c r="D369" s="6">
        <v>0.066177</v>
      </c>
      <c r="E369" s="6">
        <v>0.016563</v>
      </c>
      <c r="F369" s="6">
        <v>0.030399</v>
      </c>
      <c r="G369" s="6">
        <v>0.009516</v>
      </c>
      <c r="H369" s="6">
        <v>0.009699</v>
      </c>
      <c r="I369" s="6">
        <v>0.059546</v>
      </c>
      <c r="J369" s="6">
        <v>0.031085</v>
      </c>
      <c r="K369" s="6">
        <v>0.4675306</v>
      </c>
      <c r="L369" s="6">
        <v>0.3511069</v>
      </c>
      <c r="M369" s="6">
        <v>0.42430394</v>
      </c>
      <c r="N369" s="6">
        <v>0.25281355</v>
      </c>
      <c r="O369" s="6">
        <v>0.2604127</v>
      </c>
      <c r="P369" s="6">
        <v>0.5734483</v>
      </c>
      <c r="Q369" s="6">
        <v>0.48564801</v>
      </c>
      <c r="R369" s="6">
        <v>217.69486</v>
      </c>
      <c r="S369" s="6">
        <v>0.00214764</v>
      </c>
      <c r="T369" s="6">
        <v>169.97573</v>
      </c>
      <c r="U369" s="6">
        <v>0.00206563</v>
      </c>
      <c r="V369" s="6">
        <v>197.11803</v>
      </c>
      <c r="W369" s="6">
        <v>0.00215254</v>
      </c>
      <c r="X369" s="6">
        <v>134.47093</v>
      </c>
      <c r="Y369" s="6">
        <v>0.00188006</v>
      </c>
      <c r="Z369" s="6">
        <v>134.86767</v>
      </c>
      <c r="AA369" s="6">
        <v>0.00193088</v>
      </c>
      <c r="AB369" s="6">
        <v>294.9318</v>
      </c>
      <c r="AC369" s="6">
        <v>0.00194434</v>
      </c>
      <c r="AD369" s="6">
        <v>243.86163</v>
      </c>
      <c r="AE369" s="6">
        <v>0.00199149</v>
      </c>
      <c r="AF369" s="6">
        <v>775</v>
      </c>
      <c r="AG369" s="6">
        <v>-0.01319379</v>
      </c>
      <c r="AH369" s="6">
        <v>-0.01277038</v>
      </c>
      <c r="AI369" s="6">
        <v>-0.01321896</v>
      </c>
      <c r="AJ369" s="6">
        <v>-0.01180011</v>
      </c>
      <c r="AK369" s="6">
        <v>-0.01206755</v>
      </c>
      <c r="AL369" s="6">
        <v>-0.0121382</v>
      </c>
      <c r="AM369" s="6">
        <v>-0.01238482</v>
      </c>
      <c r="AN369" s="6">
        <v>-6.4762184</v>
      </c>
      <c r="AO369" s="6">
        <v>-6.4515561</v>
      </c>
      <c r="AP369" s="6">
        <v>-6.4739881</v>
      </c>
      <c r="AQ369" s="6">
        <v>-6.4253629</v>
      </c>
      <c r="AR369" s="6">
        <v>-6.4020076</v>
      </c>
      <c r="AS369" s="6">
        <v>-6.4618417</v>
      </c>
      <c r="AT369" s="6">
        <v>-6.4506396</v>
      </c>
      <c r="AU369" s="6">
        <v>0.97344833</v>
      </c>
      <c r="AV369" s="6">
        <v>0.96974131</v>
      </c>
      <c r="AW369" s="6">
        <v>0.97311308</v>
      </c>
      <c r="AX369" s="6">
        <v>0.96580418</v>
      </c>
      <c r="AY369" s="6">
        <v>0.96229362</v>
      </c>
      <c r="AZ369" s="6">
        <v>0.97128734</v>
      </c>
      <c r="BA369" s="6">
        <v>0.96960354</v>
      </c>
      <c r="BB369" s="6">
        <v>0.02655167</v>
      </c>
      <c r="BC369" s="6">
        <v>0.03025869</v>
      </c>
      <c r="BD369" s="6">
        <v>0.02688692</v>
      </c>
      <c r="BE369" s="6">
        <v>0.03419582</v>
      </c>
      <c r="BF369" s="6">
        <v>0.03770638</v>
      </c>
      <c r="BG369" s="6">
        <v>0.02871266</v>
      </c>
      <c r="BH369" s="6">
        <v>0.03039646</v>
      </c>
      <c r="BI369" s="6">
        <v>0.21470859</v>
      </c>
      <c r="BJ369" s="6">
        <v>0.12366373</v>
      </c>
      <c r="BK369" s="6">
        <v>0.1409291</v>
      </c>
      <c r="BL369" s="6">
        <v>0.12522516</v>
      </c>
      <c r="BM369" s="6">
        <v>0.1592662</v>
      </c>
      <c r="BN369" s="6">
        <v>0.17561655</v>
      </c>
      <c r="BO369" s="6">
        <v>0.1337285</v>
      </c>
      <c r="BP369" s="6">
        <v>0.14157076</v>
      </c>
      <c r="BQ369" s="6">
        <v>0.05781658</v>
      </c>
      <c r="BR369" s="6">
        <v>0.04948118</v>
      </c>
      <c r="BS369" s="6">
        <v>0.05313353</v>
      </c>
      <c r="BT369" s="6">
        <v>0.04026465</v>
      </c>
      <c r="BU369" s="6">
        <v>0.04573278</v>
      </c>
      <c r="BV369" s="6">
        <v>0.07668638</v>
      </c>
      <c r="BW369" s="6">
        <v>0.06875356</v>
      </c>
      <c r="BX369" s="12">
        <v>31602</v>
      </c>
      <c r="BY369" s="13">
        <v>8423</v>
      </c>
      <c r="BZ369" s="12">
        <v>85869.76</v>
      </c>
      <c r="CA369" s="6">
        <f t="shared" si="36"/>
        <v>3.75186988009023</v>
      </c>
      <c r="CB369" s="6">
        <f t="shared" si="37"/>
        <v>0.368022456333871</v>
      </c>
      <c r="CC369" s="7">
        <v>846942215.3</v>
      </c>
      <c r="CD369" s="7">
        <f t="shared" si="32"/>
        <v>0.986310215959611</v>
      </c>
      <c r="CE369" s="8">
        <v>4832.7</v>
      </c>
      <c r="CF369" s="8">
        <v>26925.6</v>
      </c>
      <c r="CG369" s="8">
        <v>31253.8</v>
      </c>
      <c r="CH369" s="8">
        <v>62993</v>
      </c>
      <c r="CI369" s="14">
        <v>1</v>
      </c>
      <c r="CJ369" s="14">
        <v>0</v>
      </c>
      <c r="CK369" s="14">
        <f t="shared" si="33"/>
        <v>0</v>
      </c>
      <c r="CL369">
        <f t="shared" si="34"/>
        <v>1.56738551218677</v>
      </c>
      <c r="CM369">
        <f t="shared" si="35"/>
        <v>0.370729020849797</v>
      </c>
      <c r="CN369" s="15">
        <v>31602</v>
      </c>
      <c r="CO369" s="15">
        <v>26620.03</v>
      </c>
      <c r="CP369" s="15">
        <v>4070.64</v>
      </c>
      <c r="CQ369" s="15">
        <v>3866.06</v>
      </c>
      <c r="CR369" s="15">
        <v>1047.25</v>
      </c>
      <c r="CS369" s="15">
        <v>105.37</v>
      </c>
      <c r="CT369" s="15">
        <v>862.43</v>
      </c>
      <c r="CU369" s="15">
        <v>246.02</v>
      </c>
      <c r="CV369" s="15">
        <v>237.69</v>
      </c>
      <c r="CW369" s="15">
        <v>5807.89</v>
      </c>
    </row>
    <row r="370" spans="1:101">
      <c r="A370" s="6">
        <v>2018</v>
      </c>
      <c r="B370" s="6" t="s">
        <v>114</v>
      </c>
      <c r="C370" s="6">
        <v>0.39803057</v>
      </c>
      <c r="D370" s="6">
        <v>0.065486</v>
      </c>
      <c r="E370" s="6">
        <v>0.016232</v>
      </c>
      <c r="F370" s="6">
        <v>0.028998</v>
      </c>
      <c r="G370" s="6">
        <v>0.010734</v>
      </c>
      <c r="H370" s="6">
        <v>0.009523</v>
      </c>
      <c r="I370" s="6">
        <v>0.06096</v>
      </c>
      <c r="J370" s="6">
        <v>0.032562</v>
      </c>
      <c r="K370" s="6">
        <v>0.46211104</v>
      </c>
      <c r="L370" s="6">
        <v>0.34328122</v>
      </c>
      <c r="M370" s="6">
        <v>0.4027694</v>
      </c>
      <c r="N370" s="6">
        <v>0.28879408</v>
      </c>
      <c r="O370" s="6">
        <v>0.25507818</v>
      </c>
      <c r="P370" s="6">
        <v>0.5892043</v>
      </c>
      <c r="Q370" s="6">
        <v>0.51200209</v>
      </c>
      <c r="R370" s="6">
        <v>217.69486</v>
      </c>
      <c r="S370" s="6">
        <v>0.00212275</v>
      </c>
      <c r="T370" s="6">
        <v>169.97573</v>
      </c>
      <c r="U370" s="6">
        <v>0.00201959</v>
      </c>
      <c r="V370" s="6">
        <v>197.11803</v>
      </c>
      <c r="W370" s="6">
        <v>0.00204329</v>
      </c>
      <c r="X370" s="6">
        <v>134.47093</v>
      </c>
      <c r="Y370" s="6">
        <v>0.00214763</v>
      </c>
      <c r="Z370" s="6">
        <v>134.86767</v>
      </c>
      <c r="AA370" s="6">
        <v>0.00189132</v>
      </c>
      <c r="AB370" s="6">
        <v>294.9318</v>
      </c>
      <c r="AC370" s="6">
        <v>0.00199776</v>
      </c>
      <c r="AD370" s="6">
        <v>243.86163</v>
      </c>
      <c r="AE370" s="6">
        <v>0.00209956</v>
      </c>
      <c r="AF370" s="6">
        <v>775</v>
      </c>
      <c r="AG370" s="6">
        <v>-0.0130656</v>
      </c>
      <c r="AH370" s="6">
        <v>-0.01253127</v>
      </c>
      <c r="AI370" s="6">
        <v>-0.01265449</v>
      </c>
      <c r="AJ370" s="6">
        <v>-0.01319374</v>
      </c>
      <c r="AK370" s="6">
        <v>-0.0118595</v>
      </c>
      <c r="AL370" s="6">
        <v>-0.01241756</v>
      </c>
      <c r="AM370" s="6">
        <v>-0.01294594</v>
      </c>
      <c r="AN370" s="6">
        <v>-6.4762184</v>
      </c>
      <c r="AO370" s="6">
        <v>-6.4515561</v>
      </c>
      <c r="AP370" s="6">
        <v>-6.4739881</v>
      </c>
      <c r="AQ370" s="6">
        <v>-6.4253629</v>
      </c>
      <c r="AR370" s="6">
        <v>-6.4020076</v>
      </c>
      <c r="AS370" s="6">
        <v>-6.4618417</v>
      </c>
      <c r="AT370" s="6">
        <v>-6.4506396</v>
      </c>
      <c r="AU370" s="6">
        <v>0.97344833</v>
      </c>
      <c r="AV370" s="6">
        <v>0.96974131</v>
      </c>
      <c r="AW370" s="6">
        <v>0.97311308</v>
      </c>
      <c r="AX370" s="6">
        <v>0.96580418</v>
      </c>
      <c r="AY370" s="6">
        <v>0.96229362</v>
      </c>
      <c r="AZ370" s="6">
        <v>0.97128734</v>
      </c>
      <c r="BA370" s="6">
        <v>0.96960354</v>
      </c>
      <c r="BB370" s="6">
        <v>0.02655167</v>
      </c>
      <c r="BC370" s="6">
        <v>0.03025869</v>
      </c>
      <c r="BD370" s="6">
        <v>0.02688692</v>
      </c>
      <c r="BE370" s="6">
        <v>0.03419582</v>
      </c>
      <c r="BF370" s="6">
        <v>0.03770638</v>
      </c>
      <c r="BG370" s="6">
        <v>0.02871266</v>
      </c>
      <c r="BH370" s="6">
        <v>0.03039646</v>
      </c>
      <c r="BI370" s="6">
        <v>0.21470859</v>
      </c>
      <c r="BJ370" s="6">
        <v>0.12366373</v>
      </c>
      <c r="BK370" s="6">
        <v>0.1409291</v>
      </c>
      <c r="BL370" s="6">
        <v>0.12522516</v>
      </c>
      <c r="BM370" s="6">
        <v>0.1592662</v>
      </c>
      <c r="BN370" s="6">
        <v>0.17561655</v>
      </c>
      <c r="BO370" s="6">
        <v>0.1337285</v>
      </c>
      <c r="BP370" s="6">
        <v>0.14157076</v>
      </c>
      <c r="BQ370" s="6">
        <v>0.05714638</v>
      </c>
      <c r="BR370" s="6">
        <v>0.04837831</v>
      </c>
      <c r="BS370" s="6">
        <v>0.05043686</v>
      </c>
      <c r="BT370" s="6">
        <v>0.04599514</v>
      </c>
      <c r="BU370" s="6">
        <v>0.04479595</v>
      </c>
      <c r="BV370" s="6">
        <v>0.0787934</v>
      </c>
      <c r="BW370" s="6">
        <v>0.07248453</v>
      </c>
      <c r="BX370" s="12">
        <v>31635</v>
      </c>
      <c r="BY370" s="13">
        <v>8446</v>
      </c>
      <c r="BZ370" s="12">
        <v>92595.4</v>
      </c>
      <c r="CA370" s="6">
        <f t="shared" si="36"/>
        <v>3.74556002841582</v>
      </c>
      <c r="CB370" s="6">
        <f t="shared" si="37"/>
        <v>0.341647641243518</v>
      </c>
      <c r="CC370" s="7">
        <v>881791125.4</v>
      </c>
      <c r="CD370" s="7">
        <f t="shared" si="32"/>
        <v>0.952305541527981</v>
      </c>
      <c r="CE370" s="8">
        <v>4950.5</v>
      </c>
      <c r="CF370" s="8">
        <v>27523.7</v>
      </c>
      <c r="CG370" s="8">
        <v>34174.7</v>
      </c>
      <c r="CH370" s="8">
        <v>66284</v>
      </c>
      <c r="CI370" s="14">
        <v>1</v>
      </c>
      <c r="CJ370" s="14">
        <v>0</v>
      </c>
      <c r="CK370" s="14">
        <f t="shared" si="33"/>
        <v>0</v>
      </c>
      <c r="CL370">
        <f t="shared" si="34"/>
        <v>1.51591455826218</v>
      </c>
      <c r="CM370">
        <f t="shared" si="35"/>
        <v>0.371794712084769</v>
      </c>
      <c r="CN370" s="15">
        <v>31635</v>
      </c>
      <c r="CO370" s="15">
        <v>25407.28</v>
      </c>
      <c r="CP370" s="15">
        <v>4052.63</v>
      </c>
      <c r="CQ370" s="15">
        <v>4067.87</v>
      </c>
      <c r="CR370" s="15">
        <v>1073.12</v>
      </c>
      <c r="CS370" s="15">
        <v>113.23</v>
      </c>
      <c r="CT370" s="15">
        <v>881.47</v>
      </c>
      <c r="CU370" s="15">
        <v>247.11</v>
      </c>
      <c r="CV370" s="15">
        <v>276.21</v>
      </c>
      <c r="CW370" s="15">
        <v>6128.27</v>
      </c>
    </row>
    <row r="371" spans="1:101">
      <c r="A371" s="6">
        <v>2019</v>
      </c>
      <c r="B371" s="6" t="s">
        <v>114</v>
      </c>
      <c r="C371" s="6">
        <v>0.40392346</v>
      </c>
      <c r="D371" s="6">
        <v>0.064873</v>
      </c>
      <c r="E371" s="6">
        <v>0.016352</v>
      </c>
      <c r="F371" s="6">
        <v>0.028275</v>
      </c>
      <c r="G371" s="6">
        <v>0.009638</v>
      </c>
      <c r="H371" s="6">
        <v>0.010607</v>
      </c>
      <c r="I371" s="6">
        <v>0.06449</v>
      </c>
      <c r="J371" s="6">
        <v>0.033199</v>
      </c>
      <c r="K371" s="6">
        <v>0.45729615</v>
      </c>
      <c r="L371" s="6">
        <v>0.34611223</v>
      </c>
      <c r="M371" s="6">
        <v>0.3916669</v>
      </c>
      <c r="N371" s="6">
        <v>0.25640846</v>
      </c>
      <c r="O371" s="6">
        <v>0.28794086</v>
      </c>
      <c r="P371" s="6">
        <v>0.62851786</v>
      </c>
      <c r="Q371" s="6">
        <v>0.52336756</v>
      </c>
      <c r="R371" s="6">
        <v>217.69486</v>
      </c>
      <c r="S371" s="6">
        <v>0.00210063</v>
      </c>
      <c r="T371" s="6">
        <v>169.97573</v>
      </c>
      <c r="U371" s="6">
        <v>0.00203624</v>
      </c>
      <c r="V371" s="6">
        <v>197.11803</v>
      </c>
      <c r="W371" s="6">
        <v>0.00198697</v>
      </c>
      <c r="X371" s="6">
        <v>134.47093</v>
      </c>
      <c r="Y371" s="6">
        <v>0.00190679</v>
      </c>
      <c r="Z371" s="6">
        <v>134.86767</v>
      </c>
      <c r="AA371" s="6">
        <v>0.00213499</v>
      </c>
      <c r="AB371" s="6">
        <v>294.9318</v>
      </c>
      <c r="AC371" s="6">
        <v>0.00213106</v>
      </c>
      <c r="AD371" s="6">
        <v>243.86163</v>
      </c>
      <c r="AE371" s="6">
        <v>0.00214617</v>
      </c>
      <c r="AF371" s="6">
        <v>775</v>
      </c>
      <c r="AG371" s="6">
        <v>-0.01295147</v>
      </c>
      <c r="AH371" s="6">
        <v>-0.01261789</v>
      </c>
      <c r="AI371" s="6">
        <v>-0.01236121</v>
      </c>
      <c r="AJ371" s="6">
        <v>-0.01194098</v>
      </c>
      <c r="AK371" s="6">
        <v>-0.01312867</v>
      </c>
      <c r="AL371" s="6">
        <v>-0.01310845</v>
      </c>
      <c r="AM371" s="6">
        <v>-0.0131862</v>
      </c>
      <c r="AN371" s="6">
        <v>-6.4762184</v>
      </c>
      <c r="AO371" s="6">
        <v>-6.4515561</v>
      </c>
      <c r="AP371" s="6">
        <v>-6.4739881</v>
      </c>
      <c r="AQ371" s="6">
        <v>-6.4253629</v>
      </c>
      <c r="AR371" s="6">
        <v>-6.4020076</v>
      </c>
      <c r="AS371" s="6">
        <v>-6.4618417</v>
      </c>
      <c r="AT371" s="6">
        <v>-6.4506396</v>
      </c>
      <c r="AU371" s="6">
        <v>0.97344833</v>
      </c>
      <c r="AV371" s="6">
        <v>0.96974131</v>
      </c>
      <c r="AW371" s="6">
        <v>0.97311308</v>
      </c>
      <c r="AX371" s="6">
        <v>0.96580418</v>
      </c>
      <c r="AY371" s="6">
        <v>0.96229362</v>
      </c>
      <c r="AZ371" s="6">
        <v>0.97128734</v>
      </c>
      <c r="BA371" s="6">
        <v>0.96960354</v>
      </c>
      <c r="BB371" s="6">
        <v>0.02655167</v>
      </c>
      <c r="BC371" s="6">
        <v>0.03025869</v>
      </c>
      <c r="BD371" s="6">
        <v>0.02688692</v>
      </c>
      <c r="BE371" s="6">
        <v>0.03419582</v>
      </c>
      <c r="BF371" s="6">
        <v>0.03770638</v>
      </c>
      <c r="BG371" s="6">
        <v>0.02871266</v>
      </c>
      <c r="BH371" s="6">
        <v>0.03039646</v>
      </c>
      <c r="BI371" s="6">
        <v>0.21470859</v>
      </c>
      <c r="BJ371" s="6">
        <v>0.12366373</v>
      </c>
      <c r="BK371" s="6">
        <v>0.1409291</v>
      </c>
      <c r="BL371" s="6">
        <v>0.12522516</v>
      </c>
      <c r="BM371" s="6">
        <v>0.1592662</v>
      </c>
      <c r="BN371" s="6">
        <v>0.17561655</v>
      </c>
      <c r="BO371" s="6">
        <v>0.1337285</v>
      </c>
      <c r="BP371" s="6">
        <v>0.14157076</v>
      </c>
      <c r="BQ371" s="6">
        <v>0.05655095</v>
      </c>
      <c r="BR371" s="6">
        <v>0.04877728</v>
      </c>
      <c r="BS371" s="6">
        <v>0.04904655</v>
      </c>
      <c r="BT371" s="6">
        <v>0.0408372</v>
      </c>
      <c r="BU371" s="6">
        <v>0.05056718</v>
      </c>
      <c r="BV371" s="6">
        <v>0.08405075</v>
      </c>
      <c r="BW371" s="6">
        <v>0.07409355</v>
      </c>
      <c r="BX371" s="12">
        <v>32526</v>
      </c>
      <c r="BY371" s="13">
        <v>8469</v>
      </c>
      <c r="BZ371" s="12">
        <v>99631.52</v>
      </c>
      <c r="CA371" s="6">
        <f t="shared" si="36"/>
        <v>3.84059511158342</v>
      </c>
      <c r="CB371" s="6">
        <f t="shared" si="37"/>
        <v>0.326462950680668</v>
      </c>
      <c r="CC371" s="7">
        <v>902740443.2</v>
      </c>
      <c r="CD371" s="7">
        <f t="shared" si="32"/>
        <v>0.906079163702411</v>
      </c>
      <c r="CE371" s="8">
        <v>5117</v>
      </c>
      <c r="CF371" s="8">
        <v>28171.8</v>
      </c>
      <c r="CG371" s="8">
        <v>37251.7</v>
      </c>
      <c r="CH371" s="8">
        <v>69901</v>
      </c>
      <c r="CI371" s="14">
        <v>1</v>
      </c>
      <c r="CJ371" s="14">
        <v>0</v>
      </c>
      <c r="CK371" s="14">
        <f t="shared" si="33"/>
        <v>0</v>
      </c>
      <c r="CL371">
        <f t="shared" si="34"/>
        <v>1.5000536746505</v>
      </c>
      <c r="CM371">
        <f t="shared" si="35"/>
        <v>0.395968838306056</v>
      </c>
      <c r="CN371" s="15">
        <v>32526</v>
      </c>
      <c r="CO371" s="15">
        <v>24902.05</v>
      </c>
      <c r="CP371" s="15">
        <v>4953.14</v>
      </c>
      <c r="CQ371" s="15">
        <v>4121.21</v>
      </c>
      <c r="CR371" s="15">
        <v>1085.87</v>
      </c>
      <c r="CS371" s="15">
        <v>132.85</v>
      </c>
      <c r="CT371" s="15">
        <v>887.19</v>
      </c>
      <c r="CU371" s="15">
        <v>159.03</v>
      </c>
      <c r="CV371" s="15">
        <v>288.06</v>
      </c>
      <c r="CW371" s="15">
        <v>6264.36</v>
      </c>
    </row>
    <row r="372" spans="1:101">
      <c r="A372" s="6">
        <v>2020</v>
      </c>
      <c r="B372" s="6" t="s">
        <v>114</v>
      </c>
      <c r="C372" s="6">
        <v>0.41610889</v>
      </c>
      <c r="D372" s="6">
        <v>0.063476</v>
      </c>
      <c r="E372" s="6">
        <v>0.014664</v>
      </c>
      <c r="F372" s="6">
        <v>0.028599</v>
      </c>
      <c r="G372" s="6">
        <v>0.010019</v>
      </c>
      <c r="H372" s="6">
        <v>0.010194</v>
      </c>
      <c r="I372" s="6">
        <v>0.071029</v>
      </c>
      <c r="J372" s="6">
        <v>0.036845</v>
      </c>
      <c r="K372" s="6">
        <v>0.44633848</v>
      </c>
      <c r="L372" s="6">
        <v>0.30619277</v>
      </c>
      <c r="M372" s="6">
        <v>0.39664281</v>
      </c>
      <c r="N372" s="6">
        <v>0.26766311</v>
      </c>
      <c r="O372" s="6">
        <v>0.27542552</v>
      </c>
      <c r="P372" s="6">
        <v>0.70135557</v>
      </c>
      <c r="Q372" s="6">
        <v>0.5884102</v>
      </c>
      <c r="R372" s="6">
        <v>217.69486</v>
      </c>
      <c r="S372" s="6">
        <v>0.00205029</v>
      </c>
      <c r="T372" s="6">
        <v>169.97573</v>
      </c>
      <c r="U372" s="6">
        <v>0.00180139</v>
      </c>
      <c r="V372" s="6">
        <v>197.11803</v>
      </c>
      <c r="W372" s="6">
        <v>0.00201221</v>
      </c>
      <c r="X372" s="6">
        <v>134.47093</v>
      </c>
      <c r="Y372" s="6">
        <v>0.00199049</v>
      </c>
      <c r="Z372" s="6">
        <v>134.86767</v>
      </c>
      <c r="AA372" s="6">
        <v>0.00204219</v>
      </c>
      <c r="AB372" s="6">
        <v>294.9318</v>
      </c>
      <c r="AC372" s="6">
        <v>0.00237803</v>
      </c>
      <c r="AD372" s="6">
        <v>243.86163</v>
      </c>
      <c r="AE372" s="6">
        <v>0.00241289</v>
      </c>
      <c r="AF372" s="6">
        <v>775</v>
      </c>
      <c r="AG372" s="6">
        <v>-0.01269085</v>
      </c>
      <c r="AH372" s="6">
        <v>-0.01138334</v>
      </c>
      <c r="AI372" s="6">
        <v>-0.01249285</v>
      </c>
      <c r="AJ372" s="6">
        <v>-0.01237961</v>
      </c>
      <c r="AK372" s="6">
        <v>-0.01264878</v>
      </c>
      <c r="AL372" s="6">
        <v>-0.01436681</v>
      </c>
      <c r="AM372" s="6">
        <v>-0.0145423</v>
      </c>
      <c r="AN372" s="6">
        <v>-6.4762184</v>
      </c>
      <c r="AO372" s="6">
        <v>-6.4515561</v>
      </c>
      <c r="AP372" s="6">
        <v>-6.4739881</v>
      </c>
      <c r="AQ372" s="6">
        <v>-6.4253629</v>
      </c>
      <c r="AR372" s="6">
        <v>-6.4020076</v>
      </c>
      <c r="AS372" s="6">
        <v>-6.4618417</v>
      </c>
      <c r="AT372" s="6">
        <v>-6.4506396</v>
      </c>
      <c r="AU372" s="6">
        <v>0.97344833</v>
      </c>
      <c r="AV372" s="6">
        <v>0.96974131</v>
      </c>
      <c r="AW372" s="6">
        <v>0.97311308</v>
      </c>
      <c r="AX372" s="6">
        <v>0.96580418</v>
      </c>
      <c r="AY372" s="6">
        <v>0.96229362</v>
      </c>
      <c r="AZ372" s="6">
        <v>0.97128734</v>
      </c>
      <c r="BA372" s="6">
        <v>0.96960354</v>
      </c>
      <c r="BB372" s="6">
        <v>0.02655167</v>
      </c>
      <c r="BC372" s="6">
        <v>0.03025869</v>
      </c>
      <c r="BD372" s="6">
        <v>0.02688692</v>
      </c>
      <c r="BE372" s="6">
        <v>0.03419582</v>
      </c>
      <c r="BF372" s="6">
        <v>0.03770638</v>
      </c>
      <c r="BG372" s="6">
        <v>0.02871266</v>
      </c>
      <c r="BH372" s="6">
        <v>0.03039646</v>
      </c>
      <c r="BI372" s="6">
        <v>0.21470859</v>
      </c>
      <c r="BJ372" s="6">
        <v>0.12366373</v>
      </c>
      <c r="BK372" s="6">
        <v>0.1409291</v>
      </c>
      <c r="BL372" s="6">
        <v>0.12522516</v>
      </c>
      <c r="BM372" s="6">
        <v>0.1592662</v>
      </c>
      <c r="BN372" s="6">
        <v>0.17561655</v>
      </c>
      <c r="BO372" s="6">
        <v>0.1337285</v>
      </c>
      <c r="BP372" s="6">
        <v>0.14157076</v>
      </c>
      <c r="BQ372" s="6">
        <v>0.05519588</v>
      </c>
      <c r="BR372" s="6">
        <v>0.04315147</v>
      </c>
      <c r="BS372" s="6">
        <v>0.04966966</v>
      </c>
      <c r="BT372" s="6">
        <v>0.04262969</v>
      </c>
      <c r="BU372" s="6">
        <v>0.04836928</v>
      </c>
      <c r="BV372" s="6">
        <v>0.09379123</v>
      </c>
      <c r="BW372" s="6">
        <v>0.08330168</v>
      </c>
      <c r="BX372" s="12">
        <v>32672.49</v>
      </c>
      <c r="BY372" s="13">
        <v>8477.26</v>
      </c>
      <c r="BZ372" s="12">
        <v>102718.98</v>
      </c>
      <c r="CA372" s="6">
        <f t="shared" si="36"/>
        <v>3.85413329306875</v>
      </c>
      <c r="CB372" s="6">
        <f t="shared" si="37"/>
        <v>0.318076464544333</v>
      </c>
      <c r="CC372" s="7">
        <v>892490442.5</v>
      </c>
      <c r="CD372" s="7">
        <f t="shared" si="32"/>
        <v>0.86886614576975</v>
      </c>
      <c r="CE372" s="8">
        <v>5364.4</v>
      </c>
      <c r="CF372" s="8">
        <v>28456.7</v>
      </c>
      <c r="CG372" s="8">
        <v>38977.2</v>
      </c>
      <c r="CH372" s="8">
        <v>71825</v>
      </c>
      <c r="CI372" s="14">
        <v>1</v>
      </c>
      <c r="CJ372" s="14">
        <v>0</v>
      </c>
      <c r="CK372" s="14">
        <f t="shared" si="33"/>
        <v>0</v>
      </c>
      <c r="CL372">
        <f t="shared" si="34"/>
        <v>1.47141701078949</v>
      </c>
      <c r="CM372">
        <f t="shared" si="35"/>
        <v>0.40950380524447</v>
      </c>
      <c r="CN372" s="15">
        <v>32672.49</v>
      </c>
      <c r="CO372" s="15">
        <v>24141.74</v>
      </c>
      <c r="CP372" s="15">
        <v>4485.53</v>
      </c>
      <c r="CQ372" s="15">
        <v>4017.88</v>
      </c>
      <c r="CR372" s="15">
        <v>1104.53</v>
      </c>
      <c r="CS372" s="15">
        <v>106.68</v>
      </c>
      <c r="CT372" s="15">
        <v>900.78</v>
      </c>
      <c r="CU372" s="15">
        <v>160.37</v>
      </c>
      <c r="CV372" s="15">
        <v>273.32</v>
      </c>
      <c r="CW372" s="15">
        <v>6374</v>
      </c>
    </row>
    <row r="373" spans="1:101">
      <c r="A373" s="6">
        <v>2021</v>
      </c>
      <c r="B373" s="6" t="s">
        <v>114</v>
      </c>
      <c r="C373" s="6">
        <v>0.42930433</v>
      </c>
      <c r="D373" s="6">
        <v>0.070031</v>
      </c>
      <c r="E373" s="6">
        <v>0.016134</v>
      </c>
      <c r="F373" s="6">
        <v>0.030936</v>
      </c>
      <c r="G373" s="6">
        <v>0.010535</v>
      </c>
      <c r="H373" s="6">
        <v>0.012426</v>
      </c>
      <c r="I373" s="6">
        <v>0.064843</v>
      </c>
      <c r="J373" s="6">
        <v>0.033814</v>
      </c>
      <c r="K373" s="6">
        <v>0.49775879</v>
      </c>
      <c r="L373" s="6">
        <v>0.34095396</v>
      </c>
      <c r="M373" s="6">
        <v>0.43255115</v>
      </c>
      <c r="N373" s="6">
        <v>0.282922</v>
      </c>
      <c r="O373" s="6">
        <v>0.34308102</v>
      </c>
      <c r="P373" s="6">
        <v>0.63244864</v>
      </c>
      <c r="Q373" s="6">
        <v>0.53433335</v>
      </c>
      <c r="R373" s="6">
        <v>217.69486</v>
      </c>
      <c r="S373" s="6">
        <v>0.0022865</v>
      </c>
      <c r="T373" s="6">
        <v>169.97573</v>
      </c>
      <c r="U373" s="6">
        <v>0.0020059</v>
      </c>
      <c r="V373" s="6">
        <v>197.11803</v>
      </c>
      <c r="W373" s="6">
        <v>0.00219438</v>
      </c>
      <c r="X373" s="6">
        <v>134.47093</v>
      </c>
      <c r="Y373" s="6">
        <v>0.00210396</v>
      </c>
      <c r="Z373" s="6">
        <v>134.86767</v>
      </c>
      <c r="AA373" s="6">
        <v>0.00254383</v>
      </c>
      <c r="AB373" s="6">
        <v>294.9318</v>
      </c>
      <c r="AC373" s="6">
        <v>0.00214439</v>
      </c>
      <c r="AD373" s="6">
        <v>243.86163</v>
      </c>
      <c r="AE373" s="6">
        <v>0.00219113</v>
      </c>
      <c r="AF373" s="6">
        <v>775</v>
      </c>
      <c r="AG373" s="6">
        <v>-0.01390358</v>
      </c>
      <c r="AH373" s="6">
        <v>-0.01245996</v>
      </c>
      <c r="AI373" s="6">
        <v>-0.01343366</v>
      </c>
      <c r="AJ373" s="6">
        <v>-0.01296869</v>
      </c>
      <c r="AK373" s="6">
        <v>-0.01519708</v>
      </c>
      <c r="AL373" s="6">
        <v>-0.01317706</v>
      </c>
      <c r="AM373" s="6">
        <v>-0.01341705</v>
      </c>
      <c r="AN373" s="6">
        <v>-6.4762184</v>
      </c>
      <c r="AO373" s="6">
        <v>-6.4515561</v>
      </c>
      <c r="AP373" s="6">
        <v>-6.4739881</v>
      </c>
      <c r="AQ373" s="6">
        <v>-6.4253629</v>
      </c>
      <c r="AR373" s="6">
        <v>-6.4020076</v>
      </c>
      <c r="AS373" s="6">
        <v>-6.4618417</v>
      </c>
      <c r="AT373" s="6">
        <v>-6.4506396</v>
      </c>
      <c r="AU373" s="6">
        <v>0.97344833</v>
      </c>
      <c r="AV373" s="6">
        <v>0.96974131</v>
      </c>
      <c r="AW373" s="6">
        <v>0.97311308</v>
      </c>
      <c r="AX373" s="6">
        <v>0.96580418</v>
      </c>
      <c r="AY373" s="6">
        <v>0.96229362</v>
      </c>
      <c r="AZ373" s="6">
        <v>0.97128734</v>
      </c>
      <c r="BA373" s="6">
        <v>0.96960354</v>
      </c>
      <c r="BB373" s="6">
        <v>0.02655167</v>
      </c>
      <c r="BC373" s="6">
        <v>0.03025869</v>
      </c>
      <c r="BD373" s="6">
        <v>0.02688692</v>
      </c>
      <c r="BE373" s="6">
        <v>0.03419582</v>
      </c>
      <c r="BF373" s="6">
        <v>0.03770638</v>
      </c>
      <c r="BG373" s="6">
        <v>0.02871266</v>
      </c>
      <c r="BH373" s="6">
        <v>0.03039646</v>
      </c>
      <c r="BI373" s="6">
        <v>0.21470859</v>
      </c>
      <c r="BJ373" s="6">
        <v>0.12366373</v>
      </c>
      <c r="BK373" s="6">
        <v>0.1409291</v>
      </c>
      <c r="BL373" s="6">
        <v>0.12522516</v>
      </c>
      <c r="BM373" s="6">
        <v>0.1592662</v>
      </c>
      <c r="BN373" s="6">
        <v>0.17561655</v>
      </c>
      <c r="BO373" s="6">
        <v>0.1337285</v>
      </c>
      <c r="BP373" s="6">
        <v>0.14157076</v>
      </c>
      <c r="BQ373" s="6">
        <v>0.06155471</v>
      </c>
      <c r="BR373" s="6">
        <v>0.04805033</v>
      </c>
      <c r="BS373" s="6">
        <v>0.05416629</v>
      </c>
      <c r="BT373" s="6">
        <v>0.04505991</v>
      </c>
      <c r="BU373" s="6">
        <v>0.0602507</v>
      </c>
      <c r="BV373" s="6">
        <v>0.0845764</v>
      </c>
      <c r="BW373" s="6">
        <v>0.07564598</v>
      </c>
      <c r="BX373" s="12">
        <v>34679.94</v>
      </c>
      <c r="BY373" s="13">
        <v>8505</v>
      </c>
      <c r="BZ373" s="12">
        <v>116364.2</v>
      </c>
      <c r="CA373" s="6">
        <f t="shared" si="36"/>
        <v>4.07759435626102</v>
      </c>
      <c r="CB373" s="6">
        <f t="shared" si="37"/>
        <v>0.298029290795623</v>
      </c>
      <c r="CC373" s="7">
        <v>933213322.4</v>
      </c>
      <c r="CD373" s="7">
        <f t="shared" si="32"/>
        <v>0.801976314364727</v>
      </c>
      <c r="CE373" s="8">
        <v>6029</v>
      </c>
      <c r="CF373" s="8">
        <v>32834.5</v>
      </c>
      <c r="CG373" s="8">
        <v>44011.7</v>
      </c>
      <c r="CH373" s="8">
        <v>81510</v>
      </c>
      <c r="CI373" s="14">
        <v>1</v>
      </c>
      <c r="CJ373" s="14">
        <v>0</v>
      </c>
      <c r="CK373" s="14">
        <f t="shared" si="33"/>
        <v>0</v>
      </c>
      <c r="CL373">
        <f t="shared" si="34"/>
        <v>1.36781889095748</v>
      </c>
      <c r="CM373">
        <f t="shared" si="35"/>
        <v>0.413682381734514</v>
      </c>
      <c r="CN373" s="15">
        <v>34679.94</v>
      </c>
      <c r="CO373" s="15">
        <v>24547.21</v>
      </c>
      <c r="CP373" s="15">
        <v>4403.65</v>
      </c>
      <c r="CQ373" s="15">
        <v>4020</v>
      </c>
      <c r="CR373" s="15">
        <v>992.99</v>
      </c>
      <c r="CS373" s="15">
        <v>115.66</v>
      </c>
      <c r="CT373" s="15">
        <v>946.18</v>
      </c>
      <c r="CU373" s="15">
        <v>141.59</v>
      </c>
      <c r="CV373" s="15">
        <v>295.82</v>
      </c>
      <c r="CW373" s="15">
        <v>7101</v>
      </c>
    </row>
    <row r="374" spans="1:101">
      <c r="A374" s="6">
        <v>2022</v>
      </c>
      <c r="B374" s="6" t="s">
        <v>114</v>
      </c>
      <c r="C374" s="6">
        <v>0.40252793</v>
      </c>
      <c r="D374" s="6">
        <v>0.060642</v>
      </c>
      <c r="E374" s="6">
        <v>0.014735</v>
      </c>
      <c r="F374" s="6">
        <v>0.027697</v>
      </c>
      <c r="G374" s="6">
        <v>0.008499</v>
      </c>
      <c r="H374" s="6">
        <v>0.009712</v>
      </c>
      <c r="I374" s="6">
        <v>0.072914</v>
      </c>
      <c r="J374" s="6">
        <v>0.035888</v>
      </c>
      <c r="K374" s="6">
        <v>0.42411078</v>
      </c>
      <c r="L374" s="6">
        <v>0.30787142</v>
      </c>
      <c r="M374" s="6">
        <v>0.38276948</v>
      </c>
      <c r="N374" s="6">
        <v>0.22273501</v>
      </c>
      <c r="O374" s="6">
        <v>0.26081487</v>
      </c>
      <c r="P374" s="6">
        <v>0.72234847</v>
      </c>
      <c r="Q374" s="6">
        <v>0.57133448</v>
      </c>
      <c r="R374" s="6">
        <v>217.69486</v>
      </c>
      <c r="S374" s="6">
        <v>0.00194819</v>
      </c>
      <c r="T374" s="6">
        <v>169.97573</v>
      </c>
      <c r="U374" s="6">
        <v>0.00181127</v>
      </c>
      <c r="V374" s="6">
        <v>197.11803</v>
      </c>
      <c r="W374" s="6">
        <v>0.00194183</v>
      </c>
      <c r="X374" s="6">
        <v>134.47093</v>
      </c>
      <c r="Y374" s="6">
        <v>0.00165638</v>
      </c>
      <c r="Z374" s="6">
        <v>134.86767</v>
      </c>
      <c r="AA374" s="6">
        <v>0.00193386</v>
      </c>
      <c r="AB374" s="6">
        <v>294.9318</v>
      </c>
      <c r="AC374" s="6">
        <v>0.00244921</v>
      </c>
      <c r="AD374" s="6">
        <v>243.86163</v>
      </c>
      <c r="AE374" s="6">
        <v>0.00234286</v>
      </c>
      <c r="AF374" s="6">
        <v>775</v>
      </c>
      <c r="AG374" s="6">
        <v>-0.01215837</v>
      </c>
      <c r="AH374" s="6">
        <v>-0.01143585</v>
      </c>
      <c r="AI374" s="6">
        <v>-0.01212502</v>
      </c>
      <c r="AJ374" s="6">
        <v>-0.010606</v>
      </c>
      <c r="AK374" s="6">
        <v>-0.0120832</v>
      </c>
      <c r="AL374" s="6">
        <v>-0.0147246</v>
      </c>
      <c r="AM374" s="6">
        <v>-0.01418927</v>
      </c>
      <c r="AN374" s="6">
        <v>-6.4762184</v>
      </c>
      <c r="AO374" s="6">
        <v>-6.4515561</v>
      </c>
      <c r="AP374" s="6">
        <v>-6.4739881</v>
      </c>
      <c r="AQ374" s="6">
        <v>-6.4253629</v>
      </c>
      <c r="AR374" s="6">
        <v>-6.4020076</v>
      </c>
      <c r="AS374" s="6">
        <v>-6.4618417</v>
      </c>
      <c r="AT374" s="6">
        <v>-6.4506396</v>
      </c>
      <c r="AU374" s="6">
        <v>0.97344833</v>
      </c>
      <c r="AV374" s="6">
        <v>0.96974131</v>
      </c>
      <c r="AW374" s="6">
        <v>0.97311308</v>
      </c>
      <c r="AX374" s="6">
        <v>0.96580418</v>
      </c>
      <c r="AY374" s="6">
        <v>0.96229362</v>
      </c>
      <c r="AZ374" s="6">
        <v>0.97128734</v>
      </c>
      <c r="BA374" s="6">
        <v>0.96960354</v>
      </c>
      <c r="BB374" s="6">
        <v>0.02655167</v>
      </c>
      <c r="BC374" s="6">
        <v>0.03025869</v>
      </c>
      <c r="BD374" s="6">
        <v>0.02688692</v>
      </c>
      <c r="BE374" s="6">
        <v>0.03419582</v>
      </c>
      <c r="BF374" s="6">
        <v>0.03770638</v>
      </c>
      <c r="BG374" s="6">
        <v>0.02871266</v>
      </c>
      <c r="BH374" s="6">
        <v>0.03039646</v>
      </c>
      <c r="BI374" s="6">
        <v>0.21470859</v>
      </c>
      <c r="BJ374" s="6">
        <v>0.12366373</v>
      </c>
      <c r="BK374" s="6">
        <v>0.1409291</v>
      </c>
      <c r="BL374" s="6">
        <v>0.12522516</v>
      </c>
      <c r="BM374" s="6">
        <v>0.1592662</v>
      </c>
      <c r="BN374" s="6">
        <v>0.17561655</v>
      </c>
      <c r="BO374" s="6">
        <v>0.1337285</v>
      </c>
      <c r="BP374" s="6">
        <v>0.14157076</v>
      </c>
      <c r="BQ374" s="6">
        <v>0.05244712</v>
      </c>
      <c r="BR374" s="6">
        <v>0.04338804</v>
      </c>
      <c r="BS374" s="6">
        <v>0.04793237</v>
      </c>
      <c r="BT374" s="6">
        <v>0.03547416</v>
      </c>
      <c r="BU374" s="6">
        <v>0.04580341</v>
      </c>
      <c r="BV374" s="6">
        <v>0.09659857</v>
      </c>
      <c r="BW374" s="6">
        <v>0.08088426</v>
      </c>
      <c r="BX374" s="12">
        <v>35823.95</v>
      </c>
      <c r="BY374" s="13">
        <v>8515</v>
      </c>
      <c r="BZ374" s="12">
        <v>122875.6</v>
      </c>
      <c r="CA374" s="6">
        <f t="shared" si="36"/>
        <v>4.20715795654727</v>
      </c>
      <c r="CB374" s="6">
        <f t="shared" si="37"/>
        <v>0.291546490922526</v>
      </c>
      <c r="CC374" s="7">
        <v>925366833.9</v>
      </c>
      <c r="CD374" s="7">
        <f t="shared" si="32"/>
        <v>0.75309242347545</v>
      </c>
      <c r="CE374" s="8">
        <v>6296.5</v>
      </c>
      <c r="CF374" s="8">
        <v>34562.3</v>
      </c>
      <c r="CG374" s="8">
        <v>46718.1</v>
      </c>
      <c r="CH374" s="8">
        <v>86143</v>
      </c>
      <c r="CI374" s="14">
        <v>1</v>
      </c>
      <c r="CJ374" s="14">
        <v>0</v>
      </c>
      <c r="CK374" s="14">
        <f t="shared" si="33"/>
        <v>0</v>
      </c>
      <c r="CL374">
        <f t="shared" si="34"/>
        <v>1.27047633725244</v>
      </c>
      <c r="CM374">
        <f t="shared" si="35"/>
        <v>0.407236166944986</v>
      </c>
      <c r="CN374" s="15">
        <v>35823.95</v>
      </c>
      <c r="CO374" s="15">
        <v>24804.29</v>
      </c>
      <c r="CP374" s="15">
        <v>4460.07</v>
      </c>
      <c r="CQ374" s="15">
        <v>3991.61</v>
      </c>
      <c r="CR374" s="15">
        <v>976.53</v>
      </c>
      <c r="CS374" s="15">
        <v>77.47</v>
      </c>
      <c r="CT374" s="15">
        <v>960.27</v>
      </c>
      <c r="CU374" s="15">
        <v>139.52</v>
      </c>
      <c r="CV374" s="15">
        <v>305.34</v>
      </c>
      <c r="CW374" s="15">
        <v>7399.55</v>
      </c>
    </row>
    <row r="375" spans="1:101">
      <c r="A375" s="6">
        <v>2023</v>
      </c>
      <c r="B375" s="6" t="s">
        <v>114</v>
      </c>
      <c r="C375" s="6">
        <v>0.48305058</v>
      </c>
      <c r="D375" s="6">
        <v>0.056546</v>
      </c>
      <c r="E375" s="6">
        <v>0.018628</v>
      </c>
      <c r="F375" s="6">
        <v>0.029751</v>
      </c>
      <c r="G375" s="6">
        <v>0.011756</v>
      </c>
      <c r="H375" s="6">
        <v>0.01229</v>
      </c>
      <c r="I375" s="6">
        <v>0.086278</v>
      </c>
      <c r="J375" s="6">
        <v>0.043254</v>
      </c>
      <c r="K375" s="6">
        <v>0.39198127</v>
      </c>
      <c r="L375" s="6">
        <v>0.39992914</v>
      </c>
      <c r="M375" s="6">
        <v>0.41433894</v>
      </c>
      <c r="N375" s="6">
        <v>0.3190054</v>
      </c>
      <c r="O375" s="6">
        <v>0.33895081</v>
      </c>
      <c r="P375" s="6">
        <v>0.87120309</v>
      </c>
      <c r="Q375" s="6">
        <v>0.70277625</v>
      </c>
      <c r="R375" s="6">
        <v>217.69486</v>
      </c>
      <c r="S375" s="6">
        <v>0.0018006</v>
      </c>
      <c r="T375" s="6">
        <v>169.97573</v>
      </c>
      <c r="U375" s="6">
        <v>0.00235286</v>
      </c>
      <c r="V375" s="6">
        <v>197.11803</v>
      </c>
      <c r="W375" s="6">
        <v>0.00210198</v>
      </c>
      <c r="X375" s="6">
        <v>134.47093</v>
      </c>
      <c r="Y375" s="6">
        <v>0.0023723</v>
      </c>
      <c r="Z375" s="6">
        <v>134.86767</v>
      </c>
      <c r="AA375" s="6">
        <v>0.00251321</v>
      </c>
      <c r="AB375" s="6">
        <v>294.9318</v>
      </c>
      <c r="AC375" s="6">
        <v>0.00295391</v>
      </c>
      <c r="AD375" s="6">
        <v>243.86163</v>
      </c>
      <c r="AE375" s="6">
        <v>0.00288186</v>
      </c>
      <c r="AF375" s="6">
        <v>775</v>
      </c>
      <c r="AG375" s="6">
        <v>-0.01137913</v>
      </c>
      <c r="AH375" s="6">
        <v>-0.0142398</v>
      </c>
      <c r="AI375" s="6">
        <v>-0.01295847</v>
      </c>
      <c r="AJ375" s="6">
        <v>-0.01433793</v>
      </c>
      <c r="AK375" s="6">
        <v>-0.01504457</v>
      </c>
      <c r="AL375" s="6">
        <v>-0.01720544</v>
      </c>
      <c r="AM375" s="6">
        <v>-0.01685694</v>
      </c>
      <c r="AN375" s="6">
        <v>-6.4762184</v>
      </c>
      <c r="AO375" s="6">
        <v>-6.4515561</v>
      </c>
      <c r="AP375" s="6">
        <v>-6.4739881</v>
      </c>
      <c r="AQ375" s="6">
        <v>-6.4253629</v>
      </c>
      <c r="AR375" s="6">
        <v>-6.4020076</v>
      </c>
      <c r="AS375" s="6">
        <v>-6.4618417</v>
      </c>
      <c r="AT375" s="6">
        <v>-6.4506396</v>
      </c>
      <c r="AU375" s="6">
        <v>0.97344833</v>
      </c>
      <c r="AV375" s="6">
        <v>0.96974131</v>
      </c>
      <c r="AW375" s="6">
        <v>0.97311308</v>
      </c>
      <c r="AX375" s="6">
        <v>0.96580418</v>
      </c>
      <c r="AY375" s="6">
        <v>0.96229362</v>
      </c>
      <c r="AZ375" s="6">
        <v>0.97128734</v>
      </c>
      <c r="BA375" s="6">
        <v>0.96960354</v>
      </c>
      <c r="BB375" s="6">
        <v>0.02655167</v>
      </c>
      <c r="BC375" s="6">
        <v>0.03025869</v>
      </c>
      <c r="BD375" s="6">
        <v>0.02688692</v>
      </c>
      <c r="BE375" s="6">
        <v>0.03419582</v>
      </c>
      <c r="BF375" s="6">
        <v>0.03770638</v>
      </c>
      <c r="BG375" s="6">
        <v>0.02871266</v>
      </c>
      <c r="BH375" s="6">
        <v>0.03039646</v>
      </c>
      <c r="BI375" s="6">
        <v>0.21470859</v>
      </c>
      <c r="BJ375" s="6">
        <v>0.12366373</v>
      </c>
      <c r="BK375" s="6">
        <v>0.1409291</v>
      </c>
      <c r="BL375" s="6">
        <v>0.12522516</v>
      </c>
      <c r="BM375" s="6">
        <v>0.1592662</v>
      </c>
      <c r="BN375" s="6">
        <v>0.17561655</v>
      </c>
      <c r="BO375" s="6">
        <v>0.1337285</v>
      </c>
      <c r="BP375" s="6">
        <v>0.14157076</v>
      </c>
      <c r="BQ375" s="6">
        <v>0.04847387</v>
      </c>
      <c r="BR375" s="6">
        <v>0.05636165</v>
      </c>
      <c r="BS375" s="6">
        <v>0.05188566</v>
      </c>
      <c r="BT375" s="6">
        <v>0.05080678</v>
      </c>
      <c r="BU375" s="6">
        <v>0.05952537</v>
      </c>
      <c r="BV375" s="6">
        <v>0.11650468</v>
      </c>
      <c r="BW375" s="6">
        <v>0.09949257</v>
      </c>
      <c r="BX375" s="12">
        <v>39170.7</v>
      </c>
      <c r="BY375" s="13">
        <v>8526</v>
      </c>
      <c r="BZ375" s="12">
        <v>128222.2</v>
      </c>
      <c r="CA375" s="6">
        <f t="shared" si="36"/>
        <v>4.59426460239268</v>
      </c>
      <c r="CB375" s="6">
        <f t="shared" si="37"/>
        <v>0.305490780847622</v>
      </c>
      <c r="CC375" s="7">
        <v>950264775.1</v>
      </c>
      <c r="CD375" s="7">
        <f t="shared" si="32"/>
        <v>0.741107838658204</v>
      </c>
      <c r="CE375" s="8">
        <v>6506.2</v>
      </c>
      <c r="CF375" s="8">
        <v>35987.9</v>
      </c>
      <c r="CG375" s="8">
        <v>49574.6</v>
      </c>
      <c r="CH375" s="8">
        <v>90771</v>
      </c>
      <c r="CI375" s="14">
        <v>1</v>
      </c>
      <c r="CJ375" s="14">
        <v>0</v>
      </c>
      <c r="CK375" s="14">
        <f t="shared" si="33"/>
        <v>0</v>
      </c>
      <c r="CL375">
        <f t="shared" si="34"/>
        <v>1.2756783895882</v>
      </c>
      <c r="CM375">
        <f t="shared" si="35"/>
        <v>0.419048057326234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</row>
    <row r="376" spans="1:101">
      <c r="A376" s="6">
        <v>2024</v>
      </c>
      <c r="B376" s="6" t="s">
        <v>114</v>
      </c>
      <c r="C376" s="6">
        <v>0.5073844</v>
      </c>
      <c r="D376" s="6">
        <v>0.055084</v>
      </c>
      <c r="E376" s="6">
        <v>0.019306</v>
      </c>
      <c r="F376" s="6">
        <v>0.029975</v>
      </c>
      <c r="G376" s="6">
        <v>0.012176</v>
      </c>
      <c r="H376" s="6">
        <v>0.013128</v>
      </c>
      <c r="I376" s="6">
        <v>0.092835</v>
      </c>
      <c r="J376" s="6">
        <v>0.045968</v>
      </c>
      <c r="K376" s="6">
        <v>0.38051569</v>
      </c>
      <c r="L376" s="6">
        <v>0.41595302</v>
      </c>
      <c r="M376" s="6">
        <v>0.41778587</v>
      </c>
      <c r="N376" s="6">
        <v>0.33143813</v>
      </c>
      <c r="O376" s="6">
        <v>0.36435012</v>
      </c>
      <c r="P376" s="6">
        <v>0.94423191</v>
      </c>
      <c r="Q376" s="6">
        <v>0.75119825</v>
      </c>
      <c r="R376" s="6">
        <v>217.69486</v>
      </c>
      <c r="S376" s="6">
        <v>0.00174793</v>
      </c>
      <c r="T376" s="6">
        <v>169.97573</v>
      </c>
      <c r="U376" s="6">
        <v>0.00244713</v>
      </c>
      <c r="V376" s="6">
        <v>197.11803</v>
      </c>
      <c r="W376" s="6">
        <v>0.00211947</v>
      </c>
      <c r="X376" s="6">
        <v>134.47093</v>
      </c>
      <c r="Y376" s="6">
        <v>0.00246476</v>
      </c>
      <c r="Z376" s="6">
        <v>134.86767</v>
      </c>
      <c r="AA376" s="6">
        <v>0.00270154</v>
      </c>
      <c r="AB376" s="6">
        <v>294.9318</v>
      </c>
      <c r="AC376" s="6">
        <v>0.00320153</v>
      </c>
      <c r="AD376" s="6">
        <v>243.86163</v>
      </c>
      <c r="AE376" s="6">
        <v>0.00308043</v>
      </c>
      <c r="AF376" s="6">
        <v>775</v>
      </c>
      <c r="AG376" s="6">
        <v>-0.01109818</v>
      </c>
      <c r="AH376" s="6">
        <v>-0.01471421</v>
      </c>
      <c r="AI376" s="6">
        <v>-0.01304871</v>
      </c>
      <c r="AJ376" s="6">
        <v>-0.0148025</v>
      </c>
      <c r="AK376" s="6">
        <v>-0.01597672</v>
      </c>
      <c r="AL376" s="6">
        <v>-0.01838998</v>
      </c>
      <c r="AM376" s="6">
        <v>-0.01781315</v>
      </c>
      <c r="AN376" s="6">
        <v>-6.4762184</v>
      </c>
      <c r="AO376" s="6">
        <v>-6.4515561</v>
      </c>
      <c r="AP376" s="6">
        <v>-6.4739881</v>
      </c>
      <c r="AQ376" s="6">
        <v>-6.4253629</v>
      </c>
      <c r="AR376" s="6">
        <v>-6.4020076</v>
      </c>
      <c r="AS376" s="6">
        <v>-6.4618417</v>
      </c>
      <c r="AT376" s="6">
        <v>-6.4506396</v>
      </c>
      <c r="AU376" s="6">
        <v>0.97344833</v>
      </c>
      <c r="AV376" s="6">
        <v>0.96974131</v>
      </c>
      <c r="AW376" s="6">
        <v>0.97311308</v>
      </c>
      <c r="AX376" s="6">
        <v>0.96580418</v>
      </c>
      <c r="AY376" s="6">
        <v>0.96229362</v>
      </c>
      <c r="AZ376" s="6">
        <v>0.97128734</v>
      </c>
      <c r="BA376" s="6">
        <v>0.96960354</v>
      </c>
      <c r="BB376" s="6">
        <v>0.02655167</v>
      </c>
      <c r="BC376" s="6">
        <v>0.03025869</v>
      </c>
      <c r="BD376" s="6">
        <v>0.02688692</v>
      </c>
      <c r="BE376" s="6">
        <v>0.03419582</v>
      </c>
      <c r="BF376" s="6">
        <v>0.03770638</v>
      </c>
      <c r="BG376" s="6">
        <v>0.02871266</v>
      </c>
      <c r="BH376" s="6">
        <v>0.03039646</v>
      </c>
      <c r="BI376" s="6">
        <v>0.21470859</v>
      </c>
      <c r="BJ376" s="6">
        <v>0.12366373</v>
      </c>
      <c r="BK376" s="6">
        <v>0.1409291</v>
      </c>
      <c r="BL376" s="6">
        <v>0.12522516</v>
      </c>
      <c r="BM376" s="6">
        <v>0.1592662</v>
      </c>
      <c r="BN376" s="6">
        <v>0.17561655</v>
      </c>
      <c r="BO376" s="6">
        <v>0.1337285</v>
      </c>
      <c r="BP376" s="6">
        <v>0.14157076</v>
      </c>
      <c r="BQ376" s="6">
        <v>0.04705599</v>
      </c>
      <c r="BR376" s="6">
        <v>0.05861988</v>
      </c>
      <c r="BS376" s="6">
        <v>0.0523173</v>
      </c>
      <c r="BT376" s="6">
        <v>0.05278689</v>
      </c>
      <c r="BU376" s="6">
        <v>0.06398591</v>
      </c>
      <c r="BV376" s="6">
        <v>0.12627071</v>
      </c>
      <c r="BW376" s="6">
        <v>0.10634771</v>
      </c>
      <c r="BX376" s="12">
        <v>41812.45</v>
      </c>
      <c r="BY376" s="13">
        <v>8526</v>
      </c>
      <c r="BZ376" s="12">
        <v>137008</v>
      </c>
      <c r="CA376" s="6">
        <f t="shared" si="36"/>
        <v>4.90411095472672</v>
      </c>
      <c r="CB376" s="6">
        <f t="shared" si="37"/>
        <v>0.305182544085017</v>
      </c>
      <c r="CC376" s="7">
        <v>951084969.9</v>
      </c>
      <c r="CD376" s="7">
        <f t="shared" si="32"/>
        <v>0.694182069587177</v>
      </c>
      <c r="CE376" s="8">
        <v>6616.9</v>
      </c>
      <c r="CF376" s="8">
        <v>39608.6</v>
      </c>
      <c r="CG376" s="8">
        <v>52340.3</v>
      </c>
      <c r="CH376" s="8">
        <v>97575</v>
      </c>
      <c r="CI376" s="14">
        <v>1</v>
      </c>
      <c r="CJ376" s="14">
        <v>0</v>
      </c>
      <c r="CK376" s="14">
        <f t="shared" si="33"/>
        <v>0</v>
      </c>
      <c r="CL376">
        <f t="shared" si="34"/>
        <v>1.21200651315194</v>
      </c>
      <c r="CM376">
        <f t="shared" si="35"/>
        <v>0.427245594760139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</row>
    <row r="377" spans="1:101">
      <c r="A377" s="6">
        <v>2000</v>
      </c>
      <c r="B377" s="6" t="s">
        <v>115</v>
      </c>
      <c r="C377" s="6">
        <v>0.08279434</v>
      </c>
      <c r="D377" s="6">
        <v>0.019089</v>
      </c>
      <c r="E377" s="6">
        <v>0.004621</v>
      </c>
      <c r="F377" s="6">
        <v>0.008488</v>
      </c>
      <c r="G377" s="6">
        <v>0.003084</v>
      </c>
      <c r="H377" s="6">
        <v>0.002895</v>
      </c>
      <c r="I377" s="6">
        <v>0.019344</v>
      </c>
      <c r="J377" s="6">
        <v>0.009285</v>
      </c>
      <c r="K377" s="6">
        <v>0.09816467</v>
      </c>
      <c r="L377" s="6">
        <v>0.06874858</v>
      </c>
      <c r="M377" s="6">
        <v>0.08754899</v>
      </c>
      <c r="N377" s="6">
        <v>0.06267565</v>
      </c>
      <c r="O377" s="6">
        <v>0.0542494</v>
      </c>
      <c r="P377" s="6">
        <v>0.1256771</v>
      </c>
      <c r="Q377" s="6">
        <v>0.09668034</v>
      </c>
      <c r="R377" s="6">
        <v>217.69486</v>
      </c>
      <c r="S377" s="6">
        <v>0.00045093</v>
      </c>
      <c r="T377" s="6">
        <v>169.97573</v>
      </c>
      <c r="U377" s="6">
        <v>0.00040446</v>
      </c>
      <c r="V377" s="6">
        <v>197.11803</v>
      </c>
      <c r="W377" s="6">
        <v>0.00044415</v>
      </c>
      <c r="X377" s="6">
        <v>134.47093</v>
      </c>
      <c r="Y377" s="6">
        <v>0.00046609</v>
      </c>
      <c r="Z377" s="6">
        <v>134.86767</v>
      </c>
      <c r="AA377" s="6">
        <v>0.00040224</v>
      </c>
      <c r="AB377" s="6">
        <v>294.9318</v>
      </c>
      <c r="AC377" s="6">
        <v>0.00042612</v>
      </c>
      <c r="AD377" s="6">
        <v>243.86163</v>
      </c>
      <c r="AE377" s="6">
        <v>0.00039646</v>
      </c>
      <c r="AF377" s="6">
        <v>775</v>
      </c>
      <c r="AG377" s="6">
        <v>-0.00347404</v>
      </c>
      <c r="AH377" s="6">
        <v>-0.00316004</v>
      </c>
      <c r="AI377" s="6">
        <v>-0.00342852</v>
      </c>
      <c r="AJ377" s="6">
        <v>-0.00357544</v>
      </c>
      <c r="AK377" s="6">
        <v>-0.00314491</v>
      </c>
      <c r="AL377" s="6">
        <v>-0.00330705</v>
      </c>
      <c r="AM377" s="6">
        <v>-0.00310542</v>
      </c>
      <c r="AN377" s="6">
        <v>-6.4762184</v>
      </c>
      <c r="AO377" s="6">
        <v>-6.4515561</v>
      </c>
      <c r="AP377" s="6">
        <v>-6.4739881</v>
      </c>
      <c r="AQ377" s="6">
        <v>-6.4253629</v>
      </c>
      <c r="AR377" s="6">
        <v>-6.4020076</v>
      </c>
      <c r="AS377" s="6">
        <v>-6.4618417</v>
      </c>
      <c r="AT377" s="6">
        <v>-6.4506396</v>
      </c>
      <c r="AU377" s="6">
        <v>0.97344833</v>
      </c>
      <c r="AV377" s="6">
        <v>0.96974131</v>
      </c>
      <c r="AW377" s="6">
        <v>0.97311308</v>
      </c>
      <c r="AX377" s="6">
        <v>0.96580418</v>
      </c>
      <c r="AY377" s="6">
        <v>0.96229362</v>
      </c>
      <c r="AZ377" s="6">
        <v>0.97128734</v>
      </c>
      <c r="BA377" s="6">
        <v>0.96960354</v>
      </c>
      <c r="BB377" s="6">
        <v>0.02655167</v>
      </c>
      <c r="BC377" s="6">
        <v>0.03025869</v>
      </c>
      <c r="BD377" s="6">
        <v>0.02688692</v>
      </c>
      <c r="BE377" s="6">
        <v>0.03419582</v>
      </c>
      <c r="BF377" s="6">
        <v>0.03770638</v>
      </c>
      <c r="BG377" s="6">
        <v>0.02871266</v>
      </c>
      <c r="BH377" s="6">
        <v>0.03039646</v>
      </c>
      <c r="BI377" s="6">
        <v>0.21470859</v>
      </c>
      <c r="BJ377" s="6">
        <v>0.12366373</v>
      </c>
      <c r="BK377" s="6">
        <v>0.1409291</v>
      </c>
      <c r="BL377" s="6">
        <v>0.12522516</v>
      </c>
      <c r="BM377" s="6">
        <v>0.1592662</v>
      </c>
      <c r="BN377" s="6">
        <v>0.17561655</v>
      </c>
      <c r="BO377" s="6">
        <v>0.1337285</v>
      </c>
      <c r="BP377" s="6">
        <v>0.14157076</v>
      </c>
      <c r="BQ377" s="6">
        <v>0.01213941</v>
      </c>
      <c r="BR377" s="6">
        <v>0.00968868</v>
      </c>
      <c r="BS377" s="6">
        <v>0.01096334</v>
      </c>
      <c r="BT377" s="6">
        <v>0.00998211</v>
      </c>
      <c r="BU377" s="6">
        <v>0.00952709</v>
      </c>
      <c r="BV377" s="6">
        <v>0.01680661</v>
      </c>
      <c r="BW377" s="6">
        <v>0.01368711</v>
      </c>
      <c r="BX377" s="12">
        <v>2505</v>
      </c>
      <c r="BY377" s="13">
        <v>4149</v>
      </c>
      <c r="BZ377" s="12">
        <v>2003.07</v>
      </c>
      <c r="CA377" s="6">
        <f t="shared" si="36"/>
        <v>0.603759942154736</v>
      </c>
      <c r="CB377" s="6">
        <f t="shared" si="37"/>
        <v>1.25058035914871</v>
      </c>
      <c r="CC377" s="7">
        <v>80389531.61</v>
      </c>
      <c r="CD377" s="7">
        <f t="shared" si="32"/>
        <v>4.01331614022476</v>
      </c>
      <c r="CE377" s="8">
        <v>1124.9</v>
      </c>
      <c r="CF377" s="8">
        <v>2282.5</v>
      </c>
      <c r="CG377" s="8">
        <v>1645.6</v>
      </c>
      <c r="CH377" s="8">
        <v>5450</v>
      </c>
      <c r="CI377" s="14">
        <v>0</v>
      </c>
      <c r="CJ377" s="14">
        <v>1</v>
      </c>
      <c r="CK377" s="14">
        <f t="shared" si="33"/>
        <v>0</v>
      </c>
      <c r="CL377">
        <f t="shared" si="34"/>
        <v>4.53658228674969</v>
      </c>
      <c r="CM377">
        <f t="shared" si="35"/>
        <v>0.11534369123057</v>
      </c>
      <c r="CN377" s="15">
        <v>2505</v>
      </c>
      <c r="CO377" s="15">
        <v>2468.63</v>
      </c>
      <c r="CP377" s="15">
        <v>205.94</v>
      </c>
      <c r="CQ377" s="15">
        <v>331.18</v>
      </c>
      <c r="CR377" s="15">
        <v>58.46</v>
      </c>
      <c r="CS377" s="15">
        <v>2.81</v>
      </c>
      <c r="CT377" s="15">
        <v>104.78</v>
      </c>
      <c r="CU377" s="15">
        <v>34.2</v>
      </c>
      <c r="CV377">
        <v>0</v>
      </c>
      <c r="CW377" s="15">
        <v>208.15</v>
      </c>
    </row>
    <row r="378" spans="1:101">
      <c r="A378" s="6">
        <v>2001</v>
      </c>
      <c r="B378" s="6" t="s">
        <v>115</v>
      </c>
      <c r="C378" s="6">
        <v>0.11537662</v>
      </c>
      <c r="D378" s="6">
        <v>0.024499</v>
      </c>
      <c r="E378" s="6">
        <v>0.006252</v>
      </c>
      <c r="F378" s="6">
        <v>0.011156</v>
      </c>
      <c r="G378" s="6">
        <v>0.003411</v>
      </c>
      <c r="H378" s="6">
        <v>0.003679</v>
      </c>
      <c r="I378" s="6">
        <v>0.022636</v>
      </c>
      <c r="J378" s="6">
        <v>0.011719</v>
      </c>
      <c r="K378" s="6">
        <v>0.14060274</v>
      </c>
      <c r="L378" s="6">
        <v>0.10732835</v>
      </c>
      <c r="M378" s="6">
        <v>0.12854689</v>
      </c>
      <c r="N378" s="6">
        <v>0.07234275</v>
      </c>
      <c r="O378" s="6">
        <v>0.07800606</v>
      </c>
      <c r="P378" s="6">
        <v>0.16233882</v>
      </c>
      <c r="Q378" s="6">
        <v>0.14011316</v>
      </c>
      <c r="R378" s="6">
        <v>217.69486</v>
      </c>
      <c r="S378" s="6">
        <v>0.00064587</v>
      </c>
      <c r="T378" s="6">
        <v>169.97573</v>
      </c>
      <c r="U378" s="6">
        <v>0.00063143</v>
      </c>
      <c r="V378" s="6">
        <v>197.11803</v>
      </c>
      <c r="W378" s="6">
        <v>0.00065213</v>
      </c>
      <c r="X378" s="6">
        <v>134.47093</v>
      </c>
      <c r="Y378" s="6">
        <v>0.00053798</v>
      </c>
      <c r="Z378" s="6">
        <v>134.86767</v>
      </c>
      <c r="AA378" s="6">
        <v>0.00057839</v>
      </c>
      <c r="AB378" s="6">
        <v>294.9318</v>
      </c>
      <c r="AC378" s="6">
        <v>0.00055043</v>
      </c>
      <c r="AD378" s="6">
        <v>243.86163</v>
      </c>
      <c r="AE378" s="6">
        <v>0.00057456</v>
      </c>
      <c r="AF378" s="6">
        <v>775</v>
      </c>
      <c r="AG378" s="6">
        <v>-0.00474386</v>
      </c>
      <c r="AH378" s="6">
        <v>-0.0046521</v>
      </c>
      <c r="AI378" s="6">
        <v>-0.00478356</v>
      </c>
      <c r="AJ378" s="6">
        <v>-0.00404975</v>
      </c>
      <c r="AK378" s="6">
        <v>-0.00431205</v>
      </c>
      <c r="AL378" s="6">
        <v>-0.00413086</v>
      </c>
      <c r="AM378" s="6">
        <v>-0.00428731</v>
      </c>
      <c r="AN378" s="6">
        <v>-6.4762184</v>
      </c>
      <c r="AO378" s="6">
        <v>-6.4515561</v>
      </c>
      <c r="AP378" s="6">
        <v>-6.4739881</v>
      </c>
      <c r="AQ378" s="6">
        <v>-6.4253629</v>
      </c>
      <c r="AR378" s="6">
        <v>-6.4020076</v>
      </c>
      <c r="AS378" s="6">
        <v>-6.4618417</v>
      </c>
      <c r="AT378" s="6">
        <v>-6.4506396</v>
      </c>
      <c r="AU378" s="6">
        <v>0.97344833</v>
      </c>
      <c r="AV378" s="6">
        <v>0.96974131</v>
      </c>
      <c r="AW378" s="6">
        <v>0.97311308</v>
      </c>
      <c r="AX378" s="6">
        <v>0.96580418</v>
      </c>
      <c r="AY378" s="6">
        <v>0.96229362</v>
      </c>
      <c r="AZ378" s="6">
        <v>0.97128734</v>
      </c>
      <c r="BA378" s="6">
        <v>0.96960354</v>
      </c>
      <c r="BB378" s="6">
        <v>0.02655167</v>
      </c>
      <c r="BC378" s="6">
        <v>0.03025869</v>
      </c>
      <c r="BD378" s="6">
        <v>0.02688692</v>
      </c>
      <c r="BE378" s="6">
        <v>0.03419582</v>
      </c>
      <c r="BF378" s="6">
        <v>0.03770638</v>
      </c>
      <c r="BG378" s="6">
        <v>0.02871266</v>
      </c>
      <c r="BH378" s="6">
        <v>0.03039646</v>
      </c>
      <c r="BI378" s="6">
        <v>0.21470859</v>
      </c>
      <c r="BJ378" s="6">
        <v>0.12366373</v>
      </c>
      <c r="BK378" s="6">
        <v>0.1409291</v>
      </c>
      <c r="BL378" s="6">
        <v>0.12522516</v>
      </c>
      <c r="BM378" s="6">
        <v>0.1592662</v>
      </c>
      <c r="BN378" s="6">
        <v>0.17561655</v>
      </c>
      <c r="BO378" s="6">
        <v>0.1337285</v>
      </c>
      <c r="BP378" s="6">
        <v>0.14157076</v>
      </c>
      <c r="BQ378" s="6">
        <v>0.01738746</v>
      </c>
      <c r="BR378" s="6">
        <v>0.01512569</v>
      </c>
      <c r="BS378" s="6">
        <v>0.0160973</v>
      </c>
      <c r="BT378" s="6">
        <v>0.01152176</v>
      </c>
      <c r="BU378" s="6">
        <v>0.01369915</v>
      </c>
      <c r="BV378" s="6">
        <v>0.02170933</v>
      </c>
      <c r="BW378" s="6">
        <v>0.01983593</v>
      </c>
      <c r="BX378" s="12">
        <v>2628</v>
      </c>
      <c r="BY378" s="13">
        <v>4186</v>
      </c>
      <c r="BZ378" s="12">
        <v>2175.68</v>
      </c>
      <c r="CA378" s="6">
        <f t="shared" si="36"/>
        <v>0.627806975633063</v>
      </c>
      <c r="CB378" s="6">
        <f t="shared" si="37"/>
        <v>1.20789822032652</v>
      </c>
      <c r="CC378" s="7">
        <v>84603914.38</v>
      </c>
      <c r="CD378" s="7">
        <f t="shared" si="32"/>
        <v>3.88861939163848</v>
      </c>
      <c r="CE378" s="8">
        <v>1195.4</v>
      </c>
      <c r="CF378" s="8">
        <v>2497.7</v>
      </c>
      <c r="CG378" s="8">
        <v>1839.9</v>
      </c>
      <c r="CH378" s="8">
        <v>5959</v>
      </c>
      <c r="CI378" s="14">
        <v>0</v>
      </c>
      <c r="CJ378" s="14">
        <v>1</v>
      </c>
      <c r="CK378" s="14">
        <f t="shared" si="33"/>
        <v>0</v>
      </c>
      <c r="CL378">
        <f t="shared" si="34"/>
        <v>4.16809156222866</v>
      </c>
      <c r="CM378">
        <f t="shared" si="35"/>
        <v>0.0670503913884156</v>
      </c>
      <c r="CN378" s="15">
        <v>2329</v>
      </c>
      <c r="CO378" s="15">
        <v>2584</v>
      </c>
      <c r="CP378" s="15">
        <v>215.02</v>
      </c>
      <c r="CQ378" s="15">
        <v>299.57</v>
      </c>
      <c r="CR378" s="15">
        <v>60.37</v>
      </c>
      <c r="CS378" s="15">
        <v>0.77</v>
      </c>
      <c r="CT378" s="15">
        <v>130.84</v>
      </c>
      <c r="CU378" s="15">
        <v>27.28</v>
      </c>
      <c r="CV378">
        <v>0</v>
      </c>
      <c r="CW378" s="15">
        <v>222.29</v>
      </c>
    </row>
    <row r="379" spans="1:101">
      <c r="A379" s="6">
        <v>2002</v>
      </c>
      <c r="B379" s="6" t="s">
        <v>115</v>
      </c>
      <c r="C379" s="6">
        <v>0.11154207</v>
      </c>
      <c r="D379" s="6">
        <v>0.022691</v>
      </c>
      <c r="E379" s="6">
        <v>0.005788</v>
      </c>
      <c r="F379" s="6">
        <v>0.010353</v>
      </c>
      <c r="G379" s="6">
        <v>0.003517</v>
      </c>
      <c r="H379" s="6">
        <v>0.003034</v>
      </c>
      <c r="I379" s="6">
        <v>0.023511</v>
      </c>
      <c r="J379" s="6">
        <v>0.012768</v>
      </c>
      <c r="K379" s="6">
        <v>0.12642269</v>
      </c>
      <c r="L379" s="6">
        <v>0.09634935</v>
      </c>
      <c r="M379" s="6">
        <v>0.1162013</v>
      </c>
      <c r="N379" s="6">
        <v>0.07546368</v>
      </c>
      <c r="O379" s="6">
        <v>0.05843809</v>
      </c>
      <c r="P379" s="6">
        <v>0.17208574</v>
      </c>
      <c r="Q379" s="6">
        <v>0.1588191</v>
      </c>
      <c r="R379" s="6">
        <v>217.69486</v>
      </c>
      <c r="S379" s="6">
        <v>0.00058073</v>
      </c>
      <c r="T379" s="6">
        <v>169.97573</v>
      </c>
      <c r="U379" s="6">
        <v>0.00056684</v>
      </c>
      <c r="V379" s="6">
        <v>197.11803</v>
      </c>
      <c r="W379" s="6">
        <v>0.0005895</v>
      </c>
      <c r="X379" s="6">
        <v>134.47093</v>
      </c>
      <c r="Y379" s="6">
        <v>0.00056119</v>
      </c>
      <c r="Z379" s="6">
        <v>134.86767</v>
      </c>
      <c r="AA379" s="6">
        <v>0.0004333</v>
      </c>
      <c r="AB379" s="6">
        <v>294.9318</v>
      </c>
      <c r="AC379" s="6">
        <v>0.00058348</v>
      </c>
      <c r="AD379" s="6">
        <v>243.86163</v>
      </c>
      <c r="AE379" s="6">
        <v>0.00065127</v>
      </c>
      <c r="AF379" s="6">
        <v>775</v>
      </c>
      <c r="AG379" s="6">
        <v>-0.00432717</v>
      </c>
      <c r="AH379" s="6">
        <v>-0.00423739</v>
      </c>
      <c r="AI379" s="6">
        <v>-0.00438367</v>
      </c>
      <c r="AJ379" s="6">
        <v>-0.00420076</v>
      </c>
      <c r="AK379" s="6">
        <v>-0.00335551</v>
      </c>
      <c r="AL379" s="6">
        <v>-0.00434486</v>
      </c>
      <c r="AM379" s="6">
        <v>-0.00477808</v>
      </c>
      <c r="AN379" s="6">
        <v>-6.4762184</v>
      </c>
      <c r="AO379" s="6">
        <v>-6.4515561</v>
      </c>
      <c r="AP379" s="6">
        <v>-6.4739881</v>
      </c>
      <c r="AQ379" s="6">
        <v>-6.4253629</v>
      </c>
      <c r="AR379" s="6">
        <v>-6.4020076</v>
      </c>
      <c r="AS379" s="6">
        <v>-6.4618417</v>
      </c>
      <c r="AT379" s="6">
        <v>-6.4506396</v>
      </c>
      <c r="AU379" s="6">
        <v>0.97344833</v>
      </c>
      <c r="AV379" s="6">
        <v>0.96974131</v>
      </c>
      <c r="AW379" s="6">
        <v>0.97311308</v>
      </c>
      <c r="AX379" s="6">
        <v>0.96580418</v>
      </c>
      <c r="AY379" s="6">
        <v>0.96229362</v>
      </c>
      <c r="AZ379" s="6">
        <v>0.97128734</v>
      </c>
      <c r="BA379" s="6">
        <v>0.96960354</v>
      </c>
      <c r="BB379" s="6">
        <v>0.02655167</v>
      </c>
      <c r="BC379" s="6">
        <v>0.03025869</v>
      </c>
      <c r="BD379" s="6">
        <v>0.02688692</v>
      </c>
      <c r="BE379" s="6">
        <v>0.03419582</v>
      </c>
      <c r="BF379" s="6">
        <v>0.03770638</v>
      </c>
      <c r="BG379" s="6">
        <v>0.02871266</v>
      </c>
      <c r="BH379" s="6">
        <v>0.03039646</v>
      </c>
      <c r="BI379" s="6">
        <v>0.21470859</v>
      </c>
      <c r="BJ379" s="6">
        <v>0.12366373</v>
      </c>
      <c r="BK379" s="6">
        <v>0.1409291</v>
      </c>
      <c r="BL379" s="6">
        <v>0.12522516</v>
      </c>
      <c r="BM379" s="6">
        <v>0.1592662</v>
      </c>
      <c r="BN379" s="6">
        <v>0.17561655</v>
      </c>
      <c r="BO379" s="6">
        <v>0.1337285</v>
      </c>
      <c r="BP379" s="6">
        <v>0.14157076</v>
      </c>
      <c r="BQ379" s="6">
        <v>0.0156339</v>
      </c>
      <c r="BR379" s="6">
        <v>0.01357843</v>
      </c>
      <c r="BS379" s="6">
        <v>0.01455133</v>
      </c>
      <c r="BT379" s="6">
        <v>0.01201881</v>
      </c>
      <c r="BU379" s="6">
        <v>0.0102627</v>
      </c>
      <c r="BV379" s="6">
        <v>0.02301277</v>
      </c>
      <c r="BW379" s="6">
        <v>0.02248414</v>
      </c>
      <c r="BX379" s="12">
        <v>2933</v>
      </c>
      <c r="BY379" s="13">
        <v>4222</v>
      </c>
      <c r="BZ379" s="12">
        <v>2450.48</v>
      </c>
      <c r="CA379" s="6">
        <f t="shared" si="36"/>
        <v>0.694694457603032</v>
      </c>
      <c r="CB379" s="6">
        <f t="shared" si="37"/>
        <v>1.19690836081094</v>
      </c>
      <c r="CC379" s="7">
        <v>90379575.61</v>
      </c>
      <c r="CD379" s="7">
        <f t="shared" si="32"/>
        <v>3.68823967590023</v>
      </c>
      <c r="CE379" s="8">
        <v>1207.1</v>
      </c>
      <c r="CF379" s="8">
        <v>2881.6</v>
      </c>
      <c r="CG379" s="8">
        <v>1946.8</v>
      </c>
      <c r="CH379" s="8">
        <v>6487</v>
      </c>
      <c r="CI379" s="14">
        <v>0</v>
      </c>
      <c r="CJ379" s="14">
        <v>1</v>
      </c>
      <c r="CK379" s="14">
        <f t="shared" si="33"/>
        <v>0</v>
      </c>
      <c r="CL379">
        <f t="shared" si="34"/>
        <v>4.06804884448575</v>
      </c>
      <c r="CM379">
        <f t="shared" si="35"/>
        <v>0.0933639646683088</v>
      </c>
      <c r="CN379" s="15">
        <v>2933</v>
      </c>
      <c r="CO379" s="15">
        <v>2557</v>
      </c>
      <c r="CP379" s="15">
        <v>261.39</v>
      </c>
      <c r="CQ379" s="15">
        <v>297.27</v>
      </c>
      <c r="CR379" s="15">
        <v>82.19</v>
      </c>
      <c r="CS379" s="15">
        <v>0.82</v>
      </c>
      <c r="CT379" s="15">
        <v>163.87</v>
      </c>
      <c r="CU379" s="15">
        <v>46.15</v>
      </c>
      <c r="CV379">
        <v>0</v>
      </c>
      <c r="CW379" s="15">
        <v>246.56</v>
      </c>
    </row>
    <row r="380" spans="1:101">
      <c r="A380" s="6">
        <v>2003</v>
      </c>
      <c r="B380" s="6" t="s">
        <v>115</v>
      </c>
      <c r="C380" s="6">
        <v>0.11477548</v>
      </c>
      <c r="D380" s="6">
        <v>0.02269</v>
      </c>
      <c r="E380" s="6">
        <v>0.005843</v>
      </c>
      <c r="F380" s="6">
        <v>0.009917</v>
      </c>
      <c r="G380" s="6">
        <v>0.003535</v>
      </c>
      <c r="H380" s="6">
        <v>0.003395</v>
      </c>
      <c r="I380" s="6">
        <v>0.024701</v>
      </c>
      <c r="J380" s="6">
        <v>0.01281</v>
      </c>
      <c r="K380" s="6">
        <v>0.12641245</v>
      </c>
      <c r="L380" s="6">
        <v>0.09764097</v>
      </c>
      <c r="M380" s="6">
        <v>0.10949872</v>
      </c>
      <c r="N380" s="6">
        <v>0.07601275</v>
      </c>
      <c r="O380" s="6">
        <v>0.06939577</v>
      </c>
      <c r="P380" s="6">
        <v>0.18534183</v>
      </c>
      <c r="Q380" s="6">
        <v>0.15957821</v>
      </c>
      <c r="R380" s="6">
        <v>217.69486</v>
      </c>
      <c r="S380" s="6">
        <v>0.00058069</v>
      </c>
      <c r="T380" s="6">
        <v>169.97573</v>
      </c>
      <c r="U380" s="6">
        <v>0.00057444</v>
      </c>
      <c r="V380" s="6">
        <v>197.11803</v>
      </c>
      <c r="W380" s="6">
        <v>0.0005555</v>
      </c>
      <c r="X380" s="6">
        <v>134.47093</v>
      </c>
      <c r="Y380" s="6">
        <v>0.00056527</v>
      </c>
      <c r="Z380" s="6">
        <v>134.86767</v>
      </c>
      <c r="AA380" s="6">
        <v>0.00051455</v>
      </c>
      <c r="AB380" s="6">
        <v>294.9318</v>
      </c>
      <c r="AC380" s="6">
        <v>0.00062842</v>
      </c>
      <c r="AD380" s="6">
        <v>243.86163</v>
      </c>
      <c r="AE380" s="6">
        <v>0.00065438</v>
      </c>
      <c r="AF380" s="6">
        <v>775</v>
      </c>
      <c r="AG380" s="6">
        <v>-0.00432687</v>
      </c>
      <c r="AH380" s="6">
        <v>-0.00428654</v>
      </c>
      <c r="AI380" s="6">
        <v>-0.00416382</v>
      </c>
      <c r="AJ380" s="6">
        <v>-0.00422722</v>
      </c>
      <c r="AK380" s="6">
        <v>-0.00389627</v>
      </c>
      <c r="AL380" s="6">
        <v>-0.00463292</v>
      </c>
      <c r="AM380" s="6">
        <v>-0.0047978</v>
      </c>
      <c r="AN380" s="6">
        <v>-6.4762184</v>
      </c>
      <c r="AO380" s="6">
        <v>-6.4515561</v>
      </c>
      <c r="AP380" s="6">
        <v>-6.4739881</v>
      </c>
      <c r="AQ380" s="6">
        <v>-6.4253629</v>
      </c>
      <c r="AR380" s="6">
        <v>-6.4020076</v>
      </c>
      <c r="AS380" s="6">
        <v>-6.4618417</v>
      </c>
      <c r="AT380" s="6">
        <v>-6.4506396</v>
      </c>
      <c r="AU380" s="6">
        <v>0.97344833</v>
      </c>
      <c r="AV380" s="6">
        <v>0.96974131</v>
      </c>
      <c r="AW380" s="6">
        <v>0.97311308</v>
      </c>
      <c r="AX380" s="6">
        <v>0.96580418</v>
      </c>
      <c r="AY380" s="6">
        <v>0.96229362</v>
      </c>
      <c r="AZ380" s="6">
        <v>0.97128734</v>
      </c>
      <c r="BA380" s="6">
        <v>0.96960354</v>
      </c>
      <c r="BB380" s="6">
        <v>0.02655167</v>
      </c>
      <c r="BC380" s="6">
        <v>0.03025869</v>
      </c>
      <c r="BD380" s="6">
        <v>0.02688692</v>
      </c>
      <c r="BE380" s="6">
        <v>0.03419582</v>
      </c>
      <c r="BF380" s="6">
        <v>0.03770638</v>
      </c>
      <c r="BG380" s="6">
        <v>0.02871266</v>
      </c>
      <c r="BH380" s="6">
        <v>0.03039646</v>
      </c>
      <c r="BI380" s="6">
        <v>0.21470859</v>
      </c>
      <c r="BJ380" s="6">
        <v>0.12366373</v>
      </c>
      <c r="BK380" s="6">
        <v>0.1409291</v>
      </c>
      <c r="BL380" s="6">
        <v>0.12522516</v>
      </c>
      <c r="BM380" s="6">
        <v>0.1592662</v>
      </c>
      <c r="BN380" s="6">
        <v>0.17561655</v>
      </c>
      <c r="BO380" s="6">
        <v>0.1337285</v>
      </c>
      <c r="BP380" s="6">
        <v>0.14157076</v>
      </c>
      <c r="BQ380" s="6">
        <v>0.01563264</v>
      </c>
      <c r="BR380" s="6">
        <v>0.01376045</v>
      </c>
      <c r="BS380" s="6">
        <v>0.01371199</v>
      </c>
      <c r="BT380" s="6">
        <v>0.01210626</v>
      </c>
      <c r="BU380" s="6">
        <v>0.01218705</v>
      </c>
      <c r="BV380" s="6">
        <v>0.02478548</v>
      </c>
      <c r="BW380" s="6">
        <v>0.02259161</v>
      </c>
      <c r="BX380" s="12">
        <v>3426</v>
      </c>
      <c r="BY380" s="13">
        <v>4254</v>
      </c>
      <c r="BZ380" s="12">
        <v>2807.41</v>
      </c>
      <c r="CA380" s="6">
        <f t="shared" si="36"/>
        <v>0.805359661495063</v>
      </c>
      <c r="CB380" s="6">
        <f t="shared" si="37"/>
        <v>1.22034188095077</v>
      </c>
      <c r="CC380" s="7">
        <v>105066056.7</v>
      </c>
      <c r="CD380" s="7">
        <f t="shared" si="32"/>
        <v>3.74245502794391</v>
      </c>
      <c r="CE380" s="8">
        <v>1198.7</v>
      </c>
      <c r="CF380" s="8">
        <v>3348.6</v>
      </c>
      <c r="CG380" s="8">
        <v>2395.1</v>
      </c>
      <c r="CH380" s="8">
        <v>7376</v>
      </c>
      <c r="CI380" s="14">
        <v>0</v>
      </c>
      <c r="CJ380" s="14">
        <v>1</v>
      </c>
      <c r="CK380" s="14">
        <f t="shared" si="33"/>
        <v>0</v>
      </c>
      <c r="CL380">
        <f t="shared" si="34"/>
        <v>4.08414499624993</v>
      </c>
      <c r="CM380">
        <f t="shared" si="35"/>
        <v>0.0836625459232628</v>
      </c>
      <c r="CN380" s="15">
        <v>3426</v>
      </c>
      <c r="CO380" s="15">
        <v>3088.6</v>
      </c>
      <c r="CP380" s="15">
        <v>297.68</v>
      </c>
      <c r="CQ380" s="15">
        <v>314.07</v>
      </c>
      <c r="CR380" s="15">
        <v>59.63</v>
      </c>
      <c r="CS380" s="15">
        <v>5.32</v>
      </c>
      <c r="CT380" s="15">
        <v>251.6</v>
      </c>
      <c r="CU380" s="15">
        <v>39.73</v>
      </c>
      <c r="CV380" s="15">
        <v>0</v>
      </c>
      <c r="CW380" s="15">
        <v>299.53</v>
      </c>
    </row>
    <row r="381" spans="1:101">
      <c r="A381" s="6">
        <v>2004</v>
      </c>
      <c r="B381" s="6" t="s">
        <v>115</v>
      </c>
      <c r="C381" s="6">
        <v>0.12415851</v>
      </c>
      <c r="D381" s="6">
        <v>0.02475</v>
      </c>
      <c r="E381" s="6">
        <v>0.00574</v>
      </c>
      <c r="F381" s="6">
        <v>0.010515</v>
      </c>
      <c r="G381" s="6">
        <v>0.003665</v>
      </c>
      <c r="H381" s="6">
        <v>0.00483</v>
      </c>
      <c r="I381" s="6">
        <v>0.02374</v>
      </c>
      <c r="J381" s="6">
        <v>0.012715</v>
      </c>
      <c r="K381" s="6">
        <v>0.14257273</v>
      </c>
      <c r="L381" s="6">
        <v>0.09522412</v>
      </c>
      <c r="M381" s="6">
        <v>0.11869355</v>
      </c>
      <c r="N381" s="6">
        <v>0.07984987</v>
      </c>
      <c r="O381" s="6">
        <v>0.11286347</v>
      </c>
      <c r="P381" s="6">
        <v>0.17463914</v>
      </c>
      <c r="Q381" s="6">
        <v>0.15788467</v>
      </c>
      <c r="R381" s="6">
        <v>217.69486</v>
      </c>
      <c r="S381" s="6">
        <v>0.00065492</v>
      </c>
      <c r="T381" s="6">
        <v>169.97573</v>
      </c>
      <c r="U381" s="6">
        <v>0.00056022</v>
      </c>
      <c r="V381" s="6">
        <v>197.11803</v>
      </c>
      <c r="W381" s="6">
        <v>0.00060214</v>
      </c>
      <c r="X381" s="6">
        <v>134.47093</v>
      </c>
      <c r="Y381" s="6">
        <v>0.00059381</v>
      </c>
      <c r="Z381" s="6">
        <v>134.86767</v>
      </c>
      <c r="AA381" s="6">
        <v>0.00083685</v>
      </c>
      <c r="AB381" s="6">
        <v>294.9318</v>
      </c>
      <c r="AC381" s="6">
        <v>0.00059213</v>
      </c>
      <c r="AD381" s="6">
        <v>243.86163</v>
      </c>
      <c r="AE381" s="6">
        <v>0.00064744</v>
      </c>
      <c r="AF381" s="6">
        <v>775</v>
      </c>
      <c r="AG381" s="6">
        <v>-0.00480122</v>
      </c>
      <c r="AH381" s="6">
        <v>-0.00419448</v>
      </c>
      <c r="AI381" s="6">
        <v>-0.00446491</v>
      </c>
      <c r="AJ381" s="6">
        <v>-0.00441137</v>
      </c>
      <c r="AK381" s="6">
        <v>-0.00592978</v>
      </c>
      <c r="AL381" s="6">
        <v>-0.00440061</v>
      </c>
      <c r="AM381" s="6">
        <v>-0.00475379</v>
      </c>
      <c r="AN381" s="6">
        <v>-6.4762184</v>
      </c>
      <c r="AO381" s="6">
        <v>-6.4515561</v>
      </c>
      <c r="AP381" s="6">
        <v>-6.4739881</v>
      </c>
      <c r="AQ381" s="6">
        <v>-6.4253629</v>
      </c>
      <c r="AR381" s="6">
        <v>-6.4020076</v>
      </c>
      <c r="AS381" s="6">
        <v>-6.4618417</v>
      </c>
      <c r="AT381" s="6">
        <v>-6.4506396</v>
      </c>
      <c r="AU381" s="6">
        <v>0.97344833</v>
      </c>
      <c r="AV381" s="6">
        <v>0.96974131</v>
      </c>
      <c r="AW381" s="6">
        <v>0.97311308</v>
      </c>
      <c r="AX381" s="6">
        <v>0.96580418</v>
      </c>
      <c r="AY381" s="6">
        <v>0.96229362</v>
      </c>
      <c r="AZ381" s="6">
        <v>0.97128734</v>
      </c>
      <c r="BA381" s="6">
        <v>0.96960354</v>
      </c>
      <c r="BB381" s="6">
        <v>0.02655167</v>
      </c>
      <c r="BC381" s="6">
        <v>0.03025869</v>
      </c>
      <c r="BD381" s="6">
        <v>0.02688692</v>
      </c>
      <c r="BE381" s="6">
        <v>0.03419582</v>
      </c>
      <c r="BF381" s="6">
        <v>0.03770638</v>
      </c>
      <c r="BG381" s="6">
        <v>0.02871266</v>
      </c>
      <c r="BH381" s="6">
        <v>0.03039646</v>
      </c>
      <c r="BI381" s="6">
        <v>0.21470859</v>
      </c>
      <c r="BJ381" s="6">
        <v>0.12366373</v>
      </c>
      <c r="BK381" s="6">
        <v>0.1409291</v>
      </c>
      <c r="BL381" s="6">
        <v>0.12522516</v>
      </c>
      <c r="BM381" s="6">
        <v>0.1592662</v>
      </c>
      <c r="BN381" s="6">
        <v>0.17561655</v>
      </c>
      <c r="BO381" s="6">
        <v>0.1337285</v>
      </c>
      <c r="BP381" s="6">
        <v>0.14157076</v>
      </c>
      <c r="BQ381" s="6">
        <v>0.01763108</v>
      </c>
      <c r="BR381" s="6">
        <v>0.01341985</v>
      </c>
      <c r="BS381" s="6">
        <v>0.01486342</v>
      </c>
      <c r="BT381" s="6">
        <v>0.01271739</v>
      </c>
      <c r="BU381" s="6">
        <v>0.01982069</v>
      </c>
      <c r="BV381" s="6">
        <v>0.02335423</v>
      </c>
      <c r="BW381" s="6">
        <v>0.02235185</v>
      </c>
      <c r="BX381" s="12">
        <v>3814</v>
      </c>
      <c r="BY381" s="13">
        <v>4284</v>
      </c>
      <c r="BZ381" s="12">
        <v>3456.7</v>
      </c>
      <c r="CA381" s="6">
        <f t="shared" si="36"/>
        <v>0.890289449112978</v>
      </c>
      <c r="CB381" s="6">
        <f t="shared" si="37"/>
        <v>1.10336448057396</v>
      </c>
      <c r="CC381" s="7">
        <v>117143382.5</v>
      </c>
      <c r="CD381" s="7">
        <f t="shared" si="32"/>
        <v>3.38887906095409</v>
      </c>
      <c r="CE381" s="8">
        <v>1647.6</v>
      </c>
      <c r="CF381" s="8">
        <v>4080.7</v>
      </c>
      <c r="CG381" s="8">
        <v>2682.9</v>
      </c>
      <c r="CH381" s="8">
        <v>9047</v>
      </c>
      <c r="CI381" s="14">
        <v>0</v>
      </c>
      <c r="CJ381" s="14">
        <v>1</v>
      </c>
      <c r="CK381" s="14">
        <f t="shared" si="33"/>
        <v>0</v>
      </c>
      <c r="CL381">
        <f t="shared" si="34"/>
        <v>3.89549779892895</v>
      </c>
      <c r="CM381">
        <f t="shared" si="35"/>
        <v>0.130052374336895</v>
      </c>
      <c r="CN381" s="15">
        <v>3814</v>
      </c>
      <c r="CO381" s="15">
        <v>3943.91</v>
      </c>
      <c r="CP381" s="15">
        <v>379.57</v>
      </c>
      <c r="CQ381" s="15">
        <v>363.41</v>
      </c>
      <c r="CR381" s="15">
        <v>61.82</v>
      </c>
      <c r="CS381" s="15">
        <v>8.66</v>
      </c>
      <c r="CT381" s="15">
        <v>199.49</v>
      </c>
      <c r="CU381" s="15">
        <v>46.88</v>
      </c>
      <c r="CV381" s="15">
        <v>0</v>
      </c>
      <c r="CW381" s="15">
        <v>389.2</v>
      </c>
    </row>
    <row r="382" spans="1:101">
      <c r="A382" s="6">
        <v>2005</v>
      </c>
      <c r="B382" s="6" t="s">
        <v>115</v>
      </c>
      <c r="C382" s="6">
        <v>0.13315436</v>
      </c>
      <c r="D382" s="6">
        <v>0.026112</v>
      </c>
      <c r="E382" s="6">
        <v>0.006399</v>
      </c>
      <c r="F382" s="6">
        <v>0.011426</v>
      </c>
      <c r="G382" s="6">
        <v>0.003785</v>
      </c>
      <c r="H382" s="6">
        <v>0.004501</v>
      </c>
      <c r="I382" s="6">
        <v>0.026956</v>
      </c>
      <c r="J382" s="6">
        <v>0.012762</v>
      </c>
      <c r="K382" s="6">
        <v>0.15325603</v>
      </c>
      <c r="L382" s="6">
        <v>0.11080424</v>
      </c>
      <c r="M382" s="6">
        <v>0.13269887</v>
      </c>
      <c r="N382" s="6">
        <v>0.0833945</v>
      </c>
      <c r="O382" s="6">
        <v>0.10291829</v>
      </c>
      <c r="P382" s="6">
        <v>0.21045538</v>
      </c>
      <c r="Q382" s="6">
        <v>0.15871499</v>
      </c>
      <c r="R382" s="6">
        <v>217.69486</v>
      </c>
      <c r="S382" s="6">
        <v>0.00070399</v>
      </c>
      <c r="T382" s="6">
        <v>169.97573</v>
      </c>
      <c r="U382" s="6">
        <v>0.00065188</v>
      </c>
      <c r="V382" s="6">
        <v>197.11803</v>
      </c>
      <c r="W382" s="6">
        <v>0.00067319</v>
      </c>
      <c r="X382" s="6">
        <v>134.47093</v>
      </c>
      <c r="Y382" s="6">
        <v>0.00062017</v>
      </c>
      <c r="Z382" s="6">
        <v>134.86767</v>
      </c>
      <c r="AA382" s="6">
        <v>0.00076311</v>
      </c>
      <c r="AB382" s="6">
        <v>294.9318</v>
      </c>
      <c r="AC382" s="6">
        <v>0.00071357</v>
      </c>
      <c r="AD382" s="6">
        <v>243.86163</v>
      </c>
      <c r="AE382" s="6">
        <v>0.00065084</v>
      </c>
      <c r="AF382" s="6">
        <v>775</v>
      </c>
      <c r="AG382" s="6">
        <v>-0.00511011</v>
      </c>
      <c r="AH382" s="6">
        <v>-0.00478198</v>
      </c>
      <c r="AI382" s="6">
        <v>-0.00491666</v>
      </c>
      <c r="AJ382" s="6">
        <v>-0.00458026</v>
      </c>
      <c r="AK382" s="6">
        <v>-0.00547766</v>
      </c>
      <c r="AL382" s="6">
        <v>-0.00517</v>
      </c>
      <c r="AM382" s="6">
        <v>-0.00477538</v>
      </c>
      <c r="AN382" s="6">
        <v>-6.4762184</v>
      </c>
      <c r="AO382" s="6">
        <v>-6.4515561</v>
      </c>
      <c r="AP382" s="6">
        <v>-6.4739881</v>
      </c>
      <c r="AQ382" s="6">
        <v>-6.4253629</v>
      </c>
      <c r="AR382" s="6">
        <v>-6.4020076</v>
      </c>
      <c r="AS382" s="6">
        <v>-6.4618417</v>
      </c>
      <c r="AT382" s="6">
        <v>-6.4506396</v>
      </c>
      <c r="AU382" s="6">
        <v>0.97344833</v>
      </c>
      <c r="AV382" s="6">
        <v>0.96974131</v>
      </c>
      <c r="AW382" s="6">
        <v>0.97311308</v>
      </c>
      <c r="AX382" s="6">
        <v>0.96580418</v>
      </c>
      <c r="AY382" s="6">
        <v>0.96229362</v>
      </c>
      <c r="AZ382" s="6">
        <v>0.97128734</v>
      </c>
      <c r="BA382" s="6">
        <v>0.96960354</v>
      </c>
      <c r="BB382" s="6">
        <v>0.02655167</v>
      </c>
      <c r="BC382" s="6">
        <v>0.03025869</v>
      </c>
      <c r="BD382" s="6">
        <v>0.02688692</v>
      </c>
      <c r="BE382" s="6">
        <v>0.03419582</v>
      </c>
      <c r="BF382" s="6">
        <v>0.03770638</v>
      </c>
      <c r="BG382" s="6">
        <v>0.02871266</v>
      </c>
      <c r="BH382" s="6">
        <v>0.03039646</v>
      </c>
      <c r="BI382" s="6">
        <v>0.21470859</v>
      </c>
      <c r="BJ382" s="6">
        <v>0.12366373</v>
      </c>
      <c r="BK382" s="6">
        <v>0.1409291</v>
      </c>
      <c r="BL382" s="6">
        <v>0.12522516</v>
      </c>
      <c r="BM382" s="6">
        <v>0.1592662</v>
      </c>
      <c r="BN382" s="6">
        <v>0.17561655</v>
      </c>
      <c r="BO382" s="6">
        <v>0.1337285</v>
      </c>
      <c r="BP382" s="6">
        <v>0.14157076</v>
      </c>
      <c r="BQ382" s="6">
        <v>0.01895221</v>
      </c>
      <c r="BR382" s="6">
        <v>0.01561554</v>
      </c>
      <c r="BS382" s="6">
        <v>0.01661724</v>
      </c>
      <c r="BT382" s="6">
        <v>0.01328193</v>
      </c>
      <c r="BU382" s="6">
        <v>0.01807416</v>
      </c>
      <c r="BV382" s="6">
        <v>0.02814388</v>
      </c>
      <c r="BW382" s="6">
        <v>0.0224694</v>
      </c>
      <c r="BX382" s="12">
        <v>4286.01</v>
      </c>
      <c r="BY382" s="13">
        <v>4311.24</v>
      </c>
      <c r="BZ382" s="12">
        <v>4056.76</v>
      </c>
      <c r="CA382" s="6">
        <f t="shared" si="36"/>
        <v>0.994147855373396</v>
      </c>
      <c r="CB382" s="6">
        <f t="shared" si="37"/>
        <v>1.05651061438192</v>
      </c>
      <c r="CC382" s="7">
        <v>128307488.2</v>
      </c>
      <c r="CD382" s="7">
        <f t="shared" si="32"/>
        <v>3.16280697403839</v>
      </c>
      <c r="CE382" s="8">
        <v>1844</v>
      </c>
      <c r="CF382" s="8">
        <v>5202.3</v>
      </c>
      <c r="CG382" s="8">
        <v>3197.2</v>
      </c>
      <c r="CH382" s="8">
        <v>10978</v>
      </c>
      <c r="CI382" s="14">
        <v>0</v>
      </c>
      <c r="CJ382" s="14">
        <v>1</v>
      </c>
      <c r="CK382" s="14">
        <f t="shared" si="33"/>
        <v>0</v>
      </c>
      <c r="CL382">
        <f t="shared" si="34"/>
        <v>3.71995059106252</v>
      </c>
      <c r="CM382">
        <f t="shared" si="35"/>
        <v>0.149771778787254</v>
      </c>
      <c r="CN382" s="15">
        <v>4286</v>
      </c>
      <c r="CO382" s="15">
        <v>4242.9</v>
      </c>
      <c r="CP382" s="15">
        <v>452.86</v>
      </c>
      <c r="CQ382" s="15">
        <v>368.02</v>
      </c>
      <c r="CR382" s="15">
        <v>64.49</v>
      </c>
      <c r="CS382" s="15">
        <v>7.14</v>
      </c>
      <c r="CT382" s="15">
        <v>302.07</v>
      </c>
      <c r="CU382" s="15">
        <v>31.08</v>
      </c>
      <c r="CV382" s="15">
        <v>0.11</v>
      </c>
      <c r="CW382" s="15">
        <v>391.98</v>
      </c>
    </row>
    <row r="383" spans="1:101">
      <c r="A383" s="6">
        <v>2006</v>
      </c>
      <c r="B383" s="6" t="s">
        <v>115</v>
      </c>
      <c r="C383" s="6">
        <v>0.13605908</v>
      </c>
      <c r="D383" s="6">
        <v>0.025023</v>
      </c>
      <c r="E383" s="6">
        <v>0.006369</v>
      </c>
      <c r="F383" s="6">
        <v>0.011163</v>
      </c>
      <c r="G383" s="6">
        <v>0.003666</v>
      </c>
      <c r="H383" s="6">
        <v>0.003826</v>
      </c>
      <c r="I383" s="6">
        <v>0.028668</v>
      </c>
      <c r="J383" s="6">
        <v>0.015207</v>
      </c>
      <c r="K383" s="6">
        <v>0.1447164</v>
      </c>
      <c r="L383" s="6">
        <v>0.11008815</v>
      </c>
      <c r="M383" s="6">
        <v>0.12864876</v>
      </c>
      <c r="N383" s="6">
        <v>0.07988008</v>
      </c>
      <c r="O383" s="6">
        <v>0.08243301</v>
      </c>
      <c r="P383" s="6">
        <v>0.22952362</v>
      </c>
      <c r="Q383" s="6">
        <v>0.20234105</v>
      </c>
      <c r="R383" s="6">
        <v>217.69486</v>
      </c>
      <c r="S383" s="6">
        <v>0.00066477</v>
      </c>
      <c r="T383" s="6">
        <v>169.97573</v>
      </c>
      <c r="U383" s="6">
        <v>0.00064767</v>
      </c>
      <c r="V383" s="6">
        <v>197.11803</v>
      </c>
      <c r="W383" s="6">
        <v>0.00065265</v>
      </c>
      <c r="X383" s="6">
        <v>134.47093</v>
      </c>
      <c r="Y383" s="6">
        <v>0.00059403</v>
      </c>
      <c r="Z383" s="6">
        <v>134.86767</v>
      </c>
      <c r="AA383" s="6">
        <v>0.00061121</v>
      </c>
      <c r="AB383" s="6">
        <v>294.9318</v>
      </c>
      <c r="AC383" s="6">
        <v>0.00077823</v>
      </c>
      <c r="AD383" s="6">
        <v>243.86163</v>
      </c>
      <c r="AE383" s="6">
        <v>0.00082974</v>
      </c>
      <c r="AF383" s="6">
        <v>775</v>
      </c>
      <c r="AG383" s="6">
        <v>-0.00486349</v>
      </c>
      <c r="AH383" s="6">
        <v>-0.00475528</v>
      </c>
      <c r="AI383" s="6">
        <v>-0.00478683</v>
      </c>
      <c r="AJ383" s="6">
        <v>-0.00441281</v>
      </c>
      <c r="AK383" s="6">
        <v>-0.00452302</v>
      </c>
      <c r="AL383" s="6">
        <v>-0.00557093</v>
      </c>
      <c r="AM383" s="6">
        <v>-0.00588649</v>
      </c>
      <c r="AN383" s="6">
        <v>-6.4762184</v>
      </c>
      <c r="AO383" s="6">
        <v>-6.4515561</v>
      </c>
      <c r="AP383" s="6">
        <v>-6.4739881</v>
      </c>
      <c r="AQ383" s="6">
        <v>-6.4253629</v>
      </c>
      <c r="AR383" s="6">
        <v>-6.4020076</v>
      </c>
      <c r="AS383" s="6">
        <v>-6.4618417</v>
      </c>
      <c r="AT383" s="6">
        <v>-6.4506396</v>
      </c>
      <c r="AU383" s="6">
        <v>0.97344833</v>
      </c>
      <c r="AV383" s="6">
        <v>0.96974131</v>
      </c>
      <c r="AW383" s="6">
        <v>0.97311308</v>
      </c>
      <c r="AX383" s="6">
        <v>0.96580418</v>
      </c>
      <c r="AY383" s="6">
        <v>0.96229362</v>
      </c>
      <c r="AZ383" s="6">
        <v>0.97128734</v>
      </c>
      <c r="BA383" s="6">
        <v>0.96960354</v>
      </c>
      <c r="BB383" s="6">
        <v>0.02655167</v>
      </c>
      <c r="BC383" s="6">
        <v>0.03025869</v>
      </c>
      <c r="BD383" s="6">
        <v>0.02688692</v>
      </c>
      <c r="BE383" s="6">
        <v>0.03419582</v>
      </c>
      <c r="BF383" s="6">
        <v>0.03770638</v>
      </c>
      <c r="BG383" s="6">
        <v>0.02871266</v>
      </c>
      <c r="BH383" s="6">
        <v>0.03039646</v>
      </c>
      <c r="BI383" s="6">
        <v>0.21470859</v>
      </c>
      <c r="BJ383" s="6">
        <v>0.12366373</v>
      </c>
      <c r="BK383" s="6">
        <v>0.1409291</v>
      </c>
      <c r="BL383" s="6">
        <v>0.12522516</v>
      </c>
      <c r="BM383" s="6">
        <v>0.1592662</v>
      </c>
      <c r="BN383" s="6">
        <v>0.17561655</v>
      </c>
      <c r="BO383" s="6">
        <v>0.1337285</v>
      </c>
      <c r="BP383" s="6">
        <v>0.14157076</v>
      </c>
      <c r="BQ383" s="6">
        <v>0.01789617</v>
      </c>
      <c r="BR383" s="6">
        <v>0.01551462</v>
      </c>
      <c r="BS383" s="6">
        <v>0.01611006</v>
      </c>
      <c r="BT383" s="6">
        <v>0.0127222</v>
      </c>
      <c r="BU383" s="6">
        <v>0.0144766</v>
      </c>
      <c r="BV383" s="6">
        <v>0.03069385</v>
      </c>
      <c r="BW383" s="6">
        <v>0.02864558</v>
      </c>
      <c r="BX383" s="12">
        <v>4660.1</v>
      </c>
      <c r="BY383" s="13">
        <v>4339.13</v>
      </c>
      <c r="BZ383" s="12">
        <v>4820.53</v>
      </c>
      <c r="CA383" s="6">
        <f t="shared" si="36"/>
        <v>1.0739710494961</v>
      </c>
      <c r="CB383" s="6">
        <f t="shared" si="37"/>
        <v>0.966719427116935</v>
      </c>
      <c r="CC383" s="7">
        <v>135783339.3</v>
      </c>
      <c r="CD383" s="7">
        <f t="shared" si="32"/>
        <v>2.81677200017425</v>
      </c>
      <c r="CE383" s="8">
        <v>1869.8</v>
      </c>
      <c r="CF383" s="8">
        <v>6316.2</v>
      </c>
      <c r="CG383" s="8">
        <v>3791.9</v>
      </c>
      <c r="CH383" s="8">
        <v>12761</v>
      </c>
      <c r="CI383" s="14">
        <v>0</v>
      </c>
      <c r="CJ383" s="14">
        <v>1</v>
      </c>
      <c r="CK383" s="14">
        <f t="shared" si="33"/>
        <v>0</v>
      </c>
      <c r="CL383">
        <f t="shared" si="34"/>
        <v>3.57740717995078</v>
      </c>
      <c r="CM383">
        <f t="shared" si="35"/>
        <v>0.212621919036623</v>
      </c>
      <c r="CN383" s="15">
        <v>4660.51</v>
      </c>
      <c r="CO383" s="15">
        <v>4592.26</v>
      </c>
      <c r="CP383" s="15">
        <v>527.26</v>
      </c>
      <c r="CQ383" s="15">
        <v>417.99</v>
      </c>
      <c r="CR383" s="15">
        <v>65.99</v>
      </c>
      <c r="CS383" s="15">
        <v>7.95</v>
      </c>
      <c r="CT383" s="15">
        <v>313.59</v>
      </c>
      <c r="CU383" s="15">
        <v>26.5</v>
      </c>
      <c r="CV383" s="15">
        <v>0.68</v>
      </c>
      <c r="CW383" s="15">
        <v>453.28</v>
      </c>
    </row>
    <row r="384" spans="1:101">
      <c r="A384" s="6">
        <v>2007</v>
      </c>
      <c r="B384" s="6" t="s">
        <v>115</v>
      </c>
      <c r="C384" s="6">
        <v>0.14263439</v>
      </c>
      <c r="D384" s="6">
        <v>0.027037</v>
      </c>
      <c r="E384" s="6">
        <v>0.007027</v>
      </c>
      <c r="F384" s="6">
        <v>0.012345</v>
      </c>
      <c r="G384" s="6">
        <v>0.00379</v>
      </c>
      <c r="H384" s="6">
        <v>0.003876</v>
      </c>
      <c r="I384" s="6">
        <v>0.030116</v>
      </c>
      <c r="J384" s="6">
        <v>0.014078</v>
      </c>
      <c r="K384" s="6">
        <v>0.16051422</v>
      </c>
      <c r="L384" s="6">
        <v>0.12562916</v>
      </c>
      <c r="M384" s="6">
        <v>0.14682479</v>
      </c>
      <c r="N384" s="6">
        <v>0.08354404</v>
      </c>
      <c r="O384" s="6">
        <v>0.08395151</v>
      </c>
      <c r="P384" s="6">
        <v>0.24565322</v>
      </c>
      <c r="Q384" s="6">
        <v>0.18219711</v>
      </c>
      <c r="R384" s="6">
        <v>217.69486</v>
      </c>
      <c r="S384" s="6">
        <v>0.00073734</v>
      </c>
      <c r="T384" s="6">
        <v>169.97573</v>
      </c>
      <c r="U384" s="6">
        <v>0.0007391</v>
      </c>
      <c r="V384" s="6">
        <v>197.11803</v>
      </c>
      <c r="W384" s="6">
        <v>0.00074486</v>
      </c>
      <c r="X384" s="6">
        <v>134.47093</v>
      </c>
      <c r="Y384" s="6">
        <v>0.00062128</v>
      </c>
      <c r="Z384" s="6">
        <v>134.86767</v>
      </c>
      <c r="AA384" s="6">
        <v>0.00062247</v>
      </c>
      <c r="AB384" s="6">
        <v>294.9318</v>
      </c>
      <c r="AC384" s="6">
        <v>0.00083292</v>
      </c>
      <c r="AD384" s="6">
        <v>243.86163</v>
      </c>
      <c r="AE384" s="6">
        <v>0.00074713</v>
      </c>
      <c r="AF384" s="6">
        <v>775</v>
      </c>
      <c r="AG384" s="6">
        <v>-0.00531801</v>
      </c>
      <c r="AH384" s="6">
        <v>-0.00532897</v>
      </c>
      <c r="AI384" s="6">
        <v>-0.0053647</v>
      </c>
      <c r="AJ384" s="6">
        <v>-0.00458736</v>
      </c>
      <c r="AK384" s="6">
        <v>-0.00459498</v>
      </c>
      <c r="AL384" s="6">
        <v>-0.00590585</v>
      </c>
      <c r="AM384" s="6">
        <v>-0.00537881</v>
      </c>
      <c r="AN384" s="6">
        <v>-6.4762184</v>
      </c>
      <c r="AO384" s="6">
        <v>-6.4515561</v>
      </c>
      <c r="AP384" s="6">
        <v>-6.4739881</v>
      </c>
      <c r="AQ384" s="6">
        <v>-6.4253629</v>
      </c>
      <c r="AR384" s="6">
        <v>-6.4020076</v>
      </c>
      <c r="AS384" s="6">
        <v>-6.4618417</v>
      </c>
      <c r="AT384" s="6">
        <v>-6.4506396</v>
      </c>
      <c r="AU384" s="6">
        <v>0.97344833</v>
      </c>
      <c r="AV384" s="6">
        <v>0.96974131</v>
      </c>
      <c r="AW384" s="6">
        <v>0.97311308</v>
      </c>
      <c r="AX384" s="6">
        <v>0.96580418</v>
      </c>
      <c r="AY384" s="6">
        <v>0.96229362</v>
      </c>
      <c r="AZ384" s="6">
        <v>0.97128734</v>
      </c>
      <c r="BA384" s="6">
        <v>0.96960354</v>
      </c>
      <c r="BB384" s="6">
        <v>0.02655167</v>
      </c>
      <c r="BC384" s="6">
        <v>0.03025869</v>
      </c>
      <c r="BD384" s="6">
        <v>0.02688692</v>
      </c>
      <c r="BE384" s="6">
        <v>0.03419582</v>
      </c>
      <c r="BF384" s="6">
        <v>0.03770638</v>
      </c>
      <c r="BG384" s="6">
        <v>0.02871266</v>
      </c>
      <c r="BH384" s="6">
        <v>0.03039646</v>
      </c>
      <c r="BI384" s="6">
        <v>0.21470859</v>
      </c>
      <c r="BJ384" s="6">
        <v>0.12366373</v>
      </c>
      <c r="BK384" s="6">
        <v>0.1409291</v>
      </c>
      <c r="BL384" s="6">
        <v>0.12522516</v>
      </c>
      <c r="BM384" s="6">
        <v>0.1592662</v>
      </c>
      <c r="BN384" s="6">
        <v>0.17561655</v>
      </c>
      <c r="BO384" s="6">
        <v>0.1337285</v>
      </c>
      <c r="BP384" s="6">
        <v>0.14157076</v>
      </c>
      <c r="BQ384" s="6">
        <v>0.01984979</v>
      </c>
      <c r="BR384" s="6">
        <v>0.0177048</v>
      </c>
      <c r="BS384" s="6">
        <v>0.01838616</v>
      </c>
      <c r="BT384" s="6">
        <v>0.01330574</v>
      </c>
      <c r="BU384" s="6">
        <v>0.01474327</v>
      </c>
      <c r="BV384" s="6">
        <v>0.03285084</v>
      </c>
      <c r="BW384" s="6">
        <v>0.02579378</v>
      </c>
      <c r="BX384" s="12">
        <v>5052.5</v>
      </c>
      <c r="BY384" s="13">
        <v>4368.41</v>
      </c>
      <c r="BZ384" s="12">
        <v>5800.25</v>
      </c>
      <c r="CA384" s="6">
        <f t="shared" si="36"/>
        <v>1.15659931187778</v>
      </c>
      <c r="CB384" s="6">
        <f t="shared" si="37"/>
        <v>0.871083142967976</v>
      </c>
      <c r="CC384" s="7">
        <v>154913666.4</v>
      </c>
      <c r="CD384" s="7">
        <f t="shared" si="32"/>
        <v>2.67081016163096</v>
      </c>
      <c r="CE384" s="8">
        <v>2156.7</v>
      </c>
      <c r="CF384" s="8">
        <v>7904</v>
      </c>
      <c r="CG384" s="8">
        <v>4763.8</v>
      </c>
      <c r="CH384" s="8">
        <v>15811</v>
      </c>
      <c r="CI384" s="14">
        <v>0</v>
      </c>
      <c r="CJ384" s="14">
        <v>1</v>
      </c>
      <c r="CK384" s="14">
        <f t="shared" si="33"/>
        <v>0</v>
      </c>
      <c r="CL384">
        <f t="shared" si="34"/>
        <v>3.23986794305777</v>
      </c>
      <c r="CM384">
        <f t="shared" si="35"/>
        <v>0.175642276607649</v>
      </c>
      <c r="CN384" s="15">
        <v>5053.76</v>
      </c>
      <c r="CO384" s="15">
        <v>5169.99</v>
      </c>
      <c r="CP384" s="15">
        <v>597.65</v>
      </c>
      <c r="CQ384" s="15">
        <v>396.47</v>
      </c>
      <c r="CR384" s="15">
        <v>70.61</v>
      </c>
      <c r="CS384" s="15">
        <v>7.8</v>
      </c>
      <c r="CT384" s="15">
        <v>295.27</v>
      </c>
      <c r="CU384" s="15">
        <v>20.95</v>
      </c>
      <c r="CV384" s="15">
        <v>1.04</v>
      </c>
      <c r="CW384" s="15">
        <v>516.09</v>
      </c>
    </row>
    <row r="385" spans="1:101">
      <c r="A385" s="6">
        <v>2008</v>
      </c>
      <c r="B385" s="6" t="s">
        <v>115</v>
      </c>
      <c r="C385" s="6">
        <v>0.17175654</v>
      </c>
      <c r="D385" s="6">
        <v>0.03276</v>
      </c>
      <c r="E385" s="6">
        <v>0.00813</v>
      </c>
      <c r="F385" s="6">
        <v>0.01418</v>
      </c>
      <c r="G385" s="6">
        <v>0.005339</v>
      </c>
      <c r="H385" s="6">
        <v>0.005111</v>
      </c>
      <c r="I385" s="6">
        <v>0.031376</v>
      </c>
      <c r="J385" s="6">
        <v>0.014322</v>
      </c>
      <c r="K385" s="6">
        <v>0.20540421</v>
      </c>
      <c r="L385" s="6">
        <v>0.15172215</v>
      </c>
      <c r="M385" s="6">
        <v>0.17501902</v>
      </c>
      <c r="N385" s="6">
        <v>0.12934045</v>
      </c>
      <c r="O385" s="6">
        <v>0.12139123</v>
      </c>
      <c r="P385" s="6">
        <v>0.25968779</v>
      </c>
      <c r="Q385" s="6">
        <v>0.18655768</v>
      </c>
      <c r="R385" s="6">
        <v>217.69486</v>
      </c>
      <c r="S385" s="6">
        <v>0.00094354</v>
      </c>
      <c r="T385" s="6">
        <v>169.97573</v>
      </c>
      <c r="U385" s="6">
        <v>0.00089261</v>
      </c>
      <c r="V385" s="6">
        <v>197.11803</v>
      </c>
      <c r="W385" s="6">
        <v>0.00088789</v>
      </c>
      <c r="X385" s="6">
        <v>134.47093</v>
      </c>
      <c r="Y385" s="6">
        <v>0.00096185</v>
      </c>
      <c r="Z385" s="6">
        <v>134.86767</v>
      </c>
      <c r="AA385" s="6">
        <v>0.00090008</v>
      </c>
      <c r="AB385" s="6">
        <v>294.9318</v>
      </c>
      <c r="AC385" s="6">
        <v>0.0008805</v>
      </c>
      <c r="AD385" s="6">
        <v>243.86163</v>
      </c>
      <c r="AE385" s="6">
        <v>0.00076501</v>
      </c>
      <c r="AF385" s="6">
        <v>775</v>
      </c>
      <c r="AG385" s="6">
        <v>-0.00657259</v>
      </c>
      <c r="AH385" s="6">
        <v>-0.00626734</v>
      </c>
      <c r="AI385" s="6">
        <v>-0.0062389</v>
      </c>
      <c r="AJ385" s="6">
        <v>-0.00668162</v>
      </c>
      <c r="AK385" s="6">
        <v>-0.00631226</v>
      </c>
      <c r="AL385" s="6">
        <v>-0.00619434</v>
      </c>
      <c r="AM385" s="6">
        <v>-0.00548945</v>
      </c>
      <c r="AN385" s="6">
        <v>-6.4762184</v>
      </c>
      <c r="AO385" s="6">
        <v>-6.4515561</v>
      </c>
      <c r="AP385" s="6">
        <v>-6.4739881</v>
      </c>
      <c r="AQ385" s="6">
        <v>-6.4253629</v>
      </c>
      <c r="AR385" s="6">
        <v>-6.4020076</v>
      </c>
      <c r="AS385" s="6">
        <v>-6.4618417</v>
      </c>
      <c r="AT385" s="6">
        <v>-6.4506396</v>
      </c>
      <c r="AU385" s="6">
        <v>0.97344833</v>
      </c>
      <c r="AV385" s="6">
        <v>0.96974131</v>
      </c>
      <c r="AW385" s="6">
        <v>0.97311308</v>
      </c>
      <c r="AX385" s="6">
        <v>0.96580418</v>
      </c>
      <c r="AY385" s="6">
        <v>0.96229362</v>
      </c>
      <c r="AZ385" s="6">
        <v>0.97128734</v>
      </c>
      <c r="BA385" s="6">
        <v>0.96960354</v>
      </c>
      <c r="BB385" s="6">
        <v>0.02655167</v>
      </c>
      <c r="BC385" s="6">
        <v>0.03025869</v>
      </c>
      <c r="BD385" s="6">
        <v>0.02688692</v>
      </c>
      <c r="BE385" s="6">
        <v>0.03419582</v>
      </c>
      <c r="BF385" s="6">
        <v>0.03770638</v>
      </c>
      <c r="BG385" s="6">
        <v>0.02871266</v>
      </c>
      <c r="BH385" s="6">
        <v>0.03039646</v>
      </c>
      <c r="BI385" s="6">
        <v>0.21470859</v>
      </c>
      <c r="BJ385" s="6">
        <v>0.12366373</v>
      </c>
      <c r="BK385" s="6">
        <v>0.1409291</v>
      </c>
      <c r="BL385" s="6">
        <v>0.12522516</v>
      </c>
      <c r="BM385" s="6">
        <v>0.1592662</v>
      </c>
      <c r="BN385" s="6">
        <v>0.17561655</v>
      </c>
      <c r="BO385" s="6">
        <v>0.1337285</v>
      </c>
      <c r="BP385" s="6">
        <v>0.14157076</v>
      </c>
      <c r="BQ385" s="6">
        <v>0.02540105</v>
      </c>
      <c r="BR385" s="6">
        <v>0.02138207</v>
      </c>
      <c r="BS385" s="6">
        <v>0.02191678</v>
      </c>
      <c r="BT385" s="6">
        <v>0.02059956</v>
      </c>
      <c r="BU385" s="6">
        <v>0.02131831</v>
      </c>
      <c r="BV385" s="6">
        <v>0.03472766</v>
      </c>
      <c r="BW385" s="6">
        <v>0.02641111</v>
      </c>
      <c r="BX385" s="12">
        <v>5382.96</v>
      </c>
      <c r="BY385" s="13">
        <v>4400.1</v>
      </c>
      <c r="BZ385" s="12">
        <v>6971.05</v>
      </c>
      <c r="CA385" s="6">
        <f t="shared" si="36"/>
        <v>1.22337219608645</v>
      </c>
      <c r="CB385" s="6">
        <f t="shared" si="37"/>
        <v>0.772187833970492</v>
      </c>
      <c r="CC385" s="7">
        <v>158256309.8</v>
      </c>
      <c r="CD385" s="7">
        <f t="shared" si="32"/>
        <v>2.27019329656221</v>
      </c>
      <c r="CE385" s="8">
        <v>2575.8</v>
      </c>
      <c r="CF385" s="8">
        <v>9713.4</v>
      </c>
      <c r="CG385" s="8">
        <v>5446.7</v>
      </c>
      <c r="CH385" s="8">
        <v>18879</v>
      </c>
      <c r="CI385" s="14">
        <v>0</v>
      </c>
      <c r="CJ385" s="14">
        <v>1</v>
      </c>
      <c r="CK385" s="14">
        <f t="shared" si="33"/>
        <v>0</v>
      </c>
      <c r="CL385">
        <f t="shared" si="34"/>
        <v>2.71728515287532</v>
      </c>
      <c r="CM385">
        <f t="shared" si="35"/>
        <v>0.164536230524063</v>
      </c>
      <c r="CN385" s="15">
        <v>5383</v>
      </c>
      <c r="CO385" s="15">
        <v>5267</v>
      </c>
      <c r="CP385" s="15">
        <v>581.4</v>
      </c>
      <c r="CQ385" s="15">
        <v>411</v>
      </c>
      <c r="CR385" s="15">
        <v>75.68</v>
      </c>
      <c r="CS385" s="15">
        <v>8.01</v>
      </c>
      <c r="CT385" s="15">
        <v>288.47</v>
      </c>
      <c r="CU385" s="15">
        <v>26.98</v>
      </c>
      <c r="CV385" s="15">
        <v>2.5</v>
      </c>
      <c r="CW385" s="15">
        <v>546.77</v>
      </c>
    </row>
    <row r="386" spans="1:101">
      <c r="A386" s="6">
        <v>2009</v>
      </c>
      <c r="B386" s="6" t="s">
        <v>115</v>
      </c>
      <c r="C386" s="6">
        <v>0.15739836</v>
      </c>
      <c r="D386" s="6">
        <v>0.02869</v>
      </c>
      <c r="E386" s="6">
        <v>0.007393</v>
      </c>
      <c r="F386" s="6">
        <v>0.01294</v>
      </c>
      <c r="G386" s="6">
        <v>0.004555</v>
      </c>
      <c r="H386" s="6">
        <v>0.003802</v>
      </c>
      <c r="I386" s="6">
        <v>0.031387</v>
      </c>
      <c r="J386" s="6">
        <v>0.016331</v>
      </c>
      <c r="K386" s="6">
        <v>0.17348104</v>
      </c>
      <c r="L386" s="6">
        <v>0.13428467</v>
      </c>
      <c r="M386" s="6">
        <v>0.15597256</v>
      </c>
      <c r="N386" s="6">
        <v>0.10616421</v>
      </c>
      <c r="O386" s="6">
        <v>0.08172558</v>
      </c>
      <c r="P386" s="6">
        <v>0.25980929</v>
      </c>
      <c r="Q386" s="6">
        <v>0.22239126</v>
      </c>
      <c r="R386" s="6">
        <v>217.69486</v>
      </c>
      <c r="S386" s="6">
        <v>0.0007969</v>
      </c>
      <c r="T386" s="6">
        <v>169.97573</v>
      </c>
      <c r="U386" s="6">
        <v>0.00079002</v>
      </c>
      <c r="V386" s="6">
        <v>197.11803</v>
      </c>
      <c r="W386" s="6">
        <v>0.00079126</v>
      </c>
      <c r="X386" s="6">
        <v>134.47093</v>
      </c>
      <c r="Y386" s="6">
        <v>0.0007895</v>
      </c>
      <c r="Z386" s="6">
        <v>134.86767</v>
      </c>
      <c r="AA386" s="6">
        <v>0.00060597</v>
      </c>
      <c r="AB386" s="6">
        <v>294.9318</v>
      </c>
      <c r="AC386" s="6">
        <v>0.00088091</v>
      </c>
      <c r="AD386" s="6">
        <v>243.86163</v>
      </c>
      <c r="AE386" s="6">
        <v>0.00091196</v>
      </c>
      <c r="AF386" s="6">
        <v>775</v>
      </c>
      <c r="AG386" s="6">
        <v>-0.00568571</v>
      </c>
      <c r="AH386" s="6">
        <v>-0.00564349</v>
      </c>
      <c r="AI386" s="6">
        <v>-0.00565112</v>
      </c>
      <c r="AJ386" s="6">
        <v>-0.00564025</v>
      </c>
      <c r="AK386" s="6">
        <v>-0.00448943</v>
      </c>
      <c r="AL386" s="6">
        <v>-0.00619683</v>
      </c>
      <c r="AM386" s="6">
        <v>-0.00638362</v>
      </c>
      <c r="AN386" s="6">
        <v>-6.4762184</v>
      </c>
      <c r="AO386" s="6">
        <v>-6.4515561</v>
      </c>
      <c r="AP386" s="6">
        <v>-6.4739881</v>
      </c>
      <c r="AQ386" s="6">
        <v>-6.4253629</v>
      </c>
      <c r="AR386" s="6">
        <v>-6.4020076</v>
      </c>
      <c r="AS386" s="6">
        <v>-6.4618417</v>
      </c>
      <c r="AT386" s="6">
        <v>-6.4506396</v>
      </c>
      <c r="AU386" s="6">
        <v>0.97344833</v>
      </c>
      <c r="AV386" s="6">
        <v>0.96974131</v>
      </c>
      <c r="AW386" s="6">
        <v>0.97311308</v>
      </c>
      <c r="AX386" s="6">
        <v>0.96580418</v>
      </c>
      <c r="AY386" s="6">
        <v>0.96229362</v>
      </c>
      <c r="AZ386" s="6">
        <v>0.97128734</v>
      </c>
      <c r="BA386" s="6">
        <v>0.96960354</v>
      </c>
      <c r="BB386" s="6">
        <v>0.02655167</v>
      </c>
      <c r="BC386" s="6">
        <v>0.03025869</v>
      </c>
      <c r="BD386" s="6">
        <v>0.02688692</v>
      </c>
      <c r="BE386" s="6">
        <v>0.03419582</v>
      </c>
      <c r="BF386" s="6">
        <v>0.03770638</v>
      </c>
      <c r="BG386" s="6">
        <v>0.02871266</v>
      </c>
      <c r="BH386" s="6">
        <v>0.03039646</v>
      </c>
      <c r="BI386" s="6">
        <v>0.21470859</v>
      </c>
      <c r="BJ386" s="6">
        <v>0.12366373</v>
      </c>
      <c r="BK386" s="6">
        <v>0.1409291</v>
      </c>
      <c r="BL386" s="6">
        <v>0.12522516</v>
      </c>
      <c r="BM386" s="6">
        <v>0.1592662</v>
      </c>
      <c r="BN386" s="6">
        <v>0.17561655</v>
      </c>
      <c r="BO386" s="6">
        <v>0.1337285</v>
      </c>
      <c r="BP386" s="6">
        <v>0.14157076</v>
      </c>
      <c r="BQ386" s="6">
        <v>0.02145331</v>
      </c>
      <c r="BR386" s="6">
        <v>0.01892462</v>
      </c>
      <c r="BS386" s="6">
        <v>0.01953169</v>
      </c>
      <c r="BT386" s="6">
        <v>0.01690837</v>
      </c>
      <c r="BU386" s="6">
        <v>0.01435236</v>
      </c>
      <c r="BV386" s="6">
        <v>0.03474391</v>
      </c>
      <c r="BW386" s="6">
        <v>0.0314841</v>
      </c>
      <c r="BX386" s="12">
        <v>5812.5</v>
      </c>
      <c r="BY386" s="13">
        <v>4432.16</v>
      </c>
      <c r="BZ386" s="12">
        <v>7655.18</v>
      </c>
      <c r="CA386" s="6">
        <f t="shared" si="36"/>
        <v>1.31143731273239</v>
      </c>
      <c r="CB386" s="6">
        <f t="shared" si="37"/>
        <v>0.759289788091201</v>
      </c>
      <c r="CC386" s="7">
        <v>176328164</v>
      </c>
      <c r="CD386" s="7">
        <f t="shared" si="32"/>
        <v>2.30338364349369</v>
      </c>
      <c r="CE386" s="8">
        <v>2665.7</v>
      </c>
      <c r="CF386" s="8">
        <v>10324.6</v>
      </c>
      <c r="CG386" s="8">
        <v>6190.8</v>
      </c>
      <c r="CH386" s="8">
        <v>20280</v>
      </c>
      <c r="CI386" s="14">
        <v>0</v>
      </c>
      <c r="CJ386" s="14">
        <v>1</v>
      </c>
      <c r="CK386" s="14">
        <f t="shared" si="33"/>
        <v>0</v>
      </c>
      <c r="CL386">
        <f t="shared" si="34"/>
        <v>2.66960201713366</v>
      </c>
      <c r="CM386">
        <f t="shared" si="35"/>
        <v>0.137180887371809</v>
      </c>
      <c r="CN386" s="15">
        <v>5813</v>
      </c>
      <c r="CO386" s="15">
        <v>5356</v>
      </c>
      <c r="CP386" s="15">
        <v>710.41</v>
      </c>
      <c r="CQ386" s="15">
        <v>451.68</v>
      </c>
      <c r="CR386" s="15">
        <v>77.21</v>
      </c>
      <c r="CS386" s="15">
        <v>7.65</v>
      </c>
      <c r="CT386" s="15">
        <v>293.17</v>
      </c>
      <c r="CU386" s="15">
        <v>22.04</v>
      </c>
      <c r="CV386" s="15">
        <v>2.58</v>
      </c>
      <c r="CW386" s="15">
        <v>609.22</v>
      </c>
    </row>
    <row r="387" spans="1:101">
      <c r="A387" s="6">
        <v>2010</v>
      </c>
      <c r="B387" s="6" t="s">
        <v>115</v>
      </c>
      <c r="C387" s="6">
        <v>0.15885048</v>
      </c>
      <c r="D387" s="6">
        <v>0.030492</v>
      </c>
      <c r="E387" s="6">
        <v>0.007452</v>
      </c>
      <c r="F387" s="6">
        <v>0.013342</v>
      </c>
      <c r="G387" s="6">
        <v>0.004314</v>
      </c>
      <c r="H387" s="6">
        <v>0.005384</v>
      </c>
      <c r="I387" s="6">
        <v>0.028046</v>
      </c>
      <c r="J387" s="6">
        <v>0.014917</v>
      </c>
      <c r="K387" s="6">
        <v>0.18760954</v>
      </c>
      <c r="L387" s="6">
        <v>0.13568289</v>
      </c>
      <c r="M387" s="6">
        <v>0.16214475</v>
      </c>
      <c r="N387" s="6">
        <v>0.09903324</v>
      </c>
      <c r="O387" s="6">
        <v>0.12965811</v>
      </c>
      <c r="P387" s="6">
        <v>0.22259847</v>
      </c>
      <c r="Q387" s="6">
        <v>0.19716785</v>
      </c>
      <c r="R387" s="6">
        <v>217.69486</v>
      </c>
      <c r="S387" s="6">
        <v>0.0008618</v>
      </c>
      <c r="T387" s="6">
        <v>169.97573</v>
      </c>
      <c r="U387" s="6">
        <v>0.00079825</v>
      </c>
      <c r="V387" s="6">
        <v>197.11803</v>
      </c>
      <c r="W387" s="6">
        <v>0.00082258</v>
      </c>
      <c r="X387" s="6">
        <v>134.47093</v>
      </c>
      <c r="Y387" s="6">
        <v>0.00073647</v>
      </c>
      <c r="Z387" s="6">
        <v>134.86767</v>
      </c>
      <c r="AA387" s="6">
        <v>0.00096137</v>
      </c>
      <c r="AB387" s="6">
        <v>294.9318</v>
      </c>
      <c r="AC387" s="6">
        <v>0.00075475</v>
      </c>
      <c r="AD387" s="6">
        <v>243.86163</v>
      </c>
      <c r="AE387" s="6">
        <v>0.00080852</v>
      </c>
      <c r="AF387" s="6">
        <v>775</v>
      </c>
      <c r="AG387" s="6">
        <v>-0.00608128</v>
      </c>
      <c r="AH387" s="6">
        <v>-0.00569398</v>
      </c>
      <c r="AI387" s="6">
        <v>-0.00584282</v>
      </c>
      <c r="AJ387" s="6">
        <v>-0.0053126</v>
      </c>
      <c r="AK387" s="6">
        <v>-0.0066788</v>
      </c>
      <c r="AL387" s="6">
        <v>-0.00542596</v>
      </c>
      <c r="AM387" s="6">
        <v>-0.00575693</v>
      </c>
      <c r="AN387" s="6">
        <v>-6.4762184</v>
      </c>
      <c r="AO387" s="6">
        <v>-6.4515561</v>
      </c>
      <c r="AP387" s="6">
        <v>-6.4739881</v>
      </c>
      <c r="AQ387" s="6">
        <v>-6.4253629</v>
      </c>
      <c r="AR387" s="6">
        <v>-6.4020076</v>
      </c>
      <c r="AS387" s="6">
        <v>-6.4618417</v>
      </c>
      <c r="AT387" s="6">
        <v>-6.4506396</v>
      </c>
      <c r="AU387" s="6">
        <v>0.97344833</v>
      </c>
      <c r="AV387" s="6">
        <v>0.96974131</v>
      </c>
      <c r="AW387" s="6">
        <v>0.97311308</v>
      </c>
      <c r="AX387" s="6">
        <v>0.96580418</v>
      </c>
      <c r="AY387" s="6">
        <v>0.96229362</v>
      </c>
      <c r="AZ387" s="6">
        <v>0.97128734</v>
      </c>
      <c r="BA387" s="6">
        <v>0.96960354</v>
      </c>
      <c r="BB387" s="6">
        <v>0.02655167</v>
      </c>
      <c r="BC387" s="6">
        <v>0.03025869</v>
      </c>
      <c r="BD387" s="6">
        <v>0.02688692</v>
      </c>
      <c r="BE387" s="6">
        <v>0.03419582</v>
      </c>
      <c r="BF387" s="6">
        <v>0.03770638</v>
      </c>
      <c r="BG387" s="6">
        <v>0.02871266</v>
      </c>
      <c r="BH387" s="6">
        <v>0.03039646</v>
      </c>
      <c r="BI387" s="6">
        <v>0.21470859</v>
      </c>
      <c r="BJ387" s="6">
        <v>0.12366373</v>
      </c>
      <c r="BK387" s="6">
        <v>0.1409291</v>
      </c>
      <c r="BL387" s="6">
        <v>0.12522516</v>
      </c>
      <c r="BM387" s="6">
        <v>0.1592662</v>
      </c>
      <c r="BN387" s="6">
        <v>0.17561655</v>
      </c>
      <c r="BO387" s="6">
        <v>0.1337285</v>
      </c>
      <c r="BP387" s="6">
        <v>0.14157076</v>
      </c>
      <c r="BQ387" s="6">
        <v>0.0232005</v>
      </c>
      <c r="BR387" s="6">
        <v>0.01912167</v>
      </c>
      <c r="BS387" s="6">
        <v>0.0203046</v>
      </c>
      <c r="BT387" s="6">
        <v>0.01577265</v>
      </c>
      <c r="BU387" s="6">
        <v>0.02277011</v>
      </c>
      <c r="BV387" s="6">
        <v>0.02976776</v>
      </c>
      <c r="BW387" s="6">
        <v>0.0279132</v>
      </c>
      <c r="BX387" s="12">
        <v>6280.55</v>
      </c>
      <c r="BY387" s="13">
        <v>4462.25</v>
      </c>
      <c r="BZ387" s="12">
        <v>9451.26</v>
      </c>
      <c r="CA387" s="6">
        <f t="shared" si="36"/>
        <v>1.407485013166</v>
      </c>
      <c r="CB387" s="6">
        <f t="shared" si="37"/>
        <v>0.664519862960071</v>
      </c>
      <c r="CC387" s="7">
        <v>184469389.2</v>
      </c>
      <c r="CD387" s="7">
        <f t="shared" ref="CD387:CD450" si="38">CC387/10000/BZ387</f>
        <v>1.95179678899956</v>
      </c>
      <c r="CE387" s="8">
        <v>3127.1</v>
      </c>
      <c r="CF387" s="8">
        <v>12173.5</v>
      </c>
      <c r="CG387" s="8">
        <v>7354.4</v>
      </c>
      <c r="CH387" s="8">
        <v>23984</v>
      </c>
      <c r="CI387" s="14">
        <v>0</v>
      </c>
      <c r="CJ387" s="14">
        <v>1</v>
      </c>
      <c r="CK387" s="14">
        <f t="shared" ref="CK387:CK450" si="39">CI387*CJ387</f>
        <v>0</v>
      </c>
      <c r="CL387">
        <f t="shared" ref="CL387:CL450" si="40">AVERAGEIF($A:$A,$A387,$CD:$CD)</f>
        <v>2.40850270516871</v>
      </c>
      <c r="CM387">
        <f t="shared" ref="CM387:CM450" si="41">MAX(0,1-CD387/CL387)</f>
        <v>0.189622338886747</v>
      </c>
      <c r="CN387" s="15">
        <v>6354.88</v>
      </c>
      <c r="CO387" s="15">
        <v>6246.24</v>
      </c>
      <c r="CP387" s="15">
        <v>772.61</v>
      </c>
      <c r="CQ387" s="15">
        <v>469.92</v>
      </c>
      <c r="CR387" s="15">
        <v>155.23</v>
      </c>
      <c r="CS387" s="15">
        <v>8.5</v>
      </c>
      <c r="CT387" s="15">
        <v>368.75</v>
      </c>
      <c r="CU387" s="15">
        <v>23.67</v>
      </c>
      <c r="CV387" s="15">
        <v>3.85</v>
      </c>
      <c r="CW387" s="15">
        <v>700.51</v>
      </c>
    </row>
    <row r="388" spans="1:101">
      <c r="A388" s="6">
        <v>2011</v>
      </c>
      <c r="B388" s="6" t="s">
        <v>115</v>
      </c>
      <c r="C388" s="6">
        <v>0.1955117</v>
      </c>
      <c r="D388" s="6">
        <v>0.037902</v>
      </c>
      <c r="E388" s="6">
        <v>0.009139</v>
      </c>
      <c r="F388" s="6">
        <v>0.016964</v>
      </c>
      <c r="G388" s="6">
        <v>0.005658</v>
      </c>
      <c r="H388" s="6">
        <v>0.006141</v>
      </c>
      <c r="I388" s="6">
        <v>0.031571</v>
      </c>
      <c r="J388" s="6">
        <v>0.01542</v>
      </c>
      <c r="K388" s="6">
        <v>0.24574146</v>
      </c>
      <c r="L388" s="6">
        <v>0.17557857</v>
      </c>
      <c r="M388" s="6">
        <v>0.21781358</v>
      </c>
      <c r="N388" s="6">
        <v>0.13875866</v>
      </c>
      <c r="O388" s="6">
        <v>0.15261631</v>
      </c>
      <c r="P388" s="6">
        <v>0.26185916</v>
      </c>
      <c r="Q388" s="6">
        <v>0.20613701</v>
      </c>
      <c r="R388" s="6">
        <v>217.69486</v>
      </c>
      <c r="S388" s="6">
        <v>0.00112883</v>
      </c>
      <c r="T388" s="6">
        <v>169.97573</v>
      </c>
      <c r="U388" s="6">
        <v>0.00103296</v>
      </c>
      <c r="V388" s="6">
        <v>197.11803</v>
      </c>
      <c r="W388" s="6">
        <v>0.00110499</v>
      </c>
      <c r="X388" s="6">
        <v>134.47093</v>
      </c>
      <c r="Y388" s="6">
        <v>0.00103189</v>
      </c>
      <c r="Z388" s="6">
        <v>134.86767</v>
      </c>
      <c r="AA388" s="6">
        <v>0.0011316</v>
      </c>
      <c r="AB388" s="6">
        <v>294.9318</v>
      </c>
      <c r="AC388" s="6">
        <v>0.00088786</v>
      </c>
      <c r="AD388" s="6">
        <v>243.86163</v>
      </c>
      <c r="AE388" s="6">
        <v>0.0008453</v>
      </c>
      <c r="AF388" s="6">
        <v>775</v>
      </c>
      <c r="AG388" s="6">
        <v>-0.00766091</v>
      </c>
      <c r="AH388" s="6">
        <v>-0.00710195</v>
      </c>
      <c r="AI388" s="6">
        <v>-0.00752269</v>
      </c>
      <c r="AJ388" s="6">
        <v>-0.00709563</v>
      </c>
      <c r="AK388" s="6">
        <v>-0.00767692</v>
      </c>
      <c r="AL388" s="6">
        <v>-0.00623874</v>
      </c>
      <c r="AM388" s="6">
        <v>-0.00598121</v>
      </c>
      <c r="AN388" s="6">
        <v>-6.4762184</v>
      </c>
      <c r="AO388" s="6">
        <v>-6.4515561</v>
      </c>
      <c r="AP388" s="6">
        <v>-6.4739881</v>
      </c>
      <c r="AQ388" s="6">
        <v>-6.4253629</v>
      </c>
      <c r="AR388" s="6">
        <v>-6.4020076</v>
      </c>
      <c r="AS388" s="6">
        <v>-6.4618417</v>
      </c>
      <c r="AT388" s="6">
        <v>-6.4506396</v>
      </c>
      <c r="AU388" s="6">
        <v>0.97344833</v>
      </c>
      <c r="AV388" s="6">
        <v>0.96974131</v>
      </c>
      <c r="AW388" s="6">
        <v>0.97311308</v>
      </c>
      <c r="AX388" s="6">
        <v>0.96580418</v>
      </c>
      <c r="AY388" s="6">
        <v>0.96229362</v>
      </c>
      <c r="AZ388" s="6">
        <v>0.97128734</v>
      </c>
      <c r="BA388" s="6">
        <v>0.96960354</v>
      </c>
      <c r="BB388" s="6">
        <v>0.02655167</v>
      </c>
      <c r="BC388" s="6">
        <v>0.03025869</v>
      </c>
      <c r="BD388" s="6">
        <v>0.02688692</v>
      </c>
      <c r="BE388" s="6">
        <v>0.03419582</v>
      </c>
      <c r="BF388" s="6">
        <v>0.03770638</v>
      </c>
      <c r="BG388" s="6">
        <v>0.02871266</v>
      </c>
      <c r="BH388" s="6">
        <v>0.03039646</v>
      </c>
      <c r="BI388" s="6">
        <v>0.21470859</v>
      </c>
      <c r="BJ388" s="6">
        <v>0.12366373</v>
      </c>
      <c r="BK388" s="6">
        <v>0.1409291</v>
      </c>
      <c r="BL388" s="6">
        <v>0.12522516</v>
      </c>
      <c r="BM388" s="6">
        <v>0.1592662</v>
      </c>
      <c r="BN388" s="6">
        <v>0.17561655</v>
      </c>
      <c r="BO388" s="6">
        <v>0.1337285</v>
      </c>
      <c r="BP388" s="6">
        <v>0.14157076</v>
      </c>
      <c r="BQ388" s="6">
        <v>0.03038931</v>
      </c>
      <c r="BR388" s="6">
        <v>0.02474413</v>
      </c>
      <c r="BS388" s="6">
        <v>0.02727574</v>
      </c>
      <c r="BT388" s="6">
        <v>0.02209956</v>
      </c>
      <c r="BU388" s="6">
        <v>0.02680195</v>
      </c>
      <c r="BV388" s="6">
        <v>0.03501803</v>
      </c>
      <c r="BW388" s="6">
        <v>0.02918297</v>
      </c>
      <c r="BX388" s="12">
        <v>6847.1</v>
      </c>
      <c r="BY388" s="13">
        <v>4474</v>
      </c>
      <c r="BZ388" s="12">
        <v>11702.82</v>
      </c>
      <c r="CA388" s="6">
        <f t="shared" si="36"/>
        <v>1.53042020563254</v>
      </c>
      <c r="CB388" s="6">
        <f t="shared" si="37"/>
        <v>0.585081202650301</v>
      </c>
      <c r="CC388" s="7">
        <v>202838134.3</v>
      </c>
      <c r="CD388" s="7">
        <f t="shared" si="38"/>
        <v>1.73324151187492</v>
      </c>
      <c r="CE388" s="8">
        <v>3349.3</v>
      </c>
      <c r="CF388" s="8">
        <v>14021.6</v>
      </c>
      <c r="CG388" s="8">
        <v>8947.8</v>
      </c>
      <c r="CH388" s="8">
        <v>27901</v>
      </c>
      <c r="CI388" s="14">
        <v>0</v>
      </c>
      <c r="CJ388" s="14">
        <v>1</v>
      </c>
      <c r="CK388" s="14">
        <f t="shared" si="39"/>
        <v>0</v>
      </c>
      <c r="CL388">
        <f t="shared" si="40"/>
        <v>2.18035126729488</v>
      </c>
      <c r="CM388">
        <f t="shared" si="41"/>
        <v>0.205063175886645</v>
      </c>
      <c r="CN388" s="15">
        <v>6928</v>
      </c>
      <c r="CO388" s="15">
        <v>6988</v>
      </c>
      <c r="CP388" s="15">
        <v>872.32</v>
      </c>
      <c r="CQ388" s="15">
        <v>432.77</v>
      </c>
      <c r="CR388" s="15">
        <v>182.76</v>
      </c>
      <c r="CS388" s="15">
        <v>9.05</v>
      </c>
      <c r="CT388" s="15">
        <v>392.54</v>
      </c>
      <c r="CU388" s="15">
        <v>1466.6</v>
      </c>
      <c r="CV388" s="15">
        <v>6.34</v>
      </c>
      <c r="CW388" s="15">
        <v>835</v>
      </c>
    </row>
    <row r="389" spans="1:101">
      <c r="A389" s="6">
        <v>2012</v>
      </c>
      <c r="B389" s="6" t="s">
        <v>115</v>
      </c>
      <c r="C389" s="6">
        <v>0.18870454</v>
      </c>
      <c r="D389" s="6">
        <v>0.035437</v>
      </c>
      <c r="E389" s="6">
        <v>0.008575</v>
      </c>
      <c r="F389" s="6">
        <v>0.015924</v>
      </c>
      <c r="G389" s="6">
        <v>0.005148</v>
      </c>
      <c r="H389" s="6">
        <v>0.00579</v>
      </c>
      <c r="I389" s="6">
        <v>0.033951</v>
      </c>
      <c r="J389" s="6">
        <v>0.015497</v>
      </c>
      <c r="K389" s="6">
        <v>0.22639877</v>
      </c>
      <c r="L389" s="6">
        <v>0.16223403</v>
      </c>
      <c r="M389" s="6">
        <v>0.20183215</v>
      </c>
      <c r="N389" s="6">
        <v>0.12368655</v>
      </c>
      <c r="O389" s="6">
        <v>0.14195579</v>
      </c>
      <c r="P389" s="6">
        <v>0.28836815</v>
      </c>
      <c r="Q389" s="6">
        <v>0.20751005</v>
      </c>
      <c r="R389" s="6">
        <v>217.69486</v>
      </c>
      <c r="S389" s="6">
        <v>0.00103998</v>
      </c>
      <c r="T389" s="6">
        <v>169.97573</v>
      </c>
      <c r="U389" s="6">
        <v>0.00095445</v>
      </c>
      <c r="V389" s="6">
        <v>197.11803</v>
      </c>
      <c r="W389" s="6">
        <v>0.00102392</v>
      </c>
      <c r="X389" s="6">
        <v>134.47093</v>
      </c>
      <c r="Y389" s="6">
        <v>0.0009198</v>
      </c>
      <c r="Z389" s="6">
        <v>134.86767</v>
      </c>
      <c r="AA389" s="6">
        <v>0.00105256</v>
      </c>
      <c r="AB389" s="6">
        <v>294.9318</v>
      </c>
      <c r="AC389" s="6">
        <v>0.00097775</v>
      </c>
      <c r="AD389" s="6">
        <v>243.86163</v>
      </c>
      <c r="AE389" s="6">
        <v>0.00085093</v>
      </c>
      <c r="AF389" s="6">
        <v>775</v>
      </c>
      <c r="AG389" s="6">
        <v>-0.00714317</v>
      </c>
      <c r="AH389" s="6">
        <v>-0.00663763</v>
      </c>
      <c r="AI389" s="6">
        <v>-0.00704876</v>
      </c>
      <c r="AJ389" s="6">
        <v>-0.00643066</v>
      </c>
      <c r="AK389" s="6">
        <v>-0.00721689</v>
      </c>
      <c r="AL389" s="6">
        <v>-0.00677603</v>
      </c>
      <c r="AM389" s="6">
        <v>-0.0060154</v>
      </c>
      <c r="AN389" s="6">
        <v>-6.4762184</v>
      </c>
      <c r="AO389" s="6">
        <v>-6.4515561</v>
      </c>
      <c r="AP389" s="6">
        <v>-6.4739881</v>
      </c>
      <c r="AQ389" s="6">
        <v>-6.4253629</v>
      </c>
      <c r="AR389" s="6">
        <v>-6.4020076</v>
      </c>
      <c r="AS389" s="6">
        <v>-6.4618417</v>
      </c>
      <c r="AT389" s="6">
        <v>-6.4506396</v>
      </c>
      <c r="AU389" s="6">
        <v>0.97344833</v>
      </c>
      <c r="AV389" s="6">
        <v>0.96974131</v>
      </c>
      <c r="AW389" s="6">
        <v>0.97311308</v>
      </c>
      <c r="AX389" s="6">
        <v>0.96580418</v>
      </c>
      <c r="AY389" s="6">
        <v>0.96229362</v>
      </c>
      <c r="AZ389" s="6">
        <v>0.97128734</v>
      </c>
      <c r="BA389" s="6">
        <v>0.96960354</v>
      </c>
      <c r="BB389" s="6">
        <v>0.02655167</v>
      </c>
      <c r="BC389" s="6">
        <v>0.03025869</v>
      </c>
      <c r="BD389" s="6">
        <v>0.02688692</v>
      </c>
      <c r="BE389" s="6">
        <v>0.03419582</v>
      </c>
      <c r="BF389" s="6">
        <v>0.03770638</v>
      </c>
      <c r="BG389" s="6">
        <v>0.02871266</v>
      </c>
      <c r="BH389" s="6">
        <v>0.03039646</v>
      </c>
      <c r="BI389" s="6">
        <v>0.21470859</v>
      </c>
      <c r="BJ389" s="6">
        <v>0.12366373</v>
      </c>
      <c r="BK389" s="6">
        <v>0.1409291</v>
      </c>
      <c r="BL389" s="6">
        <v>0.12522516</v>
      </c>
      <c r="BM389" s="6">
        <v>0.1592662</v>
      </c>
      <c r="BN389" s="6">
        <v>0.17561655</v>
      </c>
      <c r="BO389" s="6">
        <v>0.1337285</v>
      </c>
      <c r="BP389" s="6">
        <v>0.14157076</v>
      </c>
      <c r="BQ389" s="6">
        <v>0.02799732</v>
      </c>
      <c r="BR389" s="6">
        <v>0.02286349</v>
      </c>
      <c r="BS389" s="6">
        <v>0.02527446</v>
      </c>
      <c r="BT389" s="6">
        <v>0.01969909</v>
      </c>
      <c r="BU389" s="6">
        <v>0.02492979</v>
      </c>
      <c r="BV389" s="6">
        <v>0.03856304</v>
      </c>
      <c r="BW389" s="6">
        <v>0.02937736</v>
      </c>
      <c r="BX389" s="12">
        <v>7148.3</v>
      </c>
      <c r="BY389" s="13">
        <v>4475</v>
      </c>
      <c r="BZ389" s="12">
        <v>12948.88</v>
      </c>
      <c r="CA389" s="6">
        <f t="shared" si="36"/>
        <v>1.59738547486034</v>
      </c>
      <c r="CB389" s="6">
        <f t="shared" si="37"/>
        <v>0.55204002199418</v>
      </c>
      <c r="CC389" s="7">
        <v>209299499.7</v>
      </c>
      <c r="CD389" s="7">
        <f t="shared" si="38"/>
        <v>1.61635214551374</v>
      </c>
      <c r="CE389" s="8">
        <v>3577.2</v>
      </c>
      <c r="CF389" s="8">
        <v>15042.6</v>
      </c>
      <c r="CG389" s="8">
        <v>10342.2</v>
      </c>
      <c r="CH389" s="8">
        <v>30497</v>
      </c>
      <c r="CI389" s="14">
        <v>0</v>
      </c>
      <c r="CJ389" s="14">
        <v>1</v>
      </c>
      <c r="CK389" s="14">
        <f t="shared" si="39"/>
        <v>0</v>
      </c>
      <c r="CL389">
        <f t="shared" si="40"/>
        <v>2.01609935715007</v>
      </c>
      <c r="CM389">
        <f t="shared" si="41"/>
        <v>0.19827753538963</v>
      </c>
      <c r="CN389" s="15">
        <v>7232.92</v>
      </c>
      <c r="CO389" s="15">
        <v>6802</v>
      </c>
      <c r="CP389" s="15">
        <v>878.66</v>
      </c>
      <c r="CQ389" s="15">
        <v>508.22</v>
      </c>
      <c r="CR389" s="15">
        <v>198.42</v>
      </c>
      <c r="CS389" s="15">
        <v>9.51</v>
      </c>
      <c r="CT389" s="15">
        <v>416.65</v>
      </c>
      <c r="CU389" s="15">
        <v>29.85</v>
      </c>
      <c r="CV389" s="15">
        <v>10.04</v>
      </c>
      <c r="CW389" s="15">
        <v>867.67</v>
      </c>
    </row>
    <row r="390" spans="1:101">
      <c r="A390" s="6">
        <v>2013</v>
      </c>
      <c r="B390" s="6" t="s">
        <v>115</v>
      </c>
      <c r="C390" s="6">
        <v>0.19995401</v>
      </c>
      <c r="D390" s="6">
        <v>0.036391</v>
      </c>
      <c r="E390" s="6">
        <v>0.009113</v>
      </c>
      <c r="F390" s="6">
        <v>0.016894</v>
      </c>
      <c r="G390" s="6">
        <v>0.005308</v>
      </c>
      <c r="H390" s="6">
        <v>0.005076</v>
      </c>
      <c r="I390" s="6">
        <v>0.03762</v>
      </c>
      <c r="J390" s="6">
        <v>0.017175</v>
      </c>
      <c r="K390" s="6">
        <v>0.23388807</v>
      </c>
      <c r="L390" s="6">
        <v>0.17496015</v>
      </c>
      <c r="M390" s="6">
        <v>0.21673104</v>
      </c>
      <c r="N390" s="6">
        <v>0.12842479</v>
      </c>
      <c r="O390" s="6">
        <v>0.1203436</v>
      </c>
      <c r="P390" s="6">
        <v>0.32923356</v>
      </c>
      <c r="Q390" s="6">
        <v>0.23746017</v>
      </c>
      <c r="R390" s="6">
        <v>217.69486</v>
      </c>
      <c r="S390" s="6">
        <v>0.00107438</v>
      </c>
      <c r="T390" s="6">
        <v>169.97573</v>
      </c>
      <c r="U390" s="6">
        <v>0.00102932</v>
      </c>
      <c r="V390" s="6">
        <v>197.11803</v>
      </c>
      <c r="W390" s="6">
        <v>0.0010995</v>
      </c>
      <c r="X390" s="6">
        <v>134.47093</v>
      </c>
      <c r="Y390" s="6">
        <v>0.00095504</v>
      </c>
      <c r="Z390" s="6">
        <v>134.86767</v>
      </c>
      <c r="AA390" s="6">
        <v>0.00089231</v>
      </c>
      <c r="AB390" s="6">
        <v>294.9318</v>
      </c>
      <c r="AC390" s="6">
        <v>0.0011163</v>
      </c>
      <c r="AD390" s="6">
        <v>243.86163</v>
      </c>
      <c r="AE390" s="6">
        <v>0.00097375</v>
      </c>
      <c r="AF390" s="6">
        <v>775</v>
      </c>
      <c r="AG390" s="6">
        <v>-0.0073445</v>
      </c>
      <c r="AH390" s="6">
        <v>-0.00708057</v>
      </c>
      <c r="AI390" s="6">
        <v>-0.00749078</v>
      </c>
      <c r="AJ390" s="6">
        <v>-0.0066411</v>
      </c>
      <c r="AK390" s="6">
        <v>-0.00626552</v>
      </c>
      <c r="AL390" s="6">
        <v>-0.00758834</v>
      </c>
      <c r="AM390" s="6">
        <v>-0.00675233</v>
      </c>
      <c r="AN390" s="6">
        <v>-6.4762184</v>
      </c>
      <c r="AO390" s="6">
        <v>-6.4515561</v>
      </c>
      <c r="AP390" s="6">
        <v>-6.4739881</v>
      </c>
      <c r="AQ390" s="6">
        <v>-6.4253629</v>
      </c>
      <c r="AR390" s="6">
        <v>-6.4020076</v>
      </c>
      <c r="AS390" s="6">
        <v>-6.4618417</v>
      </c>
      <c r="AT390" s="6">
        <v>-6.4506396</v>
      </c>
      <c r="AU390" s="6">
        <v>0.97344833</v>
      </c>
      <c r="AV390" s="6">
        <v>0.96974131</v>
      </c>
      <c r="AW390" s="6">
        <v>0.97311308</v>
      </c>
      <c r="AX390" s="6">
        <v>0.96580418</v>
      </c>
      <c r="AY390" s="6">
        <v>0.96229362</v>
      </c>
      <c r="AZ390" s="6">
        <v>0.97128734</v>
      </c>
      <c r="BA390" s="6">
        <v>0.96960354</v>
      </c>
      <c r="BB390" s="6">
        <v>0.02655167</v>
      </c>
      <c r="BC390" s="6">
        <v>0.03025869</v>
      </c>
      <c r="BD390" s="6">
        <v>0.02688692</v>
      </c>
      <c r="BE390" s="6">
        <v>0.03419582</v>
      </c>
      <c r="BF390" s="6">
        <v>0.03770638</v>
      </c>
      <c r="BG390" s="6">
        <v>0.02871266</v>
      </c>
      <c r="BH390" s="6">
        <v>0.03039646</v>
      </c>
      <c r="BI390" s="6">
        <v>0.21470859</v>
      </c>
      <c r="BJ390" s="6">
        <v>0.12366373</v>
      </c>
      <c r="BK390" s="6">
        <v>0.1409291</v>
      </c>
      <c r="BL390" s="6">
        <v>0.12522516</v>
      </c>
      <c r="BM390" s="6">
        <v>0.1592662</v>
      </c>
      <c r="BN390" s="6">
        <v>0.17561655</v>
      </c>
      <c r="BO390" s="6">
        <v>0.1337285</v>
      </c>
      <c r="BP390" s="6">
        <v>0.14157076</v>
      </c>
      <c r="BQ390" s="6">
        <v>0.02892347</v>
      </c>
      <c r="BR390" s="6">
        <v>0.02465698</v>
      </c>
      <c r="BS390" s="6">
        <v>0.02714018</v>
      </c>
      <c r="BT390" s="6">
        <v>0.02045373</v>
      </c>
      <c r="BU390" s="6">
        <v>0.02113433</v>
      </c>
      <c r="BV390" s="6">
        <v>0.04402791</v>
      </c>
      <c r="BW390" s="6">
        <v>0.03361742</v>
      </c>
      <c r="BX390" s="12">
        <v>7582.9</v>
      </c>
      <c r="BY390" s="13">
        <v>4476</v>
      </c>
      <c r="BZ390" s="12">
        <v>14410.19</v>
      </c>
      <c r="CA390" s="6">
        <f t="shared" si="36"/>
        <v>1.69412421805183</v>
      </c>
      <c r="CB390" s="6">
        <f t="shared" si="37"/>
        <v>0.526217905523799</v>
      </c>
      <c r="CC390" s="7">
        <v>213480851.9</v>
      </c>
      <c r="CD390" s="7">
        <f t="shared" si="38"/>
        <v>1.4814575789771</v>
      </c>
      <c r="CE390" s="8">
        <v>3827.2</v>
      </c>
      <c r="CF390" s="8">
        <v>15995.4</v>
      </c>
      <c r="CG390" s="8">
        <v>11809.9</v>
      </c>
      <c r="CH390" s="8">
        <v>33114</v>
      </c>
      <c r="CI390" s="14">
        <v>0</v>
      </c>
      <c r="CJ390" s="14">
        <v>1</v>
      </c>
      <c r="CK390" s="14">
        <f t="shared" si="39"/>
        <v>0</v>
      </c>
      <c r="CL390">
        <f t="shared" si="40"/>
        <v>1.91398219724656</v>
      </c>
      <c r="CM390">
        <f t="shared" si="41"/>
        <v>0.225981526312881</v>
      </c>
      <c r="CN390" s="15">
        <v>7583</v>
      </c>
      <c r="CO390" s="15">
        <v>7254.69</v>
      </c>
      <c r="CP390" s="15">
        <v>854.93</v>
      </c>
      <c r="CQ390" s="15">
        <v>520.28</v>
      </c>
      <c r="CR390" s="15">
        <v>236.92</v>
      </c>
      <c r="CS390" s="15">
        <v>1.7</v>
      </c>
      <c r="CT390" s="15">
        <v>526.48</v>
      </c>
      <c r="CU390" s="15">
        <v>31.47</v>
      </c>
      <c r="CV390" s="15">
        <v>13.43</v>
      </c>
      <c r="CW390" s="15">
        <v>947.11</v>
      </c>
    </row>
    <row r="391" spans="1:101">
      <c r="A391" s="6">
        <v>2014</v>
      </c>
      <c r="B391" s="6" t="s">
        <v>115</v>
      </c>
      <c r="C391" s="6">
        <v>0.1868659</v>
      </c>
      <c r="D391" s="6">
        <v>0.033275</v>
      </c>
      <c r="E391" s="6">
        <v>0.008075</v>
      </c>
      <c r="F391" s="6">
        <v>0.015236</v>
      </c>
      <c r="G391" s="6">
        <v>0.004892</v>
      </c>
      <c r="H391" s="6">
        <v>0.005072</v>
      </c>
      <c r="I391" s="6">
        <v>0.034815</v>
      </c>
      <c r="J391" s="6">
        <v>0.018262</v>
      </c>
      <c r="K391" s="6">
        <v>0.20944557</v>
      </c>
      <c r="L391" s="6">
        <v>0.15041195</v>
      </c>
      <c r="M391" s="6">
        <v>0.19126139</v>
      </c>
      <c r="N391" s="6">
        <v>0.11611819</v>
      </c>
      <c r="O391" s="6">
        <v>0.12021411</v>
      </c>
      <c r="P391" s="6">
        <v>0.29799316</v>
      </c>
      <c r="Q391" s="6">
        <v>0.25684296</v>
      </c>
      <c r="R391" s="6">
        <v>217.69486</v>
      </c>
      <c r="S391" s="6">
        <v>0.00096211</v>
      </c>
      <c r="T391" s="6">
        <v>169.97573</v>
      </c>
      <c r="U391" s="6">
        <v>0.0008849</v>
      </c>
      <c r="V391" s="6">
        <v>197.11803</v>
      </c>
      <c r="W391" s="6">
        <v>0.00097029</v>
      </c>
      <c r="X391" s="6">
        <v>134.47093</v>
      </c>
      <c r="Y391" s="6">
        <v>0.00086352</v>
      </c>
      <c r="Z391" s="6">
        <v>134.86767</v>
      </c>
      <c r="AA391" s="6">
        <v>0.00089135</v>
      </c>
      <c r="AB391" s="6">
        <v>294.9318</v>
      </c>
      <c r="AC391" s="6">
        <v>0.00101038</v>
      </c>
      <c r="AD391" s="6">
        <v>243.86163</v>
      </c>
      <c r="AE391" s="6">
        <v>0.00105323</v>
      </c>
      <c r="AF391" s="6">
        <v>775</v>
      </c>
      <c r="AG391" s="6">
        <v>-0.00668316</v>
      </c>
      <c r="AH391" s="6">
        <v>-0.00622089</v>
      </c>
      <c r="AI391" s="6">
        <v>-0.00673178</v>
      </c>
      <c r="AJ391" s="6">
        <v>-0.00609169</v>
      </c>
      <c r="AK391" s="6">
        <v>-0.00625974</v>
      </c>
      <c r="AL391" s="6">
        <v>-0.00696902</v>
      </c>
      <c r="AM391" s="6">
        <v>-0.00722085</v>
      </c>
      <c r="AN391" s="6">
        <v>-6.4762184</v>
      </c>
      <c r="AO391" s="6">
        <v>-6.4515561</v>
      </c>
      <c r="AP391" s="6">
        <v>-6.4739881</v>
      </c>
      <c r="AQ391" s="6">
        <v>-6.4253629</v>
      </c>
      <c r="AR391" s="6">
        <v>-6.4020076</v>
      </c>
      <c r="AS391" s="6">
        <v>-6.4618417</v>
      </c>
      <c r="AT391" s="6">
        <v>-6.4506396</v>
      </c>
      <c r="AU391" s="6">
        <v>0.97344833</v>
      </c>
      <c r="AV391" s="6">
        <v>0.96974131</v>
      </c>
      <c r="AW391" s="6">
        <v>0.97311308</v>
      </c>
      <c r="AX391" s="6">
        <v>0.96580418</v>
      </c>
      <c r="AY391" s="6">
        <v>0.96229362</v>
      </c>
      <c r="AZ391" s="6">
        <v>0.97128734</v>
      </c>
      <c r="BA391" s="6">
        <v>0.96960354</v>
      </c>
      <c r="BB391" s="6">
        <v>0.02655167</v>
      </c>
      <c r="BC391" s="6">
        <v>0.03025869</v>
      </c>
      <c r="BD391" s="6">
        <v>0.02688692</v>
      </c>
      <c r="BE391" s="6">
        <v>0.03419582</v>
      </c>
      <c r="BF391" s="6">
        <v>0.03770638</v>
      </c>
      <c r="BG391" s="6">
        <v>0.02871266</v>
      </c>
      <c r="BH391" s="6">
        <v>0.03039646</v>
      </c>
      <c r="BI391" s="6">
        <v>0.21470859</v>
      </c>
      <c r="BJ391" s="6">
        <v>0.12366373</v>
      </c>
      <c r="BK391" s="6">
        <v>0.1409291</v>
      </c>
      <c r="BL391" s="6">
        <v>0.12522516</v>
      </c>
      <c r="BM391" s="6">
        <v>0.1592662</v>
      </c>
      <c r="BN391" s="6">
        <v>0.17561655</v>
      </c>
      <c r="BO391" s="6">
        <v>0.1337285</v>
      </c>
      <c r="BP391" s="6">
        <v>0.14157076</v>
      </c>
      <c r="BQ391" s="6">
        <v>0.02590082</v>
      </c>
      <c r="BR391" s="6">
        <v>0.02119742</v>
      </c>
      <c r="BS391" s="6">
        <v>0.02395074</v>
      </c>
      <c r="BT391" s="6">
        <v>0.0184937</v>
      </c>
      <c r="BU391" s="6">
        <v>0.02111159</v>
      </c>
      <c r="BV391" s="6">
        <v>0.03985018</v>
      </c>
      <c r="BW391" s="6">
        <v>0.03636145</v>
      </c>
      <c r="BX391" s="12">
        <v>8055.4</v>
      </c>
      <c r="BY391" s="13">
        <v>4480</v>
      </c>
      <c r="BZ391" s="12">
        <v>15714.63</v>
      </c>
      <c r="CA391" s="6">
        <f t="shared" si="36"/>
        <v>1.79808035714286</v>
      </c>
      <c r="CB391" s="6">
        <f t="shared" si="37"/>
        <v>0.512605132923906</v>
      </c>
      <c r="CC391" s="7">
        <v>211619004.8</v>
      </c>
      <c r="CD391" s="7">
        <f t="shared" si="38"/>
        <v>1.34663689059176</v>
      </c>
      <c r="CE391" s="8">
        <v>3988.2</v>
      </c>
      <c r="CF391" s="8">
        <v>17139.6</v>
      </c>
      <c r="CG391" s="8">
        <v>13446.9</v>
      </c>
      <c r="CH391" s="8">
        <v>35982</v>
      </c>
      <c r="CI391" s="14">
        <v>0</v>
      </c>
      <c r="CJ391" s="14">
        <v>1</v>
      </c>
      <c r="CK391" s="14">
        <f t="shared" si="39"/>
        <v>0</v>
      </c>
      <c r="CL391">
        <f t="shared" si="40"/>
        <v>1.79640226266579</v>
      </c>
      <c r="CM391">
        <f t="shared" si="41"/>
        <v>0.250370076581062</v>
      </c>
      <c r="CN391" s="15">
        <v>8055.36</v>
      </c>
      <c r="CO391" s="15">
        <v>7477.31</v>
      </c>
      <c r="CP391" s="15">
        <v>871.13</v>
      </c>
      <c r="CQ391" s="15">
        <v>472.24</v>
      </c>
      <c r="CR391" s="15">
        <v>251.8</v>
      </c>
      <c r="CS391" s="15">
        <v>2.13</v>
      </c>
      <c r="CT391" s="15">
        <v>526.52</v>
      </c>
      <c r="CU391" s="15">
        <v>15.8</v>
      </c>
      <c r="CV391" s="15">
        <v>15.19</v>
      </c>
      <c r="CW391" s="15">
        <v>1018.52</v>
      </c>
    </row>
    <row r="392" spans="1:101">
      <c r="A392" s="6">
        <v>2015</v>
      </c>
      <c r="B392" s="6" t="s">
        <v>115</v>
      </c>
      <c r="C392" s="6">
        <v>0.19185102</v>
      </c>
      <c r="D392" s="6">
        <v>0.034879</v>
      </c>
      <c r="E392" s="6">
        <v>0.008866</v>
      </c>
      <c r="F392" s="6">
        <v>0.015333</v>
      </c>
      <c r="G392" s="6">
        <v>0.004974</v>
      </c>
      <c r="H392" s="6">
        <v>0.005707</v>
      </c>
      <c r="I392" s="6">
        <v>0.035472</v>
      </c>
      <c r="J392" s="6">
        <v>0.016626</v>
      </c>
      <c r="K392" s="6">
        <v>0.22202547</v>
      </c>
      <c r="L392" s="6">
        <v>0.16910943</v>
      </c>
      <c r="M392" s="6">
        <v>0.19274572</v>
      </c>
      <c r="N392" s="6">
        <v>0.11853889</v>
      </c>
      <c r="O392" s="6">
        <v>0.13944073</v>
      </c>
      <c r="P392" s="6">
        <v>0.30530584</v>
      </c>
      <c r="Q392" s="6">
        <v>0.22766029</v>
      </c>
      <c r="R392" s="6">
        <v>217.69486</v>
      </c>
      <c r="S392" s="6">
        <v>0.00101989</v>
      </c>
      <c r="T392" s="6">
        <v>169.97573</v>
      </c>
      <c r="U392" s="6">
        <v>0.0009949</v>
      </c>
      <c r="V392" s="6">
        <v>197.11803</v>
      </c>
      <c r="W392" s="6">
        <v>0.00097782</v>
      </c>
      <c r="X392" s="6">
        <v>134.47093</v>
      </c>
      <c r="Y392" s="6">
        <v>0.00088152</v>
      </c>
      <c r="Z392" s="6">
        <v>134.86767</v>
      </c>
      <c r="AA392" s="6">
        <v>0.00103391</v>
      </c>
      <c r="AB392" s="6">
        <v>294.9318</v>
      </c>
      <c r="AC392" s="6">
        <v>0.00103517</v>
      </c>
      <c r="AD392" s="6">
        <v>243.86163</v>
      </c>
      <c r="AE392" s="6">
        <v>0.00093356</v>
      </c>
      <c r="AF392" s="6">
        <v>775</v>
      </c>
      <c r="AG392" s="6">
        <v>-0.00702508</v>
      </c>
      <c r="AH392" s="6">
        <v>-0.00687763</v>
      </c>
      <c r="AI392" s="6">
        <v>-0.00677647</v>
      </c>
      <c r="AJ392" s="6">
        <v>-0.00620049</v>
      </c>
      <c r="AK392" s="6">
        <v>-0.00710751</v>
      </c>
      <c r="AL392" s="6">
        <v>-0.00711495</v>
      </c>
      <c r="AM392" s="6">
        <v>-0.00651301</v>
      </c>
      <c r="AN392" s="6">
        <v>-6.4762184</v>
      </c>
      <c r="AO392" s="6">
        <v>-6.4515561</v>
      </c>
      <c r="AP392" s="6">
        <v>-6.4739881</v>
      </c>
      <c r="AQ392" s="6">
        <v>-6.4253629</v>
      </c>
      <c r="AR392" s="6">
        <v>-6.4020076</v>
      </c>
      <c r="AS392" s="6">
        <v>-6.4618417</v>
      </c>
      <c r="AT392" s="6">
        <v>-6.4506396</v>
      </c>
      <c r="AU392" s="6">
        <v>0.97344833</v>
      </c>
      <c r="AV392" s="6">
        <v>0.96974131</v>
      </c>
      <c r="AW392" s="6">
        <v>0.97311308</v>
      </c>
      <c r="AX392" s="6">
        <v>0.96580418</v>
      </c>
      <c r="AY392" s="6">
        <v>0.96229362</v>
      </c>
      <c r="AZ392" s="6">
        <v>0.97128734</v>
      </c>
      <c r="BA392" s="6">
        <v>0.96960354</v>
      </c>
      <c r="BB392" s="6">
        <v>0.02655167</v>
      </c>
      <c r="BC392" s="6">
        <v>0.03025869</v>
      </c>
      <c r="BD392" s="6">
        <v>0.02688692</v>
      </c>
      <c r="BE392" s="6">
        <v>0.03419582</v>
      </c>
      <c r="BF392" s="6">
        <v>0.03770638</v>
      </c>
      <c r="BG392" s="6">
        <v>0.02871266</v>
      </c>
      <c r="BH392" s="6">
        <v>0.03039646</v>
      </c>
      <c r="BI392" s="6">
        <v>0.21470859</v>
      </c>
      <c r="BJ392" s="6">
        <v>0.12366373</v>
      </c>
      <c r="BK392" s="6">
        <v>0.1409291</v>
      </c>
      <c r="BL392" s="6">
        <v>0.12522516</v>
      </c>
      <c r="BM392" s="6">
        <v>0.1592662</v>
      </c>
      <c r="BN392" s="6">
        <v>0.17561655</v>
      </c>
      <c r="BO392" s="6">
        <v>0.1337285</v>
      </c>
      <c r="BP392" s="6">
        <v>0.14157076</v>
      </c>
      <c r="BQ392" s="6">
        <v>0.0274565</v>
      </c>
      <c r="BR392" s="6">
        <v>0.02383244</v>
      </c>
      <c r="BS392" s="6">
        <v>0.02413661</v>
      </c>
      <c r="BT392" s="6">
        <v>0.01887924</v>
      </c>
      <c r="BU392" s="6">
        <v>0.0244881</v>
      </c>
      <c r="BV392" s="6">
        <v>0.04082809</v>
      </c>
      <c r="BW392" s="6">
        <v>0.03223004</v>
      </c>
      <c r="BX392" s="12">
        <v>8423.44</v>
      </c>
      <c r="BY392" s="13">
        <v>4485</v>
      </c>
      <c r="BZ392" s="12">
        <v>16723.78</v>
      </c>
      <c r="CA392" s="6">
        <f t="shared" si="36"/>
        <v>1.87813600891862</v>
      </c>
      <c r="CB392" s="6">
        <f t="shared" si="37"/>
        <v>0.503680388046243</v>
      </c>
      <c r="CC392" s="7">
        <v>212081930.5</v>
      </c>
      <c r="CD392" s="7">
        <f t="shared" si="38"/>
        <v>1.26814590062773</v>
      </c>
      <c r="CE392" s="8">
        <v>4015.6</v>
      </c>
      <c r="CF392" s="8">
        <v>17947.9</v>
      </c>
      <c r="CG392" s="8">
        <v>15120.7</v>
      </c>
      <c r="CH392" s="8">
        <v>38338</v>
      </c>
      <c r="CI392" s="14">
        <v>0</v>
      </c>
      <c r="CJ392" s="14">
        <v>1</v>
      </c>
      <c r="CK392" s="14">
        <f t="shared" si="39"/>
        <v>0</v>
      </c>
      <c r="CL392">
        <f t="shared" si="40"/>
        <v>1.71577514742415</v>
      </c>
      <c r="CM392">
        <f t="shared" si="41"/>
        <v>0.260890389669317</v>
      </c>
      <c r="CN392" s="15">
        <v>8423</v>
      </c>
      <c r="CO392" s="15">
        <v>7658.74</v>
      </c>
      <c r="CP392" s="15">
        <v>891.7</v>
      </c>
      <c r="CQ392" s="15">
        <v>555.96</v>
      </c>
      <c r="CR392" s="15">
        <v>284</v>
      </c>
      <c r="CS392" s="15">
        <v>10.12</v>
      </c>
      <c r="CT392" s="15">
        <v>537.51</v>
      </c>
      <c r="CU392" s="15">
        <v>17.59</v>
      </c>
      <c r="CV392" s="15">
        <v>18.02</v>
      </c>
      <c r="CW392" s="15">
        <v>1087</v>
      </c>
    </row>
    <row r="393" spans="1:101">
      <c r="A393" s="6">
        <v>2016</v>
      </c>
      <c r="B393" s="6" t="s">
        <v>115</v>
      </c>
      <c r="C393" s="6">
        <v>0.20884685</v>
      </c>
      <c r="D393" s="6">
        <v>0.03869</v>
      </c>
      <c r="E393" s="6">
        <v>0.009936</v>
      </c>
      <c r="F393" s="6">
        <v>0.017998</v>
      </c>
      <c r="G393" s="6">
        <v>0.005436</v>
      </c>
      <c r="H393" s="6">
        <v>0.00532</v>
      </c>
      <c r="I393" s="6">
        <v>0.035591</v>
      </c>
      <c r="J393" s="6">
        <v>0.018332</v>
      </c>
      <c r="K393" s="6">
        <v>0.25191663</v>
      </c>
      <c r="L393" s="6">
        <v>0.19440675</v>
      </c>
      <c r="M393" s="6">
        <v>0.23371017</v>
      </c>
      <c r="N393" s="6">
        <v>0.13219992</v>
      </c>
      <c r="O393" s="6">
        <v>0.12772019</v>
      </c>
      <c r="P393" s="6">
        <v>0.30664003</v>
      </c>
      <c r="Q393" s="6">
        <v>0.25809473</v>
      </c>
      <c r="R393" s="6">
        <v>217.69486</v>
      </c>
      <c r="S393" s="6">
        <v>0.0011572</v>
      </c>
      <c r="T393" s="6">
        <v>169.97573</v>
      </c>
      <c r="U393" s="6">
        <v>0.00114373</v>
      </c>
      <c r="V393" s="6">
        <v>197.11803</v>
      </c>
      <c r="W393" s="6">
        <v>0.00118564</v>
      </c>
      <c r="X393" s="6">
        <v>134.47093</v>
      </c>
      <c r="Y393" s="6">
        <v>0.00098311</v>
      </c>
      <c r="Z393" s="6">
        <v>134.86767</v>
      </c>
      <c r="AA393" s="6">
        <v>0.000947</v>
      </c>
      <c r="AB393" s="6">
        <v>294.9318</v>
      </c>
      <c r="AC393" s="6">
        <v>0.0010397</v>
      </c>
      <c r="AD393" s="6">
        <v>243.86163</v>
      </c>
      <c r="AE393" s="6">
        <v>0.00105837</v>
      </c>
      <c r="AF393" s="6">
        <v>775</v>
      </c>
      <c r="AG393" s="6">
        <v>-0.0078247</v>
      </c>
      <c r="AH393" s="6">
        <v>-0.00774702</v>
      </c>
      <c r="AI393" s="6">
        <v>-0.00798819</v>
      </c>
      <c r="AJ393" s="6">
        <v>-0.00680784</v>
      </c>
      <c r="AK393" s="6">
        <v>-0.00659324</v>
      </c>
      <c r="AL393" s="6">
        <v>-0.0071415</v>
      </c>
      <c r="AM393" s="6">
        <v>-0.00725089</v>
      </c>
      <c r="AN393" s="6">
        <v>-6.4762184</v>
      </c>
      <c r="AO393" s="6">
        <v>-6.4515561</v>
      </c>
      <c r="AP393" s="6">
        <v>-6.4739881</v>
      </c>
      <c r="AQ393" s="6">
        <v>-6.4253629</v>
      </c>
      <c r="AR393" s="6">
        <v>-6.4020076</v>
      </c>
      <c r="AS393" s="6">
        <v>-6.4618417</v>
      </c>
      <c r="AT393" s="6">
        <v>-6.4506396</v>
      </c>
      <c r="AU393" s="6">
        <v>0.97344833</v>
      </c>
      <c r="AV393" s="6">
        <v>0.96974131</v>
      </c>
      <c r="AW393" s="6">
        <v>0.97311308</v>
      </c>
      <c r="AX393" s="6">
        <v>0.96580418</v>
      </c>
      <c r="AY393" s="6">
        <v>0.96229362</v>
      </c>
      <c r="AZ393" s="6">
        <v>0.97128734</v>
      </c>
      <c r="BA393" s="6">
        <v>0.96960354</v>
      </c>
      <c r="BB393" s="6">
        <v>0.02655167</v>
      </c>
      <c r="BC393" s="6">
        <v>0.03025869</v>
      </c>
      <c r="BD393" s="6">
        <v>0.02688692</v>
      </c>
      <c r="BE393" s="6">
        <v>0.03419582</v>
      </c>
      <c r="BF393" s="6">
        <v>0.03770638</v>
      </c>
      <c r="BG393" s="6">
        <v>0.02871266</v>
      </c>
      <c r="BH393" s="6">
        <v>0.03039646</v>
      </c>
      <c r="BI393" s="6">
        <v>0.21470859</v>
      </c>
      <c r="BJ393" s="6">
        <v>0.12366373</v>
      </c>
      <c r="BK393" s="6">
        <v>0.1409291</v>
      </c>
      <c r="BL393" s="6">
        <v>0.12522516</v>
      </c>
      <c r="BM393" s="6">
        <v>0.1592662</v>
      </c>
      <c r="BN393" s="6">
        <v>0.17561655</v>
      </c>
      <c r="BO393" s="6">
        <v>0.1337285</v>
      </c>
      <c r="BP393" s="6">
        <v>0.14157076</v>
      </c>
      <c r="BQ393" s="6">
        <v>0.03115295</v>
      </c>
      <c r="BR393" s="6">
        <v>0.02739757</v>
      </c>
      <c r="BS393" s="6">
        <v>0.02926639</v>
      </c>
      <c r="BT393" s="6">
        <v>0.02105498</v>
      </c>
      <c r="BU393" s="6">
        <v>0.02242978</v>
      </c>
      <c r="BV393" s="6">
        <v>0.04100651</v>
      </c>
      <c r="BW393" s="6">
        <v>0.03653867</v>
      </c>
      <c r="BX393" s="12">
        <v>8730.06</v>
      </c>
      <c r="BY393" s="13">
        <v>4496</v>
      </c>
      <c r="BZ393" s="12">
        <v>18499</v>
      </c>
      <c r="CA393" s="6">
        <f t="shared" si="36"/>
        <v>1.94173932384342</v>
      </c>
      <c r="CB393" s="6">
        <f t="shared" si="37"/>
        <v>0.471920644359155</v>
      </c>
      <c r="CC393" s="7">
        <v>214791718.2</v>
      </c>
      <c r="CD393" s="7">
        <f t="shared" si="38"/>
        <v>1.16109907670685</v>
      </c>
      <c r="CE393" s="8">
        <v>4063.6</v>
      </c>
      <c r="CF393" s="8">
        <v>18986.9</v>
      </c>
      <c r="CG393" s="8">
        <v>17198.8</v>
      </c>
      <c r="CH393" s="8">
        <v>41326</v>
      </c>
      <c r="CI393" s="14">
        <v>0</v>
      </c>
      <c r="CJ393" s="14">
        <v>1</v>
      </c>
      <c r="CK393" s="14">
        <f t="shared" si="39"/>
        <v>0</v>
      </c>
      <c r="CL393">
        <f t="shared" si="40"/>
        <v>1.62438398605541</v>
      </c>
      <c r="CM393">
        <f t="shared" si="41"/>
        <v>0.285206523411734</v>
      </c>
      <c r="CN393" s="15">
        <v>8730</v>
      </c>
      <c r="CO393" s="15">
        <v>7533.19</v>
      </c>
      <c r="CP393" s="15">
        <v>839.82</v>
      </c>
      <c r="CQ393" s="15">
        <v>725.75</v>
      </c>
      <c r="CR393" s="15">
        <v>313.63</v>
      </c>
      <c r="CS393" s="15">
        <v>12.48</v>
      </c>
      <c r="CT393" s="15">
        <v>546.71</v>
      </c>
      <c r="CU393" s="15">
        <v>15.05</v>
      </c>
      <c r="CV393" s="15">
        <v>20.04</v>
      </c>
      <c r="CW393" s="15">
        <v>1182.5</v>
      </c>
    </row>
    <row r="394" spans="1:101">
      <c r="A394" s="6">
        <v>2017</v>
      </c>
      <c r="B394" s="6" t="s">
        <v>115</v>
      </c>
      <c r="C394" s="6">
        <v>0.19860049</v>
      </c>
      <c r="D394" s="6">
        <v>0.037873</v>
      </c>
      <c r="E394" s="6">
        <v>0.00997</v>
      </c>
      <c r="F394" s="6">
        <v>0.016861</v>
      </c>
      <c r="G394" s="6">
        <v>0.005993</v>
      </c>
      <c r="H394" s="6">
        <v>0.005048</v>
      </c>
      <c r="I394" s="6">
        <v>0.034956</v>
      </c>
      <c r="J394" s="6">
        <v>0.015319</v>
      </c>
      <c r="K394" s="6">
        <v>0.24550641</v>
      </c>
      <c r="L394" s="6">
        <v>0.19522826</v>
      </c>
      <c r="M394" s="6">
        <v>0.21623365</v>
      </c>
      <c r="N394" s="6">
        <v>0.14865772</v>
      </c>
      <c r="O394" s="6">
        <v>0.11948817</v>
      </c>
      <c r="P394" s="6">
        <v>0.29956817</v>
      </c>
      <c r="Q394" s="6">
        <v>0.20433572</v>
      </c>
      <c r="R394" s="6">
        <v>217.69486</v>
      </c>
      <c r="S394" s="6">
        <v>0.00112775</v>
      </c>
      <c r="T394" s="6">
        <v>169.97573</v>
      </c>
      <c r="U394" s="6">
        <v>0.00114857</v>
      </c>
      <c r="V394" s="6">
        <v>197.11803</v>
      </c>
      <c r="W394" s="6">
        <v>0.00109698</v>
      </c>
      <c r="X394" s="6">
        <v>134.47093</v>
      </c>
      <c r="Y394" s="6">
        <v>0.0011055</v>
      </c>
      <c r="Z394" s="6">
        <v>134.86767</v>
      </c>
      <c r="AA394" s="6">
        <v>0.00088597</v>
      </c>
      <c r="AB394" s="6">
        <v>294.9318</v>
      </c>
      <c r="AC394" s="6">
        <v>0.00101572</v>
      </c>
      <c r="AD394" s="6">
        <v>243.86163</v>
      </c>
      <c r="AE394" s="6">
        <v>0.00083792</v>
      </c>
      <c r="AF394" s="6">
        <v>775</v>
      </c>
      <c r="AG394" s="6">
        <v>-0.00765467</v>
      </c>
      <c r="AH394" s="6">
        <v>-0.00777492</v>
      </c>
      <c r="AI394" s="6">
        <v>-0.00747611</v>
      </c>
      <c r="AJ394" s="6">
        <v>-0.00752565</v>
      </c>
      <c r="AK394" s="6">
        <v>-0.00622731</v>
      </c>
      <c r="AL394" s="6">
        <v>-0.0070005</v>
      </c>
      <c r="AM394" s="6">
        <v>-0.0059363</v>
      </c>
      <c r="AN394" s="6">
        <v>-6.4762184</v>
      </c>
      <c r="AO394" s="6">
        <v>-6.4515561</v>
      </c>
      <c r="AP394" s="6">
        <v>-6.4739881</v>
      </c>
      <c r="AQ394" s="6">
        <v>-6.4253629</v>
      </c>
      <c r="AR394" s="6">
        <v>-6.4020076</v>
      </c>
      <c r="AS394" s="6">
        <v>-6.4618417</v>
      </c>
      <c r="AT394" s="6">
        <v>-6.4506396</v>
      </c>
      <c r="AU394" s="6">
        <v>0.97344833</v>
      </c>
      <c r="AV394" s="6">
        <v>0.96974131</v>
      </c>
      <c r="AW394" s="6">
        <v>0.97311308</v>
      </c>
      <c r="AX394" s="6">
        <v>0.96580418</v>
      </c>
      <c r="AY394" s="6">
        <v>0.96229362</v>
      </c>
      <c r="AZ394" s="6">
        <v>0.97128734</v>
      </c>
      <c r="BA394" s="6">
        <v>0.96960354</v>
      </c>
      <c r="BB394" s="6">
        <v>0.02655167</v>
      </c>
      <c r="BC394" s="6">
        <v>0.03025869</v>
      </c>
      <c r="BD394" s="6">
        <v>0.02688692</v>
      </c>
      <c r="BE394" s="6">
        <v>0.03419582</v>
      </c>
      <c r="BF394" s="6">
        <v>0.03770638</v>
      </c>
      <c r="BG394" s="6">
        <v>0.02871266</v>
      </c>
      <c r="BH394" s="6">
        <v>0.03039646</v>
      </c>
      <c r="BI394" s="6">
        <v>0.21470859</v>
      </c>
      <c r="BJ394" s="6">
        <v>0.12366373</v>
      </c>
      <c r="BK394" s="6">
        <v>0.1409291</v>
      </c>
      <c r="BL394" s="6">
        <v>0.12522516</v>
      </c>
      <c r="BM394" s="6">
        <v>0.1592662</v>
      </c>
      <c r="BN394" s="6">
        <v>0.17561655</v>
      </c>
      <c r="BO394" s="6">
        <v>0.1337285</v>
      </c>
      <c r="BP394" s="6">
        <v>0.14157076</v>
      </c>
      <c r="BQ394" s="6">
        <v>0.03036024</v>
      </c>
      <c r="BR394" s="6">
        <v>0.02751334</v>
      </c>
      <c r="BS394" s="6">
        <v>0.02707789</v>
      </c>
      <c r="BT394" s="6">
        <v>0.02367615</v>
      </c>
      <c r="BU394" s="6">
        <v>0.0209841</v>
      </c>
      <c r="BV394" s="6">
        <v>0.0400608</v>
      </c>
      <c r="BW394" s="6">
        <v>0.02892796</v>
      </c>
      <c r="BX394" s="12">
        <v>8971.87</v>
      </c>
      <c r="BY394" s="13">
        <v>4511</v>
      </c>
      <c r="BZ394" s="12">
        <v>20006.31</v>
      </c>
      <c r="CA394" s="6">
        <f t="shared" si="36"/>
        <v>1.98888716470849</v>
      </c>
      <c r="CB394" s="6">
        <f t="shared" si="37"/>
        <v>0.448452013389776</v>
      </c>
      <c r="CC394" s="7">
        <v>215473837.1</v>
      </c>
      <c r="CD394" s="7">
        <f t="shared" si="38"/>
        <v>1.07702938272975</v>
      </c>
      <c r="CE394" s="8">
        <v>4139.3</v>
      </c>
      <c r="CF394" s="8">
        <v>20940.3</v>
      </c>
      <c r="CG394" s="8">
        <v>19745.3</v>
      </c>
      <c r="CH394" s="8">
        <v>45723</v>
      </c>
      <c r="CI394" s="14">
        <v>1</v>
      </c>
      <c r="CJ394" s="14">
        <v>1</v>
      </c>
      <c r="CK394" s="14">
        <f t="shared" si="39"/>
        <v>1</v>
      </c>
      <c r="CL394">
        <f t="shared" si="40"/>
        <v>1.56738551218677</v>
      </c>
      <c r="CM394">
        <f t="shared" si="41"/>
        <v>0.312849726914273</v>
      </c>
      <c r="CN394" s="15">
        <v>8972</v>
      </c>
      <c r="CO394" s="15">
        <v>7671.45</v>
      </c>
      <c r="CP394" s="15">
        <v>862.33</v>
      </c>
      <c r="CQ394" s="15">
        <v>699.38</v>
      </c>
      <c r="CR394" s="15">
        <v>351.52</v>
      </c>
      <c r="CS394" s="15">
        <v>15.82</v>
      </c>
      <c r="CT394" s="15">
        <v>556.6</v>
      </c>
      <c r="CU394" s="15">
        <v>11.95</v>
      </c>
      <c r="CV394" s="15">
        <v>21.73</v>
      </c>
      <c r="CW394" s="15">
        <v>1293.98</v>
      </c>
    </row>
    <row r="395" spans="1:101">
      <c r="A395" s="6">
        <v>2018</v>
      </c>
      <c r="B395" s="6" t="s">
        <v>115</v>
      </c>
      <c r="C395" s="6">
        <v>0.22204804</v>
      </c>
      <c r="D395" s="6">
        <v>0.039603</v>
      </c>
      <c r="E395" s="6">
        <v>0.010267</v>
      </c>
      <c r="F395" s="6">
        <v>0.018285</v>
      </c>
      <c r="G395" s="6">
        <v>0.005491</v>
      </c>
      <c r="H395" s="6">
        <v>0.00556</v>
      </c>
      <c r="I395" s="6">
        <v>0.041443</v>
      </c>
      <c r="J395" s="6">
        <v>0.018493</v>
      </c>
      <c r="K395" s="6">
        <v>0.25907679</v>
      </c>
      <c r="L395" s="6">
        <v>0.2022398</v>
      </c>
      <c r="M395" s="6">
        <v>0.2381122</v>
      </c>
      <c r="N395" s="6">
        <v>0.13382107</v>
      </c>
      <c r="O395" s="6">
        <v>0.13500077</v>
      </c>
      <c r="P395" s="6">
        <v>0.37181671</v>
      </c>
      <c r="Q395" s="6">
        <v>0.26097546</v>
      </c>
      <c r="R395" s="6">
        <v>217.69486</v>
      </c>
      <c r="S395" s="6">
        <v>0.00119009</v>
      </c>
      <c r="T395" s="6">
        <v>169.97573</v>
      </c>
      <c r="U395" s="6">
        <v>0.00118982</v>
      </c>
      <c r="V395" s="6">
        <v>197.11803</v>
      </c>
      <c r="W395" s="6">
        <v>0.00120797</v>
      </c>
      <c r="X395" s="6">
        <v>134.47093</v>
      </c>
      <c r="Y395" s="6">
        <v>0.00099517</v>
      </c>
      <c r="Z395" s="6">
        <v>134.86767</v>
      </c>
      <c r="AA395" s="6">
        <v>0.00100099</v>
      </c>
      <c r="AB395" s="6">
        <v>294.9318</v>
      </c>
      <c r="AC395" s="6">
        <v>0.00126069</v>
      </c>
      <c r="AD395" s="6">
        <v>243.86163</v>
      </c>
      <c r="AE395" s="6">
        <v>0.00107018</v>
      </c>
      <c r="AF395" s="6">
        <v>775</v>
      </c>
      <c r="AG395" s="6">
        <v>-0.00801375</v>
      </c>
      <c r="AH395" s="6">
        <v>-0.00801217</v>
      </c>
      <c r="AI395" s="6">
        <v>-0.00811611</v>
      </c>
      <c r="AJ395" s="6">
        <v>-0.00687919</v>
      </c>
      <c r="AK395" s="6">
        <v>-0.00691359</v>
      </c>
      <c r="AL395" s="6">
        <v>-0.00841647</v>
      </c>
      <c r="AM395" s="6">
        <v>-0.00731995</v>
      </c>
      <c r="AN395" s="6">
        <v>-6.4762184</v>
      </c>
      <c r="AO395" s="6">
        <v>-6.4515561</v>
      </c>
      <c r="AP395" s="6">
        <v>-6.4739881</v>
      </c>
      <c r="AQ395" s="6">
        <v>-6.4253629</v>
      </c>
      <c r="AR395" s="6">
        <v>-6.4020076</v>
      </c>
      <c r="AS395" s="6">
        <v>-6.4618417</v>
      </c>
      <c r="AT395" s="6">
        <v>-6.4506396</v>
      </c>
      <c r="AU395" s="6">
        <v>0.97344833</v>
      </c>
      <c r="AV395" s="6">
        <v>0.96974131</v>
      </c>
      <c r="AW395" s="6">
        <v>0.97311308</v>
      </c>
      <c r="AX395" s="6">
        <v>0.96580418</v>
      </c>
      <c r="AY395" s="6">
        <v>0.96229362</v>
      </c>
      <c r="AZ395" s="6">
        <v>0.97128734</v>
      </c>
      <c r="BA395" s="6">
        <v>0.96960354</v>
      </c>
      <c r="BB395" s="6">
        <v>0.02655167</v>
      </c>
      <c r="BC395" s="6">
        <v>0.03025869</v>
      </c>
      <c r="BD395" s="6">
        <v>0.02688692</v>
      </c>
      <c r="BE395" s="6">
        <v>0.03419582</v>
      </c>
      <c r="BF395" s="6">
        <v>0.03770638</v>
      </c>
      <c r="BG395" s="6">
        <v>0.02871266</v>
      </c>
      <c r="BH395" s="6">
        <v>0.03039646</v>
      </c>
      <c r="BI395" s="6">
        <v>0.21470859</v>
      </c>
      <c r="BJ395" s="6">
        <v>0.12366373</v>
      </c>
      <c r="BK395" s="6">
        <v>0.1409291</v>
      </c>
      <c r="BL395" s="6">
        <v>0.12522516</v>
      </c>
      <c r="BM395" s="6">
        <v>0.1592662</v>
      </c>
      <c r="BN395" s="6">
        <v>0.17561655</v>
      </c>
      <c r="BO395" s="6">
        <v>0.1337285</v>
      </c>
      <c r="BP395" s="6">
        <v>0.14157076</v>
      </c>
      <c r="BQ395" s="6">
        <v>0.0320384</v>
      </c>
      <c r="BR395" s="6">
        <v>0.02850147</v>
      </c>
      <c r="BS395" s="6">
        <v>0.02981764</v>
      </c>
      <c r="BT395" s="6">
        <v>0.02131317</v>
      </c>
      <c r="BU395" s="6">
        <v>0.02370837</v>
      </c>
      <c r="BV395" s="6">
        <v>0.04972249</v>
      </c>
      <c r="BW395" s="6">
        <v>0.0369465</v>
      </c>
      <c r="BX395" s="12">
        <v>9285.68</v>
      </c>
      <c r="BY395" s="13">
        <v>4513</v>
      </c>
      <c r="BZ395" s="12">
        <v>21984.78</v>
      </c>
      <c r="CA395" s="6">
        <f t="shared" si="36"/>
        <v>2.05754043873255</v>
      </c>
      <c r="CB395" s="6">
        <f t="shared" si="37"/>
        <v>0.422368565889675</v>
      </c>
      <c r="CC395" s="7">
        <v>225201434.8</v>
      </c>
      <c r="CD395" s="7">
        <f t="shared" si="38"/>
        <v>1.02435155048174</v>
      </c>
      <c r="CE395" s="8">
        <v>4311.1</v>
      </c>
      <c r="CF395" s="8">
        <v>22038.6</v>
      </c>
      <c r="CG395" s="8">
        <v>23586.2</v>
      </c>
      <c r="CH395" s="8">
        <v>50714</v>
      </c>
      <c r="CI395" s="14">
        <v>1</v>
      </c>
      <c r="CJ395" s="14">
        <v>1</v>
      </c>
      <c r="CK395" s="14">
        <f t="shared" si="39"/>
        <v>1</v>
      </c>
      <c r="CL395">
        <f t="shared" si="40"/>
        <v>1.51591455826218</v>
      </c>
      <c r="CM395">
        <f t="shared" si="41"/>
        <v>0.324268280887781</v>
      </c>
      <c r="CN395" s="15">
        <v>9286</v>
      </c>
      <c r="CO395" s="15">
        <v>7877.77</v>
      </c>
      <c r="CP395" s="15">
        <v>918.13</v>
      </c>
      <c r="CQ395" s="15">
        <v>768</v>
      </c>
      <c r="CR395" s="15">
        <v>374.5</v>
      </c>
      <c r="CS395" s="15">
        <v>17.93</v>
      </c>
      <c r="CT395" s="15">
        <v>588.21</v>
      </c>
      <c r="CU395" s="15">
        <v>11.74</v>
      </c>
      <c r="CV395" s="15">
        <v>25.93</v>
      </c>
      <c r="CW395" s="15">
        <v>1428.77</v>
      </c>
    </row>
    <row r="396" spans="1:101">
      <c r="A396" s="6">
        <v>2019</v>
      </c>
      <c r="B396" s="6" t="s">
        <v>115</v>
      </c>
      <c r="C396" s="6">
        <v>0.24278922</v>
      </c>
      <c r="D396" s="6">
        <v>0.040427</v>
      </c>
      <c r="E396" s="6">
        <v>0.010393</v>
      </c>
      <c r="F396" s="6">
        <v>0.01796</v>
      </c>
      <c r="G396" s="6">
        <v>0.005922</v>
      </c>
      <c r="H396" s="6">
        <v>0.006152</v>
      </c>
      <c r="I396" s="6">
        <v>0.043681</v>
      </c>
      <c r="J396" s="6">
        <v>0.0231</v>
      </c>
      <c r="K396" s="6">
        <v>0.26554031</v>
      </c>
      <c r="L396" s="6">
        <v>0.20521066</v>
      </c>
      <c r="M396" s="6">
        <v>0.23312588</v>
      </c>
      <c r="N396" s="6">
        <v>0.14655315</v>
      </c>
      <c r="O396" s="6">
        <v>0.15294254</v>
      </c>
      <c r="P396" s="6">
        <v>0.39674049</v>
      </c>
      <c r="Q396" s="6">
        <v>0.34316702</v>
      </c>
      <c r="R396" s="6">
        <v>217.69486</v>
      </c>
      <c r="S396" s="6">
        <v>0.00121978</v>
      </c>
      <c r="T396" s="6">
        <v>169.97573</v>
      </c>
      <c r="U396" s="6">
        <v>0.00120729</v>
      </c>
      <c r="V396" s="6">
        <v>197.11803</v>
      </c>
      <c r="W396" s="6">
        <v>0.00118267</v>
      </c>
      <c r="X396" s="6">
        <v>134.47093</v>
      </c>
      <c r="Y396" s="6">
        <v>0.00108985</v>
      </c>
      <c r="Z396" s="6">
        <v>134.86767</v>
      </c>
      <c r="AA396" s="6">
        <v>0.00113402</v>
      </c>
      <c r="AB396" s="6">
        <v>294.9318</v>
      </c>
      <c r="AC396" s="6">
        <v>0.00134519</v>
      </c>
      <c r="AD396" s="6">
        <v>243.86163</v>
      </c>
      <c r="AE396" s="6">
        <v>0.00140722</v>
      </c>
      <c r="AF396" s="6">
        <v>775</v>
      </c>
      <c r="AG396" s="6">
        <v>-0.00818362</v>
      </c>
      <c r="AH396" s="6">
        <v>-0.00811226</v>
      </c>
      <c r="AI396" s="6">
        <v>-0.00797118</v>
      </c>
      <c r="AJ396" s="6">
        <v>-0.00743465</v>
      </c>
      <c r="AK396" s="6">
        <v>-0.0076909</v>
      </c>
      <c r="AL396" s="6">
        <v>-0.00889337</v>
      </c>
      <c r="AM396" s="6">
        <v>-0.00924</v>
      </c>
      <c r="AN396" s="6">
        <v>-6.4762184</v>
      </c>
      <c r="AO396" s="6">
        <v>-6.4515561</v>
      </c>
      <c r="AP396" s="6">
        <v>-6.4739881</v>
      </c>
      <c r="AQ396" s="6">
        <v>-6.4253629</v>
      </c>
      <c r="AR396" s="6">
        <v>-6.4020076</v>
      </c>
      <c r="AS396" s="6">
        <v>-6.4618417</v>
      </c>
      <c r="AT396" s="6">
        <v>-6.4506396</v>
      </c>
      <c r="AU396" s="6">
        <v>0.97344833</v>
      </c>
      <c r="AV396" s="6">
        <v>0.96974131</v>
      </c>
      <c r="AW396" s="6">
        <v>0.97311308</v>
      </c>
      <c r="AX396" s="6">
        <v>0.96580418</v>
      </c>
      <c r="AY396" s="6">
        <v>0.96229362</v>
      </c>
      <c r="AZ396" s="6">
        <v>0.97128734</v>
      </c>
      <c r="BA396" s="6">
        <v>0.96960354</v>
      </c>
      <c r="BB396" s="6">
        <v>0.02655167</v>
      </c>
      <c r="BC396" s="6">
        <v>0.03025869</v>
      </c>
      <c r="BD396" s="6">
        <v>0.02688692</v>
      </c>
      <c r="BE396" s="6">
        <v>0.03419582</v>
      </c>
      <c r="BF396" s="6">
        <v>0.03770638</v>
      </c>
      <c r="BG396" s="6">
        <v>0.02871266</v>
      </c>
      <c r="BH396" s="6">
        <v>0.03039646</v>
      </c>
      <c r="BI396" s="6">
        <v>0.21470859</v>
      </c>
      <c r="BJ396" s="6">
        <v>0.12366373</v>
      </c>
      <c r="BK396" s="6">
        <v>0.1409291</v>
      </c>
      <c r="BL396" s="6">
        <v>0.12522516</v>
      </c>
      <c r="BM396" s="6">
        <v>0.1592662</v>
      </c>
      <c r="BN396" s="6">
        <v>0.17561655</v>
      </c>
      <c r="BO396" s="6">
        <v>0.1337285</v>
      </c>
      <c r="BP396" s="6">
        <v>0.14157076</v>
      </c>
      <c r="BQ396" s="6">
        <v>0.03283771</v>
      </c>
      <c r="BR396" s="6">
        <v>0.02892015</v>
      </c>
      <c r="BS396" s="6">
        <v>0.02919323</v>
      </c>
      <c r="BT396" s="6">
        <v>0.02334096</v>
      </c>
      <c r="BU396" s="6">
        <v>0.02685924</v>
      </c>
      <c r="BV396" s="6">
        <v>0.05305551</v>
      </c>
      <c r="BW396" s="6">
        <v>0.04858242</v>
      </c>
      <c r="BX396" s="12">
        <v>9889.81761429166</v>
      </c>
      <c r="BY396" s="13">
        <v>4516</v>
      </c>
      <c r="BZ396" s="12">
        <v>24757.5</v>
      </c>
      <c r="CA396" s="6">
        <f t="shared" si="36"/>
        <v>2.18995075604333</v>
      </c>
      <c r="CB396" s="6">
        <f t="shared" si="37"/>
        <v>0.399467539706823</v>
      </c>
      <c r="CC396" s="7">
        <v>226460232.8</v>
      </c>
      <c r="CD396" s="7">
        <f t="shared" si="38"/>
        <v>0.914713653640311</v>
      </c>
      <c r="CE396" s="8">
        <v>4635.7</v>
      </c>
      <c r="CF396" s="8">
        <v>23035.6</v>
      </c>
      <c r="CG396" s="8">
        <v>26046.5</v>
      </c>
      <c r="CH396" s="8">
        <v>54356</v>
      </c>
      <c r="CI396" s="14">
        <v>1</v>
      </c>
      <c r="CJ396" s="14">
        <v>1</v>
      </c>
      <c r="CK396" s="14">
        <f t="shared" si="39"/>
        <v>1</v>
      </c>
      <c r="CL396">
        <f t="shared" si="40"/>
        <v>1.5000536746505</v>
      </c>
      <c r="CM396">
        <f t="shared" si="41"/>
        <v>0.390212717652632</v>
      </c>
      <c r="CN396" s="15">
        <v>9665</v>
      </c>
      <c r="CO396" s="15">
        <v>7995.94</v>
      </c>
      <c r="CP396" s="15">
        <v>939.44</v>
      </c>
      <c r="CQ396" s="15">
        <v>787.96</v>
      </c>
      <c r="CR396" s="15">
        <v>405.37</v>
      </c>
      <c r="CS396" s="15">
        <v>19.32</v>
      </c>
      <c r="CT396" s="15">
        <v>598.82</v>
      </c>
      <c r="CU396" s="15">
        <v>12.25</v>
      </c>
      <c r="CV396" s="15">
        <v>26.96</v>
      </c>
      <c r="CW396" s="15">
        <v>1535.7</v>
      </c>
    </row>
    <row r="397" spans="1:101">
      <c r="A397" s="6">
        <v>2020</v>
      </c>
      <c r="B397" s="6" t="s">
        <v>115</v>
      </c>
      <c r="C397" s="6">
        <v>0.237125</v>
      </c>
      <c r="D397" s="6">
        <v>0.040227</v>
      </c>
      <c r="E397" s="6">
        <v>0.0097</v>
      </c>
      <c r="F397" s="6">
        <v>0.018554</v>
      </c>
      <c r="G397" s="6">
        <v>0.005841</v>
      </c>
      <c r="H397" s="6">
        <v>0.006133</v>
      </c>
      <c r="I397" s="6">
        <v>0.043795</v>
      </c>
      <c r="J397" s="6">
        <v>0.02152</v>
      </c>
      <c r="K397" s="6">
        <v>0.26397596</v>
      </c>
      <c r="L397" s="6">
        <v>0.18882961</v>
      </c>
      <c r="M397" s="6">
        <v>0.242258</v>
      </c>
      <c r="N397" s="6">
        <v>0.14415643</v>
      </c>
      <c r="O397" s="6">
        <v>0.15234681</v>
      </c>
      <c r="P397" s="6">
        <v>0.39801664</v>
      </c>
      <c r="Q397" s="6">
        <v>0.31498265</v>
      </c>
      <c r="R397" s="6">
        <v>217.69486</v>
      </c>
      <c r="S397" s="6">
        <v>0.0012126</v>
      </c>
      <c r="T397" s="6">
        <v>169.97573</v>
      </c>
      <c r="U397" s="6">
        <v>0.00111092</v>
      </c>
      <c r="V397" s="6">
        <v>197.11803</v>
      </c>
      <c r="W397" s="6">
        <v>0.001229</v>
      </c>
      <c r="X397" s="6">
        <v>134.47093</v>
      </c>
      <c r="Y397" s="6">
        <v>0.00107203</v>
      </c>
      <c r="Z397" s="6">
        <v>134.86767</v>
      </c>
      <c r="AA397" s="6">
        <v>0.0011296</v>
      </c>
      <c r="AB397" s="6">
        <v>294.9318</v>
      </c>
      <c r="AC397" s="6">
        <v>0.00134952</v>
      </c>
      <c r="AD397" s="6">
        <v>243.86163</v>
      </c>
      <c r="AE397" s="6">
        <v>0.00129165</v>
      </c>
      <c r="AF397" s="6">
        <v>775</v>
      </c>
      <c r="AG397" s="6">
        <v>-0.00814257</v>
      </c>
      <c r="AH397" s="6">
        <v>-0.00755711</v>
      </c>
      <c r="AI397" s="6">
        <v>-0.00823621</v>
      </c>
      <c r="AJ397" s="6">
        <v>-0.00733074</v>
      </c>
      <c r="AK397" s="6">
        <v>-0.00766536</v>
      </c>
      <c r="AL397" s="6">
        <v>-0.00891764</v>
      </c>
      <c r="AM397" s="6">
        <v>-0.00859181</v>
      </c>
      <c r="AN397" s="6">
        <v>-6.4762184</v>
      </c>
      <c r="AO397" s="6">
        <v>-6.4515561</v>
      </c>
      <c r="AP397" s="6">
        <v>-6.4739881</v>
      </c>
      <c r="AQ397" s="6">
        <v>-6.4253629</v>
      </c>
      <c r="AR397" s="6">
        <v>-6.4020076</v>
      </c>
      <c r="AS397" s="6">
        <v>-6.4618417</v>
      </c>
      <c r="AT397" s="6">
        <v>-6.4506396</v>
      </c>
      <c r="AU397" s="6">
        <v>0.97344833</v>
      </c>
      <c r="AV397" s="6">
        <v>0.96974131</v>
      </c>
      <c r="AW397" s="6">
        <v>0.97311308</v>
      </c>
      <c r="AX397" s="6">
        <v>0.96580418</v>
      </c>
      <c r="AY397" s="6">
        <v>0.96229362</v>
      </c>
      <c r="AZ397" s="6">
        <v>0.97128734</v>
      </c>
      <c r="BA397" s="6">
        <v>0.96960354</v>
      </c>
      <c r="BB397" s="6">
        <v>0.02655167</v>
      </c>
      <c r="BC397" s="6">
        <v>0.03025869</v>
      </c>
      <c r="BD397" s="6">
        <v>0.02688692</v>
      </c>
      <c r="BE397" s="6">
        <v>0.03419582</v>
      </c>
      <c r="BF397" s="6">
        <v>0.03770638</v>
      </c>
      <c r="BG397" s="6">
        <v>0.02871266</v>
      </c>
      <c r="BH397" s="6">
        <v>0.03039646</v>
      </c>
      <c r="BI397" s="6">
        <v>0.21470859</v>
      </c>
      <c r="BJ397" s="6">
        <v>0.12366373</v>
      </c>
      <c r="BK397" s="6">
        <v>0.1409291</v>
      </c>
      <c r="BL397" s="6">
        <v>0.12522516</v>
      </c>
      <c r="BM397" s="6">
        <v>0.1592662</v>
      </c>
      <c r="BN397" s="6">
        <v>0.17561655</v>
      </c>
      <c r="BO397" s="6">
        <v>0.1337285</v>
      </c>
      <c r="BP397" s="6">
        <v>0.14157076</v>
      </c>
      <c r="BQ397" s="6">
        <v>0.03264425</v>
      </c>
      <c r="BR397" s="6">
        <v>0.02661159</v>
      </c>
      <c r="BS397" s="6">
        <v>0.0303368</v>
      </c>
      <c r="BT397" s="6">
        <v>0.02295925</v>
      </c>
      <c r="BU397" s="6">
        <v>0.02675462</v>
      </c>
      <c r="BV397" s="6">
        <v>0.05322617</v>
      </c>
      <c r="BW397" s="6">
        <v>0.04459234</v>
      </c>
      <c r="BX397" s="12">
        <v>10066.1416376508</v>
      </c>
      <c r="BY397" s="13">
        <v>4519.45</v>
      </c>
      <c r="BZ397" s="12">
        <v>25691.5</v>
      </c>
      <c r="CA397" s="6">
        <f t="shared" si="36"/>
        <v>2.22729350643348</v>
      </c>
      <c r="CB397" s="6">
        <f t="shared" si="37"/>
        <v>0.391808249329576</v>
      </c>
      <c r="CC397" s="7">
        <v>232048210.3</v>
      </c>
      <c r="CD397" s="7">
        <f t="shared" si="38"/>
        <v>0.903210051184244</v>
      </c>
      <c r="CE397" s="8">
        <v>5354</v>
      </c>
      <c r="CF397" s="8">
        <v>22220.9</v>
      </c>
      <c r="CG397" s="8">
        <v>26684.5</v>
      </c>
      <c r="CH397" s="8">
        <v>54691</v>
      </c>
      <c r="CI397" s="14">
        <v>1</v>
      </c>
      <c r="CJ397" s="14">
        <v>1</v>
      </c>
      <c r="CK397" s="14">
        <f t="shared" si="39"/>
        <v>1</v>
      </c>
      <c r="CL397">
        <f t="shared" si="40"/>
        <v>1.47141701078949</v>
      </c>
      <c r="CM397">
        <f t="shared" si="41"/>
        <v>0.38616310361967</v>
      </c>
      <c r="CN397" s="15">
        <v>9808.6</v>
      </c>
      <c r="CO397" s="15">
        <v>7976.57</v>
      </c>
      <c r="CP397" s="15">
        <v>961.92</v>
      </c>
      <c r="CQ397" s="15">
        <v>702.48</v>
      </c>
      <c r="CR397" s="15">
        <v>387.3</v>
      </c>
      <c r="CS397" s="15">
        <v>14.19</v>
      </c>
      <c r="CT397" s="15">
        <v>532.68</v>
      </c>
      <c r="CU397" s="15">
        <v>9.74</v>
      </c>
      <c r="CV397" s="15">
        <v>26.2</v>
      </c>
      <c r="CW397" s="15">
        <v>1627</v>
      </c>
    </row>
    <row r="398" spans="1:101">
      <c r="A398" s="6">
        <v>2021</v>
      </c>
      <c r="B398" s="6" t="s">
        <v>115</v>
      </c>
      <c r="C398" s="6">
        <v>0.23409062</v>
      </c>
      <c r="D398" s="6">
        <v>0.041928</v>
      </c>
      <c r="E398" s="6">
        <v>0.010705</v>
      </c>
      <c r="F398" s="6">
        <v>0.018169</v>
      </c>
      <c r="G398" s="6">
        <v>0.006631</v>
      </c>
      <c r="H398" s="6">
        <v>0.006422</v>
      </c>
      <c r="I398" s="6">
        <v>0.040877</v>
      </c>
      <c r="J398" s="6">
        <v>0.01827</v>
      </c>
      <c r="K398" s="6">
        <v>0.27731536</v>
      </c>
      <c r="L398" s="6">
        <v>0.21260377</v>
      </c>
      <c r="M398" s="6">
        <v>0.23633906</v>
      </c>
      <c r="N398" s="6">
        <v>0.16751652</v>
      </c>
      <c r="O398" s="6">
        <v>0.16113032</v>
      </c>
      <c r="P398" s="6">
        <v>0.36551217</v>
      </c>
      <c r="Q398" s="6">
        <v>0.25699411</v>
      </c>
      <c r="R398" s="6">
        <v>217.69486</v>
      </c>
      <c r="S398" s="6">
        <v>0.00127387</v>
      </c>
      <c r="T398" s="6">
        <v>169.97573</v>
      </c>
      <c r="U398" s="6">
        <v>0.00125079</v>
      </c>
      <c r="V398" s="6">
        <v>197.11803</v>
      </c>
      <c r="W398" s="6">
        <v>0.00119897</v>
      </c>
      <c r="X398" s="6">
        <v>134.47093</v>
      </c>
      <c r="Y398" s="6">
        <v>0.00124575</v>
      </c>
      <c r="Z398" s="6">
        <v>134.86767</v>
      </c>
      <c r="AA398" s="6">
        <v>0.00119473</v>
      </c>
      <c r="AB398" s="6">
        <v>294.9318</v>
      </c>
      <c r="AC398" s="6">
        <v>0.00123931</v>
      </c>
      <c r="AD398" s="6">
        <v>243.86163</v>
      </c>
      <c r="AE398" s="6">
        <v>0.00105385</v>
      </c>
      <c r="AF398" s="6">
        <v>775</v>
      </c>
      <c r="AG398" s="6">
        <v>-0.00849124</v>
      </c>
      <c r="AH398" s="6">
        <v>-0.00836025</v>
      </c>
      <c r="AI398" s="6">
        <v>-0.00806464</v>
      </c>
      <c r="AJ398" s="6">
        <v>-0.00833157</v>
      </c>
      <c r="AK398" s="6">
        <v>-0.00804033</v>
      </c>
      <c r="AL398" s="6">
        <v>-0.00829496</v>
      </c>
      <c r="AM398" s="6">
        <v>-0.00722448</v>
      </c>
      <c r="AN398" s="6">
        <v>-6.4762184</v>
      </c>
      <c r="AO398" s="6">
        <v>-6.4515561</v>
      </c>
      <c r="AP398" s="6">
        <v>-6.4739881</v>
      </c>
      <c r="AQ398" s="6">
        <v>-6.4253629</v>
      </c>
      <c r="AR398" s="6">
        <v>-6.4020076</v>
      </c>
      <c r="AS398" s="6">
        <v>-6.4618417</v>
      </c>
      <c r="AT398" s="6">
        <v>-6.4506396</v>
      </c>
      <c r="AU398" s="6">
        <v>0.97344833</v>
      </c>
      <c r="AV398" s="6">
        <v>0.96974131</v>
      </c>
      <c r="AW398" s="6">
        <v>0.97311308</v>
      </c>
      <c r="AX398" s="6">
        <v>0.96580418</v>
      </c>
      <c r="AY398" s="6">
        <v>0.96229362</v>
      </c>
      <c r="AZ398" s="6">
        <v>0.97128734</v>
      </c>
      <c r="BA398" s="6">
        <v>0.96960354</v>
      </c>
      <c r="BB398" s="6">
        <v>0.02655167</v>
      </c>
      <c r="BC398" s="6">
        <v>0.03025869</v>
      </c>
      <c r="BD398" s="6">
        <v>0.02688692</v>
      </c>
      <c r="BE398" s="6">
        <v>0.03419582</v>
      </c>
      <c r="BF398" s="6">
        <v>0.03770638</v>
      </c>
      <c r="BG398" s="6">
        <v>0.02871266</v>
      </c>
      <c r="BH398" s="6">
        <v>0.03039646</v>
      </c>
      <c r="BI398" s="6">
        <v>0.21470859</v>
      </c>
      <c r="BJ398" s="6">
        <v>0.12366373</v>
      </c>
      <c r="BK398" s="6">
        <v>0.1409291</v>
      </c>
      <c r="BL398" s="6">
        <v>0.12522516</v>
      </c>
      <c r="BM398" s="6">
        <v>0.1592662</v>
      </c>
      <c r="BN398" s="6">
        <v>0.17561655</v>
      </c>
      <c r="BO398" s="6">
        <v>0.1337285</v>
      </c>
      <c r="BP398" s="6">
        <v>0.14157076</v>
      </c>
      <c r="BQ398" s="6">
        <v>0.03429385</v>
      </c>
      <c r="BR398" s="6">
        <v>0.02996206</v>
      </c>
      <c r="BS398" s="6">
        <v>0.0295956</v>
      </c>
      <c r="BT398" s="6">
        <v>0.02667972</v>
      </c>
      <c r="BU398" s="6">
        <v>0.02829715</v>
      </c>
      <c r="BV398" s="6">
        <v>0.04887939</v>
      </c>
      <c r="BW398" s="6">
        <v>0.03638285</v>
      </c>
      <c r="BX398" s="12">
        <v>10751.1236327974</v>
      </c>
      <c r="BY398" s="13">
        <v>4517</v>
      </c>
      <c r="BZ398" s="12">
        <v>29619.7</v>
      </c>
      <c r="CA398" s="6">
        <f t="shared" si="36"/>
        <v>2.38014691892792</v>
      </c>
      <c r="CB398" s="6">
        <f t="shared" si="37"/>
        <v>0.362972063619733</v>
      </c>
      <c r="CC398" s="7">
        <v>252011242.5</v>
      </c>
      <c r="CD398" s="7">
        <f t="shared" si="38"/>
        <v>0.850823075520684</v>
      </c>
      <c r="CE398" s="8">
        <v>5626.9</v>
      </c>
      <c r="CF398" s="8">
        <v>23566.4</v>
      </c>
      <c r="CG398" s="8">
        <v>28878.2</v>
      </c>
      <c r="CH398" s="8">
        <v>58587</v>
      </c>
      <c r="CI398" s="14">
        <v>1</v>
      </c>
      <c r="CJ398" s="14">
        <v>1</v>
      </c>
      <c r="CK398" s="14">
        <f t="shared" si="39"/>
        <v>1</v>
      </c>
      <c r="CL398">
        <f t="shared" si="40"/>
        <v>1.36781889095748</v>
      </c>
      <c r="CM398">
        <f t="shared" si="41"/>
        <v>0.377970957160048</v>
      </c>
      <c r="CN398" s="15">
        <v>10517.78</v>
      </c>
      <c r="CO398" s="15">
        <v>7017.81</v>
      </c>
      <c r="CP398" s="15">
        <v>942.79</v>
      </c>
      <c r="CQ398" s="15">
        <v>667.23</v>
      </c>
      <c r="CR398" s="15">
        <v>416.93</v>
      </c>
      <c r="CS398" s="15">
        <v>17.35</v>
      </c>
      <c r="CT398" s="15">
        <v>436.67</v>
      </c>
      <c r="CU398" s="15">
        <v>10.99</v>
      </c>
      <c r="CV398" s="15">
        <v>35.25</v>
      </c>
      <c r="CW398" s="15">
        <v>1863</v>
      </c>
    </row>
    <row r="399" spans="1:101">
      <c r="A399" s="6">
        <v>2022</v>
      </c>
      <c r="B399" s="6" t="s">
        <v>115</v>
      </c>
      <c r="C399" s="6">
        <v>0.25153037</v>
      </c>
      <c r="D399" s="6">
        <v>0.040505</v>
      </c>
      <c r="E399" s="6">
        <v>0.009958</v>
      </c>
      <c r="F399" s="6">
        <v>0.017537</v>
      </c>
      <c r="G399" s="6">
        <v>0.005681</v>
      </c>
      <c r="H399" s="6">
        <v>0.007329</v>
      </c>
      <c r="I399" s="6">
        <v>0.045448</v>
      </c>
      <c r="J399" s="6">
        <v>0.024352</v>
      </c>
      <c r="K399" s="6">
        <v>0.26615545</v>
      </c>
      <c r="L399" s="6">
        <v>0.1949385</v>
      </c>
      <c r="M399" s="6">
        <v>0.2266163</v>
      </c>
      <c r="N399" s="6">
        <v>0.13943959</v>
      </c>
      <c r="O399" s="6">
        <v>0.18861368</v>
      </c>
      <c r="P399" s="6">
        <v>0.41642937</v>
      </c>
      <c r="Q399" s="6">
        <v>0.3655123</v>
      </c>
      <c r="R399" s="6">
        <v>217.69486</v>
      </c>
      <c r="S399" s="6">
        <v>0.00122261</v>
      </c>
      <c r="T399" s="6">
        <v>169.97573</v>
      </c>
      <c r="U399" s="6">
        <v>0.00114686</v>
      </c>
      <c r="V399" s="6">
        <v>197.11803</v>
      </c>
      <c r="W399" s="6">
        <v>0.00114965</v>
      </c>
      <c r="X399" s="6">
        <v>134.47093</v>
      </c>
      <c r="Y399" s="6">
        <v>0.00103695</v>
      </c>
      <c r="Z399" s="6">
        <v>134.86767</v>
      </c>
      <c r="AA399" s="6">
        <v>0.00139851</v>
      </c>
      <c r="AB399" s="6">
        <v>294.9318</v>
      </c>
      <c r="AC399" s="6">
        <v>0.00141195</v>
      </c>
      <c r="AD399" s="6">
        <v>243.86163</v>
      </c>
      <c r="AE399" s="6">
        <v>0.00149885</v>
      </c>
      <c r="AF399" s="6">
        <v>775</v>
      </c>
      <c r="AG399" s="6">
        <v>-0.00819975</v>
      </c>
      <c r="AH399" s="6">
        <v>-0.00776508</v>
      </c>
      <c r="AI399" s="6">
        <v>-0.00778116</v>
      </c>
      <c r="AJ399" s="6">
        <v>-0.00712537</v>
      </c>
      <c r="AK399" s="6">
        <v>-0.00919149</v>
      </c>
      <c r="AL399" s="6">
        <v>-0.00926633</v>
      </c>
      <c r="AM399" s="6">
        <v>-0.00974711</v>
      </c>
      <c r="AN399" s="6">
        <v>-6.4762184</v>
      </c>
      <c r="AO399" s="6">
        <v>-6.4515561</v>
      </c>
      <c r="AP399" s="6">
        <v>-6.4739881</v>
      </c>
      <c r="AQ399" s="6">
        <v>-6.4253629</v>
      </c>
      <c r="AR399" s="6">
        <v>-6.4020076</v>
      </c>
      <c r="AS399" s="6">
        <v>-6.4618417</v>
      </c>
      <c r="AT399" s="6">
        <v>-6.4506396</v>
      </c>
      <c r="AU399" s="6">
        <v>0.97344833</v>
      </c>
      <c r="AV399" s="6">
        <v>0.96974131</v>
      </c>
      <c r="AW399" s="6">
        <v>0.97311308</v>
      </c>
      <c r="AX399" s="6">
        <v>0.96580418</v>
      </c>
      <c r="AY399" s="6">
        <v>0.96229362</v>
      </c>
      <c r="AZ399" s="6">
        <v>0.97128734</v>
      </c>
      <c r="BA399" s="6">
        <v>0.96960354</v>
      </c>
      <c r="BB399" s="6">
        <v>0.02655167</v>
      </c>
      <c r="BC399" s="6">
        <v>0.03025869</v>
      </c>
      <c r="BD399" s="6">
        <v>0.02688692</v>
      </c>
      <c r="BE399" s="6">
        <v>0.03419582</v>
      </c>
      <c r="BF399" s="6">
        <v>0.03770638</v>
      </c>
      <c r="BG399" s="6">
        <v>0.02871266</v>
      </c>
      <c r="BH399" s="6">
        <v>0.03039646</v>
      </c>
      <c r="BI399" s="6">
        <v>0.21470859</v>
      </c>
      <c r="BJ399" s="6">
        <v>0.12366373</v>
      </c>
      <c r="BK399" s="6">
        <v>0.1409291</v>
      </c>
      <c r="BL399" s="6">
        <v>0.12522516</v>
      </c>
      <c r="BM399" s="6">
        <v>0.1592662</v>
      </c>
      <c r="BN399" s="6">
        <v>0.17561655</v>
      </c>
      <c r="BO399" s="6">
        <v>0.1337285</v>
      </c>
      <c r="BP399" s="6">
        <v>0.14157076</v>
      </c>
      <c r="BQ399" s="6">
        <v>0.03291378</v>
      </c>
      <c r="BR399" s="6">
        <v>0.02747251</v>
      </c>
      <c r="BS399" s="6">
        <v>0.02837806</v>
      </c>
      <c r="BT399" s="6">
        <v>0.02220801</v>
      </c>
      <c r="BU399" s="6">
        <v>0.03312368</v>
      </c>
      <c r="BV399" s="6">
        <v>0.05568847</v>
      </c>
      <c r="BW399" s="6">
        <v>0.05174586</v>
      </c>
      <c r="BX399" s="12">
        <v>10989.6</v>
      </c>
      <c r="BY399" s="13">
        <v>4528</v>
      </c>
      <c r="BZ399" s="12">
        <v>32074.7</v>
      </c>
      <c r="CA399" s="6">
        <f t="shared" si="36"/>
        <v>2.42703180212014</v>
      </c>
      <c r="CB399" s="6">
        <f t="shared" si="37"/>
        <v>0.342625184335317</v>
      </c>
      <c r="CC399" s="7">
        <v>262903581.5</v>
      </c>
      <c r="CD399" s="7">
        <f t="shared" si="38"/>
        <v>0.819660297680103</v>
      </c>
      <c r="CE399" s="8">
        <v>5731.3</v>
      </c>
      <c r="CF399" s="8">
        <v>22140.6</v>
      </c>
      <c r="CG399" s="8">
        <v>30348.2</v>
      </c>
      <c r="CH399" s="8">
        <v>58942</v>
      </c>
      <c r="CI399" s="14">
        <v>1</v>
      </c>
      <c r="CJ399" s="14">
        <v>1</v>
      </c>
      <c r="CK399" s="14">
        <f t="shared" si="39"/>
        <v>1</v>
      </c>
      <c r="CL399">
        <f t="shared" si="40"/>
        <v>1.27047633725244</v>
      </c>
      <c r="CM399">
        <f t="shared" si="41"/>
        <v>0.354840170063521</v>
      </c>
      <c r="CN399" s="15">
        <v>10785.69</v>
      </c>
      <c r="CO399" s="15">
        <v>7445.6</v>
      </c>
      <c r="CP399" s="15">
        <v>954.65</v>
      </c>
      <c r="CQ399" s="15">
        <v>719.55</v>
      </c>
      <c r="CR399" s="15">
        <v>384.77</v>
      </c>
      <c r="CS399" s="15">
        <v>10.83</v>
      </c>
      <c r="CT399" s="15">
        <v>431.06</v>
      </c>
      <c r="CU399" s="15">
        <v>8.05</v>
      </c>
      <c r="CV399" s="15">
        <v>39.03</v>
      </c>
      <c r="CW399" s="15">
        <v>1982.98</v>
      </c>
    </row>
    <row r="400" spans="1:101">
      <c r="A400" s="6">
        <v>2023</v>
      </c>
      <c r="B400" s="6" t="s">
        <v>115</v>
      </c>
      <c r="C400" s="6">
        <v>0.39386516</v>
      </c>
      <c r="D400" s="6">
        <v>0.045243</v>
      </c>
      <c r="E400" s="6">
        <v>0.015372</v>
      </c>
      <c r="F400" s="6">
        <v>0.023065</v>
      </c>
      <c r="G400" s="6">
        <v>0.010892</v>
      </c>
      <c r="H400" s="6">
        <v>0.014397</v>
      </c>
      <c r="I400" s="6">
        <v>0.056181</v>
      </c>
      <c r="J400" s="6">
        <v>0.036595</v>
      </c>
      <c r="K400" s="6">
        <v>0.30332266</v>
      </c>
      <c r="L400" s="6">
        <v>0.32293526</v>
      </c>
      <c r="M400" s="6">
        <v>0.31158545</v>
      </c>
      <c r="N400" s="6">
        <v>0.29347751</v>
      </c>
      <c r="O400" s="6">
        <v>0.40280351</v>
      </c>
      <c r="P400" s="6">
        <v>0.53596934</v>
      </c>
      <c r="Q400" s="6">
        <v>0.58395846</v>
      </c>
      <c r="R400" s="6">
        <v>217.69486</v>
      </c>
      <c r="S400" s="6">
        <v>0.00139334</v>
      </c>
      <c r="T400" s="6">
        <v>169.97573</v>
      </c>
      <c r="U400" s="6">
        <v>0.00189989</v>
      </c>
      <c r="V400" s="6">
        <v>197.11803</v>
      </c>
      <c r="W400" s="6">
        <v>0.00158071</v>
      </c>
      <c r="X400" s="6">
        <v>134.47093</v>
      </c>
      <c r="Y400" s="6">
        <v>0.00218246</v>
      </c>
      <c r="Z400" s="6">
        <v>134.86767</v>
      </c>
      <c r="AA400" s="6">
        <v>0.00298666</v>
      </c>
      <c r="AB400" s="6">
        <v>294.9318</v>
      </c>
      <c r="AC400" s="6">
        <v>0.00181727</v>
      </c>
      <c r="AD400" s="6">
        <v>243.86163</v>
      </c>
      <c r="AE400" s="6">
        <v>0.00239463</v>
      </c>
      <c r="AF400" s="6">
        <v>775</v>
      </c>
      <c r="AG400" s="6">
        <v>-0.00916267</v>
      </c>
      <c r="AH400" s="6">
        <v>-0.01190464</v>
      </c>
      <c r="AI400" s="6">
        <v>-0.01019536</v>
      </c>
      <c r="AJ400" s="6">
        <v>-0.0133726</v>
      </c>
      <c r="AK400" s="6">
        <v>-0.01736323</v>
      </c>
      <c r="AL400" s="6">
        <v>-0.01146771</v>
      </c>
      <c r="AM400" s="6">
        <v>-0.01445046</v>
      </c>
      <c r="AN400" s="6">
        <v>-6.4762184</v>
      </c>
      <c r="AO400" s="6">
        <v>-6.4515561</v>
      </c>
      <c r="AP400" s="6">
        <v>-6.4739881</v>
      </c>
      <c r="AQ400" s="6">
        <v>-6.4253629</v>
      </c>
      <c r="AR400" s="6">
        <v>-6.4020076</v>
      </c>
      <c r="AS400" s="6">
        <v>-6.4618417</v>
      </c>
      <c r="AT400" s="6">
        <v>-6.4506396</v>
      </c>
      <c r="AU400" s="6">
        <v>0.97344833</v>
      </c>
      <c r="AV400" s="6">
        <v>0.96974131</v>
      </c>
      <c r="AW400" s="6">
        <v>0.97311308</v>
      </c>
      <c r="AX400" s="6">
        <v>0.96580418</v>
      </c>
      <c r="AY400" s="6">
        <v>0.96229362</v>
      </c>
      <c r="AZ400" s="6">
        <v>0.97128734</v>
      </c>
      <c r="BA400" s="6">
        <v>0.96960354</v>
      </c>
      <c r="BB400" s="6">
        <v>0.02655167</v>
      </c>
      <c r="BC400" s="6">
        <v>0.03025869</v>
      </c>
      <c r="BD400" s="6">
        <v>0.02688692</v>
      </c>
      <c r="BE400" s="6">
        <v>0.03419582</v>
      </c>
      <c r="BF400" s="6">
        <v>0.03770638</v>
      </c>
      <c r="BG400" s="6">
        <v>0.02871266</v>
      </c>
      <c r="BH400" s="6">
        <v>0.03039646</v>
      </c>
      <c r="BI400" s="6">
        <v>0.21470859</v>
      </c>
      <c r="BJ400" s="6">
        <v>0.12366373</v>
      </c>
      <c r="BK400" s="6">
        <v>0.1409291</v>
      </c>
      <c r="BL400" s="6">
        <v>0.12522516</v>
      </c>
      <c r="BM400" s="6">
        <v>0.1592662</v>
      </c>
      <c r="BN400" s="6">
        <v>0.17561655</v>
      </c>
      <c r="BO400" s="6">
        <v>0.1337285</v>
      </c>
      <c r="BP400" s="6">
        <v>0.14157076</v>
      </c>
      <c r="BQ400" s="6">
        <v>0.03751001</v>
      </c>
      <c r="BR400" s="6">
        <v>0.04551097</v>
      </c>
      <c r="BS400" s="6">
        <v>0.03901834</v>
      </c>
      <c r="BT400" s="6">
        <v>0.04674105</v>
      </c>
      <c r="BU400" s="6">
        <v>0.07073896</v>
      </c>
      <c r="BV400" s="6">
        <v>0.07167437</v>
      </c>
      <c r="BW400" s="6">
        <v>0.08267145</v>
      </c>
      <c r="BX400" s="12">
        <v>11530.0507007281</v>
      </c>
      <c r="BY400" s="13">
        <v>4515</v>
      </c>
      <c r="BZ400" s="12">
        <v>32200.1</v>
      </c>
      <c r="CA400" s="6">
        <f t="shared" si="36"/>
        <v>2.55372108543258</v>
      </c>
      <c r="CB400" s="6">
        <f t="shared" si="37"/>
        <v>0.358074996684113</v>
      </c>
      <c r="CC400" s="7">
        <v>268373058.6</v>
      </c>
      <c r="CD400" s="7">
        <f t="shared" si="38"/>
        <v>0.83345411535989</v>
      </c>
      <c r="CE400" s="8">
        <v>5360.1</v>
      </c>
      <c r="CF400" s="8">
        <v>22175.3</v>
      </c>
      <c r="CG400" s="8">
        <v>31597</v>
      </c>
      <c r="CH400" s="8">
        <v>60073</v>
      </c>
      <c r="CI400" s="14">
        <v>1</v>
      </c>
      <c r="CJ400" s="14">
        <v>1</v>
      </c>
      <c r="CK400" s="14">
        <f t="shared" si="39"/>
        <v>1</v>
      </c>
      <c r="CL400">
        <f t="shared" si="40"/>
        <v>1.2756783895882</v>
      </c>
      <c r="CM400">
        <f t="shared" si="41"/>
        <v>0.34665812154352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</row>
    <row r="401" spans="1:101">
      <c r="A401" s="6">
        <v>2024</v>
      </c>
      <c r="B401" s="6" t="s">
        <v>115</v>
      </c>
      <c r="C401" s="6">
        <v>0.45379771</v>
      </c>
      <c r="D401" s="6">
        <v>0.046521</v>
      </c>
      <c r="E401" s="6">
        <v>0.01698</v>
      </c>
      <c r="F401" s="6">
        <v>0.024334</v>
      </c>
      <c r="G401" s="6">
        <v>0.013014</v>
      </c>
      <c r="H401" s="6">
        <v>0.018014</v>
      </c>
      <c r="I401" s="6">
        <v>0.059978</v>
      </c>
      <c r="J401" s="6">
        <v>0.042928</v>
      </c>
      <c r="K401" s="6">
        <v>0.31334442</v>
      </c>
      <c r="L401" s="6">
        <v>0.36095789</v>
      </c>
      <c r="M401" s="6">
        <v>0.33108401</v>
      </c>
      <c r="N401" s="6">
        <v>0.35620325</v>
      </c>
      <c r="O401" s="6">
        <v>0.51241059</v>
      </c>
      <c r="P401" s="6">
        <v>0.57826535</v>
      </c>
      <c r="Q401" s="6">
        <v>0.69696155</v>
      </c>
      <c r="R401" s="6">
        <v>217.69486</v>
      </c>
      <c r="S401" s="6">
        <v>0.00143937</v>
      </c>
      <c r="T401" s="6">
        <v>169.97573</v>
      </c>
      <c r="U401" s="6">
        <v>0.00212358</v>
      </c>
      <c r="V401" s="6">
        <v>197.11803</v>
      </c>
      <c r="W401" s="6">
        <v>0.00167962</v>
      </c>
      <c r="X401" s="6">
        <v>134.47093</v>
      </c>
      <c r="Y401" s="6">
        <v>0.00264892</v>
      </c>
      <c r="Z401" s="6">
        <v>134.86767</v>
      </c>
      <c r="AA401" s="6">
        <v>0.00379936</v>
      </c>
      <c r="AB401" s="6">
        <v>294.9318</v>
      </c>
      <c r="AC401" s="6">
        <v>0.00196067</v>
      </c>
      <c r="AD401" s="6">
        <v>243.86163</v>
      </c>
      <c r="AE401" s="6">
        <v>0.00285802</v>
      </c>
      <c r="AF401" s="6">
        <v>775</v>
      </c>
      <c r="AG401" s="6">
        <v>-0.00941861</v>
      </c>
      <c r="AH401" s="6">
        <v>-0.01306992</v>
      </c>
      <c r="AI401" s="6">
        <v>-0.01073142</v>
      </c>
      <c r="AJ401" s="6">
        <v>-0.01571766</v>
      </c>
      <c r="AK401" s="6">
        <v>-0.02117353</v>
      </c>
      <c r="AL401" s="6">
        <v>-0.01222376</v>
      </c>
      <c r="AM401" s="6">
        <v>-0.01674122</v>
      </c>
      <c r="AN401" s="6">
        <v>-6.4762184</v>
      </c>
      <c r="AO401" s="6">
        <v>-6.4515561</v>
      </c>
      <c r="AP401" s="6">
        <v>-6.4739881</v>
      </c>
      <c r="AQ401" s="6">
        <v>-6.4253629</v>
      </c>
      <c r="AR401" s="6">
        <v>-6.4020076</v>
      </c>
      <c r="AS401" s="6">
        <v>-6.4618417</v>
      </c>
      <c r="AT401" s="6">
        <v>-6.4506396</v>
      </c>
      <c r="AU401" s="6">
        <v>0.97344833</v>
      </c>
      <c r="AV401" s="6">
        <v>0.96974131</v>
      </c>
      <c r="AW401" s="6">
        <v>0.97311308</v>
      </c>
      <c r="AX401" s="6">
        <v>0.96580418</v>
      </c>
      <c r="AY401" s="6">
        <v>0.96229362</v>
      </c>
      <c r="AZ401" s="6">
        <v>0.97128734</v>
      </c>
      <c r="BA401" s="6">
        <v>0.96960354</v>
      </c>
      <c r="BB401" s="6">
        <v>0.02655167</v>
      </c>
      <c r="BC401" s="6">
        <v>0.03025869</v>
      </c>
      <c r="BD401" s="6">
        <v>0.02688692</v>
      </c>
      <c r="BE401" s="6">
        <v>0.03419582</v>
      </c>
      <c r="BF401" s="6">
        <v>0.03770638</v>
      </c>
      <c r="BG401" s="6">
        <v>0.02871266</v>
      </c>
      <c r="BH401" s="6">
        <v>0.03039646</v>
      </c>
      <c r="BI401" s="6">
        <v>0.21470859</v>
      </c>
      <c r="BJ401" s="6">
        <v>0.12366373</v>
      </c>
      <c r="BK401" s="6">
        <v>0.1409291</v>
      </c>
      <c r="BL401" s="6">
        <v>0.12522516</v>
      </c>
      <c r="BM401" s="6">
        <v>0.1592662</v>
      </c>
      <c r="BN401" s="6">
        <v>0.17561655</v>
      </c>
      <c r="BO401" s="6">
        <v>0.1337285</v>
      </c>
      <c r="BP401" s="6">
        <v>0.14157076</v>
      </c>
      <c r="BQ401" s="6">
        <v>0.03874934</v>
      </c>
      <c r="BR401" s="6">
        <v>0.05086947</v>
      </c>
      <c r="BS401" s="6">
        <v>0.04146005</v>
      </c>
      <c r="BT401" s="6">
        <v>0.05673114</v>
      </c>
      <c r="BU401" s="6">
        <v>0.08998778</v>
      </c>
      <c r="BV401" s="6">
        <v>0.07733056</v>
      </c>
      <c r="BW401" s="6">
        <v>0.09866938</v>
      </c>
      <c r="BX401" s="12">
        <v>11942.0496103375</v>
      </c>
      <c r="BY401" s="13">
        <v>4502</v>
      </c>
      <c r="BZ401" s="12">
        <v>34202.5</v>
      </c>
      <c r="CA401" s="6">
        <f t="shared" si="36"/>
        <v>2.65260986457963</v>
      </c>
      <c r="CB401" s="6">
        <f t="shared" si="37"/>
        <v>0.349157213956217</v>
      </c>
      <c r="CC401" s="7">
        <v>270753111.2</v>
      </c>
      <c r="CD401" s="7">
        <f t="shared" si="38"/>
        <v>0.791617896937358</v>
      </c>
      <c r="CE401" s="8">
        <v>5491.4</v>
      </c>
      <c r="CF401" s="8">
        <v>24346.2</v>
      </c>
      <c r="CG401" s="8">
        <v>33752.4</v>
      </c>
      <c r="CH401" s="8">
        <v>64888</v>
      </c>
      <c r="CI401" s="14">
        <v>1</v>
      </c>
      <c r="CJ401" s="14">
        <v>1</v>
      </c>
      <c r="CK401" s="14">
        <f t="shared" si="39"/>
        <v>1</v>
      </c>
      <c r="CL401">
        <f t="shared" si="40"/>
        <v>1.21200651315194</v>
      </c>
      <c r="CM401">
        <f t="shared" si="41"/>
        <v>0.346853429955026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</row>
    <row r="402" spans="1:101">
      <c r="A402" s="6">
        <v>2000</v>
      </c>
      <c r="B402" s="6" t="s">
        <v>116</v>
      </c>
      <c r="C402" s="6">
        <v>0.19598341</v>
      </c>
      <c r="D402" s="6">
        <v>0.03485</v>
      </c>
      <c r="E402" s="6">
        <v>0.008717</v>
      </c>
      <c r="F402" s="6">
        <v>0.015708</v>
      </c>
      <c r="G402" s="6">
        <v>0.004509</v>
      </c>
      <c r="H402" s="6">
        <v>0.005917</v>
      </c>
      <c r="I402" s="6">
        <v>0.036853</v>
      </c>
      <c r="J402" s="6">
        <v>0.017793</v>
      </c>
      <c r="K402" s="6">
        <v>0.2218008</v>
      </c>
      <c r="L402" s="6">
        <v>0.1656009</v>
      </c>
      <c r="M402" s="6">
        <v>0.19850504</v>
      </c>
      <c r="N402" s="6">
        <v>0.10479109</v>
      </c>
      <c r="O402" s="6">
        <v>0.14580851</v>
      </c>
      <c r="P402" s="6">
        <v>0.32069172</v>
      </c>
      <c r="Q402" s="6">
        <v>0.24847782</v>
      </c>
      <c r="R402" s="6">
        <v>217.69486</v>
      </c>
      <c r="S402" s="6">
        <v>0.00101886</v>
      </c>
      <c r="T402" s="6">
        <v>169.97573</v>
      </c>
      <c r="U402" s="6">
        <v>0.00097426</v>
      </c>
      <c r="V402" s="6">
        <v>197.11803</v>
      </c>
      <c r="W402" s="6">
        <v>0.00100704</v>
      </c>
      <c r="X402" s="6">
        <v>134.47093</v>
      </c>
      <c r="Y402" s="6">
        <v>0.00077928</v>
      </c>
      <c r="Z402" s="6">
        <v>134.86767</v>
      </c>
      <c r="AA402" s="6">
        <v>0.00108112</v>
      </c>
      <c r="AB402" s="6">
        <v>294.9318</v>
      </c>
      <c r="AC402" s="6">
        <v>0.00108734</v>
      </c>
      <c r="AD402" s="6">
        <v>243.86163</v>
      </c>
      <c r="AE402" s="6">
        <v>0.00101893</v>
      </c>
      <c r="AF402" s="6">
        <v>775</v>
      </c>
      <c r="AG402" s="6">
        <v>-0.007019</v>
      </c>
      <c r="AH402" s="6">
        <v>-0.00675537</v>
      </c>
      <c r="AI402" s="6">
        <v>-0.0069493</v>
      </c>
      <c r="AJ402" s="6">
        <v>-0.00557744</v>
      </c>
      <c r="AK402" s="6">
        <v>-0.0073838</v>
      </c>
      <c r="AL402" s="6">
        <v>-0.00742004</v>
      </c>
      <c r="AM402" s="6">
        <v>-0.00701941</v>
      </c>
      <c r="AN402" s="6">
        <v>-6.4762184</v>
      </c>
      <c r="AO402" s="6">
        <v>-6.4515561</v>
      </c>
      <c r="AP402" s="6">
        <v>-6.4739881</v>
      </c>
      <c r="AQ402" s="6">
        <v>-6.4253629</v>
      </c>
      <c r="AR402" s="6">
        <v>-6.4020076</v>
      </c>
      <c r="AS402" s="6">
        <v>-6.4618417</v>
      </c>
      <c r="AT402" s="6">
        <v>-6.4506396</v>
      </c>
      <c r="AU402" s="6">
        <v>0.97344833</v>
      </c>
      <c r="AV402" s="6">
        <v>0.96974131</v>
      </c>
      <c r="AW402" s="6">
        <v>0.97311308</v>
      </c>
      <c r="AX402" s="6">
        <v>0.96580418</v>
      </c>
      <c r="AY402" s="6">
        <v>0.96229362</v>
      </c>
      <c r="AZ402" s="6">
        <v>0.97128734</v>
      </c>
      <c r="BA402" s="6">
        <v>0.96960354</v>
      </c>
      <c r="BB402" s="6">
        <v>0.02655167</v>
      </c>
      <c r="BC402" s="6">
        <v>0.03025869</v>
      </c>
      <c r="BD402" s="6">
        <v>0.02688692</v>
      </c>
      <c r="BE402" s="6">
        <v>0.03419582</v>
      </c>
      <c r="BF402" s="6">
        <v>0.03770638</v>
      </c>
      <c r="BG402" s="6">
        <v>0.02871266</v>
      </c>
      <c r="BH402" s="6">
        <v>0.03039646</v>
      </c>
      <c r="BI402" s="6">
        <v>0.21470859</v>
      </c>
      <c r="BJ402" s="6">
        <v>0.12366373</v>
      </c>
      <c r="BK402" s="6">
        <v>0.1409291</v>
      </c>
      <c r="BL402" s="6">
        <v>0.12522516</v>
      </c>
      <c r="BM402" s="6">
        <v>0.1592662</v>
      </c>
      <c r="BN402" s="6">
        <v>0.17561655</v>
      </c>
      <c r="BO402" s="6">
        <v>0.1337285</v>
      </c>
      <c r="BP402" s="6">
        <v>0.14157076</v>
      </c>
      <c r="BQ402" s="6">
        <v>0.02742872</v>
      </c>
      <c r="BR402" s="6">
        <v>0.02333799</v>
      </c>
      <c r="BS402" s="6">
        <v>0.02485783</v>
      </c>
      <c r="BT402" s="6">
        <v>0.01668968</v>
      </c>
      <c r="BU402" s="6">
        <v>0.02560639</v>
      </c>
      <c r="BV402" s="6">
        <v>0.04288562</v>
      </c>
      <c r="BW402" s="6">
        <v>0.0351772</v>
      </c>
      <c r="BX402" s="12">
        <v>11196</v>
      </c>
      <c r="BY402" s="13">
        <v>6674.27</v>
      </c>
      <c r="BZ402" s="12">
        <v>5088.96</v>
      </c>
      <c r="CA402" s="6">
        <f t="shared" si="36"/>
        <v>1.67748682627463</v>
      </c>
      <c r="CB402" s="6">
        <f t="shared" si="37"/>
        <v>2.20005659309564</v>
      </c>
      <c r="CC402" s="7">
        <v>252382234.9</v>
      </c>
      <c r="CD402" s="7">
        <f t="shared" si="38"/>
        <v>4.95940692990316</v>
      </c>
      <c r="CE402" s="8">
        <v>74.8</v>
      </c>
      <c r="CF402" s="8">
        <v>2215.8</v>
      </c>
      <c r="CG402" s="8">
        <v>2521.6</v>
      </c>
      <c r="CH402" s="8">
        <v>30307</v>
      </c>
      <c r="CI402" s="14">
        <v>0</v>
      </c>
      <c r="CJ402" s="14">
        <v>0</v>
      </c>
      <c r="CK402" s="14">
        <f t="shared" si="39"/>
        <v>0</v>
      </c>
      <c r="CL402">
        <f t="shared" si="40"/>
        <v>4.53658228674969</v>
      </c>
      <c r="CM402">
        <f t="shared" si="41"/>
        <v>0</v>
      </c>
      <c r="CN402" s="15">
        <v>11195.71</v>
      </c>
      <c r="CO402" s="15">
        <v>12115.08</v>
      </c>
      <c r="CP402" s="15">
        <v>1227.85</v>
      </c>
      <c r="CQ402" s="15">
        <v>747.37</v>
      </c>
      <c r="CR402" s="15">
        <v>136.44</v>
      </c>
      <c r="CS402" s="15">
        <v>3.23</v>
      </c>
      <c r="CT402" s="15">
        <v>181.28</v>
      </c>
      <c r="CU402" s="15">
        <v>49.39</v>
      </c>
      <c r="CV402" s="15">
        <v>7.72</v>
      </c>
      <c r="CW402" s="15">
        <v>809.34</v>
      </c>
    </row>
    <row r="403" spans="1:101">
      <c r="A403" s="6">
        <v>2001</v>
      </c>
      <c r="B403" s="6" t="s">
        <v>116</v>
      </c>
      <c r="C403" s="6">
        <v>0.20747304</v>
      </c>
      <c r="D403" s="6">
        <v>0.036228</v>
      </c>
      <c r="E403" s="6">
        <v>0.009145</v>
      </c>
      <c r="F403" s="6">
        <v>0.015882</v>
      </c>
      <c r="G403" s="6">
        <v>0.005399</v>
      </c>
      <c r="H403" s="6">
        <v>0.005802</v>
      </c>
      <c r="I403" s="6">
        <v>0.039449</v>
      </c>
      <c r="J403" s="6">
        <v>0.018167</v>
      </c>
      <c r="K403" s="6">
        <v>0.2326085</v>
      </c>
      <c r="L403" s="6">
        <v>0.17572336</v>
      </c>
      <c r="M403" s="6">
        <v>0.2011846</v>
      </c>
      <c r="N403" s="6">
        <v>0.13110437</v>
      </c>
      <c r="O403" s="6">
        <v>0.14232803</v>
      </c>
      <c r="P403" s="6">
        <v>0.34960378</v>
      </c>
      <c r="Q403" s="6">
        <v>0.25515334</v>
      </c>
      <c r="R403" s="6">
        <v>217.69486</v>
      </c>
      <c r="S403" s="6">
        <v>0.00106851</v>
      </c>
      <c r="T403" s="6">
        <v>169.97573</v>
      </c>
      <c r="U403" s="6">
        <v>0.00103381</v>
      </c>
      <c r="V403" s="6">
        <v>197.11803</v>
      </c>
      <c r="W403" s="6">
        <v>0.00102063</v>
      </c>
      <c r="X403" s="6">
        <v>134.47093</v>
      </c>
      <c r="Y403" s="6">
        <v>0.00097496</v>
      </c>
      <c r="Z403" s="6">
        <v>134.86767</v>
      </c>
      <c r="AA403" s="6">
        <v>0.00105532</v>
      </c>
      <c r="AB403" s="6">
        <v>294.9318</v>
      </c>
      <c r="AC403" s="6">
        <v>0.00118537</v>
      </c>
      <c r="AD403" s="6">
        <v>243.86163</v>
      </c>
      <c r="AE403" s="6">
        <v>0.0010463</v>
      </c>
      <c r="AF403" s="6">
        <v>775</v>
      </c>
      <c r="AG403" s="6">
        <v>-0.00731018</v>
      </c>
      <c r="AH403" s="6">
        <v>-0.00710696</v>
      </c>
      <c r="AI403" s="6">
        <v>-0.00702942</v>
      </c>
      <c r="AJ403" s="6">
        <v>-0.00675954</v>
      </c>
      <c r="AK403" s="6">
        <v>-0.00723305</v>
      </c>
      <c r="AL403" s="6">
        <v>-0.00798668</v>
      </c>
      <c r="AM403" s="6">
        <v>-0.00718025</v>
      </c>
      <c r="AN403" s="6">
        <v>-6.4762184</v>
      </c>
      <c r="AO403" s="6">
        <v>-6.4515561</v>
      </c>
      <c r="AP403" s="6">
        <v>-6.4739881</v>
      </c>
      <c r="AQ403" s="6">
        <v>-6.4253629</v>
      </c>
      <c r="AR403" s="6">
        <v>-6.4020076</v>
      </c>
      <c r="AS403" s="6">
        <v>-6.4618417</v>
      </c>
      <c r="AT403" s="6">
        <v>-6.4506396</v>
      </c>
      <c r="AU403" s="6">
        <v>0.97344833</v>
      </c>
      <c r="AV403" s="6">
        <v>0.96974131</v>
      </c>
      <c r="AW403" s="6">
        <v>0.97311308</v>
      </c>
      <c r="AX403" s="6">
        <v>0.96580418</v>
      </c>
      <c r="AY403" s="6">
        <v>0.96229362</v>
      </c>
      <c r="AZ403" s="6">
        <v>0.97128734</v>
      </c>
      <c r="BA403" s="6">
        <v>0.96960354</v>
      </c>
      <c r="BB403" s="6">
        <v>0.02655167</v>
      </c>
      <c r="BC403" s="6">
        <v>0.03025869</v>
      </c>
      <c r="BD403" s="6">
        <v>0.02688692</v>
      </c>
      <c r="BE403" s="6">
        <v>0.03419582</v>
      </c>
      <c r="BF403" s="6">
        <v>0.03770638</v>
      </c>
      <c r="BG403" s="6">
        <v>0.02871266</v>
      </c>
      <c r="BH403" s="6">
        <v>0.03039646</v>
      </c>
      <c r="BI403" s="6">
        <v>0.21470859</v>
      </c>
      <c r="BJ403" s="6">
        <v>0.12366373</v>
      </c>
      <c r="BK403" s="6">
        <v>0.1409291</v>
      </c>
      <c r="BL403" s="6">
        <v>0.12522516</v>
      </c>
      <c r="BM403" s="6">
        <v>0.1592662</v>
      </c>
      <c r="BN403" s="6">
        <v>0.17561655</v>
      </c>
      <c r="BO403" s="6">
        <v>0.1337285</v>
      </c>
      <c r="BP403" s="6">
        <v>0.14157076</v>
      </c>
      <c r="BQ403" s="6">
        <v>0.02876524</v>
      </c>
      <c r="BR403" s="6">
        <v>0.02476453</v>
      </c>
      <c r="BS403" s="6">
        <v>0.02519337</v>
      </c>
      <c r="BT403" s="6">
        <v>0.02088049</v>
      </c>
      <c r="BU403" s="6">
        <v>0.02499516</v>
      </c>
      <c r="BV403" s="6">
        <v>0.04675199</v>
      </c>
      <c r="BW403" s="6">
        <v>0.03612225</v>
      </c>
      <c r="BX403" s="12">
        <v>10391</v>
      </c>
      <c r="BY403" s="13">
        <v>6699.13</v>
      </c>
      <c r="BZ403" s="12">
        <v>5516.76</v>
      </c>
      <c r="CA403" s="6">
        <f t="shared" si="36"/>
        <v>1.55109693348241</v>
      </c>
      <c r="CB403" s="6">
        <f t="shared" si="37"/>
        <v>1.88353308826195</v>
      </c>
      <c r="CC403" s="7">
        <v>270605987</v>
      </c>
      <c r="CD403" s="7">
        <f t="shared" si="38"/>
        <v>4.90516148971498</v>
      </c>
      <c r="CE403" s="8">
        <v>76.1</v>
      </c>
      <c r="CF403" s="8">
        <v>2413.8</v>
      </c>
      <c r="CG403" s="8">
        <v>2767.8</v>
      </c>
      <c r="CH403" s="8">
        <v>32089</v>
      </c>
      <c r="CI403" s="14">
        <v>0</v>
      </c>
      <c r="CJ403" s="14">
        <v>0</v>
      </c>
      <c r="CK403" s="14">
        <f t="shared" si="39"/>
        <v>0</v>
      </c>
      <c r="CL403">
        <f t="shared" si="40"/>
        <v>4.16809156222866</v>
      </c>
      <c r="CM403">
        <f t="shared" si="41"/>
        <v>0</v>
      </c>
      <c r="CN403" s="15">
        <v>10391</v>
      </c>
      <c r="CO403" s="15">
        <v>12641</v>
      </c>
      <c r="CP403" s="15">
        <v>1359.97</v>
      </c>
      <c r="CQ403" s="15">
        <v>670.55</v>
      </c>
      <c r="CR403" s="15">
        <v>141.85</v>
      </c>
      <c r="CS403" s="15">
        <v>3</v>
      </c>
      <c r="CT403" s="15">
        <v>168.08</v>
      </c>
      <c r="CU403" s="15">
        <v>55.37</v>
      </c>
      <c r="CV403" s="15">
        <v>6.97</v>
      </c>
      <c r="CW403" s="15">
        <v>869.55</v>
      </c>
    </row>
    <row r="404" spans="1:101">
      <c r="A404" s="6">
        <v>2002</v>
      </c>
      <c r="B404" s="6" t="s">
        <v>116</v>
      </c>
      <c r="C404" s="6">
        <v>0.20796765</v>
      </c>
      <c r="D404" s="6">
        <v>0.036772</v>
      </c>
      <c r="E404" s="6">
        <v>0.009403</v>
      </c>
      <c r="F404" s="6">
        <v>0.016357</v>
      </c>
      <c r="G404" s="6">
        <v>0.004812</v>
      </c>
      <c r="H404" s="6">
        <v>0.0062</v>
      </c>
      <c r="I404" s="6">
        <v>0.035582</v>
      </c>
      <c r="J404" s="6">
        <v>0.019986</v>
      </c>
      <c r="K404" s="6">
        <v>0.23687755</v>
      </c>
      <c r="L404" s="6">
        <v>0.18181487</v>
      </c>
      <c r="M404" s="6">
        <v>0.20848459</v>
      </c>
      <c r="N404" s="6">
        <v>0.11376101</v>
      </c>
      <c r="O404" s="6">
        <v>0.15440009</v>
      </c>
      <c r="P404" s="6">
        <v>0.30653572</v>
      </c>
      <c r="Q404" s="6">
        <v>0.28761525</v>
      </c>
      <c r="R404" s="6">
        <v>217.69486</v>
      </c>
      <c r="S404" s="6">
        <v>0.00108812</v>
      </c>
      <c r="T404" s="6">
        <v>169.97573</v>
      </c>
      <c r="U404" s="6">
        <v>0.00106965</v>
      </c>
      <c r="V404" s="6">
        <v>197.11803</v>
      </c>
      <c r="W404" s="6">
        <v>0.00105766</v>
      </c>
      <c r="X404" s="6">
        <v>134.47093</v>
      </c>
      <c r="Y404" s="6">
        <v>0.00084599</v>
      </c>
      <c r="Z404" s="6">
        <v>134.86767</v>
      </c>
      <c r="AA404" s="6">
        <v>0.00114483</v>
      </c>
      <c r="AB404" s="6">
        <v>294.9318</v>
      </c>
      <c r="AC404" s="6">
        <v>0.00103934</v>
      </c>
      <c r="AD404" s="6">
        <v>243.86163</v>
      </c>
      <c r="AE404" s="6">
        <v>0.00117942</v>
      </c>
      <c r="AF404" s="6">
        <v>775</v>
      </c>
      <c r="AG404" s="6">
        <v>-0.00742456</v>
      </c>
      <c r="AH404" s="6">
        <v>-0.00731687</v>
      </c>
      <c r="AI404" s="6">
        <v>-0.00724679</v>
      </c>
      <c r="AJ404" s="6">
        <v>-0.00598538</v>
      </c>
      <c r="AK404" s="6">
        <v>-0.00775334</v>
      </c>
      <c r="AL404" s="6">
        <v>-0.00713943</v>
      </c>
      <c r="AM404" s="6">
        <v>-0.00795251</v>
      </c>
      <c r="AN404" s="6">
        <v>-6.4762184</v>
      </c>
      <c r="AO404" s="6">
        <v>-6.4515561</v>
      </c>
      <c r="AP404" s="6">
        <v>-6.4739881</v>
      </c>
      <c r="AQ404" s="6">
        <v>-6.4253629</v>
      </c>
      <c r="AR404" s="6">
        <v>-6.4020076</v>
      </c>
      <c r="AS404" s="6">
        <v>-6.4618417</v>
      </c>
      <c r="AT404" s="6">
        <v>-6.4506396</v>
      </c>
      <c r="AU404" s="6">
        <v>0.97344833</v>
      </c>
      <c r="AV404" s="6">
        <v>0.96974131</v>
      </c>
      <c r="AW404" s="6">
        <v>0.97311308</v>
      </c>
      <c r="AX404" s="6">
        <v>0.96580418</v>
      </c>
      <c r="AY404" s="6">
        <v>0.96229362</v>
      </c>
      <c r="AZ404" s="6">
        <v>0.97128734</v>
      </c>
      <c r="BA404" s="6">
        <v>0.96960354</v>
      </c>
      <c r="BB404" s="6">
        <v>0.02655167</v>
      </c>
      <c r="BC404" s="6">
        <v>0.03025869</v>
      </c>
      <c r="BD404" s="6">
        <v>0.02688692</v>
      </c>
      <c r="BE404" s="6">
        <v>0.03419582</v>
      </c>
      <c r="BF404" s="6">
        <v>0.03770638</v>
      </c>
      <c r="BG404" s="6">
        <v>0.02871266</v>
      </c>
      <c r="BH404" s="6">
        <v>0.03039646</v>
      </c>
      <c r="BI404" s="6">
        <v>0.21470859</v>
      </c>
      <c r="BJ404" s="6">
        <v>0.12366373</v>
      </c>
      <c r="BK404" s="6">
        <v>0.1409291</v>
      </c>
      <c r="BL404" s="6">
        <v>0.12522516</v>
      </c>
      <c r="BM404" s="6">
        <v>0.1592662</v>
      </c>
      <c r="BN404" s="6">
        <v>0.17561655</v>
      </c>
      <c r="BO404" s="6">
        <v>0.1337285</v>
      </c>
      <c r="BP404" s="6">
        <v>0.14157076</v>
      </c>
      <c r="BQ404" s="6">
        <v>0.02929316</v>
      </c>
      <c r="BR404" s="6">
        <v>0.02562301</v>
      </c>
      <c r="BS404" s="6">
        <v>0.02610752</v>
      </c>
      <c r="BT404" s="6">
        <v>0.01811828</v>
      </c>
      <c r="BU404" s="6">
        <v>0.02711521</v>
      </c>
      <c r="BV404" s="6">
        <v>0.04099256</v>
      </c>
      <c r="BW404" s="6">
        <v>0.04071791</v>
      </c>
      <c r="BX404" s="12">
        <v>11588</v>
      </c>
      <c r="BY404" s="13">
        <v>6735</v>
      </c>
      <c r="BZ404" s="12">
        <v>6018.28</v>
      </c>
      <c r="CA404" s="6">
        <f t="shared" si="36"/>
        <v>1.72056421677803</v>
      </c>
      <c r="CB404" s="6">
        <f t="shared" si="37"/>
        <v>1.92546707697216</v>
      </c>
      <c r="CC404" s="7">
        <v>307604087.2</v>
      </c>
      <c r="CD404" s="7">
        <f t="shared" si="38"/>
        <v>5.11116277740484</v>
      </c>
      <c r="CE404" s="8">
        <v>77.7</v>
      </c>
      <c r="CF404" s="8">
        <v>2635.3</v>
      </c>
      <c r="CG404" s="8">
        <v>3082.1</v>
      </c>
      <c r="CH404" s="8">
        <v>34277</v>
      </c>
      <c r="CI404" s="14">
        <v>0</v>
      </c>
      <c r="CJ404" s="14">
        <v>0</v>
      </c>
      <c r="CK404" s="14">
        <f t="shared" si="39"/>
        <v>0</v>
      </c>
      <c r="CL404">
        <f t="shared" si="40"/>
        <v>4.06804884448575</v>
      </c>
      <c r="CM404">
        <f t="shared" si="41"/>
        <v>0</v>
      </c>
      <c r="CN404" s="15">
        <v>13405</v>
      </c>
      <c r="CO404" s="15">
        <v>13739</v>
      </c>
      <c r="CP404" s="15">
        <v>1808.02</v>
      </c>
      <c r="CQ404" s="15">
        <v>697.59</v>
      </c>
      <c r="CR404" s="15">
        <v>147.41</v>
      </c>
      <c r="CS404" s="15">
        <v>2.83</v>
      </c>
      <c r="CT404" s="15">
        <v>169.52</v>
      </c>
      <c r="CU404" s="15">
        <v>61.08</v>
      </c>
      <c r="CV404" s="15">
        <v>7.74</v>
      </c>
      <c r="CW404" s="15">
        <v>965.08</v>
      </c>
    </row>
    <row r="405" spans="1:101">
      <c r="A405" s="6">
        <v>2003</v>
      </c>
      <c r="B405" s="6" t="s">
        <v>116</v>
      </c>
      <c r="C405" s="6">
        <v>0.21504497</v>
      </c>
      <c r="D405" s="6">
        <v>0.039584</v>
      </c>
      <c r="E405" s="6">
        <v>0.010278</v>
      </c>
      <c r="F405" s="6">
        <v>0.017517</v>
      </c>
      <c r="G405" s="6">
        <v>0.005986</v>
      </c>
      <c r="H405" s="6">
        <v>0.005803</v>
      </c>
      <c r="I405" s="6">
        <v>0.037287</v>
      </c>
      <c r="J405" s="6">
        <v>0.017314</v>
      </c>
      <c r="K405" s="6">
        <v>0.25893391</v>
      </c>
      <c r="L405" s="6">
        <v>0.20251392</v>
      </c>
      <c r="M405" s="6">
        <v>0.2263193</v>
      </c>
      <c r="N405" s="6">
        <v>0.14845627</v>
      </c>
      <c r="O405" s="6">
        <v>0.14234563</v>
      </c>
      <c r="P405" s="6">
        <v>0.32552849</v>
      </c>
      <c r="Q405" s="6">
        <v>0.23994016</v>
      </c>
      <c r="R405" s="6">
        <v>217.69486</v>
      </c>
      <c r="S405" s="6">
        <v>0.00118944</v>
      </c>
      <c r="T405" s="6">
        <v>169.97573</v>
      </c>
      <c r="U405" s="6">
        <v>0.00119143</v>
      </c>
      <c r="V405" s="6">
        <v>197.11803</v>
      </c>
      <c r="W405" s="6">
        <v>0.00114814</v>
      </c>
      <c r="X405" s="6">
        <v>134.47093</v>
      </c>
      <c r="Y405" s="6">
        <v>0.001104</v>
      </c>
      <c r="Z405" s="6">
        <v>134.86767</v>
      </c>
      <c r="AA405" s="6">
        <v>0.00105545</v>
      </c>
      <c r="AB405" s="6">
        <v>294.9318</v>
      </c>
      <c r="AC405" s="6">
        <v>0.00110374</v>
      </c>
      <c r="AD405" s="6">
        <v>243.86163</v>
      </c>
      <c r="AE405" s="6">
        <v>0.00098392</v>
      </c>
      <c r="AF405" s="6">
        <v>775</v>
      </c>
      <c r="AG405" s="6">
        <v>-0.00800999</v>
      </c>
      <c r="AH405" s="6">
        <v>-0.00802141</v>
      </c>
      <c r="AI405" s="6">
        <v>-0.00777247</v>
      </c>
      <c r="AJ405" s="6">
        <v>-0.00751695</v>
      </c>
      <c r="AK405" s="6">
        <v>-0.00723381</v>
      </c>
      <c r="AL405" s="6">
        <v>-0.00751543</v>
      </c>
      <c r="AM405" s="6">
        <v>-0.00681262</v>
      </c>
      <c r="AN405" s="6">
        <v>-6.4762184</v>
      </c>
      <c r="AO405" s="6">
        <v>-6.4515561</v>
      </c>
      <c r="AP405" s="6">
        <v>-6.4739881</v>
      </c>
      <c r="AQ405" s="6">
        <v>-6.4253629</v>
      </c>
      <c r="AR405" s="6">
        <v>-6.4020076</v>
      </c>
      <c r="AS405" s="6">
        <v>-6.4618417</v>
      </c>
      <c r="AT405" s="6">
        <v>-6.4506396</v>
      </c>
      <c r="AU405" s="6">
        <v>0.97344833</v>
      </c>
      <c r="AV405" s="6">
        <v>0.96974131</v>
      </c>
      <c r="AW405" s="6">
        <v>0.97311308</v>
      </c>
      <c r="AX405" s="6">
        <v>0.96580418</v>
      </c>
      <c r="AY405" s="6">
        <v>0.96229362</v>
      </c>
      <c r="AZ405" s="6">
        <v>0.97128734</v>
      </c>
      <c r="BA405" s="6">
        <v>0.96960354</v>
      </c>
      <c r="BB405" s="6">
        <v>0.02655167</v>
      </c>
      <c r="BC405" s="6">
        <v>0.03025869</v>
      </c>
      <c r="BD405" s="6">
        <v>0.02688692</v>
      </c>
      <c r="BE405" s="6">
        <v>0.03419582</v>
      </c>
      <c r="BF405" s="6">
        <v>0.03770638</v>
      </c>
      <c r="BG405" s="6">
        <v>0.02871266</v>
      </c>
      <c r="BH405" s="6">
        <v>0.03039646</v>
      </c>
      <c r="BI405" s="6">
        <v>0.21470859</v>
      </c>
      <c r="BJ405" s="6">
        <v>0.12366373</v>
      </c>
      <c r="BK405" s="6">
        <v>0.1409291</v>
      </c>
      <c r="BL405" s="6">
        <v>0.12522516</v>
      </c>
      <c r="BM405" s="6">
        <v>0.1592662</v>
      </c>
      <c r="BN405" s="6">
        <v>0.17561655</v>
      </c>
      <c r="BO405" s="6">
        <v>0.1337285</v>
      </c>
      <c r="BP405" s="6">
        <v>0.14157076</v>
      </c>
      <c r="BQ405" s="6">
        <v>0.03202073</v>
      </c>
      <c r="BR405" s="6">
        <v>0.0285401</v>
      </c>
      <c r="BS405" s="6">
        <v>0.02834087</v>
      </c>
      <c r="BT405" s="6">
        <v>0.02364407</v>
      </c>
      <c r="BU405" s="6">
        <v>0.02499825</v>
      </c>
      <c r="BV405" s="6">
        <v>0.04353244</v>
      </c>
      <c r="BW405" s="6">
        <v>0.03396851</v>
      </c>
      <c r="BX405" s="12">
        <v>13483</v>
      </c>
      <c r="BY405" s="13">
        <v>6769.44</v>
      </c>
      <c r="BZ405" s="12">
        <v>6921.29</v>
      </c>
      <c r="CA405" s="6">
        <f t="shared" si="36"/>
        <v>1.99174525514666</v>
      </c>
      <c r="CB405" s="6">
        <f t="shared" si="37"/>
        <v>1.94804725708647</v>
      </c>
      <c r="CC405" s="7">
        <v>345945617.4</v>
      </c>
      <c r="CD405" s="7">
        <f t="shared" si="38"/>
        <v>4.99828236354784</v>
      </c>
      <c r="CE405" s="8">
        <v>79</v>
      </c>
      <c r="CF405" s="8">
        <v>3239.6</v>
      </c>
      <c r="CG405" s="8">
        <v>3485.4</v>
      </c>
      <c r="CH405" s="8">
        <v>39117</v>
      </c>
      <c r="CI405" s="14">
        <v>0</v>
      </c>
      <c r="CJ405" s="14">
        <v>0</v>
      </c>
      <c r="CK405" s="14">
        <f t="shared" si="39"/>
        <v>0</v>
      </c>
      <c r="CL405">
        <f t="shared" si="40"/>
        <v>4.08414499624993</v>
      </c>
      <c r="CM405">
        <f t="shared" si="41"/>
        <v>0</v>
      </c>
      <c r="CN405" s="15">
        <v>15297.89</v>
      </c>
      <c r="CO405" s="15">
        <v>14851.4</v>
      </c>
      <c r="CP405" s="15">
        <v>2591.01</v>
      </c>
      <c r="CQ405" s="15">
        <v>835.19</v>
      </c>
      <c r="CR405" s="15">
        <v>157</v>
      </c>
      <c r="CS405" s="15">
        <v>2.71</v>
      </c>
      <c r="CT405" s="15">
        <v>173.82</v>
      </c>
      <c r="CU405" s="15">
        <v>62.68</v>
      </c>
      <c r="CV405" s="15">
        <v>8.28</v>
      </c>
      <c r="CW405" s="15">
        <v>1098.99</v>
      </c>
    </row>
    <row r="406" spans="1:101">
      <c r="A406" s="6">
        <v>2004</v>
      </c>
      <c r="B406" s="6" t="s">
        <v>116</v>
      </c>
      <c r="C406" s="6">
        <v>0.22595088</v>
      </c>
      <c r="D406" s="6">
        <v>0.038322</v>
      </c>
      <c r="E406" s="6">
        <v>0.009798</v>
      </c>
      <c r="F406" s="6">
        <v>0.017906</v>
      </c>
      <c r="G406" s="6">
        <v>0.005956</v>
      </c>
      <c r="H406" s="6">
        <v>0.004664</v>
      </c>
      <c r="I406" s="6">
        <v>0.042113</v>
      </c>
      <c r="J406" s="6">
        <v>0.022066</v>
      </c>
      <c r="K406" s="6">
        <v>0.2490345</v>
      </c>
      <c r="L406" s="6">
        <v>0.19114367</v>
      </c>
      <c r="M406" s="6">
        <v>0.23228641</v>
      </c>
      <c r="N406" s="6">
        <v>0.14755705</v>
      </c>
      <c r="O406" s="6">
        <v>0.10783088</v>
      </c>
      <c r="P406" s="6">
        <v>0.37927762</v>
      </c>
      <c r="Q406" s="6">
        <v>0.32471796</v>
      </c>
      <c r="R406" s="6">
        <v>217.69486</v>
      </c>
      <c r="S406" s="6">
        <v>0.00114396</v>
      </c>
      <c r="T406" s="6">
        <v>169.97573</v>
      </c>
      <c r="U406" s="6">
        <v>0.00112454</v>
      </c>
      <c r="V406" s="6">
        <v>197.11803</v>
      </c>
      <c r="W406" s="6">
        <v>0.00117841</v>
      </c>
      <c r="X406" s="6">
        <v>134.47093</v>
      </c>
      <c r="Y406" s="6">
        <v>0.00109732</v>
      </c>
      <c r="Z406" s="6">
        <v>134.86767</v>
      </c>
      <c r="AA406" s="6">
        <v>0.00079953</v>
      </c>
      <c r="AB406" s="6">
        <v>294.9318</v>
      </c>
      <c r="AC406" s="6">
        <v>0.00128598</v>
      </c>
      <c r="AD406" s="6">
        <v>243.86163</v>
      </c>
      <c r="AE406" s="6">
        <v>0.00133157</v>
      </c>
      <c r="AF406" s="6">
        <v>775</v>
      </c>
      <c r="AG406" s="6">
        <v>-0.00774835</v>
      </c>
      <c r="AH406" s="6">
        <v>-0.00763603</v>
      </c>
      <c r="AI406" s="6">
        <v>-0.00794673</v>
      </c>
      <c r="AJ406" s="6">
        <v>-0.00747808</v>
      </c>
      <c r="AK406" s="6">
        <v>-0.00570184</v>
      </c>
      <c r="AL406" s="6">
        <v>-0.00855981</v>
      </c>
      <c r="AM406" s="6">
        <v>-0.00881683</v>
      </c>
      <c r="AN406" s="6">
        <v>-6.4762184</v>
      </c>
      <c r="AO406" s="6">
        <v>-6.4515561</v>
      </c>
      <c r="AP406" s="6">
        <v>-6.4739881</v>
      </c>
      <c r="AQ406" s="6">
        <v>-6.4253629</v>
      </c>
      <c r="AR406" s="6">
        <v>-6.4020076</v>
      </c>
      <c r="AS406" s="6">
        <v>-6.4618417</v>
      </c>
      <c r="AT406" s="6">
        <v>-6.4506396</v>
      </c>
      <c r="AU406" s="6">
        <v>0.97344833</v>
      </c>
      <c r="AV406" s="6">
        <v>0.96974131</v>
      </c>
      <c r="AW406" s="6">
        <v>0.97311308</v>
      </c>
      <c r="AX406" s="6">
        <v>0.96580418</v>
      </c>
      <c r="AY406" s="6">
        <v>0.96229362</v>
      </c>
      <c r="AZ406" s="6">
        <v>0.97128734</v>
      </c>
      <c r="BA406" s="6">
        <v>0.96960354</v>
      </c>
      <c r="BB406" s="6">
        <v>0.02655167</v>
      </c>
      <c r="BC406" s="6">
        <v>0.03025869</v>
      </c>
      <c r="BD406" s="6">
        <v>0.02688692</v>
      </c>
      <c r="BE406" s="6">
        <v>0.03419582</v>
      </c>
      <c r="BF406" s="6">
        <v>0.03770638</v>
      </c>
      <c r="BG406" s="6">
        <v>0.02871266</v>
      </c>
      <c r="BH406" s="6">
        <v>0.03039646</v>
      </c>
      <c r="BI406" s="6">
        <v>0.21470859</v>
      </c>
      <c r="BJ406" s="6">
        <v>0.12366373</v>
      </c>
      <c r="BK406" s="6">
        <v>0.1409291</v>
      </c>
      <c r="BL406" s="6">
        <v>0.12522516</v>
      </c>
      <c r="BM406" s="6">
        <v>0.1592662</v>
      </c>
      <c r="BN406" s="6">
        <v>0.17561655</v>
      </c>
      <c r="BO406" s="6">
        <v>0.1337285</v>
      </c>
      <c r="BP406" s="6">
        <v>0.14157076</v>
      </c>
      <c r="BQ406" s="6">
        <v>0.03079654</v>
      </c>
      <c r="BR406" s="6">
        <v>0.02693771</v>
      </c>
      <c r="BS406" s="6">
        <v>0.0290881</v>
      </c>
      <c r="BT406" s="6">
        <v>0.02350085</v>
      </c>
      <c r="BU406" s="6">
        <v>0.01893689</v>
      </c>
      <c r="BV406" s="6">
        <v>0.05072023</v>
      </c>
      <c r="BW406" s="6">
        <v>0.04597057</v>
      </c>
      <c r="BX406" s="12">
        <v>15782</v>
      </c>
      <c r="BY406" s="13">
        <v>6808.75</v>
      </c>
      <c r="BZ406" s="12">
        <v>8477.63</v>
      </c>
      <c r="CA406" s="6">
        <f t="shared" si="36"/>
        <v>2.31789976133652</v>
      </c>
      <c r="CB406" s="6">
        <f t="shared" si="37"/>
        <v>1.86160518918613</v>
      </c>
      <c r="CC406" s="7">
        <v>392987144.7</v>
      </c>
      <c r="CD406" s="7">
        <f t="shared" si="38"/>
        <v>4.63557792331111</v>
      </c>
      <c r="CE406" s="8">
        <v>81.4</v>
      </c>
      <c r="CF406" s="8">
        <v>3872.2</v>
      </c>
      <c r="CG406" s="8">
        <v>4148</v>
      </c>
      <c r="CH406" s="8">
        <v>44998</v>
      </c>
      <c r="CI406" s="14">
        <v>0</v>
      </c>
      <c r="CJ406" s="14">
        <v>0</v>
      </c>
      <c r="CK406" s="14">
        <f t="shared" si="39"/>
        <v>0</v>
      </c>
      <c r="CL406">
        <f t="shared" si="40"/>
        <v>3.89549779892895</v>
      </c>
      <c r="CM406">
        <f t="shared" si="41"/>
        <v>0</v>
      </c>
      <c r="CN406" s="15">
        <v>17347.79</v>
      </c>
      <c r="CO406" s="15">
        <v>17073.96</v>
      </c>
      <c r="CP406" s="15">
        <v>3243.46</v>
      </c>
      <c r="CQ406" s="15">
        <v>939.39</v>
      </c>
      <c r="CR406" s="15">
        <v>169.86</v>
      </c>
      <c r="CS406" s="15">
        <v>3.11</v>
      </c>
      <c r="CT406" s="15">
        <v>210.52</v>
      </c>
      <c r="CU406" s="15">
        <v>55.56</v>
      </c>
      <c r="CV406" s="15">
        <v>9.73</v>
      </c>
      <c r="CW406" s="15">
        <v>1291.41</v>
      </c>
    </row>
    <row r="407" spans="1:101">
      <c r="A407" s="6">
        <v>2005</v>
      </c>
      <c r="B407" s="6" t="s">
        <v>116</v>
      </c>
      <c r="C407" s="6">
        <v>0.25983707</v>
      </c>
      <c r="D407" s="6">
        <v>0.043071</v>
      </c>
      <c r="E407" s="6">
        <v>0.010554</v>
      </c>
      <c r="F407" s="6">
        <v>0.018766</v>
      </c>
      <c r="G407" s="6">
        <v>0.0063</v>
      </c>
      <c r="H407" s="6">
        <v>0.00745</v>
      </c>
      <c r="I407" s="6">
        <v>0.04574</v>
      </c>
      <c r="J407" s="6">
        <v>0.023351</v>
      </c>
      <c r="K407" s="6">
        <v>0.28628013</v>
      </c>
      <c r="L407" s="6">
        <v>0.20903216</v>
      </c>
      <c r="M407" s="6">
        <v>0.2455106</v>
      </c>
      <c r="N407" s="6">
        <v>0.15773748</v>
      </c>
      <c r="O407" s="6">
        <v>0.1922846</v>
      </c>
      <c r="P407" s="6">
        <v>0.41968076</v>
      </c>
      <c r="Q407" s="6">
        <v>0.34765583</v>
      </c>
      <c r="R407" s="6">
        <v>217.69486</v>
      </c>
      <c r="S407" s="6">
        <v>0.00131505</v>
      </c>
      <c r="T407" s="6">
        <v>169.97573</v>
      </c>
      <c r="U407" s="6">
        <v>0.00122978</v>
      </c>
      <c r="V407" s="6">
        <v>197.11803</v>
      </c>
      <c r="W407" s="6">
        <v>0.0012455</v>
      </c>
      <c r="X407" s="6">
        <v>134.47093</v>
      </c>
      <c r="Y407" s="6">
        <v>0.00117302</v>
      </c>
      <c r="Z407" s="6">
        <v>134.86767</v>
      </c>
      <c r="AA407" s="6">
        <v>0.00142573</v>
      </c>
      <c r="AB407" s="6">
        <v>294.9318</v>
      </c>
      <c r="AC407" s="6">
        <v>0.00142298</v>
      </c>
      <c r="AD407" s="6">
        <v>243.86163</v>
      </c>
      <c r="AE407" s="6">
        <v>0.00142563</v>
      </c>
      <c r="AF407" s="6">
        <v>775</v>
      </c>
      <c r="AG407" s="6">
        <v>-0.0087239</v>
      </c>
      <c r="AH407" s="6">
        <v>-0.00824064</v>
      </c>
      <c r="AI407" s="6">
        <v>-0.00833018</v>
      </c>
      <c r="AJ407" s="6">
        <v>-0.00791576</v>
      </c>
      <c r="AK407" s="6">
        <v>-0.0093429</v>
      </c>
      <c r="AL407" s="6">
        <v>-0.00932761</v>
      </c>
      <c r="AM407" s="6">
        <v>-0.00934234</v>
      </c>
      <c r="AN407" s="6">
        <v>-6.4762184</v>
      </c>
      <c r="AO407" s="6">
        <v>-6.4515561</v>
      </c>
      <c r="AP407" s="6">
        <v>-6.4739881</v>
      </c>
      <c r="AQ407" s="6">
        <v>-6.4253629</v>
      </c>
      <c r="AR407" s="6">
        <v>-6.4020076</v>
      </c>
      <c r="AS407" s="6">
        <v>-6.4618417</v>
      </c>
      <c r="AT407" s="6">
        <v>-6.4506396</v>
      </c>
      <c r="AU407" s="6">
        <v>0.97344833</v>
      </c>
      <c r="AV407" s="6">
        <v>0.96974131</v>
      </c>
      <c r="AW407" s="6">
        <v>0.97311308</v>
      </c>
      <c r="AX407" s="6">
        <v>0.96580418</v>
      </c>
      <c r="AY407" s="6">
        <v>0.96229362</v>
      </c>
      <c r="AZ407" s="6">
        <v>0.97128734</v>
      </c>
      <c r="BA407" s="6">
        <v>0.96960354</v>
      </c>
      <c r="BB407" s="6">
        <v>0.02655167</v>
      </c>
      <c r="BC407" s="6">
        <v>0.03025869</v>
      </c>
      <c r="BD407" s="6">
        <v>0.02688692</v>
      </c>
      <c r="BE407" s="6">
        <v>0.03419582</v>
      </c>
      <c r="BF407" s="6">
        <v>0.03770638</v>
      </c>
      <c r="BG407" s="6">
        <v>0.02871266</v>
      </c>
      <c r="BH407" s="6">
        <v>0.03039646</v>
      </c>
      <c r="BI407" s="6">
        <v>0.21470859</v>
      </c>
      <c r="BJ407" s="6">
        <v>0.12366373</v>
      </c>
      <c r="BK407" s="6">
        <v>0.1409291</v>
      </c>
      <c r="BL407" s="6">
        <v>0.12522516</v>
      </c>
      <c r="BM407" s="6">
        <v>0.1592662</v>
      </c>
      <c r="BN407" s="6">
        <v>0.17561655</v>
      </c>
      <c r="BO407" s="6">
        <v>0.1337285</v>
      </c>
      <c r="BP407" s="6">
        <v>0.14157076</v>
      </c>
      <c r="BQ407" s="6">
        <v>0.03540247</v>
      </c>
      <c r="BR407" s="6">
        <v>0.02945871</v>
      </c>
      <c r="BS407" s="6">
        <v>0.0307441</v>
      </c>
      <c r="BT407" s="6">
        <v>0.02512225</v>
      </c>
      <c r="BU407" s="6">
        <v>0.03376836</v>
      </c>
      <c r="BV407" s="6">
        <v>0.05612328</v>
      </c>
      <c r="BW407" s="6">
        <v>0.0492179</v>
      </c>
      <c r="BX407" s="12">
        <v>19836</v>
      </c>
      <c r="BY407" s="13">
        <v>6850.83</v>
      </c>
      <c r="BZ407" s="12">
        <v>10012.11</v>
      </c>
      <c r="CA407" s="6">
        <f t="shared" si="36"/>
        <v>2.89541559197937</v>
      </c>
      <c r="CB407" s="6">
        <f t="shared" si="37"/>
        <v>1.98120076587253</v>
      </c>
      <c r="CC407" s="7">
        <v>455232995.7</v>
      </c>
      <c r="CD407" s="7">
        <f t="shared" si="38"/>
        <v>4.54682375343459</v>
      </c>
      <c r="CE407" s="8">
        <v>88.1</v>
      </c>
      <c r="CF407" s="8">
        <v>4314.9</v>
      </c>
      <c r="CG407" s="8">
        <v>4794.2</v>
      </c>
      <c r="CH407" s="8">
        <v>49377</v>
      </c>
      <c r="CI407" s="14">
        <v>0</v>
      </c>
      <c r="CJ407" s="14">
        <v>0</v>
      </c>
      <c r="CK407" s="14">
        <f t="shared" si="39"/>
        <v>0</v>
      </c>
      <c r="CL407">
        <f t="shared" si="40"/>
        <v>3.71995059106252</v>
      </c>
      <c r="CM407">
        <f t="shared" si="41"/>
        <v>0</v>
      </c>
      <c r="CN407" s="15">
        <v>19745.1</v>
      </c>
      <c r="CO407" s="15">
        <v>20542.39</v>
      </c>
      <c r="CP407" s="15">
        <v>4498.24</v>
      </c>
      <c r="CQ407" s="15">
        <v>1003.29</v>
      </c>
      <c r="CR407" s="15">
        <v>221.91</v>
      </c>
      <c r="CS407" s="15">
        <v>3.21</v>
      </c>
      <c r="CT407" s="15">
        <v>438.68</v>
      </c>
      <c r="CU407" s="15">
        <v>60.78</v>
      </c>
      <c r="CV407" s="15">
        <v>9.14</v>
      </c>
      <c r="CW407" s="15">
        <v>1501.92</v>
      </c>
    </row>
    <row r="408" spans="1:101">
      <c r="A408" s="6">
        <v>2006</v>
      </c>
      <c r="B408" s="6" t="s">
        <v>116</v>
      </c>
      <c r="C408" s="6">
        <v>0.23732048</v>
      </c>
      <c r="D408" s="6">
        <v>0.039682</v>
      </c>
      <c r="E408" s="6">
        <v>0.010326</v>
      </c>
      <c r="F408" s="6">
        <v>0.017932</v>
      </c>
      <c r="G408" s="6">
        <v>0.00601</v>
      </c>
      <c r="H408" s="6">
        <v>0.005414</v>
      </c>
      <c r="I408" s="6">
        <v>0.043321</v>
      </c>
      <c r="J408" s="6">
        <v>0.022932</v>
      </c>
      <c r="K408" s="6">
        <v>0.25970324</v>
      </c>
      <c r="L408" s="6">
        <v>0.2036477</v>
      </c>
      <c r="M408" s="6">
        <v>0.23269049</v>
      </c>
      <c r="N408" s="6">
        <v>0.14917202</v>
      </c>
      <c r="O408" s="6">
        <v>0.13056855</v>
      </c>
      <c r="P408" s="6">
        <v>0.39273479</v>
      </c>
      <c r="Q408" s="6">
        <v>0.34017001</v>
      </c>
      <c r="R408" s="6">
        <v>217.69486</v>
      </c>
      <c r="S408" s="6">
        <v>0.00119297</v>
      </c>
      <c r="T408" s="6">
        <v>169.97573</v>
      </c>
      <c r="U408" s="6">
        <v>0.0011981</v>
      </c>
      <c r="V408" s="6">
        <v>197.11803</v>
      </c>
      <c r="W408" s="6">
        <v>0.00118046</v>
      </c>
      <c r="X408" s="6">
        <v>134.47093</v>
      </c>
      <c r="Y408" s="6">
        <v>0.00110933</v>
      </c>
      <c r="Z408" s="6">
        <v>134.86767</v>
      </c>
      <c r="AA408" s="6">
        <v>0.00096812</v>
      </c>
      <c r="AB408" s="6">
        <v>294.9318</v>
      </c>
      <c r="AC408" s="6">
        <v>0.00133161</v>
      </c>
      <c r="AD408" s="6">
        <v>243.86163</v>
      </c>
      <c r="AE408" s="6">
        <v>0.00139493</v>
      </c>
      <c r="AF408" s="6">
        <v>775</v>
      </c>
      <c r="AG408" s="6">
        <v>-0.00803024</v>
      </c>
      <c r="AH408" s="6">
        <v>-0.00805963</v>
      </c>
      <c r="AI408" s="6">
        <v>-0.0079585</v>
      </c>
      <c r="AJ408" s="6">
        <v>-0.00754785</v>
      </c>
      <c r="AK408" s="6">
        <v>-0.00671892</v>
      </c>
      <c r="AL408" s="6">
        <v>-0.00881709</v>
      </c>
      <c r="AM408" s="6">
        <v>-0.00917154</v>
      </c>
      <c r="AN408" s="6">
        <v>-6.4762184</v>
      </c>
      <c r="AO408" s="6">
        <v>-6.4515561</v>
      </c>
      <c r="AP408" s="6">
        <v>-6.4739881</v>
      </c>
      <c r="AQ408" s="6">
        <v>-6.4253629</v>
      </c>
      <c r="AR408" s="6">
        <v>-6.4020076</v>
      </c>
      <c r="AS408" s="6">
        <v>-6.4618417</v>
      </c>
      <c r="AT408" s="6">
        <v>-6.4506396</v>
      </c>
      <c r="AU408" s="6">
        <v>0.97344833</v>
      </c>
      <c r="AV408" s="6">
        <v>0.96974131</v>
      </c>
      <c r="AW408" s="6">
        <v>0.97311308</v>
      </c>
      <c r="AX408" s="6">
        <v>0.96580418</v>
      </c>
      <c r="AY408" s="6">
        <v>0.96229362</v>
      </c>
      <c r="AZ408" s="6">
        <v>0.97128734</v>
      </c>
      <c r="BA408" s="6">
        <v>0.96960354</v>
      </c>
      <c r="BB408" s="6">
        <v>0.02655167</v>
      </c>
      <c r="BC408" s="6">
        <v>0.03025869</v>
      </c>
      <c r="BD408" s="6">
        <v>0.02688692</v>
      </c>
      <c r="BE408" s="6">
        <v>0.03419582</v>
      </c>
      <c r="BF408" s="6">
        <v>0.03770638</v>
      </c>
      <c r="BG408" s="6">
        <v>0.02871266</v>
      </c>
      <c r="BH408" s="6">
        <v>0.03039646</v>
      </c>
      <c r="BI408" s="6">
        <v>0.21470859</v>
      </c>
      <c r="BJ408" s="6">
        <v>0.12366373</v>
      </c>
      <c r="BK408" s="6">
        <v>0.1409291</v>
      </c>
      <c r="BL408" s="6">
        <v>0.12522516</v>
      </c>
      <c r="BM408" s="6">
        <v>0.1592662</v>
      </c>
      <c r="BN408" s="6">
        <v>0.17561655</v>
      </c>
      <c r="BO408" s="6">
        <v>0.1337285</v>
      </c>
      <c r="BP408" s="6">
        <v>0.14157076</v>
      </c>
      <c r="BQ408" s="6">
        <v>0.03211587</v>
      </c>
      <c r="BR408" s="6">
        <v>0.02869989</v>
      </c>
      <c r="BS408" s="6">
        <v>0.0291387</v>
      </c>
      <c r="BT408" s="6">
        <v>0.02375806</v>
      </c>
      <c r="BU408" s="6">
        <v>0.02293</v>
      </c>
      <c r="BV408" s="6">
        <v>0.05251983</v>
      </c>
      <c r="BW408" s="6">
        <v>0.04815813</v>
      </c>
      <c r="BX408" s="12">
        <v>21794</v>
      </c>
      <c r="BY408" s="13">
        <v>6897.86</v>
      </c>
      <c r="BZ408" s="12">
        <v>11467.6</v>
      </c>
      <c r="CA408" s="6">
        <f t="shared" si="36"/>
        <v>3.15953063703815</v>
      </c>
      <c r="CB408" s="6">
        <f t="shared" si="37"/>
        <v>1.90048484425686</v>
      </c>
      <c r="CC408" s="7">
        <v>493225832.6</v>
      </c>
      <c r="CD408" s="7">
        <f t="shared" si="38"/>
        <v>4.3010379905124</v>
      </c>
      <c r="CE408" s="8">
        <v>91.6</v>
      </c>
      <c r="CF408" s="8">
        <v>4929.2</v>
      </c>
      <c r="CG408" s="8">
        <v>5578.2</v>
      </c>
      <c r="CH408" s="8">
        <v>54996</v>
      </c>
      <c r="CI408" s="14">
        <v>0</v>
      </c>
      <c r="CJ408" s="14">
        <v>0</v>
      </c>
      <c r="CK408" s="14">
        <f t="shared" si="39"/>
        <v>0</v>
      </c>
      <c r="CL408">
        <f t="shared" si="40"/>
        <v>3.57740717995078</v>
      </c>
      <c r="CM408">
        <f t="shared" si="41"/>
        <v>0</v>
      </c>
      <c r="CN408" s="15">
        <v>21690.37</v>
      </c>
      <c r="CO408" s="15">
        <v>21345.42</v>
      </c>
      <c r="CP408" s="15">
        <v>5460.55</v>
      </c>
      <c r="CQ408" s="15">
        <v>1046.69</v>
      </c>
      <c r="CR408" s="15">
        <v>263.78</v>
      </c>
      <c r="CS408" s="15">
        <v>5.88</v>
      </c>
      <c r="CT408" s="15">
        <v>484.39</v>
      </c>
      <c r="CU408" s="15">
        <v>54.33</v>
      </c>
      <c r="CV408" s="15">
        <v>2.81</v>
      </c>
      <c r="CW408" s="15">
        <v>1734.83</v>
      </c>
    </row>
    <row r="409" spans="1:101">
      <c r="A409" s="6">
        <v>2007</v>
      </c>
      <c r="B409" s="6" t="s">
        <v>116</v>
      </c>
      <c r="C409" s="6">
        <v>0.25305105</v>
      </c>
      <c r="D409" s="6">
        <v>0.045639</v>
      </c>
      <c r="E409" s="6">
        <v>0.011394</v>
      </c>
      <c r="F409" s="6">
        <v>0.020273</v>
      </c>
      <c r="G409" s="6">
        <v>0.006977</v>
      </c>
      <c r="H409" s="6">
        <v>0.006995</v>
      </c>
      <c r="I409" s="6">
        <v>0.044405</v>
      </c>
      <c r="J409" s="6">
        <v>0.017907</v>
      </c>
      <c r="K409" s="6">
        <v>0.30642896</v>
      </c>
      <c r="L409" s="6">
        <v>0.2288816</v>
      </c>
      <c r="M409" s="6">
        <v>0.26867134</v>
      </c>
      <c r="N409" s="6">
        <v>0.17775743</v>
      </c>
      <c r="O409" s="6">
        <v>0.17849344</v>
      </c>
      <c r="P409" s="6">
        <v>0.40480261</v>
      </c>
      <c r="Q409" s="6">
        <v>0.2505151</v>
      </c>
      <c r="R409" s="6">
        <v>217.69486</v>
      </c>
      <c r="S409" s="6">
        <v>0.00140761</v>
      </c>
      <c r="T409" s="6">
        <v>169.97573</v>
      </c>
      <c r="U409" s="6">
        <v>0.00134655</v>
      </c>
      <c r="V409" s="6">
        <v>197.11803</v>
      </c>
      <c r="W409" s="6">
        <v>0.001363</v>
      </c>
      <c r="X409" s="6">
        <v>134.47093</v>
      </c>
      <c r="Y409" s="6">
        <v>0.0013219</v>
      </c>
      <c r="Z409" s="6">
        <v>134.86767</v>
      </c>
      <c r="AA409" s="6">
        <v>0.00132347</v>
      </c>
      <c r="AB409" s="6">
        <v>294.9318</v>
      </c>
      <c r="AC409" s="6">
        <v>0.00137253</v>
      </c>
      <c r="AD409" s="6">
        <v>243.86163</v>
      </c>
      <c r="AE409" s="6">
        <v>0.00102728</v>
      </c>
      <c r="AF409" s="6">
        <v>775</v>
      </c>
      <c r="AG409" s="6">
        <v>-0.00924216</v>
      </c>
      <c r="AH409" s="6">
        <v>-0.008901</v>
      </c>
      <c r="AI409" s="6">
        <v>-0.00899315</v>
      </c>
      <c r="AJ409" s="6">
        <v>-0.00876247</v>
      </c>
      <c r="AK409" s="6">
        <v>-0.0087713</v>
      </c>
      <c r="AL409" s="6">
        <v>-0.00904648</v>
      </c>
      <c r="AM409" s="6">
        <v>-0.00706857</v>
      </c>
      <c r="AN409" s="6">
        <v>-6.4762184</v>
      </c>
      <c r="AO409" s="6">
        <v>-6.4515561</v>
      </c>
      <c r="AP409" s="6">
        <v>-6.4739881</v>
      </c>
      <c r="AQ409" s="6">
        <v>-6.4253629</v>
      </c>
      <c r="AR409" s="6">
        <v>-6.4020076</v>
      </c>
      <c r="AS409" s="6">
        <v>-6.4618417</v>
      </c>
      <c r="AT409" s="6">
        <v>-6.4506396</v>
      </c>
      <c r="AU409" s="6">
        <v>0.97344833</v>
      </c>
      <c r="AV409" s="6">
        <v>0.96974131</v>
      </c>
      <c r="AW409" s="6">
        <v>0.97311308</v>
      </c>
      <c r="AX409" s="6">
        <v>0.96580418</v>
      </c>
      <c r="AY409" s="6">
        <v>0.96229362</v>
      </c>
      <c r="AZ409" s="6">
        <v>0.97128734</v>
      </c>
      <c r="BA409" s="6">
        <v>0.96960354</v>
      </c>
      <c r="BB409" s="6">
        <v>0.02655167</v>
      </c>
      <c r="BC409" s="6">
        <v>0.03025869</v>
      </c>
      <c r="BD409" s="6">
        <v>0.02688692</v>
      </c>
      <c r="BE409" s="6">
        <v>0.03419582</v>
      </c>
      <c r="BF409" s="6">
        <v>0.03770638</v>
      </c>
      <c r="BG409" s="6">
        <v>0.02871266</v>
      </c>
      <c r="BH409" s="6">
        <v>0.03039646</v>
      </c>
      <c r="BI409" s="6">
        <v>0.21470859</v>
      </c>
      <c r="BJ409" s="6">
        <v>0.12366373</v>
      </c>
      <c r="BK409" s="6">
        <v>0.1409291</v>
      </c>
      <c r="BL409" s="6">
        <v>0.12522516</v>
      </c>
      <c r="BM409" s="6">
        <v>0.1592662</v>
      </c>
      <c r="BN409" s="6">
        <v>0.17561655</v>
      </c>
      <c r="BO409" s="6">
        <v>0.1337285</v>
      </c>
      <c r="BP409" s="6">
        <v>0.14157076</v>
      </c>
      <c r="BQ409" s="6">
        <v>0.03789415</v>
      </c>
      <c r="BR409" s="6">
        <v>0.03225608</v>
      </c>
      <c r="BS409" s="6">
        <v>0.03364441</v>
      </c>
      <c r="BT409" s="6">
        <v>0.02831075</v>
      </c>
      <c r="BU409" s="6">
        <v>0.0313464</v>
      </c>
      <c r="BV409" s="6">
        <v>0.05413364</v>
      </c>
      <c r="BW409" s="6">
        <v>0.03546561</v>
      </c>
      <c r="BX409" s="12">
        <v>23585</v>
      </c>
      <c r="BY409" s="13">
        <v>6943.19</v>
      </c>
      <c r="BZ409" s="12">
        <v>13607.32</v>
      </c>
      <c r="CA409" s="6">
        <f t="shared" si="36"/>
        <v>3.39685360763568</v>
      </c>
      <c r="CB409" s="6">
        <f t="shared" si="37"/>
        <v>1.73325827569279</v>
      </c>
      <c r="CC409" s="7">
        <v>542366122.4</v>
      </c>
      <c r="CD409" s="7">
        <f t="shared" si="38"/>
        <v>3.98584087388259</v>
      </c>
      <c r="CE409" s="8">
        <v>99.4</v>
      </c>
      <c r="CF409" s="8">
        <v>5677.5</v>
      </c>
      <c r="CG409" s="8">
        <v>7101.8</v>
      </c>
      <c r="CH409" s="8">
        <v>63951</v>
      </c>
      <c r="CI409" s="14">
        <v>0</v>
      </c>
      <c r="CJ409" s="14">
        <v>0</v>
      </c>
      <c r="CK409" s="14">
        <f t="shared" si="39"/>
        <v>0</v>
      </c>
      <c r="CL409">
        <f t="shared" si="40"/>
        <v>3.23986794305777</v>
      </c>
      <c r="CM409">
        <f t="shared" si="41"/>
        <v>0</v>
      </c>
      <c r="CN409" s="15">
        <v>23489.86</v>
      </c>
      <c r="CO409" s="15">
        <v>24548.51</v>
      </c>
      <c r="CP409" s="15">
        <v>5127.33</v>
      </c>
      <c r="CQ409" s="15">
        <v>1124.77</v>
      </c>
      <c r="CR409" s="15">
        <v>249.04</v>
      </c>
      <c r="CS409" s="15">
        <v>6.22</v>
      </c>
      <c r="CT409" s="15">
        <v>532.74</v>
      </c>
      <c r="CU409" s="15">
        <v>48.31</v>
      </c>
      <c r="CV409" s="15">
        <v>12.05</v>
      </c>
      <c r="CW409" s="15">
        <v>2013.68</v>
      </c>
    </row>
    <row r="410" spans="1:101">
      <c r="A410" s="6">
        <v>2008</v>
      </c>
      <c r="B410" s="6" t="s">
        <v>116</v>
      </c>
      <c r="C410" s="6">
        <v>0.27983034</v>
      </c>
      <c r="D410" s="6">
        <v>0.046026</v>
      </c>
      <c r="E410" s="6">
        <v>0.010603</v>
      </c>
      <c r="F410" s="6">
        <v>0.020374</v>
      </c>
      <c r="G410" s="6">
        <v>0.007067</v>
      </c>
      <c r="H410" s="6">
        <v>0.007981</v>
      </c>
      <c r="I410" s="6">
        <v>0.05081</v>
      </c>
      <c r="J410" s="6">
        <v>0.023304</v>
      </c>
      <c r="K410" s="6">
        <v>0.30945988</v>
      </c>
      <c r="L410" s="6">
        <v>0.21018849</v>
      </c>
      <c r="M410" s="6">
        <v>0.2702322</v>
      </c>
      <c r="N410" s="6">
        <v>0.18041041</v>
      </c>
      <c r="O410" s="6">
        <v>0.20836599</v>
      </c>
      <c r="P410" s="6">
        <v>0.47615185</v>
      </c>
      <c r="Q410" s="6">
        <v>0.34681571</v>
      </c>
      <c r="R410" s="6">
        <v>217.69486</v>
      </c>
      <c r="S410" s="6">
        <v>0.00142153</v>
      </c>
      <c r="T410" s="6">
        <v>169.97573</v>
      </c>
      <c r="U410" s="6">
        <v>0.00123658</v>
      </c>
      <c r="V410" s="6">
        <v>197.11803</v>
      </c>
      <c r="W410" s="6">
        <v>0.00137092</v>
      </c>
      <c r="X410" s="6">
        <v>134.47093</v>
      </c>
      <c r="Y410" s="6">
        <v>0.00134163</v>
      </c>
      <c r="Z410" s="6">
        <v>134.86767</v>
      </c>
      <c r="AA410" s="6">
        <v>0.00154497</v>
      </c>
      <c r="AB410" s="6">
        <v>294.9318</v>
      </c>
      <c r="AC410" s="6">
        <v>0.00161445</v>
      </c>
      <c r="AD410" s="6">
        <v>243.86163</v>
      </c>
      <c r="AE410" s="6">
        <v>0.00142218</v>
      </c>
      <c r="AF410" s="6">
        <v>775</v>
      </c>
      <c r="AG410" s="6">
        <v>-0.00931958</v>
      </c>
      <c r="AH410" s="6">
        <v>-0.0082794</v>
      </c>
      <c r="AI410" s="6">
        <v>-0.00903746</v>
      </c>
      <c r="AJ410" s="6">
        <v>-0.00887337</v>
      </c>
      <c r="AK410" s="6">
        <v>-0.01000019</v>
      </c>
      <c r="AL410" s="6">
        <v>-0.0103789</v>
      </c>
      <c r="AM410" s="6">
        <v>-0.00932321</v>
      </c>
      <c r="AN410" s="6">
        <v>-6.4762184</v>
      </c>
      <c r="AO410" s="6">
        <v>-6.4515561</v>
      </c>
      <c r="AP410" s="6">
        <v>-6.4739881</v>
      </c>
      <c r="AQ410" s="6">
        <v>-6.4253629</v>
      </c>
      <c r="AR410" s="6">
        <v>-6.4020076</v>
      </c>
      <c r="AS410" s="6">
        <v>-6.4618417</v>
      </c>
      <c r="AT410" s="6">
        <v>-6.4506396</v>
      </c>
      <c r="AU410" s="6">
        <v>0.97344833</v>
      </c>
      <c r="AV410" s="6">
        <v>0.96974131</v>
      </c>
      <c r="AW410" s="6">
        <v>0.97311308</v>
      </c>
      <c r="AX410" s="6">
        <v>0.96580418</v>
      </c>
      <c r="AY410" s="6">
        <v>0.96229362</v>
      </c>
      <c r="AZ410" s="6">
        <v>0.97128734</v>
      </c>
      <c r="BA410" s="6">
        <v>0.96960354</v>
      </c>
      <c r="BB410" s="6">
        <v>0.02655167</v>
      </c>
      <c r="BC410" s="6">
        <v>0.03025869</v>
      </c>
      <c r="BD410" s="6">
        <v>0.02688692</v>
      </c>
      <c r="BE410" s="6">
        <v>0.03419582</v>
      </c>
      <c r="BF410" s="6">
        <v>0.03770638</v>
      </c>
      <c r="BG410" s="6">
        <v>0.02871266</v>
      </c>
      <c r="BH410" s="6">
        <v>0.03039646</v>
      </c>
      <c r="BI410" s="6">
        <v>0.21470859</v>
      </c>
      <c r="BJ410" s="6">
        <v>0.12366373</v>
      </c>
      <c r="BK410" s="6">
        <v>0.1409291</v>
      </c>
      <c r="BL410" s="6">
        <v>0.12522516</v>
      </c>
      <c r="BM410" s="6">
        <v>0.1592662</v>
      </c>
      <c r="BN410" s="6">
        <v>0.17561655</v>
      </c>
      <c r="BO410" s="6">
        <v>0.1337285</v>
      </c>
      <c r="BP410" s="6">
        <v>0.14157076</v>
      </c>
      <c r="BQ410" s="6">
        <v>0.03826896</v>
      </c>
      <c r="BR410" s="6">
        <v>0.02962167</v>
      </c>
      <c r="BS410" s="6">
        <v>0.03383987</v>
      </c>
      <c r="BT410" s="6">
        <v>0.02873328</v>
      </c>
      <c r="BU410" s="6">
        <v>0.03659252</v>
      </c>
      <c r="BV410" s="6">
        <v>0.06367507</v>
      </c>
      <c r="BW410" s="6">
        <v>0.04909897</v>
      </c>
      <c r="BX410" s="12">
        <v>24322</v>
      </c>
      <c r="BY410" s="13">
        <v>6988.82</v>
      </c>
      <c r="BZ410" s="12">
        <v>16011.97</v>
      </c>
      <c r="CA410" s="6">
        <f t="shared" si="36"/>
        <v>3.4801296928523</v>
      </c>
      <c r="CB410" s="6">
        <f t="shared" si="37"/>
        <v>1.51898860664865</v>
      </c>
      <c r="CC410" s="7">
        <v>559464590.1</v>
      </c>
      <c r="CD410" s="7">
        <f t="shared" si="38"/>
        <v>3.49403970966721</v>
      </c>
      <c r="CE410" s="8">
        <v>109.4</v>
      </c>
      <c r="CF410" s="8">
        <v>6215.5</v>
      </c>
      <c r="CG410" s="8">
        <v>8212.1</v>
      </c>
      <c r="CH410" s="8">
        <v>69154</v>
      </c>
      <c r="CI410" s="14">
        <v>0</v>
      </c>
      <c r="CJ410" s="14">
        <v>0</v>
      </c>
      <c r="CK410" s="14">
        <f t="shared" si="39"/>
        <v>0</v>
      </c>
      <c r="CL410">
        <f t="shared" si="40"/>
        <v>2.71728515287532</v>
      </c>
      <c r="CM410">
        <f t="shared" si="41"/>
        <v>0</v>
      </c>
      <c r="CN410" s="15">
        <v>24322</v>
      </c>
      <c r="CO410" s="15">
        <v>24419</v>
      </c>
      <c r="CP410" s="15">
        <v>6007.69</v>
      </c>
      <c r="CQ410" s="15">
        <v>1357.63</v>
      </c>
      <c r="CR410" s="15">
        <v>211.11</v>
      </c>
      <c r="CS410" s="15">
        <v>7.37</v>
      </c>
      <c r="CT410" s="15">
        <v>531.73</v>
      </c>
      <c r="CU410" s="15">
        <v>65.82</v>
      </c>
      <c r="CV410" s="15">
        <v>17.17</v>
      </c>
      <c r="CW410" s="15">
        <v>2095.02</v>
      </c>
    </row>
    <row r="411" spans="1:101">
      <c r="A411" s="6">
        <v>2009</v>
      </c>
      <c r="B411" s="6" t="s">
        <v>116</v>
      </c>
      <c r="C411" s="6">
        <v>0.29440991</v>
      </c>
      <c r="D411" s="6">
        <v>0.053788</v>
      </c>
      <c r="E411" s="6">
        <v>0.013919</v>
      </c>
      <c r="F411" s="6">
        <v>0.024689</v>
      </c>
      <c r="G411" s="6">
        <v>0.00811</v>
      </c>
      <c r="H411" s="6">
        <v>0.00707</v>
      </c>
      <c r="I411" s="6">
        <v>0.043888</v>
      </c>
      <c r="J411" s="6">
        <v>0.022491</v>
      </c>
      <c r="K411" s="6">
        <v>0.37034971</v>
      </c>
      <c r="L411" s="6">
        <v>0.28859739</v>
      </c>
      <c r="M411" s="6">
        <v>0.33654183</v>
      </c>
      <c r="N411" s="6">
        <v>0.21123168</v>
      </c>
      <c r="O411" s="6">
        <v>0.18076156</v>
      </c>
      <c r="P411" s="6">
        <v>0.39904978</v>
      </c>
      <c r="Q411" s="6">
        <v>0.33230513</v>
      </c>
      <c r="R411" s="6">
        <v>217.69486</v>
      </c>
      <c r="S411" s="6">
        <v>0.00170123</v>
      </c>
      <c r="T411" s="6">
        <v>169.97573</v>
      </c>
      <c r="U411" s="6">
        <v>0.00169787</v>
      </c>
      <c r="V411" s="6">
        <v>197.11803</v>
      </c>
      <c r="W411" s="6">
        <v>0.00170731</v>
      </c>
      <c r="X411" s="6">
        <v>134.47093</v>
      </c>
      <c r="Y411" s="6">
        <v>0.00157084</v>
      </c>
      <c r="Z411" s="6">
        <v>134.86767</v>
      </c>
      <c r="AA411" s="6">
        <v>0.00134029</v>
      </c>
      <c r="AB411" s="6">
        <v>294.9318</v>
      </c>
      <c r="AC411" s="6">
        <v>0.00135302</v>
      </c>
      <c r="AD411" s="6">
        <v>243.86163</v>
      </c>
      <c r="AE411" s="6">
        <v>0.00136268</v>
      </c>
      <c r="AF411" s="6">
        <v>775</v>
      </c>
      <c r="AG411" s="6">
        <v>-0.01084775</v>
      </c>
      <c r="AH411" s="6">
        <v>-0.01082968</v>
      </c>
      <c r="AI411" s="6">
        <v>-0.01088041</v>
      </c>
      <c r="AJ411" s="6">
        <v>-0.01014154</v>
      </c>
      <c r="AK411" s="6">
        <v>-0.00886583</v>
      </c>
      <c r="AL411" s="6">
        <v>-0.00893728</v>
      </c>
      <c r="AM411" s="6">
        <v>-0.00899137</v>
      </c>
      <c r="AN411" s="6">
        <v>-6.4762184</v>
      </c>
      <c r="AO411" s="6">
        <v>-6.4515561</v>
      </c>
      <c r="AP411" s="6">
        <v>-6.4739881</v>
      </c>
      <c r="AQ411" s="6">
        <v>-6.4253629</v>
      </c>
      <c r="AR411" s="6">
        <v>-6.4020076</v>
      </c>
      <c r="AS411" s="6">
        <v>-6.4618417</v>
      </c>
      <c r="AT411" s="6">
        <v>-6.4506396</v>
      </c>
      <c r="AU411" s="6">
        <v>0.97344833</v>
      </c>
      <c r="AV411" s="6">
        <v>0.96974131</v>
      </c>
      <c r="AW411" s="6">
        <v>0.97311308</v>
      </c>
      <c r="AX411" s="6">
        <v>0.96580418</v>
      </c>
      <c r="AY411" s="6">
        <v>0.96229362</v>
      </c>
      <c r="AZ411" s="6">
        <v>0.97128734</v>
      </c>
      <c r="BA411" s="6">
        <v>0.96960354</v>
      </c>
      <c r="BB411" s="6">
        <v>0.02655167</v>
      </c>
      <c r="BC411" s="6">
        <v>0.03025869</v>
      </c>
      <c r="BD411" s="6">
        <v>0.02688692</v>
      </c>
      <c r="BE411" s="6">
        <v>0.03419582</v>
      </c>
      <c r="BF411" s="6">
        <v>0.03770638</v>
      </c>
      <c r="BG411" s="6">
        <v>0.02871266</v>
      </c>
      <c r="BH411" s="6">
        <v>0.03039646</v>
      </c>
      <c r="BI411" s="6">
        <v>0.21470859</v>
      </c>
      <c r="BJ411" s="6">
        <v>0.12366373</v>
      </c>
      <c r="BK411" s="6">
        <v>0.1409291</v>
      </c>
      <c r="BL411" s="6">
        <v>0.12522516</v>
      </c>
      <c r="BM411" s="6">
        <v>0.1592662</v>
      </c>
      <c r="BN411" s="6">
        <v>0.17561655</v>
      </c>
      <c r="BO411" s="6">
        <v>0.1337285</v>
      </c>
      <c r="BP411" s="6">
        <v>0.14157076</v>
      </c>
      <c r="BQ411" s="6">
        <v>0.04579883</v>
      </c>
      <c r="BR411" s="6">
        <v>0.04067177</v>
      </c>
      <c r="BS411" s="6">
        <v>0.0421435</v>
      </c>
      <c r="BT411" s="6">
        <v>0.03364207</v>
      </c>
      <c r="BU411" s="6">
        <v>0.03174472</v>
      </c>
      <c r="BV411" s="6">
        <v>0.05336433</v>
      </c>
      <c r="BW411" s="6">
        <v>0.04704469</v>
      </c>
      <c r="BX411" s="12">
        <v>25419</v>
      </c>
      <c r="BY411" s="13">
        <v>7034.4</v>
      </c>
      <c r="BZ411" s="12">
        <v>17235.48</v>
      </c>
      <c r="CA411" s="6">
        <f t="shared" si="36"/>
        <v>3.61352780620948</v>
      </c>
      <c r="CB411" s="6">
        <f t="shared" si="37"/>
        <v>1.47480661983304</v>
      </c>
      <c r="CC411" s="7">
        <v>629285923.8</v>
      </c>
      <c r="CD411" s="7">
        <f t="shared" si="38"/>
        <v>3.65110762102361</v>
      </c>
      <c r="CE411" s="8">
        <v>112.4</v>
      </c>
      <c r="CF411" s="8">
        <v>6184.8</v>
      </c>
      <c r="CG411" s="8">
        <v>9445.3</v>
      </c>
      <c r="CH411" s="8">
        <v>72363</v>
      </c>
      <c r="CI411" s="14">
        <v>0</v>
      </c>
      <c r="CJ411" s="14">
        <v>0</v>
      </c>
      <c r="CK411" s="14">
        <f t="shared" si="39"/>
        <v>0</v>
      </c>
      <c r="CL411">
        <f t="shared" si="40"/>
        <v>2.66960201713366</v>
      </c>
      <c r="CM411">
        <f t="shared" si="41"/>
        <v>0</v>
      </c>
      <c r="CN411" s="15">
        <v>25419</v>
      </c>
      <c r="CO411" s="15">
        <v>26516</v>
      </c>
      <c r="CP411" s="15">
        <v>6208.83</v>
      </c>
      <c r="CQ411" s="15">
        <v>1379.12</v>
      </c>
      <c r="CR411" s="15">
        <v>212.06</v>
      </c>
      <c r="CS411" s="15">
        <v>6.25</v>
      </c>
      <c r="CT411" s="15">
        <v>521.67</v>
      </c>
      <c r="CU411" s="15">
        <v>59.76</v>
      </c>
      <c r="CV411" s="15">
        <v>23.11</v>
      </c>
      <c r="CW411" s="15">
        <v>2344.18</v>
      </c>
    </row>
    <row r="412" spans="1:101">
      <c r="A412" s="6">
        <v>2010</v>
      </c>
      <c r="B412" s="6" t="s">
        <v>116</v>
      </c>
      <c r="C412" s="6">
        <v>0.28070786</v>
      </c>
      <c r="D412" s="6">
        <v>0.047109</v>
      </c>
      <c r="E412" s="6">
        <v>0.012006</v>
      </c>
      <c r="F412" s="6">
        <v>0.020865</v>
      </c>
      <c r="G412" s="6">
        <v>0.007297</v>
      </c>
      <c r="H412" s="6">
        <v>0.00694</v>
      </c>
      <c r="I412" s="6">
        <v>0.052672</v>
      </c>
      <c r="J412" s="6">
        <v>0.021677</v>
      </c>
      <c r="K412" s="6">
        <v>0.31795713</v>
      </c>
      <c r="L412" s="6">
        <v>0.24336877</v>
      </c>
      <c r="M412" s="6">
        <v>0.27777104</v>
      </c>
      <c r="N412" s="6">
        <v>0.18721088</v>
      </c>
      <c r="O412" s="6">
        <v>0.17682796</v>
      </c>
      <c r="P412" s="6">
        <v>0.49689066</v>
      </c>
      <c r="Q412" s="6">
        <v>0.31777546</v>
      </c>
      <c r="R412" s="6">
        <v>217.69486</v>
      </c>
      <c r="S412" s="6">
        <v>0.00146056</v>
      </c>
      <c r="T412" s="6">
        <v>169.97573</v>
      </c>
      <c r="U412" s="6">
        <v>0.00143179</v>
      </c>
      <c r="V412" s="6">
        <v>197.11803</v>
      </c>
      <c r="W412" s="6">
        <v>0.00140916</v>
      </c>
      <c r="X412" s="6">
        <v>134.47093</v>
      </c>
      <c r="Y412" s="6">
        <v>0.0013922</v>
      </c>
      <c r="Z412" s="6">
        <v>134.86767</v>
      </c>
      <c r="AA412" s="6">
        <v>0.00131112</v>
      </c>
      <c r="AB412" s="6">
        <v>294.9318</v>
      </c>
      <c r="AC412" s="6">
        <v>0.00168476</v>
      </c>
      <c r="AD412" s="6">
        <v>243.86163</v>
      </c>
      <c r="AE412" s="6">
        <v>0.0013031</v>
      </c>
      <c r="AF412" s="6">
        <v>775</v>
      </c>
      <c r="AG412" s="6">
        <v>-0.00953592</v>
      </c>
      <c r="AH412" s="6">
        <v>-0.00937652</v>
      </c>
      <c r="AI412" s="6">
        <v>-0.0092508</v>
      </c>
      <c r="AJ412" s="6">
        <v>-0.00915634</v>
      </c>
      <c r="AK412" s="6">
        <v>-0.00870175</v>
      </c>
      <c r="AL412" s="6">
        <v>-0.01075912</v>
      </c>
      <c r="AM412" s="6">
        <v>-0.00865649</v>
      </c>
      <c r="AN412" s="6">
        <v>-6.4762184</v>
      </c>
      <c r="AO412" s="6">
        <v>-6.4515561</v>
      </c>
      <c r="AP412" s="6">
        <v>-6.4739881</v>
      </c>
      <c r="AQ412" s="6">
        <v>-6.4253629</v>
      </c>
      <c r="AR412" s="6">
        <v>-6.4020076</v>
      </c>
      <c r="AS412" s="6">
        <v>-6.4618417</v>
      </c>
      <c r="AT412" s="6">
        <v>-6.4506396</v>
      </c>
      <c r="AU412" s="6">
        <v>0.97344833</v>
      </c>
      <c r="AV412" s="6">
        <v>0.96974131</v>
      </c>
      <c r="AW412" s="6">
        <v>0.97311308</v>
      </c>
      <c r="AX412" s="6">
        <v>0.96580418</v>
      </c>
      <c r="AY412" s="6">
        <v>0.96229362</v>
      </c>
      <c r="AZ412" s="6">
        <v>0.97128734</v>
      </c>
      <c r="BA412" s="6">
        <v>0.96960354</v>
      </c>
      <c r="BB412" s="6">
        <v>0.02655167</v>
      </c>
      <c r="BC412" s="6">
        <v>0.03025869</v>
      </c>
      <c r="BD412" s="6">
        <v>0.02688692</v>
      </c>
      <c r="BE412" s="6">
        <v>0.03419582</v>
      </c>
      <c r="BF412" s="6">
        <v>0.03770638</v>
      </c>
      <c r="BG412" s="6">
        <v>0.02871266</v>
      </c>
      <c r="BH412" s="6">
        <v>0.03039646</v>
      </c>
      <c r="BI412" s="6">
        <v>0.21470859</v>
      </c>
      <c r="BJ412" s="6">
        <v>0.12366373</v>
      </c>
      <c r="BK412" s="6">
        <v>0.1409291</v>
      </c>
      <c r="BL412" s="6">
        <v>0.12522516</v>
      </c>
      <c r="BM412" s="6">
        <v>0.1592662</v>
      </c>
      <c r="BN412" s="6">
        <v>0.17561655</v>
      </c>
      <c r="BO412" s="6">
        <v>0.1337285</v>
      </c>
      <c r="BP412" s="6">
        <v>0.14157076</v>
      </c>
      <c r="BQ412" s="6">
        <v>0.03931977</v>
      </c>
      <c r="BR412" s="6">
        <v>0.03429774</v>
      </c>
      <c r="BS412" s="6">
        <v>0.03478392</v>
      </c>
      <c r="BT412" s="6">
        <v>0.02981637</v>
      </c>
      <c r="BU412" s="6">
        <v>0.03105392</v>
      </c>
      <c r="BV412" s="6">
        <v>0.06644844</v>
      </c>
      <c r="BW412" s="6">
        <v>0.04498771</v>
      </c>
      <c r="BX412" s="12">
        <v>27531</v>
      </c>
      <c r="BY412" s="13">
        <v>7193.6</v>
      </c>
      <c r="BZ412" s="12">
        <v>20394.26</v>
      </c>
      <c r="CA412" s="6">
        <f t="shared" si="36"/>
        <v>3.82715191281139</v>
      </c>
      <c r="CB412" s="6">
        <f t="shared" si="37"/>
        <v>1.34993865921097</v>
      </c>
      <c r="CC412" s="7">
        <v>669982233.8</v>
      </c>
      <c r="CD412" s="7">
        <f t="shared" si="38"/>
        <v>3.2851509875818</v>
      </c>
      <c r="CE412" s="8">
        <v>114.5</v>
      </c>
      <c r="CF412" s="8">
        <v>7434.9</v>
      </c>
      <c r="CG412" s="8">
        <v>10366.1</v>
      </c>
      <c r="CH412" s="8">
        <v>79396</v>
      </c>
      <c r="CI412" s="14">
        <v>0</v>
      </c>
      <c r="CJ412" s="14">
        <v>0</v>
      </c>
      <c r="CK412" s="14">
        <f t="shared" si="39"/>
        <v>0</v>
      </c>
      <c r="CL412">
        <f t="shared" si="40"/>
        <v>2.40850270516871</v>
      </c>
      <c r="CM412">
        <f t="shared" si="41"/>
        <v>0</v>
      </c>
      <c r="CN412" s="15">
        <v>27531.11</v>
      </c>
      <c r="CO412" s="15">
        <v>27464.72</v>
      </c>
      <c r="CP412" s="15">
        <v>7319</v>
      </c>
      <c r="CQ412" s="15">
        <v>1396.65</v>
      </c>
      <c r="CR412" s="15">
        <v>238.75</v>
      </c>
      <c r="CS412" s="15">
        <v>7.34</v>
      </c>
      <c r="CT412" s="15">
        <v>691.94</v>
      </c>
      <c r="CU412" s="15">
        <v>38.53</v>
      </c>
      <c r="CV412" s="15">
        <v>29.47</v>
      </c>
      <c r="CW412" s="15">
        <v>2691.52</v>
      </c>
    </row>
    <row r="413" spans="1:101">
      <c r="A413" s="6">
        <v>2011</v>
      </c>
      <c r="B413" s="6" t="s">
        <v>116</v>
      </c>
      <c r="C413" s="6">
        <v>0.30657403</v>
      </c>
      <c r="D413" s="6">
        <v>0.052383</v>
      </c>
      <c r="E413" s="6">
        <v>0.013508</v>
      </c>
      <c r="F413" s="6">
        <v>0.022977</v>
      </c>
      <c r="G413" s="6">
        <v>0.008206</v>
      </c>
      <c r="H413" s="6">
        <v>0.007692</v>
      </c>
      <c r="I413" s="6">
        <v>0.052556</v>
      </c>
      <c r="J413" s="6">
        <v>0.023093</v>
      </c>
      <c r="K413" s="6">
        <v>0.35932625</v>
      </c>
      <c r="L413" s="6">
        <v>0.27886962</v>
      </c>
      <c r="M413" s="6">
        <v>0.31023408</v>
      </c>
      <c r="N413" s="6">
        <v>0.21407623</v>
      </c>
      <c r="O413" s="6">
        <v>0.19959788</v>
      </c>
      <c r="P413" s="6">
        <v>0.49559386</v>
      </c>
      <c r="Q413" s="6">
        <v>0.34304846</v>
      </c>
      <c r="R413" s="6">
        <v>217.69486</v>
      </c>
      <c r="S413" s="6">
        <v>0.0016506</v>
      </c>
      <c r="T413" s="6">
        <v>169.97573</v>
      </c>
      <c r="U413" s="6">
        <v>0.00164064</v>
      </c>
      <c r="V413" s="6">
        <v>197.11803</v>
      </c>
      <c r="W413" s="6">
        <v>0.00157385</v>
      </c>
      <c r="X413" s="6">
        <v>134.47093</v>
      </c>
      <c r="Y413" s="6">
        <v>0.00159199</v>
      </c>
      <c r="Z413" s="6">
        <v>134.86767</v>
      </c>
      <c r="AA413" s="6">
        <v>0.00147995</v>
      </c>
      <c r="AB413" s="6">
        <v>294.9318</v>
      </c>
      <c r="AC413" s="6">
        <v>0.00168037</v>
      </c>
      <c r="AD413" s="6">
        <v>243.86163</v>
      </c>
      <c r="AE413" s="6">
        <v>0.00140673</v>
      </c>
      <c r="AF413" s="6">
        <v>775</v>
      </c>
      <c r="AG413" s="6">
        <v>-0.01057474</v>
      </c>
      <c r="AH413" s="6">
        <v>-0.0105209</v>
      </c>
      <c r="AI413" s="6">
        <v>-0.01015799</v>
      </c>
      <c r="AJ413" s="6">
        <v>-0.01025682</v>
      </c>
      <c r="AK413" s="6">
        <v>-0.009643</v>
      </c>
      <c r="AL413" s="6">
        <v>-0.01073544</v>
      </c>
      <c r="AM413" s="6">
        <v>-0.0092373</v>
      </c>
      <c r="AN413" s="6">
        <v>-6.4762184</v>
      </c>
      <c r="AO413" s="6">
        <v>-6.4515561</v>
      </c>
      <c r="AP413" s="6">
        <v>-6.4739881</v>
      </c>
      <c r="AQ413" s="6">
        <v>-6.4253629</v>
      </c>
      <c r="AR413" s="6">
        <v>-6.4020076</v>
      </c>
      <c r="AS413" s="6">
        <v>-6.4618417</v>
      </c>
      <c r="AT413" s="6">
        <v>-6.4506396</v>
      </c>
      <c r="AU413" s="6">
        <v>0.97344833</v>
      </c>
      <c r="AV413" s="6">
        <v>0.96974131</v>
      </c>
      <c r="AW413" s="6">
        <v>0.97311308</v>
      </c>
      <c r="AX413" s="6">
        <v>0.96580418</v>
      </c>
      <c r="AY413" s="6">
        <v>0.96229362</v>
      </c>
      <c r="AZ413" s="6">
        <v>0.97128734</v>
      </c>
      <c r="BA413" s="6">
        <v>0.96960354</v>
      </c>
      <c r="BB413" s="6">
        <v>0.02655167</v>
      </c>
      <c r="BC413" s="6">
        <v>0.03025869</v>
      </c>
      <c r="BD413" s="6">
        <v>0.02688692</v>
      </c>
      <c r="BE413" s="6">
        <v>0.03419582</v>
      </c>
      <c r="BF413" s="6">
        <v>0.03770638</v>
      </c>
      <c r="BG413" s="6">
        <v>0.02871266</v>
      </c>
      <c r="BH413" s="6">
        <v>0.03039646</v>
      </c>
      <c r="BI413" s="6">
        <v>0.21470859</v>
      </c>
      <c r="BJ413" s="6">
        <v>0.12366373</v>
      </c>
      <c r="BK413" s="6">
        <v>0.1409291</v>
      </c>
      <c r="BL413" s="6">
        <v>0.12522516</v>
      </c>
      <c r="BM413" s="6">
        <v>0.1592662</v>
      </c>
      <c r="BN413" s="6">
        <v>0.17561655</v>
      </c>
      <c r="BO413" s="6">
        <v>0.1337285</v>
      </c>
      <c r="BP413" s="6">
        <v>0.14157076</v>
      </c>
      <c r="BQ413" s="6">
        <v>0.04443563</v>
      </c>
      <c r="BR413" s="6">
        <v>0.03930084</v>
      </c>
      <c r="BS413" s="6">
        <v>0.03884911</v>
      </c>
      <c r="BT413" s="6">
        <v>0.03409511</v>
      </c>
      <c r="BU413" s="6">
        <v>0.03505269</v>
      </c>
      <c r="BV413" s="6">
        <v>0.06627502</v>
      </c>
      <c r="BW413" s="6">
        <v>0.04856563</v>
      </c>
      <c r="BX413" s="12">
        <v>29498</v>
      </c>
      <c r="BY413" s="13">
        <v>7232</v>
      </c>
      <c r="BZ413" s="12">
        <v>24515.76</v>
      </c>
      <c r="CA413" s="6">
        <f t="shared" si="36"/>
        <v>4.07881637168142</v>
      </c>
      <c r="CB413" s="6">
        <f t="shared" si="37"/>
        <v>1.20322600645462</v>
      </c>
      <c r="CC413" s="7">
        <v>720318762.9</v>
      </c>
      <c r="CD413" s="7">
        <f t="shared" si="38"/>
        <v>2.93818654979491</v>
      </c>
      <c r="CE413" s="8">
        <v>126.4</v>
      </c>
      <c r="CF413" s="8">
        <v>8169.3</v>
      </c>
      <c r="CG413" s="8">
        <v>11713.9</v>
      </c>
      <c r="CH413" s="8">
        <v>85897</v>
      </c>
      <c r="CI413" s="14">
        <v>0</v>
      </c>
      <c r="CJ413" s="14">
        <v>0</v>
      </c>
      <c r="CK413" s="14">
        <f t="shared" si="39"/>
        <v>0</v>
      </c>
      <c r="CL413">
        <f t="shared" si="40"/>
        <v>2.18035126729488</v>
      </c>
      <c r="CM413">
        <f t="shared" si="41"/>
        <v>0</v>
      </c>
      <c r="CN413" s="15">
        <v>29498</v>
      </c>
      <c r="CO413" s="15">
        <v>30792</v>
      </c>
      <c r="CP413" s="15">
        <v>8399.88</v>
      </c>
      <c r="CQ413" s="15">
        <v>1564.68</v>
      </c>
      <c r="CR413" s="15">
        <v>305.74</v>
      </c>
      <c r="CS413" s="15">
        <v>8.94</v>
      </c>
      <c r="CT413" s="15">
        <v>796.12</v>
      </c>
      <c r="CU413" s="15">
        <v>47.29</v>
      </c>
      <c r="CV413" s="15">
        <v>35.09</v>
      </c>
      <c r="CW413" s="15">
        <v>2985</v>
      </c>
    </row>
    <row r="414" spans="1:101">
      <c r="A414" s="6">
        <v>2012</v>
      </c>
      <c r="B414" s="6" t="s">
        <v>116</v>
      </c>
      <c r="C414" s="6">
        <v>0.32484116</v>
      </c>
      <c r="D414" s="6">
        <v>0.056441</v>
      </c>
      <c r="E414" s="6">
        <v>0.013293</v>
      </c>
      <c r="F414" s="6">
        <v>0.025858</v>
      </c>
      <c r="G414" s="6">
        <v>0.008562</v>
      </c>
      <c r="H414" s="6">
        <v>0.008727</v>
      </c>
      <c r="I414" s="6">
        <v>0.052711</v>
      </c>
      <c r="J414" s="6">
        <v>0.023918</v>
      </c>
      <c r="K414" s="6">
        <v>0.39115567</v>
      </c>
      <c r="L414" s="6">
        <v>0.27379578</v>
      </c>
      <c r="M414" s="6">
        <v>0.35451876</v>
      </c>
      <c r="N414" s="6">
        <v>0.22459875</v>
      </c>
      <c r="O414" s="6">
        <v>0.23096584</v>
      </c>
      <c r="P414" s="6">
        <v>0.49732605</v>
      </c>
      <c r="Q414" s="6">
        <v>0.35777058</v>
      </c>
      <c r="R414" s="6">
        <v>217.69486</v>
      </c>
      <c r="S414" s="6">
        <v>0.00179681</v>
      </c>
      <c r="T414" s="6">
        <v>169.97573</v>
      </c>
      <c r="U414" s="6">
        <v>0.00161079</v>
      </c>
      <c r="V414" s="6">
        <v>197.11803</v>
      </c>
      <c r="W414" s="6">
        <v>0.00179851</v>
      </c>
      <c r="X414" s="6">
        <v>134.47093</v>
      </c>
      <c r="Y414" s="6">
        <v>0.00167024</v>
      </c>
      <c r="Z414" s="6">
        <v>134.86767</v>
      </c>
      <c r="AA414" s="6">
        <v>0.00171254</v>
      </c>
      <c r="AB414" s="6">
        <v>294.9318</v>
      </c>
      <c r="AC414" s="6">
        <v>0.00168624</v>
      </c>
      <c r="AD414" s="6">
        <v>243.86163</v>
      </c>
      <c r="AE414" s="6">
        <v>0.0014671</v>
      </c>
      <c r="AF414" s="6">
        <v>775</v>
      </c>
      <c r="AG414" s="6">
        <v>-0.01135895</v>
      </c>
      <c r="AH414" s="6">
        <v>-0.01035906</v>
      </c>
      <c r="AI414" s="6">
        <v>-0.01136802</v>
      </c>
      <c r="AJ414" s="6">
        <v>-0.01068083</v>
      </c>
      <c r="AK414" s="6">
        <v>-0.01090848</v>
      </c>
      <c r="AL414" s="6">
        <v>-0.01076708</v>
      </c>
      <c r="AM414" s="6">
        <v>-0.00957207</v>
      </c>
      <c r="AN414" s="6">
        <v>-6.4762184</v>
      </c>
      <c r="AO414" s="6">
        <v>-6.4515561</v>
      </c>
      <c r="AP414" s="6">
        <v>-6.4739881</v>
      </c>
      <c r="AQ414" s="6">
        <v>-6.4253629</v>
      </c>
      <c r="AR414" s="6">
        <v>-6.4020076</v>
      </c>
      <c r="AS414" s="6">
        <v>-6.4618417</v>
      </c>
      <c r="AT414" s="6">
        <v>-6.4506396</v>
      </c>
      <c r="AU414" s="6">
        <v>0.97344833</v>
      </c>
      <c r="AV414" s="6">
        <v>0.96974131</v>
      </c>
      <c r="AW414" s="6">
        <v>0.97311308</v>
      </c>
      <c r="AX414" s="6">
        <v>0.96580418</v>
      </c>
      <c r="AY414" s="6">
        <v>0.96229362</v>
      </c>
      <c r="AZ414" s="6">
        <v>0.97128734</v>
      </c>
      <c r="BA414" s="6">
        <v>0.96960354</v>
      </c>
      <c r="BB414" s="6">
        <v>0.02655167</v>
      </c>
      <c r="BC414" s="6">
        <v>0.03025869</v>
      </c>
      <c r="BD414" s="6">
        <v>0.02688692</v>
      </c>
      <c r="BE414" s="6">
        <v>0.03419582</v>
      </c>
      <c r="BF414" s="6">
        <v>0.03770638</v>
      </c>
      <c r="BG414" s="6">
        <v>0.02871266</v>
      </c>
      <c r="BH414" s="6">
        <v>0.03039646</v>
      </c>
      <c r="BI414" s="6">
        <v>0.21470859</v>
      </c>
      <c r="BJ414" s="6">
        <v>0.12366373</v>
      </c>
      <c r="BK414" s="6">
        <v>0.1409291</v>
      </c>
      <c r="BL414" s="6">
        <v>0.12522516</v>
      </c>
      <c r="BM414" s="6">
        <v>0.1592662</v>
      </c>
      <c r="BN414" s="6">
        <v>0.17561655</v>
      </c>
      <c r="BO414" s="6">
        <v>0.1337285</v>
      </c>
      <c r="BP414" s="6">
        <v>0.14157076</v>
      </c>
      <c r="BQ414" s="6">
        <v>0.04837177</v>
      </c>
      <c r="BR414" s="6">
        <v>0.03858579</v>
      </c>
      <c r="BS414" s="6">
        <v>0.04439467</v>
      </c>
      <c r="BT414" s="6">
        <v>0.03577099</v>
      </c>
      <c r="BU414" s="6">
        <v>0.04056142</v>
      </c>
      <c r="BV414" s="6">
        <v>0.06650666</v>
      </c>
      <c r="BW414" s="6">
        <v>0.05064985</v>
      </c>
      <c r="BX414" s="12">
        <v>30250</v>
      </c>
      <c r="BY414" s="13">
        <v>7262</v>
      </c>
      <c r="BZ414" s="12">
        <v>26575.01</v>
      </c>
      <c r="CA414" s="6">
        <f t="shared" si="36"/>
        <v>4.16551914073258</v>
      </c>
      <c r="CB414" s="6">
        <f t="shared" si="37"/>
        <v>1.13828743620416</v>
      </c>
      <c r="CC414" s="7">
        <v>742070102.2</v>
      </c>
      <c r="CD414" s="7">
        <f t="shared" si="38"/>
        <v>2.79236057559339</v>
      </c>
      <c r="CE414" s="8">
        <v>129.3</v>
      </c>
      <c r="CF414" s="8">
        <v>8174.1</v>
      </c>
      <c r="CG414" s="8">
        <v>13002.1</v>
      </c>
      <c r="CH414" s="8">
        <v>89613</v>
      </c>
      <c r="CI414" s="14">
        <v>0</v>
      </c>
      <c r="CJ414" s="14">
        <v>0</v>
      </c>
      <c r="CK414" s="14">
        <f t="shared" si="39"/>
        <v>0</v>
      </c>
      <c r="CL414">
        <f t="shared" si="40"/>
        <v>2.01609935715007</v>
      </c>
      <c r="CM414">
        <f t="shared" si="41"/>
        <v>0</v>
      </c>
      <c r="CN414" s="15">
        <v>30250.21</v>
      </c>
      <c r="CO414" s="15">
        <v>31359</v>
      </c>
      <c r="CP414" s="15">
        <v>8402.28</v>
      </c>
      <c r="CQ414" s="15">
        <v>1547.61</v>
      </c>
      <c r="CR414" s="15">
        <v>318.33</v>
      </c>
      <c r="CS414" s="15">
        <v>7.79</v>
      </c>
      <c r="CT414" s="15">
        <v>821.36</v>
      </c>
      <c r="CU414" s="15">
        <v>24.53</v>
      </c>
      <c r="CV414" s="15">
        <v>45.13</v>
      </c>
      <c r="CW414" s="15">
        <v>3077.82</v>
      </c>
    </row>
    <row r="415" spans="1:101">
      <c r="A415" s="6">
        <v>2013</v>
      </c>
      <c r="B415" s="6" t="s">
        <v>116</v>
      </c>
      <c r="C415" s="6">
        <v>0.31893318</v>
      </c>
      <c r="D415" s="6">
        <v>0.052255</v>
      </c>
      <c r="E415" s="6">
        <v>0.013353</v>
      </c>
      <c r="F415" s="6">
        <v>0.023164</v>
      </c>
      <c r="G415" s="6">
        <v>0.008363</v>
      </c>
      <c r="H415" s="6">
        <v>0.007374</v>
      </c>
      <c r="I415" s="6">
        <v>0.052788</v>
      </c>
      <c r="J415" s="6">
        <v>0.028336</v>
      </c>
      <c r="K415" s="6">
        <v>0.35832152</v>
      </c>
      <c r="L415" s="6">
        <v>0.27521287</v>
      </c>
      <c r="M415" s="6">
        <v>0.31311157</v>
      </c>
      <c r="N415" s="6">
        <v>0.21872529</v>
      </c>
      <c r="O415" s="6">
        <v>0.18996345</v>
      </c>
      <c r="P415" s="6">
        <v>0.49817966</v>
      </c>
      <c r="Q415" s="6">
        <v>0.43659978</v>
      </c>
      <c r="R415" s="6">
        <v>217.69486</v>
      </c>
      <c r="S415" s="6">
        <v>0.00164598</v>
      </c>
      <c r="T415" s="6">
        <v>169.97573</v>
      </c>
      <c r="U415" s="6">
        <v>0.00161913</v>
      </c>
      <c r="V415" s="6">
        <v>197.11803</v>
      </c>
      <c r="W415" s="6">
        <v>0.00158845</v>
      </c>
      <c r="X415" s="6">
        <v>134.47093</v>
      </c>
      <c r="Y415" s="6">
        <v>0.00162656</v>
      </c>
      <c r="Z415" s="6">
        <v>134.86767</v>
      </c>
      <c r="AA415" s="6">
        <v>0.00140852</v>
      </c>
      <c r="AB415" s="6">
        <v>294.9318</v>
      </c>
      <c r="AC415" s="6">
        <v>0.00168914</v>
      </c>
      <c r="AD415" s="6">
        <v>243.86163</v>
      </c>
      <c r="AE415" s="6">
        <v>0.00179036</v>
      </c>
      <c r="AF415" s="6">
        <v>775</v>
      </c>
      <c r="AG415" s="6">
        <v>-0.01054978</v>
      </c>
      <c r="AH415" s="6">
        <v>-0.01040431</v>
      </c>
      <c r="AI415" s="6">
        <v>-0.01023754</v>
      </c>
      <c r="AJ415" s="6">
        <v>-0.01044462</v>
      </c>
      <c r="AK415" s="6">
        <v>-0.00924722</v>
      </c>
      <c r="AL415" s="6">
        <v>-0.01078266</v>
      </c>
      <c r="AM415" s="6">
        <v>-0.01132463</v>
      </c>
      <c r="AN415" s="6">
        <v>-6.4762184</v>
      </c>
      <c r="AO415" s="6">
        <v>-6.4515561</v>
      </c>
      <c r="AP415" s="6">
        <v>-6.4739881</v>
      </c>
      <c r="AQ415" s="6">
        <v>-6.4253629</v>
      </c>
      <c r="AR415" s="6">
        <v>-6.4020076</v>
      </c>
      <c r="AS415" s="6">
        <v>-6.4618417</v>
      </c>
      <c r="AT415" s="6">
        <v>-6.4506396</v>
      </c>
      <c r="AU415" s="6">
        <v>0.97344833</v>
      </c>
      <c r="AV415" s="6">
        <v>0.96974131</v>
      </c>
      <c r="AW415" s="6">
        <v>0.97311308</v>
      </c>
      <c r="AX415" s="6">
        <v>0.96580418</v>
      </c>
      <c r="AY415" s="6">
        <v>0.96229362</v>
      </c>
      <c r="AZ415" s="6">
        <v>0.97128734</v>
      </c>
      <c r="BA415" s="6">
        <v>0.96960354</v>
      </c>
      <c r="BB415" s="6">
        <v>0.02655167</v>
      </c>
      <c r="BC415" s="6">
        <v>0.03025869</v>
      </c>
      <c r="BD415" s="6">
        <v>0.02688692</v>
      </c>
      <c r="BE415" s="6">
        <v>0.03419582</v>
      </c>
      <c r="BF415" s="6">
        <v>0.03770638</v>
      </c>
      <c r="BG415" s="6">
        <v>0.02871266</v>
      </c>
      <c r="BH415" s="6">
        <v>0.03039646</v>
      </c>
      <c r="BI415" s="6">
        <v>0.21470859</v>
      </c>
      <c r="BJ415" s="6">
        <v>0.12366373</v>
      </c>
      <c r="BK415" s="6">
        <v>0.1409291</v>
      </c>
      <c r="BL415" s="6">
        <v>0.12522516</v>
      </c>
      <c r="BM415" s="6">
        <v>0.1592662</v>
      </c>
      <c r="BN415" s="6">
        <v>0.17561655</v>
      </c>
      <c r="BO415" s="6">
        <v>0.1337285</v>
      </c>
      <c r="BP415" s="6">
        <v>0.14157076</v>
      </c>
      <c r="BQ415" s="6">
        <v>0.04431138</v>
      </c>
      <c r="BR415" s="6">
        <v>0.0387855</v>
      </c>
      <c r="BS415" s="6">
        <v>0.03920945</v>
      </c>
      <c r="BT415" s="6">
        <v>0.03483555</v>
      </c>
      <c r="BU415" s="6">
        <v>0.03336073</v>
      </c>
      <c r="BV415" s="6">
        <v>0.06662082</v>
      </c>
      <c r="BW415" s="6">
        <v>0.06180976</v>
      </c>
      <c r="BX415" s="12">
        <v>29664</v>
      </c>
      <c r="BY415" s="13">
        <v>7288</v>
      </c>
      <c r="BZ415" s="12">
        <v>28442.95</v>
      </c>
      <c r="CA415" s="6">
        <f t="shared" si="36"/>
        <v>4.07025246981339</v>
      </c>
      <c r="CB415" s="6">
        <f t="shared" si="37"/>
        <v>1.04292979455366</v>
      </c>
      <c r="CC415" s="7">
        <v>780300394.4</v>
      </c>
      <c r="CD415" s="7">
        <f t="shared" si="38"/>
        <v>2.74338770908081</v>
      </c>
      <c r="CE415" s="8">
        <v>131.6</v>
      </c>
      <c r="CF415" s="8">
        <v>8286.5</v>
      </c>
      <c r="CG415" s="8">
        <v>14786</v>
      </c>
      <c r="CH415" s="8">
        <v>95746</v>
      </c>
      <c r="CI415" s="14">
        <v>0</v>
      </c>
      <c r="CJ415" s="14">
        <v>0</v>
      </c>
      <c r="CK415" s="14">
        <f t="shared" si="39"/>
        <v>0</v>
      </c>
      <c r="CL415">
        <f t="shared" si="40"/>
        <v>1.91398219724656</v>
      </c>
      <c r="CM415">
        <f t="shared" si="41"/>
        <v>0</v>
      </c>
      <c r="CN415" s="15">
        <v>29664</v>
      </c>
      <c r="CO415" s="15">
        <v>31663.27</v>
      </c>
      <c r="CP415" s="15">
        <v>8339.85</v>
      </c>
      <c r="CQ415" s="15">
        <v>1385.89</v>
      </c>
      <c r="CR415" s="15">
        <v>347.55</v>
      </c>
      <c r="CS415" s="15">
        <v>17.59</v>
      </c>
      <c r="CT415" s="15">
        <v>800.57</v>
      </c>
      <c r="CU415" s="15">
        <v>35.18</v>
      </c>
      <c r="CV415" s="15">
        <v>49.86</v>
      </c>
      <c r="CW415" s="15">
        <v>3251.19</v>
      </c>
    </row>
    <row r="416" spans="1:101">
      <c r="A416" s="6">
        <v>2014</v>
      </c>
      <c r="B416" s="6" t="s">
        <v>116</v>
      </c>
      <c r="C416" s="6">
        <v>0.34216468</v>
      </c>
      <c r="D416" s="6">
        <v>0.055842</v>
      </c>
      <c r="E416" s="6">
        <v>0.014531</v>
      </c>
      <c r="F416" s="6">
        <v>0.02475</v>
      </c>
      <c r="G416" s="6">
        <v>0.008817</v>
      </c>
      <c r="H416" s="6">
        <v>0.007744</v>
      </c>
      <c r="I416" s="6">
        <v>0.057234</v>
      </c>
      <c r="J416" s="6">
        <v>0.029146</v>
      </c>
      <c r="K416" s="6">
        <v>0.38646288</v>
      </c>
      <c r="L416" s="6">
        <v>0.30306623</v>
      </c>
      <c r="M416" s="6">
        <v>0.3374801</v>
      </c>
      <c r="N416" s="6">
        <v>0.23215015</v>
      </c>
      <c r="O416" s="6">
        <v>0.20117126</v>
      </c>
      <c r="P416" s="6">
        <v>0.5476983</v>
      </c>
      <c r="Q416" s="6">
        <v>0.45105248</v>
      </c>
      <c r="R416" s="6">
        <v>217.69486</v>
      </c>
      <c r="S416" s="6">
        <v>0.00177525</v>
      </c>
      <c r="T416" s="6">
        <v>169.97573</v>
      </c>
      <c r="U416" s="6">
        <v>0.001783</v>
      </c>
      <c r="V416" s="6">
        <v>197.11803</v>
      </c>
      <c r="W416" s="6">
        <v>0.00171207</v>
      </c>
      <c r="X416" s="6">
        <v>134.47093</v>
      </c>
      <c r="Y416" s="6">
        <v>0.0017264</v>
      </c>
      <c r="Z416" s="6">
        <v>134.86767</v>
      </c>
      <c r="AA416" s="6">
        <v>0.00149162</v>
      </c>
      <c r="AB416" s="6">
        <v>294.9318</v>
      </c>
      <c r="AC416" s="6">
        <v>0.00185703</v>
      </c>
      <c r="AD416" s="6">
        <v>243.86163</v>
      </c>
      <c r="AE416" s="6">
        <v>0.00184962</v>
      </c>
      <c r="AF416" s="6">
        <v>775</v>
      </c>
      <c r="AG416" s="6">
        <v>-0.01124411</v>
      </c>
      <c r="AH416" s="6">
        <v>-0.01128541</v>
      </c>
      <c r="AI416" s="6">
        <v>-0.01090598</v>
      </c>
      <c r="AJ416" s="6">
        <v>-0.01098285</v>
      </c>
      <c r="AK416" s="6">
        <v>-0.0097073</v>
      </c>
      <c r="AL416" s="6">
        <v>-0.01167847</v>
      </c>
      <c r="AM416" s="6">
        <v>-0.01163927</v>
      </c>
      <c r="AN416" s="6">
        <v>-6.4762184</v>
      </c>
      <c r="AO416" s="6">
        <v>-6.4515561</v>
      </c>
      <c r="AP416" s="6">
        <v>-6.4739881</v>
      </c>
      <c r="AQ416" s="6">
        <v>-6.4253629</v>
      </c>
      <c r="AR416" s="6">
        <v>-6.4020076</v>
      </c>
      <c r="AS416" s="6">
        <v>-6.4618417</v>
      </c>
      <c r="AT416" s="6">
        <v>-6.4506396</v>
      </c>
      <c r="AU416" s="6">
        <v>0.97344833</v>
      </c>
      <c r="AV416" s="6">
        <v>0.96974131</v>
      </c>
      <c r="AW416" s="6">
        <v>0.97311308</v>
      </c>
      <c r="AX416" s="6">
        <v>0.96580418</v>
      </c>
      <c r="AY416" s="6">
        <v>0.96229362</v>
      </c>
      <c r="AZ416" s="6">
        <v>0.97128734</v>
      </c>
      <c r="BA416" s="6">
        <v>0.96960354</v>
      </c>
      <c r="BB416" s="6">
        <v>0.02655167</v>
      </c>
      <c r="BC416" s="6">
        <v>0.03025869</v>
      </c>
      <c r="BD416" s="6">
        <v>0.02688692</v>
      </c>
      <c r="BE416" s="6">
        <v>0.03419582</v>
      </c>
      <c r="BF416" s="6">
        <v>0.03770638</v>
      </c>
      <c r="BG416" s="6">
        <v>0.02871266</v>
      </c>
      <c r="BH416" s="6">
        <v>0.03039646</v>
      </c>
      <c r="BI416" s="6">
        <v>0.21470859</v>
      </c>
      <c r="BJ416" s="6">
        <v>0.12366373</v>
      </c>
      <c r="BK416" s="6">
        <v>0.1409291</v>
      </c>
      <c r="BL416" s="6">
        <v>0.12522516</v>
      </c>
      <c r="BM416" s="6">
        <v>0.1592662</v>
      </c>
      <c r="BN416" s="6">
        <v>0.17561655</v>
      </c>
      <c r="BO416" s="6">
        <v>0.1337285</v>
      </c>
      <c r="BP416" s="6">
        <v>0.14157076</v>
      </c>
      <c r="BQ416" s="6">
        <v>0.04779144</v>
      </c>
      <c r="BR416" s="6">
        <v>0.04271085</v>
      </c>
      <c r="BS416" s="6">
        <v>0.042261</v>
      </c>
      <c r="BT416" s="6">
        <v>0.03697367</v>
      </c>
      <c r="BU416" s="6">
        <v>0.035329</v>
      </c>
      <c r="BV416" s="6">
        <v>0.07324287</v>
      </c>
      <c r="BW416" s="6">
        <v>0.06385584</v>
      </c>
      <c r="BX416" s="12">
        <v>29320</v>
      </c>
      <c r="BY416" s="13">
        <v>7323</v>
      </c>
      <c r="BZ416" s="12">
        <v>29421.15</v>
      </c>
      <c r="CA416" s="6">
        <f t="shared" si="36"/>
        <v>4.00382356957531</v>
      </c>
      <c r="CB416" s="6">
        <f t="shared" si="37"/>
        <v>0.996561997066736</v>
      </c>
      <c r="CC416" s="7">
        <v>800572356.2</v>
      </c>
      <c r="CD416" s="7">
        <f t="shared" si="38"/>
        <v>2.72107771518109</v>
      </c>
      <c r="CE416" s="8">
        <v>132</v>
      </c>
      <c r="CF416" s="8">
        <v>8633.3</v>
      </c>
      <c r="CG416" s="8">
        <v>16504.5</v>
      </c>
      <c r="CH416" s="8">
        <v>102827</v>
      </c>
      <c r="CI416" s="14">
        <v>0</v>
      </c>
      <c r="CJ416" s="14">
        <v>0</v>
      </c>
      <c r="CK416" s="14">
        <f t="shared" si="39"/>
        <v>0</v>
      </c>
      <c r="CL416">
        <f t="shared" si="40"/>
        <v>1.79640226266579</v>
      </c>
      <c r="CM416">
        <f t="shared" si="41"/>
        <v>0</v>
      </c>
      <c r="CN416" s="15">
        <v>29320.21</v>
      </c>
      <c r="CO416" s="15">
        <v>29635.54</v>
      </c>
      <c r="CP416" s="15">
        <v>8127.2</v>
      </c>
      <c r="CQ416" s="15">
        <v>1356.61</v>
      </c>
      <c r="CR416" s="15">
        <v>314.64</v>
      </c>
      <c r="CS416" s="15">
        <v>17.59</v>
      </c>
      <c r="CT416" s="15">
        <v>788.8</v>
      </c>
      <c r="CU416" s="15">
        <v>31.97</v>
      </c>
      <c r="CV416" s="15">
        <v>56.08</v>
      </c>
      <c r="CW416" s="15">
        <v>3314.11</v>
      </c>
    </row>
    <row r="417" spans="1:101">
      <c r="A417" s="6">
        <v>2015</v>
      </c>
      <c r="B417" s="6" t="s">
        <v>116</v>
      </c>
      <c r="C417" s="6">
        <v>0.36806312</v>
      </c>
      <c r="D417" s="6">
        <v>0.059465</v>
      </c>
      <c r="E417" s="6">
        <v>0.015623</v>
      </c>
      <c r="F417" s="6">
        <v>0.026684</v>
      </c>
      <c r="G417" s="6">
        <v>0.008097</v>
      </c>
      <c r="H417" s="6">
        <v>0.009061</v>
      </c>
      <c r="I417" s="6">
        <v>0.061454</v>
      </c>
      <c r="J417" s="6">
        <v>0.031173</v>
      </c>
      <c r="K417" s="6">
        <v>0.41487578</v>
      </c>
      <c r="L417" s="6">
        <v>0.32886766</v>
      </c>
      <c r="M417" s="6">
        <v>0.36720212</v>
      </c>
      <c r="N417" s="6">
        <v>0.21084856</v>
      </c>
      <c r="O417" s="6">
        <v>0.24110462</v>
      </c>
      <c r="P417" s="6">
        <v>0.59470331</v>
      </c>
      <c r="Q417" s="6">
        <v>0.48722117</v>
      </c>
      <c r="R417" s="6">
        <v>217.69486</v>
      </c>
      <c r="S417" s="6">
        <v>0.00190577</v>
      </c>
      <c r="T417" s="6">
        <v>169.97573</v>
      </c>
      <c r="U417" s="6">
        <v>0.00193479</v>
      </c>
      <c r="V417" s="6">
        <v>197.11803</v>
      </c>
      <c r="W417" s="6">
        <v>0.00186285</v>
      </c>
      <c r="X417" s="6">
        <v>134.47093</v>
      </c>
      <c r="Y417" s="6">
        <v>0.00156799</v>
      </c>
      <c r="Z417" s="6">
        <v>134.86767</v>
      </c>
      <c r="AA417" s="6">
        <v>0.00178771</v>
      </c>
      <c r="AB417" s="6">
        <v>294.9318</v>
      </c>
      <c r="AC417" s="6">
        <v>0.00201641</v>
      </c>
      <c r="AD417" s="6">
        <v>243.86163</v>
      </c>
      <c r="AE417" s="6">
        <v>0.00199794</v>
      </c>
      <c r="AF417" s="6">
        <v>775</v>
      </c>
      <c r="AG417" s="6">
        <v>-0.01193557</v>
      </c>
      <c r="AH417" s="6">
        <v>-0.01208811</v>
      </c>
      <c r="AI417" s="6">
        <v>-0.01170924</v>
      </c>
      <c r="AJ417" s="6">
        <v>-0.010126</v>
      </c>
      <c r="AK417" s="6">
        <v>-0.01131053</v>
      </c>
      <c r="AL417" s="6">
        <v>-0.01251472</v>
      </c>
      <c r="AM417" s="6">
        <v>-0.01241848</v>
      </c>
      <c r="AN417" s="6">
        <v>-6.4762184</v>
      </c>
      <c r="AO417" s="6">
        <v>-6.4515561</v>
      </c>
      <c r="AP417" s="6">
        <v>-6.4739881</v>
      </c>
      <c r="AQ417" s="6">
        <v>-6.4253629</v>
      </c>
      <c r="AR417" s="6">
        <v>-6.4020076</v>
      </c>
      <c r="AS417" s="6">
        <v>-6.4618417</v>
      </c>
      <c r="AT417" s="6">
        <v>-6.4506396</v>
      </c>
      <c r="AU417" s="6">
        <v>0.97344833</v>
      </c>
      <c r="AV417" s="6">
        <v>0.96974131</v>
      </c>
      <c r="AW417" s="6">
        <v>0.97311308</v>
      </c>
      <c r="AX417" s="6">
        <v>0.96580418</v>
      </c>
      <c r="AY417" s="6">
        <v>0.96229362</v>
      </c>
      <c r="AZ417" s="6">
        <v>0.97128734</v>
      </c>
      <c r="BA417" s="6">
        <v>0.96960354</v>
      </c>
      <c r="BB417" s="6">
        <v>0.02655167</v>
      </c>
      <c r="BC417" s="6">
        <v>0.03025869</v>
      </c>
      <c r="BD417" s="6">
        <v>0.02688692</v>
      </c>
      <c r="BE417" s="6">
        <v>0.03419582</v>
      </c>
      <c r="BF417" s="6">
        <v>0.03770638</v>
      </c>
      <c r="BG417" s="6">
        <v>0.02871266</v>
      </c>
      <c r="BH417" s="6">
        <v>0.03039646</v>
      </c>
      <c r="BI417" s="6">
        <v>0.21470859</v>
      </c>
      <c r="BJ417" s="6">
        <v>0.12366373</v>
      </c>
      <c r="BK417" s="6">
        <v>0.1409291</v>
      </c>
      <c r="BL417" s="6">
        <v>0.12522516</v>
      </c>
      <c r="BM417" s="6">
        <v>0.1592662</v>
      </c>
      <c r="BN417" s="6">
        <v>0.17561655</v>
      </c>
      <c r="BO417" s="6">
        <v>0.1337285</v>
      </c>
      <c r="BP417" s="6">
        <v>0.14157076</v>
      </c>
      <c r="BQ417" s="6">
        <v>0.05130509</v>
      </c>
      <c r="BR417" s="6">
        <v>0.04634702</v>
      </c>
      <c r="BS417" s="6">
        <v>0.04598294</v>
      </c>
      <c r="BT417" s="6">
        <v>0.03358105</v>
      </c>
      <c r="BU417" s="6">
        <v>0.04234196</v>
      </c>
      <c r="BV417" s="6">
        <v>0.07952878</v>
      </c>
      <c r="BW417" s="6">
        <v>0.06897627</v>
      </c>
      <c r="BX417" s="12">
        <v>31037</v>
      </c>
      <c r="BY417" s="13">
        <v>7345</v>
      </c>
      <c r="BZ417" s="12">
        <v>29806.11</v>
      </c>
      <c r="CA417" s="6">
        <f t="shared" si="36"/>
        <v>4.22559564329476</v>
      </c>
      <c r="CB417" s="6">
        <f t="shared" si="37"/>
        <v>1.04129656637515</v>
      </c>
      <c r="CC417" s="7">
        <v>762457612.3</v>
      </c>
      <c r="CD417" s="7">
        <f t="shared" si="38"/>
        <v>2.55805810385857</v>
      </c>
      <c r="CE417" s="8">
        <v>125.5</v>
      </c>
      <c r="CF417" s="8">
        <v>8408.7</v>
      </c>
      <c r="CG417" s="8">
        <v>18352.8</v>
      </c>
      <c r="CH417" s="8">
        <v>109186</v>
      </c>
      <c r="CI417" s="14">
        <v>0</v>
      </c>
      <c r="CJ417" s="14">
        <v>0</v>
      </c>
      <c r="CK417" s="14">
        <f t="shared" si="39"/>
        <v>0</v>
      </c>
      <c r="CL417">
        <f t="shared" si="40"/>
        <v>1.71577514742415</v>
      </c>
      <c r="CM417">
        <f t="shared" si="41"/>
        <v>0</v>
      </c>
      <c r="CN417" s="15">
        <v>31037</v>
      </c>
      <c r="CO417" s="15">
        <v>31700.5</v>
      </c>
      <c r="CP417" s="15">
        <v>7905.6</v>
      </c>
      <c r="CQ417" s="15">
        <v>1666.82</v>
      </c>
      <c r="CR417" s="15">
        <v>405.32</v>
      </c>
      <c r="CS417" s="15">
        <v>8.24</v>
      </c>
      <c r="CT417" s="15">
        <v>484.18</v>
      </c>
      <c r="CU417" s="15">
        <v>51.73</v>
      </c>
      <c r="CV417" s="15">
        <v>72.97</v>
      </c>
      <c r="CW417" s="15">
        <v>3176</v>
      </c>
    </row>
    <row r="418" spans="1:101">
      <c r="A418" s="6">
        <v>2016</v>
      </c>
      <c r="B418" s="6" t="s">
        <v>116</v>
      </c>
      <c r="C418" s="6">
        <v>0.35473074</v>
      </c>
      <c r="D418" s="6">
        <v>0.057987</v>
      </c>
      <c r="E418" s="6">
        <v>0.015014</v>
      </c>
      <c r="F418" s="6">
        <v>0.026317</v>
      </c>
      <c r="G418" s="6">
        <v>0.008804</v>
      </c>
      <c r="H418" s="6">
        <v>0.007852</v>
      </c>
      <c r="I418" s="6">
        <v>0.060118</v>
      </c>
      <c r="J418" s="6">
        <v>0.029563</v>
      </c>
      <c r="K418" s="6">
        <v>0.40328309</v>
      </c>
      <c r="L418" s="6">
        <v>0.3144639</v>
      </c>
      <c r="M418" s="6">
        <v>0.36157179</v>
      </c>
      <c r="N418" s="6">
        <v>0.23176059</v>
      </c>
      <c r="O418" s="6">
        <v>0.20444215</v>
      </c>
      <c r="P418" s="6">
        <v>0.57982836</v>
      </c>
      <c r="Q418" s="6">
        <v>0.45849593</v>
      </c>
      <c r="R418" s="6">
        <v>217.69486</v>
      </c>
      <c r="S418" s="6">
        <v>0.00185252</v>
      </c>
      <c r="T418" s="6">
        <v>169.97573</v>
      </c>
      <c r="U418" s="6">
        <v>0.00185005</v>
      </c>
      <c r="V418" s="6">
        <v>197.11803</v>
      </c>
      <c r="W418" s="6">
        <v>0.00183429</v>
      </c>
      <c r="X418" s="6">
        <v>134.47093</v>
      </c>
      <c r="Y418" s="6">
        <v>0.0017235</v>
      </c>
      <c r="Z418" s="6">
        <v>134.86767</v>
      </c>
      <c r="AA418" s="6">
        <v>0.00151587</v>
      </c>
      <c r="AB418" s="6">
        <v>294.9318</v>
      </c>
      <c r="AC418" s="6">
        <v>0.00196597</v>
      </c>
      <c r="AD418" s="6">
        <v>243.86163</v>
      </c>
      <c r="AE418" s="6">
        <v>0.00188015</v>
      </c>
      <c r="AF418" s="6">
        <v>775</v>
      </c>
      <c r="AG418" s="6">
        <v>-0.01165457</v>
      </c>
      <c r="AH418" s="6">
        <v>-0.01164153</v>
      </c>
      <c r="AI418" s="6">
        <v>-0.01155805</v>
      </c>
      <c r="AJ418" s="6">
        <v>-0.01096731</v>
      </c>
      <c r="AK418" s="6">
        <v>-0.00984069</v>
      </c>
      <c r="AL418" s="6">
        <v>-0.01225149</v>
      </c>
      <c r="AM418" s="6">
        <v>-0.01180057</v>
      </c>
      <c r="AN418" s="6">
        <v>-6.4762184</v>
      </c>
      <c r="AO418" s="6">
        <v>-6.4515561</v>
      </c>
      <c r="AP418" s="6">
        <v>-6.4739881</v>
      </c>
      <c r="AQ418" s="6">
        <v>-6.4253629</v>
      </c>
      <c r="AR418" s="6">
        <v>-6.4020076</v>
      </c>
      <c r="AS418" s="6">
        <v>-6.4618417</v>
      </c>
      <c r="AT418" s="6">
        <v>-6.4506396</v>
      </c>
      <c r="AU418" s="6">
        <v>0.97344833</v>
      </c>
      <c r="AV418" s="6">
        <v>0.96974131</v>
      </c>
      <c r="AW418" s="6">
        <v>0.97311308</v>
      </c>
      <c r="AX418" s="6">
        <v>0.96580418</v>
      </c>
      <c r="AY418" s="6">
        <v>0.96229362</v>
      </c>
      <c r="AZ418" s="6">
        <v>0.97128734</v>
      </c>
      <c r="BA418" s="6">
        <v>0.96960354</v>
      </c>
      <c r="BB418" s="6">
        <v>0.02655167</v>
      </c>
      <c r="BC418" s="6">
        <v>0.03025869</v>
      </c>
      <c r="BD418" s="6">
        <v>0.02688692</v>
      </c>
      <c r="BE418" s="6">
        <v>0.03419582</v>
      </c>
      <c r="BF418" s="6">
        <v>0.03770638</v>
      </c>
      <c r="BG418" s="6">
        <v>0.02871266</v>
      </c>
      <c r="BH418" s="6">
        <v>0.03039646</v>
      </c>
      <c r="BI418" s="6">
        <v>0.21470859</v>
      </c>
      <c r="BJ418" s="6">
        <v>0.12366373</v>
      </c>
      <c r="BK418" s="6">
        <v>0.1409291</v>
      </c>
      <c r="BL418" s="6">
        <v>0.12522516</v>
      </c>
      <c r="BM418" s="6">
        <v>0.1592662</v>
      </c>
      <c r="BN418" s="6">
        <v>0.17561655</v>
      </c>
      <c r="BO418" s="6">
        <v>0.1337285</v>
      </c>
      <c r="BP418" s="6">
        <v>0.14157076</v>
      </c>
      <c r="BQ418" s="6">
        <v>0.04987149</v>
      </c>
      <c r="BR418" s="6">
        <v>0.04431711</v>
      </c>
      <c r="BS418" s="6">
        <v>0.04527789</v>
      </c>
      <c r="BT418" s="6">
        <v>0.03691163</v>
      </c>
      <c r="BU418" s="6">
        <v>0.03590343</v>
      </c>
      <c r="BV418" s="6">
        <v>0.07753957</v>
      </c>
      <c r="BW418" s="6">
        <v>0.06490962</v>
      </c>
      <c r="BX418" s="12">
        <v>31458</v>
      </c>
      <c r="BY418" s="13">
        <v>7375</v>
      </c>
      <c r="BZ418" s="12">
        <v>32070.45</v>
      </c>
      <c r="CA418" s="6">
        <f t="shared" si="36"/>
        <v>4.26549152542373</v>
      </c>
      <c r="CB418" s="6">
        <f t="shared" si="37"/>
        <v>0.980902980781374</v>
      </c>
      <c r="CC418" s="7">
        <v>746985038</v>
      </c>
      <c r="CD418" s="7">
        <f t="shared" si="38"/>
        <v>2.32920036357457</v>
      </c>
      <c r="CE418" s="8">
        <v>114.3</v>
      </c>
      <c r="CF418" s="8">
        <v>8570.2</v>
      </c>
      <c r="CG418" s="8">
        <v>21202.4</v>
      </c>
      <c r="CH418" s="8">
        <v>121369</v>
      </c>
      <c r="CI418" s="14">
        <v>0</v>
      </c>
      <c r="CJ418" s="14">
        <v>0</v>
      </c>
      <c r="CK418" s="14">
        <f t="shared" si="39"/>
        <v>0</v>
      </c>
      <c r="CL418">
        <f t="shared" si="40"/>
        <v>1.62438398605541</v>
      </c>
      <c r="CM418">
        <f t="shared" si="41"/>
        <v>0</v>
      </c>
      <c r="CN418" s="15">
        <v>31458</v>
      </c>
      <c r="CO418" s="15">
        <v>30863.5</v>
      </c>
      <c r="CP418" s="15">
        <v>8294.9</v>
      </c>
      <c r="CQ418" s="15">
        <v>1761.93</v>
      </c>
      <c r="CR418" s="15">
        <v>434.86</v>
      </c>
      <c r="CS418" s="15">
        <v>11.46</v>
      </c>
      <c r="CT418" s="15">
        <v>503.59</v>
      </c>
      <c r="CU418" s="15">
        <v>53.7</v>
      </c>
      <c r="CV418" s="15">
        <v>80.95</v>
      </c>
      <c r="CW418" s="15">
        <v>3264.52</v>
      </c>
    </row>
    <row r="419" spans="1:101">
      <c r="A419" s="6">
        <v>2017</v>
      </c>
      <c r="B419" s="6" t="s">
        <v>116</v>
      </c>
      <c r="C419" s="6">
        <v>0.37486395</v>
      </c>
      <c r="D419" s="6">
        <v>0.062223</v>
      </c>
      <c r="E419" s="6">
        <v>0.016238</v>
      </c>
      <c r="F419" s="6">
        <v>0.027701</v>
      </c>
      <c r="G419" s="6">
        <v>0.009043</v>
      </c>
      <c r="H419" s="6">
        <v>0.009241</v>
      </c>
      <c r="I419" s="6">
        <v>0.059662</v>
      </c>
      <c r="J419" s="6">
        <v>0.030135</v>
      </c>
      <c r="K419" s="6">
        <v>0.43651105</v>
      </c>
      <c r="L419" s="6">
        <v>0.34341267</v>
      </c>
      <c r="M419" s="6">
        <v>0.38283938</v>
      </c>
      <c r="N419" s="6">
        <v>0.23882106</v>
      </c>
      <c r="O419" s="6">
        <v>0.24653645</v>
      </c>
      <c r="P419" s="6">
        <v>0.5747442</v>
      </c>
      <c r="Q419" s="6">
        <v>0.46869652</v>
      </c>
      <c r="R419" s="6">
        <v>217.69486</v>
      </c>
      <c r="S419" s="6">
        <v>0.00200515</v>
      </c>
      <c r="T419" s="6">
        <v>169.97573</v>
      </c>
      <c r="U419" s="6">
        <v>0.00202036</v>
      </c>
      <c r="V419" s="6">
        <v>197.11803</v>
      </c>
      <c r="W419" s="6">
        <v>0.00194218</v>
      </c>
      <c r="X419" s="6">
        <v>134.47093</v>
      </c>
      <c r="Y419" s="6">
        <v>0.00177601</v>
      </c>
      <c r="Z419" s="6">
        <v>134.86767</v>
      </c>
      <c r="AA419" s="6">
        <v>0.00182799</v>
      </c>
      <c r="AB419" s="6">
        <v>294.9318</v>
      </c>
      <c r="AC419" s="6">
        <v>0.00194874</v>
      </c>
      <c r="AD419" s="6">
        <v>243.86163</v>
      </c>
      <c r="AE419" s="6">
        <v>0.00192198</v>
      </c>
      <c r="AF419" s="6">
        <v>775</v>
      </c>
      <c r="AG419" s="6">
        <v>-0.01245607</v>
      </c>
      <c r="AH419" s="6">
        <v>-0.0125353</v>
      </c>
      <c r="AI419" s="6">
        <v>-0.01212688</v>
      </c>
      <c r="AJ419" s="6">
        <v>-0.01124813</v>
      </c>
      <c r="AK419" s="6">
        <v>-0.01152462</v>
      </c>
      <c r="AL419" s="6">
        <v>-0.01216123</v>
      </c>
      <c r="AM419" s="6">
        <v>-0.01202082</v>
      </c>
      <c r="AN419" s="6">
        <v>-6.4762184</v>
      </c>
      <c r="AO419" s="6">
        <v>-6.4515561</v>
      </c>
      <c r="AP419" s="6">
        <v>-6.4739881</v>
      </c>
      <c r="AQ419" s="6">
        <v>-6.4253629</v>
      </c>
      <c r="AR419" s="6">
        <v>-6.4020076</v>
      </c>
      <c r="AS419" s="6">
        <v>-6.4618417</v>
      </c>
      <c r="AT419" s="6">
        <v>-6.4506396</v>
      </c>
      <c r="AU419" s="6">
        <v>0.97344833</v>
      </c>
      <c r="AV419" s="6">
        <v>0.96974131</v>
      </c>
      <c r="AW419" s="6">
        <v>0.97311308</v>
      </c>
      <c r="AX419" s="6">
        <v>0.96580418</v>
      </c>
      <c r="AY419" s="6">
        <v>0.96229362</v>
      </c>
      <c r="AZ419" s="6">
        <v>0.97128734</v>
      </c>
      <c r="BA419" s="6">
        <v>0.96960354</v>
      </c>
      <c r="BB419" s="6">
        <v>0.02655167</v>
      </c>
      <c r="BC419" s="6">
        <v>0.03025869</v>
      </c>
      <c r="BD419" s="6">
        <v>0.02688692</v>
      </c>
      <c r="BE419" s="6">
        <v>0.03419582</v>
      </c>
      <c r="BF419" s="6">
        <v>0.03770638</v>
      </c>
      <c r="BG419" s="6">
        <v>0.02871266</v>
      </c>
      <c r="BH419" s="6">
        <v>0.03039646</v>
      </c>
      <c r="BI419" s="6">
        <v>0.21470859</v>
      </c>
      <c r="BJ419" s="6">
        <v>0.12366373</v>
      </c>
      <c r="BK419" s="6">
        <v>0.1409291</v>
      </c>
      <c r="BL419" s="6">
        <v>0.12522516</v>
      </c>
      <c r="BM419" s="6">
        <v>0.1592662</v>
      </c>
      <c r="BN419" s="6">
        <v>0.17561655</v>
      </c>
      <c r="BO419" s="6">
        <v>0.1337285</v>
      </c>
      <c r="BP419" s="6">
        <v>0.14157076</v>
      </c>
      <c r="BQ419" s="6">
        <v>0.05398059</v>
      </c>
      <c r="BR419" s="6">
        <v>0.04839684</v>
      </c>
      <c r="BS419" s="6">
        <v>0.04794112</v>
      </c>
      <c r="BT419" s="6">
        <v>0.03803612</v>
      </c>
      <c r="BU419" s="6">
        <v>0.04329588</v>
      </c>
      <c r="BV419" s="6">
        <v>0.07685968</v>
      </c>
      <c r="BW419" s="6">
        <v>0.06635372</v>
      </c>
      <c r="BX419" s="12">
        <v>32083</v>
      </c>
      <c r="BY419" s="13">
        <v>7409</v>
      </c>
      <c r="BZ419" s="12">
        <v>34016.32</v>
      </c>
      <c r="CA419" s="6">
        <f t="shared" si="36"/>
        <v>4.33027399109192</v>
      </c>
      <c r="CB419" s="6">
        <f t="shared" si="37"/>
        <v>0.943164927893435</v>
      </c>
      <c r="CC419" s="7">
        <v>752269261.4</v>
      </c>
      <c r="CD419" s="7">
        <f t="shared" si="38"/>
        <v>2.21149513351238</v>
      </c>
      <c r="CE419" s="8">
        <v>110.8</v>
      </c>
      <c r="CF419" s="8">
        <v>9525.9</v>
      </c>
      <c r="CG419" s="8">
        <v>23288.3</v>
      </c>
      <c r="CH419" s="8">
        <v>133489</v>
      </c>
      <c r="CI419" s="14">
        <v>1</v>
      </c>
      <c r="CJ419" s="14">
        <v>0</v>
      </c>
      <c r="CK419" s="14">
        <f t="shared" si="39"/>
        <v>0</v>
      </c>
      <c r="CL419">
        <f t="shared" si="40"/>
        <v>1.56738551218677</v>
      </c>
      <c r="CM419">
        <f t="shared" si="41"/>
        <v>0</v>
      </c>
      <c r="CN419" s="15">
        <v>32083</v>
      </c>
      <c r="CO419" s="15">
        <v>30174.5</v>
      </c>
      <c r="CP419" s="15">
        <v>8700.26</v>
      </c>
      <c r="CQ419" s="15">
        <v>1542.17</v>
      </c>
      <c r="CR419" s="15">
        <v>380.39</v>
      </c>
      <c r="CS419" s="15">
        <v>27.56</v>
      </c>
      <c r="CT419" s="15">
        <v>526.81</v>
      </c>
      <c r="CU419" s="15">
        <v>43.13</v>
      </c>
      <c r="CV419" s="15">
        <v>95.12</v>
      </c>
      <c r="CW419" s="15">
        <v>3441.74</v>
      </c>
    </row>
    <row r="420" spans="1:101">
      <c r="A420" s="6">
        <v>2018</v>
      </c>
      <c r="B420" s="6" t="s">
        <v>116</v>
      </c>
      <c r="C420" s="6">
        <v>0.39678221</v>
      </c>
      <c r="D420" s="6">
        <v>0.067445</v>
      </c>
      <c r="E420" s="6">
        <v>0.016709</v>
      </c>
      <c r="F420" s="6">
        <v>0.030661</v>
      </c>
      <c r="G420" s="6">
        <v>0.01053</v>
      </c>
      <c r="H420" s="6">
        <v>0.009545</v>
      </c>
      <c r="I420" s="6">
        <v>0.057791</v>
      </c>
      <c r="J420" s="6">
        <v>0.031622</v>
      </c>
      <c r="K420" s="6">
        <v>0.47747005</v>
      </c>
      <c r="L420" s="6">
        <v>0.35455387</v>
      </c>
      <c r="M420" s="6">
        <v>0.42832952</v>
      </c>
      <c r="N420" s="6">
        <v>0.28276034</v>
      </c>
      <c r="O420" s="6">
        <v>0.25575528</v>
      </c>
      <c r="P420" s="6">
        <v>0.55390766</v>
      </c>
      <c r="Q420" s="6">
        <v>0.49522672</v>
      </c>
      <c r="R420" s="6">
        <v>217.69486</v>
      </c>
      <c r="S420" s="6">
        <v>0.0021933</v>
      </c>
      <c r="T420" s="6">
        <v>169.97573</v>
      </c>
      <c r="U420" s="6">
        <v>0.00208591</v>
      </c>
      <c r="V420" s="6">
        <v>197.11803</v>
      </c>
      <c r="W420" s="6">
        <v>0.00217296</v>
      </c>
      <c r="X420" s="6">
        <v>134.47093</v>
      </c>
      <c r="Y420" s="6">
        <v>0.00210276</v>
      </c>
      <c r="Z420" s="6">
        <v>134.86767</v>
      </c>
      <c r="AA420" s="6">
        <v>0.00189634</v>
      </c>
      <c r="AB420" s="6">
        <v>294.9318</v>
      </c>
      <c r="AC420" s="6">
        <v>0.00187809</v>
      </c>
      <c r="AD420" s="6">
        <v>243.86163</v>
      </c>
      <c r="AE420" s="6">
        <v>0.00203077</v>
      </c>
      <c r="AF420" s="6">
        <v>775</v>
      </c>
      <c r="AG420" s="6">
        <v>-0.01342814</v>
      </c>
      <c r="AH420" s="6">
        <v>-0.01287538</v>
      </c>
      <c r="AI420" s="6">
        <v>-0.01332386</v>
      </c>
      <c r="AJ420" s="6">
        <v>-0.01296248</v>
      </c>
      <c r="AK420" s="6">
        <v>-0.01188595</v>
      </c>
      <c r="AL420" s="6">
        <v>-0.0117897</v>
      </c>
      <c r="AM420" s="6">
        <v>-0.01258943</v>
      </c>
      <c r="AN420" s="6">
        <v>-6.4762184</v>
      </c>
      <c r="AO420" s="6">
        <v>-6.4515561</v>
      </c>
      <c r="AP420" s="6">
        <v>-6.4739881</v>
      </c>
      <c r="AQ420" s="6">
        <v>-6.4253629</v>
      </c>
      <c r="AR420" s="6">
        <v>-6.4020076</v>
      </c>
      <c r="AS420" s="6">
        <v>-6.4618417</v>
      </c>
      <c r="AT420" s="6">
        <v>-6.4506396</v>
      </c>
      <c r="AU420" s="6">
        <v>0.97344833</v>
      </c>
      <c r="AV420" s="6">
        <v>0.96974131</v>
      </c>
      <c r="AW420" s="6">
        <v>0.97311308</v>
      </c>
      <c r="AX420" s="6">
        <v>0.96580418</v>
      </c>
      <c r="AY420" s="6">
        <v>0.96229362</v>
      </c>
      <c r="AZ420" s="6">
        <v>0.97128734</v>
      </c>
      <c r="BA420" s="6">
        <v>0.96960354</v>
      </c>
      <c r="BB420" s="6">
        <v>0.02655167</v>
      </c>
      <c r="BC420" s="6">
        <v>0.03025869</v>
      </c>
      <c r="BD420" s="6">
        <v>0.02688692</v>
      </c>
      <c r="BE420" s="6">
        <v>0.03419582</v>
      </c>
      <c r="BF420" s="6">
        <v>0.03770638</v>
      </c>
      <c r="BG420" s="6">
        <v>0.02871266</v>
      </c>
      <c r="BH420" s="6">
        <v>0.03039646</v>
      </c>
      <c r="BI420" s="6">
        <v>0.21470859</v>
      </c>
      <c r="BJ420" s="6">
        <v>0.12366373</v>
      </c>
      <c r="BK420" s="6">
        <v>0.1409291</v>
      </c>
      <c r="BL420" s="6">
        <v>0.12522516</v>
      </c>
      <c r="BM420" s="6">
        <v>0.1592662</v>
      </c>
      <c r="BN420" s="6">
        <v>0.17561655</v>
      </c>
      <c r="BO420" s="6">
        <v>0.1337285</v>
      </c>
      <c r="BP420" s="6">
        <v>0.14157076</v>
      </c>
      <c r="BQ420" s="6">
        <v>0.05904573</v>
      </c>
      <c r="BR420" s="6">
        <v>0.04996696</v>
      </c>
      <c r="BS420" s="6">
        <v>0.05363763</v>
      </c>
      <c r="BT420" s="6">
        <v>0.04503417</v>
      </c>
      <c r="BU420" s="6">
        <v>0.04491486</v>
      </c>
      <c r="BV420" s="6">
        <v>0.07407324</v>
      </c>
      <c r="BW420" s="6">
        <v>0.07010962</v>
      </c>
      <c r="BX420" s="12">
        <v>32185</v>
      </c>
      <c r="BY420" s="13">
        <v>7426</v>
      </c>
      <c r="BZ420" s="12">
        <v>36010.27</v>
      </c>
      <c r="CA420" s="6">
        <f t="shared" si="36"/>
        <v>4.33409641799084</v>
      </c>
      <c r="CB420" s="6">
        <f t="shared" si="37"/>
        <v>0.893772804258341</v>
      </c>
      <c r="CC420" s="7">
        <v>793603585.5</v>
      </c>
      <c r="CD420" s="7">
        <f t="shared" si="38"/>
        <v>2.20382570166789</v>
      </c>
      <c r="CE420" s="8">
        <v>104.8</v>
      </c>
      <c r="CF420" s="8">
        <v>10360.8</v>
      </c>
      <c r="CG420" s="8">
        <v>25546.3</v>
      </c>
      <c r="CH420" s="8">
        <v>145767</v>
      </c>
      <c r="CI420" s="14">
        <v>1</v>
      </c>
      <c r="CJ420" s="14">
        <v>0</v>
      </c>
      <c r="CK420" s="14">
        <f t="shared" si="39"/>
        <v>0</v>
      </c>
      <c r="CL420">
        <f t="shared" si="40"/>
        <v>1.51591455826218</v>
      </c>
      <c r="CM420">
        <f t="shared" si="41"/>
        <v>0</v>
      </c>
      <c r="CN420" s="15">
        <v>32185</v>
      </c>
      <c r="CO420" s="15">
        <v>29593.75</v>
      </c>
      <c r="CP420" s="15">
        <v>9341.63</v>
      </c>
      <c r="CQ420" s="15">
        <v>1704.43</v>
      </c>
      <c r="CR420" s="15">
        <v>489.83</v>
      </c>
      <c r="CS420" s="15">
        <v>27.65</v>
      </c>
      <c r="CT420" s="15">
        <v>441.96</v>
      </c>
      <c r="CU420" s="15">
        <v>121.36</v>
      </c>
      <c r="CV420" s="15">
        <v>133.07</v>
      </c>
      <c r="CW420" s="15">
        <v>3665.66</v>
      </c>
    </row>
    <row r="421" spans="1:101">
      <c r="A421" s="6">
        <v>2019</v>
      </c>
      <c r="B421" s="6" t="s">
        <v>116</v>
      </c>
      <c r="C421" s="6">
        <v>0.39437989</v>
      </c>
      <c r="D421" s="6">
        <v>0.060066</v>
      </c>
      <c r="E421" s="6">
        <v>0.014417</v>
      </c>
      <c r="F421" s="6">
        <v>0.026899</v>
      </c>
      <c r="G421" s="6">
        <v>0.008832</v>
      </c>
      <c r="H421" s="6">
        <v>0.009919</v>
      </c>
      <c r="I421" s="6">
        <v>0.071925</v>
      </c>
      <c r="J421" s="6">
        <v>0.033437</v>
      </c>
      <c r="K421" s="6">
        <v>0.41959586</v>
      </c>
      <c r="L421" s="6">
        <v>0.30035776</v>
      </c>
      <c r="M421" s="6">
        <v>0.37051545</v>
      </c>
      <c r="N421" s="6">
        <v>0.23256918</v>
      </c>
      <c r="O421" s="6">
        <v>0.26708222</v>
      </c>
      <c r="P421" s="6">
        <v>0.71132829</v>
      </c>
      <c r="Q421" s="6">
        <v>0.52761434</v>
      </c>
      <c r="R421" s="6">
        <v>217.69486</v>
      </c>
      <c r="S421" s="6">
        <v>0.00192745</v>
      </c>
      <c r="T421" s="6">
        <v>169.97573</v>
      </c>
      <c r="U421" s="6">
        <v>0.00176706</v>
      </c>
      <c r="V421" s="6">
        <v>197.11803</v>
      </c>
      <c r="W421" s="6">
        <v>0.00187966</v>
      </c>
      <c r="X421" s="6">
        <v>134.47093</v>
      </c>
      <c r="Y421" s="6">
        <v>0.00172951</v>
      </c>
      <c r="Z421" s="6">
        <v>134.86767</v>
      </c>
      <c r="AA421" s="6">
        <v>0.00198033</v>
      </c>
      <c r="AB421" s="6">
        <v>294.9318</v>
      </c>
      <c r="AC421" s="6">
        <v>0.00241184</v>
      </c>
      <c r="AD421" s="6">
        <v>243.86163</v>
      </c>
      <c r="AE421" s="6">
        <v>0.00216358</v>
      </c>
      <c r="AF421" s="6">
        <v>775</v>
      </c>
      <c r="AG421" s="6">
        <v>-0.01204956</v>
      </c>
      <c r="AH421" s="6">
        <v>-0.01120041</v>
      </c>
      <c r="AI421" s="6">
        <v>-0.01179801</v>
      </c>
      <c r="AJ421" s="6">
        <v>-0.01099955</v>
      </c>
      <c r="AK421" s="6">
        <v>-0.01232654</v>
      </c>
      <c r="AL421" s="6">
        <v>-0.01453704</v>
      </c>
      <c r="AM421" s="6">
        <v>-0.01327571</v>
      </c>
      <c r="AN421" s="6">
        <v>-6.4762184</v>
      </c>
      <c r="AO421" s="6">
        <v>-6.4515561</v>
      </c>
      <c r="AP421" s="6">
        <v>-6.4739881</v>
      </c>
      <c r="AQ421" s="6">
        <v>-6.4253629</v>
      </c>
      <c r="AR421" s="6">
        <v>-6.4020076</v>
      </c>
      <c r="AS421" s="6">
        <v>-6.4618417</v>
      </c>
      <c r="AT421" s="6">
        <v>-6.4506396</v>
      </c>
      <c r="AU421" s="6">
        <v>0.97344833</v>
      </c>
      <c r="AV421" s="6">
        <v>0.96974131</v>
      </c>
      <c r="AW421" s="6">
        <v>0.97311308</v>
      </c>
      <c r="AX421" s="6">
        <v>0.96580418</v>
      </c>
      <c r="AY421" s="6">
        <v>0.96229362</v>
      </c>
      <c r="AZ421" s="6">
        <v>0.97128734</v>
      </c>
      <c r="BA421" s="6">
        <v>0.96960354</v>
      </c>
      <c r="BB421" s="6">
        <v>0.02655167</v>
      </c>
      <c r="BC421" s="6">
        <v>0.03025869</v>
      </c>
      <c r="BD421" s="6">
        <v>0.02688692</v>
      </c>
      <c r="BE421" s="6">
        <v>0.03419582</v>
      </c>
      <c r="BF421" s="6">
        <v>0.03770638</v>
      </c>
      <c r="BG421" s="6">
        <v>0.02871266</v>
      </c>
      <c r="BH421" s="6">
        <v>0.03039646</v>
      </c>
      <c r="BI421" s="6">
        <v>0.21470859</v>
      </c>
      <c r="BJ421" s="6">
        <v>0.12366373</v>
      </c>
      <c r="BK421" s="6">
        <v>0.1409291</v>
      </c>
      <c r="BL421" s="6">
        <v>0.12522516</v>
      </c>
      <c r="BM421" s="6">
        <v>0.1592662</v>
      </c>
      <c r="BN421" s="6">
        <v>0.17561655</v>
      </c>
      <c r="BO421" s="6">
        <v>0.1337285</v>
      </c>
      <c r="BP421" s="6">
        <v>0.14157076</v>
      </c>
      <c r="BQ421" s="6">
        <v>0.05188879</v>
      </c>
      <c r="BR421" s="6">
        <v>0.04232915</v>
      </c>
      <c r="BS421" s="6">
        <v>0.04639786</v>
      </c>
      <c r="BT421" s="6">
        <v>0.03704041</v>
      </c>
      <c r="BU421" s="6">
        <v>0.04690406</v>
      </c>
      <c r="BV421" s="6">
        <v>0.09512486</v>
      </c>
      <c r="BW421" s="6">
        <v>0.07469477</v>
      </c>
      <c r="BX421" s="12">
        <v>32545</v>
      </c>
      <c r="BY421" s="13">
        <v>7447</v>
      </c>
      <c r="BZ421" s="12">
        <v>35104.52</v>
      </c>
      <c r="CA421" s="6">
        <f t="shared" si="36"/>
        <v>4.37021619444071</v>
      </c>
      <c r="CB421" s="6">
        <f t="shared" si="37"/>
        <v>0.927088591440646</v>
      </c>
      <c r="CC421" s="7">
        <v>825793015.4</v>
      </c>
      <c r="CD421" s="7">
        <f t="shared" si="38"/>
        <v>2.35238372551455</v>
      </c>
      <c r="CE421" s="8">
        <v>107.1</v>
      </c>
      <c r="CF421" s="8">
        <v>10193.6</v>
      </c>
      <c r="CG421" s="8">
        <v>27686.9</v>
      </c>
      <c r="CH421" s="8">
        <v>153299</v>
      </c>
      <c r="CI421" s="14">
        <v>1</v>
      </c>
      <c r="CJ421" s="14">
        <v>0</v>
      </c>
      <c r="CK421" s="14">
        <f t="shared" si="39"/>
        <v>0</v>
      </c>
      <c r="CL421">
        <f t="shared" si="40"/>
        <v>1.5000536746505</v>
      </c>
      <c r="CM421">
        <f t="shared" si="41"/>
        <v>0</v>
      </c>
      <c r="CN421" s="15">
        <v>32545</v>
      </c>
      <c r="CO421" s="15">
        <v>28738.44</v>
      </c>
      <c r="CP421" s="15">
        <v>9371.81</v>
      </c>
      <c r="CQ421" s="15">
        <v>2091.04</v>
      </c>
      <c r="CR421" s="15">
        <v>423.19</v>
      </c>
      <c r="CS421" s="15">
        <v>32.17</v>
      </c>
      <c r="CT421" s="15">
        <v>464.49</v>
      </c>
      <c r="CU421" s="15">
        <v>103.77</v>
      </c>
      <c r="CV421" s="15">
        <v>165.48</v>
      </c>
      <c r="CW421" s="15">
        <v>3856.06</v>
      </c>
    </row>
    <row r="422" spans="1:101">
      <c r="A422" s="6">
        <v>2020</v>
      </c>
      <c r="B422" s="6" t="s">
        <v>116</v>
      </c>
      <c r="C422" s="6">
        <v>0.42059324</v>
      </c>
      <c r="D422" s="6">
        <v>0.070092</v>
      </c>
      <c r="E422" s="6">
        <v>0.018575</v>
      </c>
      <c r="F422" s="6">
        <v>0.030795</v>
      </c>
      <c r="G422" s="6">
        <v>0.010147</v>
      </c>
      <c r="H422" s="6">
        <v>0.010575</v>
      </c>
      <c r="I422" s="6">
        <v>0.065772</v>
      </c>
      <c r="J422" s="6">
        <v>0.031304</v>
      </c>
      <c r="K422" s="6">
        <v>0.49824012</v>
      </c>
      <c r="L422" s="6">
        <v>0.39867308</v>
      </c>
      <c r="M422" s="6">
        <v>0.43038637</v>
      </c>
      <c r="N422" s="6">
        <v>0.27146195</v>
      </c>
      <c r="O422" s="6">
        <v>0.28697478</v>
      </c>
      <c r="P422" s="6">
        <v>0.64279561</v>
      </c>
      <c r="Q422" s="6">
        <v>0.48955623</v>
      </c>
      <c r="R422" s="6">
        <v>217.69486</v>
      </c>
      <c r="S422" s="6">
        <v>0.00228871</v>
      </c>
      <c r="T422" s="6">
        <v>169.97573</v>
      </c>
      <c r="U422" s="6">
        <v>0.00234547</v>
      </c>
      <c r="V422" s="6">
        <v>197.11803</v>
      </c>
      <c r="W422" s="6">
        <v>0.00218339</v>
      </c>
      <c r="X422" s="6">
        <v>134.47093</v>
      </c>
      <c r="Y422" s="6">
        <v>0.00201874</v>
      </c>
      <c r="Z422" s="6">
        <v>134.86767</v>
      </c>
      <c r="AA422" s="6">
        <v>0.00212782</v>
      </c>
      <c r="AB422" s="6">
        <v>294.9318</v>
      </c>
      <c r="AC422" s="6">
        <v>0.00217947</v>
      </c>
      <c r="AD422" s="6">
        <v>243.86163</v>
      </c>
      <c r="AE422" s="6">
        <v>0.00200752</v>
      </c>
      <c r="AF422" s="6">
        <v>775</v>
      </c>
      <c r="AG422" s="6">
        <v>-0.01391482</v>
      </c>
      <c r="AH422" s="6">
        <v>-0.01420246</v>
      </c>
      <c r="AI422" s="6">
        <v>-0.01337738</v>
      </c>
      <c r="AJ422" s="6">
        <v>-0.01252685</v>
      </c>
      <c r="AK422" s="6">
        <v>-0.01309177</v>
      </c>
      <c r="AL422" s="6">
        <v>-0.01335727</v>
      </c>
      <c r="AM422" s="6">
        <v>-0.0124684</v>
      </c>
      <c r="AN422" s="6">
        <v>-6.4762184</v>
      </c>
      <c r="AO422" s="6">
        <v>-6.4515561</v>
      </c>
      <c r="AP422" s="6">
        <v>-6.4739881</v>
      </c>
      <c r="AQ422" s="6">
        <v>-6.4253629</v>
      </c>
      <c r="AR422" s="6">
        <v>-6.4020076</v>
      </c>
      <c r="AS422" s="6">
        <v>-6.4618417</v>
      </c>
      <c r="AT422" s="6">
        <v>-6.4506396</v>
      </c>
      <c r="AU422" s="6">
        <v>0.97344833</v>
      </c>
      <c r="AV422" s="6">
        <v>0.96974131</v>
      </c>
      <c r="AW422" s="6">
        <v>0.97311308</v>
      </c>
      <c r="AX422" s="6">
        <v>0.96580418</v>
      </c>
      <c r="AY422" s="6">
        <v>0.96229362</v>
      </c>
      <c r="AZ422" s="6">
        <v>0.97128734</v>
      </c>
      <c r="BA422" s="6">
        <v>0.96960354</v>
      </c>
      <c r="BB422" s="6">
        <v>0.02655167</v>
      </c>
      <c r="BC422" s="6">
        <v>0.03025869</v>
      </c>
      <c r="BD422" s="6">
        <v>0.02688692</v>
      </c>
      <c r="BE422" s="6">
        <v>0.03419582</v>
      </c>
      <c r="BF422" s="6">
        <v>0.03770638</v>
      </c>
      <c r="BG422" s="6">
        <v>0.02871266</v>
      </c>
      <c r="BH422" s="6">
        <v>0.03039646</v>
      </c>
      <c r="BI422" s="6">
        <v>0.21470859</v>
      </c>
      <c r="BJ422" s="6">
        <v>0.12366373</v>
      </c>
      <c r="BK422" s="6">
        <v>0.1409291</v>
      </c>
      <c r="BL422" s="6">
        <v>0.12522516</v>
      </c>
      <c r="BM422" s="6">
        <v>0.1592662</v>
      </c>
      <c r="BN422" s="6">
        <v>0.17561655</v>
      </c>
      <c r="BO422" s="6">
        <v>0.1337285</v>
      </c>
      <c r="BP422" s="6">
        <v>0.14157076</v>
      </c>
      <c r="BQ422" s="6">
        <v>0.06161423</v>
      </c>
      <c r="BR422" s="6">
        <v>0.05618464</v>
      </c>
      <c r="BS422" s="6">
        <v>0.0538952</v>
      </c>
      <c r="BT422" s="6">
        <v>0.04323471</v>
      </c>
      <c r="BU422" s="6">
        <v>0.05039752</v>
      </c>
      <c r="BV422" s="6">
        <v>0.08596009</v>
      </c>
      <c r="BW422" s="6">
        <v>0.06930685</v>
      </c>
      <c r="BX422" s="12">
        <v>32782.76</v>
      </c>
      <c r="BY422" s="13">
        <v>7463.84</v>
      </c>
      <c r="BZ422" s="12">
        <v>36206.89</v>
      </c>
      <c r="CA422" s="6">
        <f t="shared" si="36"/>
        <v>4.39221097987095</v>
      </c>
      <c r="CB422" s="6">
        <f t="shared" si="37"/>
        <v>0.905428773363302</v>
      </c>
      <c r="CC422" s="7">
        <v>823045514</v>
      </c>
      <c r="CD422" s="7">
        <f t="shared" si="38"/>
        <v>2.27317373571715</v>
      </c>
      <c r="CE422" s="8">
        <v>107.7</v>
      </c>
      <c r="CF422" s="8">
        <v>10258.6</v>
      </c>
      <c r="CG422" s="8">
        <v>28597.1</v>
      </c>
      <c r="CH422" s="8">
        <v>156803</v>
      </c>
      <c r="CI422" s="14">
        <v>1</v>
      </c>
      <c r="CJ422" s="14">
        <v>0</v>
      </c>
      <c r="CK422" s="14">
        <f t="shared" si="39"/>
        <v>0</v>
      </c>
      <c r="CL422">
        <f t="shared" si="40"/>
        <v>1.47141701078949</v>
      </c>
      <c r="CM422">
        <f t="shared" si="41"/>
        <v>0</v>
      </c>
      <c r="CN422" s="15">
        <v>32783</v>
      </c>
      <c r="CO422" s="15">
        <v>28176.87</v>
      </c>
      <c r="CP422" s="15">
        <v>9609.9</v>
      </c>
      <c r="CQ422" s="15">
        <v>2115.58</v>
      </c>
      <c r="CR422" s="15">
        <v>420.13</v>
      </c>
      <c r="CS422" s="15">
        <v>13.64</v>
      </c>
      <c r="CT422" s="15">
        <v>452.51</v>
      </c>
      <c r="CU422" s="15">
        <v>93.5</v>
      </c>
      <c r="CV422" s="15">
        <v>154.24</v>
      </c>
      <c r="CW422" s="15">
        <v>3934</v>
      </c>
    </row>
    <row r="423" spans="1:101">
      <c r="A423" s="6">
        <v>2021</v>
      </c>
      <c r="B423" s="6" t="s">
        <v>116</v>
      </c>
      <c r="C423" s="6">
        <v>0.43679461</v>
      </c>
      <c r="D423" s="6">
        <v>0.07062</v>
      </c>
      <c r="E423" s="6">
        <v>0.018224</v>
      </c>
      <c r="F423" s="6">
        <v>0.032023</v>
      </c>
      <c r="G423" s="6">
        <v>0.010439</v>
      </c>
      <c r="H423" s="6">
        <v>0.009934</v>
      </c>
      <c r="I423" s="6">
        <v>0.071535</v>
      </c>
      <c r="J423" s="6">
        <v>0.034452</v>
      </c>
      <c r="K423" s="6">
        <v>0.5023753</v>
      </c>
      <c r="L423" s="6">
        <v>0.39035718</v>
      </c>
      <c r="M423" s="6">
        <v>0.44925954</v>
      </c>
      <c r="N423" s="6">
        <v>0.28008168</v>
      </c>
      <c r="O423" s="6">
        <v>0.26755997</v>
      </c>
      <c r="P423" s="6">
        <v>0.70698995</v>
      </c>
      <c r="Q423" s="6">
        <v>0.54571659</v>
      </c>
      <c r="R423" s="6">
        <v>217.69486</v>
      </c>
      <c r="S423" s="6">
        <v>0.0023077</v>
      </c>
      <c r="T423" s="6">
        <v>169.97573</v>
      </c>
      <c r="U423" s="6">
        <v>0.00229655</v>
      </c>
      <c r="V423" s="6">
        <v>197.11803</v>
      </c>
      <c r="W423" s="6">
        <v>0.00227914</v>
      </c>
      <c r="X423" s="6">
        <v>134.47093</v>
      </c>
      <c r="Y423" s="6">
        <v>0.00208284</v>
      </c>
      <c r="Z423" s="6">
        <v>134.86767</v>
      </c>
      <c r="AA423" s="6">
        <v>0.00198387</v>
      </c>
      <c r="AB423" s="6">
        <v>294.9318</v>
      </c>
      <c r="AC423" s="6">
        <v>0.00239713</v>
      </c>
      <c r="AD423" s="6">
        <v>243.86163</v>
      </c>
      <c r="AE423" s="6">
        <v>0.00223781</v>
      </c>
      <c r="AF423" s="6">
        <v>775</v>
      </c>
      <c r="AG423" s="6">
        <v>-0.01401123</v>
      </c>
      <c r="AH423" s="6">
        <v>-0.01395462</v>
      </c>
      <c r="AI423" s="6">
        <v>-0.01386619</v>
      </c>
      <c r="AJ423" s="6">
        <v>-0.01285951</v>
      </c>
      <c r="AK423" s="6">
        <v>-0.01234504</v>
      </c>
      <c r="AL423" s="6">
        <v>-0.01446304</v>
      </c>
      <c r="AM423" s="6">
        <v>-0.01365571</v>
      </c>
      <c r="AN423" s="6">
        <v>-6.4762184</v>
      </c>
      <c r="AO423" s="6">
        <v>-6.4515561</v>
      </c>
      <c r="AP423" s="6">
        <v>-6.4739881</v>
      </c>
      <c r="AQ423" s="6">
        <v>-6.4253629</v>
      </c>
      <c r="AR423" s="6">
        <v>-6.4020076</v>
      </c>
      <c r="AS423" s="6">
        <v>-6.4618417</v>
      </c>
      <c r="AT423" s="6">
        <v>-6.4506396</v>
      </c>
      <c r="AU423" s="6">
        <v>0.97344833</v>
      </c>
      <c r="AV423" s="6">
        <v>0.96974131</v>
      </c>
      <c r="AW423" s="6">
        <v>0.97311308</v>
      </c>
      <c r="AX423" s="6">
        <v>0.96580418</v>
      </c>
      <c r="AY423" s="6">
        <v>0.96229362</v>
      </c>
      <c r="AZ423" s="6">
        <v>0.97128734</v>
      </c>
      <c r="BA423" s="6">
        <v>0.96960354</v>
      </c>
      <c r="BB423" s="6">
        <v>0.02655167</v>
      </c>
      <c r="BC423" s="6">
        <v>0.03025869</v>
      </c>
      <c r="BD423" s="6">
        <v>0.02688692</v>
      </c>
      <c r="BE423" s="6">
        <v>0.03419582</v>
      </c>
      <c r="BF423" s="6">
        <v>0.03770638</v>
      </c>
      <c r="BG423" s="6">
        <v>0.02871266</v>
      </c>
      <c r="BH423" s="6">
        <v>0.03039646</v>
      </c>
      <c r="BI423" s="6">
        <v>0.21470859</v>
      </c>
      <c r="BJ423" s="6">
        <v>0.12366373</v>
      </c>
      <c r="BK423" s="6">
        <v>0.1409291</v>
      </c>
      <c r="BL423" s="6">
        <v>0.12522516</v>
      </c>
      <c r="BM423" s="6">
        <v>0.1592662</v>
      </c>
      <c r="BN423" s="6">
        <v>0.17561655</v>
      </c>
      <c r="BO423" s="6">
        <v>0.1337285</v>
      </c>
      <c r="BP423" s="6">
        <v>0.14157076</v>
      </c>
      <c r="BQ423" s="6">
        <v>0.0621256</v>
      </c>
      <c r="BR423" s="6">
        <v>0.05501268</v>
      </c>
      <c r="BS423" s="6">
        <v>0.0562586</v>
      </c>
      <c r="BT423" s="6">
        <v>0.04460755</v>
      </c>
      <c r="BU423" s="6">
        <v>0.04698796</v>
      </c>
      <c r="BV423" s="6">
        <v>0.0945447</v>
      </c>
      <c r="BW423" s="6">
        <v>0.07725751</v>
      </c>
      <c r="BX423" s="12">
        <v>33085.8515598411</v>
      </c>
      <c r="BY423" s="13">
        <v>7448</v>
      </c>
      <c r="BZ423" s="12">
        <v>40391.3</v>
      </c>
      <c r="CA423" s="6">
        <f t="shared" si="36"/>
        <v>4.44224645003237</v>
      </c>
      <c r="CB423" s="6">
        <f t="shared" si="37"/>
        <v>0.819133119256897</v>
      </c>
      <c r="CC423" s="7">
        <v>816163103.9</v>
      </c>
      <c r="CD423" s="7">
        <f t="shared" si="38"/>
        <v>2.0206408407256</v>
      </c>
      <c r="CE423" s="8">
        <v>96.1</v>
      </c>
      <c r="CF423" s="8">
        <v>11366.7</v>
      </c>
      <c r="CG423" s="8">
        <v>32190.4</v>
      </c>
      <c r="CH423" s="8">
        <v>175420</v>
      </c>
      <c r="CI423" s="14">
        <v>1</v>
      </c>
      <c r="CJ423" s="14">
        <v>0</v>
      </c>
      <c r="CK423" s="14">
        <f t="shared" si="39"/>
        <v>0</v>
      </c>
      <c r="CL423">
        <f t="shared" si="40"/>
        <v>1.36781889095748</v>
      </c>
      <c r="CM423">
        <f t="shared" si="41"/>
        <v>0</v>
      </c>
      <c r="CN423" s="15">
        <v>32590.1</v>
      </c>
      <c r="CO423" s="15">
        <v>24588.54</v>
      </c>
      <c r="CP423" s="15">
        <v>8464.94</v>
      </c>
      <c r="CQ423" s="15">
        <v>2115.58</v>
      </c>
      <c r="CR423" s="15">
        <v>559.64</v>
      </c>
      <c r="CS423" s="15">
        <v>10.44</v>
      </c>
      <c r="CT423" s="15">
        <v>490.67</v>
      </c>
      <c r="CU423" s="15">
        <v>96.16</v>
      </c>
      <c r="CV423" s="15">
        <v>154.24</v>
      </c>
      <c r="CW423" s="15">
        <v>4294</v>
      </c>
    </row>
    <row r="424" spans="1:101">
      <c r="A424" s="6">
        <v>2022</v>
      </c>
      <c r="B424" s="6" t="s">
        <v>116</v>
      </c>
      <c r="C424" s="6">
        <v>0.44776345</v>
      </c>
      <c r="D424" s="6">
        <v>0.071594</v>
      </c>
      <c r="E424" s="6">
        <v>0.01787</v>
      </c>
      <c r="F424" s="6">
        <v>0.031763</v>
      </c>
      <c r="G424" s="6">
        <v>0.011037</v>
      </c>
      <c r="H424" s="6">
        <v>0.010924</v>
      </c>
      <c r="I424" s="6">
        <v>0.072476</v>
      </c>
      <c r="J424" s="6">
        <v>0.03533</v>
      </c>
      <c r="K424" s="6">
        <v>0.51001847</v>
      </c>
      <c r="L424" s="6">
        <v>0.38199673</v>
      </c>
      <c r="M424" s="6">
        <v>0.44527132</v>
      </c>
      <c r="N424" s="6">
        <v>0.29776</v>
      </c>
      <c r="O424" s="6">
        <v>0.29754437</v>
      </c>
      <c r="P424" s="6">
        <v>0.71746634</v>
      </c>
      <c r="Q424" s="6">
        <v>0.56139074</v>
      </c>
      <c r="R424" s="6">
        <v>217.69486</v>
      </c>
      <c r="S424" s="6">
        <v>0.00234281</v>
      </c>
      <c r="T424" s="6">
        <v>169.97573</v>
      </c>
      <c r="U424" s="6">
        <v>0.00224736</v>
      </c>
      <c r="V424" s="6">
        <v>197.11803</v>
      </c>
      <c r="W424" s="6">
        <v>0.00225891</v>
      </c>
      <c r="X424" s="6">
        <v>134.47093</v>
      </c>
      <c r="Y424" s="6">
        <v>0.00221431</v>
      </c>
      <c r="Z424" s="6">
        <v>134.86767</v>
      </c>
      <c r="AA424" s="6">
        <v>0.0022062</v>
      </c>
      <c r="AB424" s="6">
        <v>294.9318</v>
      </c>
      <c r="AC424" s="6">
        <v>0.00243265</v>
      </c>
      <c r="AD424" s="6">
        <v>243.86163</v>
      </c>
      <c r="AE424" s="6">
        <v>0.00230209</v>
      </c>
      <c r="AF424" s="6">
        <v>775</v>
      </c>
      <c r="AG424" s="6">
        <v>-0.01418902</v>
      </c>
      <c r="AH424" s="6">
        <v>-0.0137044</v>
      </c>
      <c r="AI424" s="6">
        <v>-0.01376324</v>
      </c>
      <c r="AJ424" s="6">
        <v>-0.01353565</v>
      </c>
      <c r="AK424" s="6">
        <v>-0.01349416</v>
      </c>
      <c r="AL424" s="6">
        <v>-0.01464158</v>
      </c>
      <c r="AM424" s="6">
        <v>-0.01398274</v>
      </c>
      <c r="AN424" s="6">
        <v>-6.4762184</v>
      </c>
      <c r="AO424" s="6">
        <v>-6.4515561</v>
      </c>
      <c r="AP424" s="6">
        <v>-6.4739881</v>
      </c>
      <c r="AQ424" s="6">
        <v>-6.4253629</v>
      </c>
      <c r="AR424" s="6">
        <v>-6.4020076</v>
      </c>
      <c r="AS424" s="6">
        <v>-6.4618417</v>
      </c>
      <c r="AT424" s="6">
        <v>-6.4506396</v>
      </c>
      <c r="AU424" s="6">
        <v>0.97344833</v>
      </c>
      <c r="AV424" s="6">
        <v>0.96974131</v>
      </c>
      <c r="AW424" s="6">
        <v>0.97311308</v>
      </c>
      <c r="AX424" s="6">
        <v>0.96580418</v>
      </c>
      <c r="AY424" s="6">
        <v>0.96229362</v>
      </c>
      <c r="AZ424" s="6">
        <v>0.97128734</v>
      </c>
      <c r="BA424" s="6">
        <v>0.96960354</v>
      </c>
      <c r="BB424" s="6">
        <v>0.02655167</v>
      </c>
      <c r="BC424" s="6">
        <v>0.03025869</v>
      </c>
      <c r="BD424" s="6">
        <v>0.02688692</v>
      </c>
      <c r="BE424" s="6">
        <v>0.03419582</v>
      </c>
      <c r="BF424" s="6">
        <v>0.03770638</v>
      </c>
      <c r="BG424" s="6">
        <v>0.02871266</v>
      </c>
      <c r="BH424" s="6">
        <v>0.03039646</v>
      </c>
      <c r="BI424" s="6">
        <v>0.21470859</v>
      </c>
      <c r="BJ424" s="6">
        <v>0.12366373</v>
      </c>
      <c r="BK424" s="6">
        <v>0.1409291</v>
      </c>
      <c r="BL424" s="6">
        <v>0.12522516</v>
      </c>
      <c r="BM424" s="6">
        <v>0.1592662</v>
      </c>
      <c r="BN424" s="6">
        <v>0.17561655</v>
      </c>
      <c r="BO424" s="6">
        <v>0.1337285</v>
      </c>
      <c r="BP424" s="6">
        <v>0.14157076</v>
      </c>
      <c r="BQ424" s="6">
        <v>0.06307079</v>
      </c>
      <c r="BR424" s="6">
        <v>0.05383445</v>
      </c>
      <c r="BS424" s="6">
        <v>0.05575917</v>
      </c>
      <c r="BT424" s="6">
        <v>0.0474231</v>
      </c>
      <c r="BU424" s="6">
        <v>0.05225372</v>
      </c>
      <c r="BV424" s="6">
        <v>0.09594569</v>
      </c>
      <c r="BW424" s="6">
        <v>0.07947652</v>
      </c>
      <c r="BX424" s="12">
        <v>32538.48</v>
      </c>
      <c r="BY424" s="13">
        <v>7420</v>
      </c>
      <c r="BZ424" s="12">
        <v>42370.4</v>
      </c>
      <c r="CA424" s="6">
        <f t="shared" si="36"/>
        <v>4.38523989218329</v>
      </c>
      <c r="CB424" s="6">
        <f t="shared" si="37"/>
        <v>0.767953099333497</v>
      </c>
      <c r="CC424" s="7">
        <v>788292819</v>
      </c>
      <c r="CD424" s="7">
        <f t="shared" si="38"/>
        <v>1.86048000254895</v>
      </c>
      <c r="CE424" s="8">
        <v>100</v>
      </c>
      <c r="CF424" s="8">
        <v>11407.2</v>
      </c>
      <c r="CG424" s="8">
        <v>33302</v>
      </c>
      <c r="CH424" s="8">
        <v>180536</v>
      </c>
      <c r="CI424" s="14">
        <v>1</v>
      </c>
      <c r="CJ424" s="14">
        <v>0</v>
      </c>
      <c r="CK424" s="14">
        <f t="shared" si="39"/>
        <v>0</v>
      </c>
      <c r="CL424">
        <f t="shared" si="40"/>
        <v>1.27047633725244</v>
      </c>
      <c r="CM424">
        <f t="shared" si="41"/>
        <v>0</v>
      </c>
      <c r="CN424" s="15">
        <v>32538.48</v>
      </c>
      <c r="CO424" s="15">
        <v>24815.22</v>
      </c>
      <c r="CP424" s="15">
        <v>8342.58</v>
      </c>
      <c r="CQ424" s="15">
        <v>2184.52</v>
      </c>
      <c r="CR424" s="15">
        <v>479.54</v>
      </c>
      <c r="CS424" s="15">
        <v>10.03</v>
      </c>
      <c r="CT424" s="15">
        <v>458.13</v>
      </c>
      <c r="CU424" s="15">
        <v>179.64</v>
      </c>
      <c r="CV424" s="15">
        <v>188.02</v>
      </c>
      <c r="CW424" s="15">
        <v>4559.75</v>
      </c>
    </row>
    <row r="425" spans="1:101">
      <c r="A425" s="6">
        <v>2023</v>
      </c>
      <c r="B425" s="6" t="s">
        <v>116</v>
      </c>
      <c r="C425" s="6">
        <v>0.54920567</v>
      </c>
      <c r="D425" s="6">
        <v>0.077031</v>
      </c>
      <c r="E425" s="6">
        <v>0.021979</v>
      </c>
      <c r="F425" s="6">
        <v>0.035967</v>
      </c>
      <c r="G425" s="6">
        <v>0.016098</v>
      </c>
      <c r="H425" s="6">
        <v>0.016376</v>
      </c>
      <c r="I425" s="6">
        <v>0.077879</v>
      </c>
      <c r="J425" s="6">
        <v>0.040672</v>
      </c>
      <c r="K425" s="6">
        <v>0.55266958</v>
      </c>
      <c r="L425" s="6">
        <v>0.47915319</v>
      </c>
      <c r="M425" s="6">
        <v>0.50987749</v>
      </c>
      <c r="N425" s="6">
        <v>0.44736149</v>
      </c>
      <c r="O425" s="6">
        <v>0.46277808</v>
      </c>
      <c r="P425" s="6">
        <v>0.77765275</v>
      </c>
      <c r="Q425" s="6">
        <v>0.6566962</v>
      </c>
      <c r="R425" s="6">
        <v>217.69486</v>
      </c>
      <c r="S425" s="6">
        <v>0.00253874</v>
      </c>
      <c r="T425" s="6">
        <v>169.97573</v>
      </c>
      <c r="U425" s="6">
        <v>0.00281895</v>
      </c>
      <c r="V425" s="6">
        <v>197.11803</v>
      </c>
      <c r="W425" s="6">
        <v>0.00258666</v>
      </c>
      <c r="X425" s="6">
        <v>134.47093</v>
      </c>
      <c r="Y425" s="6">
        <v>0.00332683</v>
      </c>
      <c r="Z425" s="6">
        <v>134.86767</v>
      </c>
      <c r="AA425" s="6">
        <v>0.00343135</v>
      </c>
      <c r="AB425" s="6">
        <v>294.9318</v>
      </c>
      <c r="AC425" s="6">
        <v>0.00263672</v>
      </c>
      <c r="AD425" s="6">
        <v>243.86163</v>
      </c>
      <c r="AE425" s="6">
        <v>0.00269291</v>
      </c>
      <c r="AF425" s="6">
        <v>775</v>
      </c>
      <c r="AG425" s="6">
        <v>-0.01517171</v>
      </c>
      <c r="AH425" s="6">
        <v>-0.01655116</v>
      </c>
      <c r="AI425" s="6">
        <v>-0.01540974</v>
      </c>
      <c r="AJ425" s="6">
        <v>-0.018982</v>
      </c>
      <c r="AK425" s="6">
        <v>-0.01947223</v>
      </c>
      <c r="AL425" s="6">
        <v>-0.01565743</v>
      </c>
      <c r="AM425" s="6">
        <v>-0.01593428</v>
      </c>
      <c r="AN425" s="6">
        <v>-6.4762184</v>
      </c>
      <c r="AO425" s="6">
        <v>-6.4515561</v>
      </c>
      <c r="AP425" s="6">
        <v>-6.4739881</v>
      </c>
      <c r="AQ425" s="6">
        <v>-6.4253629</v>
      </c>
      <c r="AR425" s="6">
        <v>-6.4020076</v>
      </c>
      <c r="AS425" s="6">
        <v>-6.4618417</v>
      </c>
      <c r="AT425" s="6">
        <v>-6.4506396</v>
      </c>
      <c r="AU425" s="6">
        <v>0.97344833</v>
      </c>
      <c r="AV425" s="6">
        <v>0.96974131</v>
      </c>
      <c r="AW425" s="6">
        <v>0.97311308</v>
      </c>
      <c r="AX425" s="6">
        <v>0.96580418</v>
      </c>
      <c r="AY425" s="6">
        <v>0.96229362</v>
      </c>
      <c r="AZ425" s="6">
        <v>0.97128734</v>
      </c>
      <c r="BA425" s="6">
        <v>0.96960354</v>
      </c>
      <c r="BB425" s="6">
        <v>0.02655167</v>
      </c>
      <c r="BC425" s="6">
        <v>0.03025869</v>
      </c>
      <c r="BD425" s="6">
        <v>0.02688692</v>
      </c>
      <c r="BE425" s="6">
        <v>0.03419582</v>
      </c>
      <c r="BF425" s="6">
        <v>0.03770638</v>
      </c>
      <c r="BG425" s="6">
        <v>0.02871266</v>
      </c>
      <c r="BH425" s="6">
        <v>0.03039646</v>
      </c>
      <c r="BI425" s="6">
        <v>0.21470859</v>
      </c>
      <c r="BJ425" s="6">
        <v>0.12366373</v>
      </c>
      <c r="BK425" s="6">
        <v>0.1409291</v>
      </c>
      <c r="BL425" s="6">
        <v>0.12522516</v>
      </c>
      <c r="BM425" s="6">
        <v>0.1592662</v>
      </c>
      <c r="BN425" s="6">
        <v>0.17561655</v>
      </c>
      <c r="BO425" s="6">
        <v>0.1337285</v>
      </c>
      <c r="BP425" s="6">
        <v>0.14157076</v>
      </c>
      <c r="BQ425" s="6">
        <v>0.06834518</v>
      </c>
      <c r="BR425" s="6">
        <v>0.06752663</v>
      </c>
      <c r="BS425" s="6">
        <v>0.06384949</v>
      </c>
      <c r="BT425" s="6">
        <v>0.07124957</v>
      </c>
      <c r="BU425" s="6">
        <v>0.08127149</v>
      </c>
      <c r="BV425" s="6">
        <v>0.10399433</v>
      </c>
      <c r="BW425" s="6">
        <v>0.09296898</v>
      </c>
      <c r="BX425" s="12">
        <v>33615</v>
      </c>
      <c r="BY425" s="13">
        <v>7393</v>
      </c>
      <c r="BZ425" s="12">
        <v>43944.1</v>
      </c>
      <c r="CA425" s="6">
        <f t="shared" si="36"/>
        <v>4.54686865954281</v>
      </c>
      <c r="CB425" s="6">
        <f t="shared" si="37"/>
        <v>0.764949105795772</v>
      </c>
      <c r="CC425" s="7">
        <v>793394070.9</v>
      </c>
      <c r="CD425" s="7">
        <f t="shared" si="38"/>
        <v>1.80546210048675</v>
      </c>
      <c r="CE425" s="8">
        <v>96.1</v>
      </c>
      <c r="CF425" s="8">
        <v>11613</v>
      </c>
      <c r="CG425" s="8">
        <v>35509.6</v>
      </c>
      <c r="CH425" s="8">
        <v>190321</v>
      </c>
      <c r="CI425" s="14">
        <v>1</v>
      </c>
      <c r="CJ425" s="14">
        <v>0</v>
      </c>
      <c r="CK425" s="14">
        <f t="shared" si="39"/>
        <v>0</v>
      </c>
      <c r="CL425">
        <f t="shared" si="40"/>
        <v>1.2756783895882</v>
      </c>
      <c r="CM425">
        <f t="shared" si="41"/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</row>
    <row r="426" spans="1:101">
      <c r="A426" s="6">
        <v>2024</v>
      </c>
      <c r="B426" s="6" t="s">
        <v>116</v>
      </c>
      <c r="C426" s="6">
        <v>0.59172612</v>
      </c>
      <c r="D426" s="6">
        <v>0.079416</v>
      </c>
      <c r="E426" s="6">
        <v>0.023487</v>
      </c>
      <c r="F426" s="6">
        <v>0.037306</v>
      </c>
      <c r="G426" s="6">
        <v>0.017812</v>
      </c>
      <c r="H426" s="6">
        <v>0.018484</v>
      </c>
      <c r="I426" s="6">
        <v>0.083087</v>
      </c>
      <c r="J426" s="6">
        <v>0.042875</v>
      </c>
      <c r="K426" s="6">
        <v>0.57137511</v>
      </c>
      <c r="L426" s="6">
        <v>0.51478768</v>
      </c>
      <c r="M426" s="6">
        <v>0.53046819</v>
      </c>
      <c r="N426" s="6">
        <v>0.49802094</v>
      </c>
      <c r="O426" s="6">
        <v>0.52664751</v>
      </c>
      <c r="P426" s="6">
        <v>0.83565748</v>
      </c>
      <c r="Q426" s="6">
        <v>0.69600584</v>
      </c>
      <c r="R426" s="6">
        <v>217.69486</v>
      </c>
      <c r="S426" s="6">
        <v>0.00262466</v>
      </c>
      <c r="T426" s="6">
        <v>169.97573</v>
      </c>
      <c r="U426" s="6">
        <v>0.0030286</v>
      </c>
      <c r="V426" s="6">
        <v>197.11803</v>
      </c>
      <c r="W426" s="6">
        <v>0.00269112</v>
      </c>
      <c r="X426" s="6">
        <v>134.47093</v>
      </c>
      <c r="Y426" s="6">
        <v>0.00370356</v>
      </c>
      <c r="Z426" s="6">
        <v>134.86767</v>
      </c>
      <c r="AA426" s="6">
        <v>0.00390492</v>
      </c>
      <c r="AB426" s="6">
        <v>294.9318</v>
      </c>
      <c r="AC426" s="6">
        <v>0.00283339</v>
      </c>
      <c r="AD426" s="6">
        <v>243.86163</v>
      </c>
      <c r="AE426" s="6">
        <v>0.0028541</v>
      </c>
      <c r="AF426" s="6">
        <v>775</v>
      </c>
      <c r="AG426" s="6">
        <v>-0.01559784</v>
      </c>
      <c r="AH426" s="6">
        <v>-0.01756481</v>
      </c>
      <c r="AI426" s="6">
        <v>-0.0159255</v>
      </c>
      <c r="AJ426" s="6">
        <v>-0.02073423</v>
      </c>
      <c r="AK426" s="6">
        <v>-0.02165481</v>
      </c>
      <c r="AL426" s="6">
        <v>-0.01662147</v>
      </c>
      <c r="AM426" s="6">
        <v>-0.01672218</v>
      </c>
      <c r="AN426" s="6">
        <v>-6.4762184</v>
      </c>
      <c r="AO426" s="6">
        <v>-6.4515561</v>
      </c>
      <c r="AP426" s="6">
        <v>-6.4739881</v>
      </c>
      <c r="AQ426" s="6">
        <v>-6.4253629</v>
      </c>
      <c r="AR426" s="6">
        <v>-6.4020076</v>
      </c>
      <c r="AS426" s="6">
        <v>-6.4618417</v>
      </c>
      <c r="AT426" s="6">
        <v>-6.4506396</v>
      </c>
      <c r="AU426" s="6">
        <v>0.97344833</v>
      </c>
      <c r="AV426" s="6">
        <v>0.96974131</v>
      </c>
      <c r="AW426" s="6">
        <v>0.97311308</v>
      </c>
      <c r="AX426" s="6">
        <v>0.96580418</v>
      </c>
      <c r="AY426" s="6">
        <v>0.96229362</v>
      </c>
      <c r="AZ426" s="6">
        <v>0.97128734</v>
      </c>
      <c r="BA426" s="6">
        <v>0.96960354</v>
      </c>
      <c r="BB426" s="6">
        <v>0.02655167</v>
      </c>
      <c r="BC426" s="6">
        <v>0.03025869</v>
      </c>
      <c r="BD426" s="6">
        <v>0.02688692</v>
      </c>
      <c r="BE426" s="6">
        <v>0.03419582</v>
      </c>
      <c r="BF426" s="6">
        <v>0.03770638</v>
      </c>
      <c r="BG426" s="6">
        <v>0.02871266</v>
      </c>
      <c r="BH426" s="6">
        <v>0.03039646</v>
      </c>
      <c r="BI426" s="6">
        <v>0.21470859</v>
      </c>
      <c r="BJ426" s="6">
        <v>0.12366373</v>
      </c>
      <c r="BK426" s="6">
        <v>0.1409291</v>
      </c>
      <c r="BL426" s="6">
        <v>0.12522516</v>
      </c>
      <c r="BM426" s="6">
        <v>0.1592662</v>
      </c>
      <c r="BN426" s="6">
        <v>0.17561655</v>
      </c>
      <c r="BO426" s="6">
        <v>0.1337285</v>
      </c>
      <c r="BP426" s="6">
        <v>0.14157076</v>
      </c>
      <c r="BQ426" s="6">
        <v>0.07065838</v>
      </c>
      <c r="BR426" s="6">
        <v>0.07254856</v>
      </c>
      <c r="BS426" s="6">
        <v>0.06642796</v>
      </c>
      <c r="BT426" s="6">
        <v>0.0793179</v>
      </c>
      <c r="BU426" s="6">
        <v>0.09248802</v>
      </c>
      <c r="BV426" s="6">
        <v>0.11175122</v>
      </c>
      <c r="BW426" s="6">
        <v>0.09853408</v>
      </c>
      <c r="BX426" s="12">
        <v>34691.52</v>
      </c>
      <c r="BY426" s="13">
        <v>7378</v>
      </c>
      <c r="BZ426" s="12">
        <v>47526.9</v>
      </c>
      <c r="CA426" s="6">
        <f t="shared" si="36"/>
        <v>4.70202222824614</v>
      </c>
      <c r="CB426" s="6">
        <f t="shared" si="37"/>
        <v>0.729934416088573</v>
      </c>
      <c r="CC426" s="7">
        <v>782182428.9</v>
      </c>
      <c r="CD426" s="7">
        <f t="shared" si="38"/>
        <v>1.64576782601011</v>
      </c>
      <c r="CE426" s="8">
        <v>99.7</v>
      </c>
      <c r="CF426" s="8">
        <v>11637.6</v>
      </c>
      <c r="CG426" s="8">
        <v>42189.4</v>
      </c>
      <c r="CH426" s="8">
        <v>217140</v>
      </c>
      <c r="CI426" s="14">
        <v>1</v>
      </c>
      <c r="CJ426" s="14">
        <v>0</v>
      </c>
      <c r="CK426" s="14">
        <f t="shared" si="39"/>
        <v>0</v>
      </c>
      <c r="CL426">
        <f t="shared" si="40"/>
        <v>1.21200651315194</v>
      </c>
      <c r="CM426">
        <f t="shared" si="41"/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</row>
    <row r="427" spans="1:101">
      <c r="A427" s="6">
        <v>2000</v>
      </c>
      <c r="B427" s="6" t="s">
        <v>117</v>
      </c>
      <c r="C427" s="6">
        <v>0.09770716</v>
      </c>
      <c r="D427" s="6">
        <v>0.021593</v>
      </c>
      <c r="E427" s="6">
        <v>0.005608</v>
      </c>
      <c r="F427" s="6">
        <v>0.0097</v>
      </c>
      <c r="G427" s="6">
        <v>0.003154</v>
      </c>
      <c r="H427" s="6">
        <v>0.003131</v>
      </c>
      <c r="I427" s="6">
        <v>0.021136</v>
      </c>
      <c r="J427" s="6">
        <v>0.010319</v>
      </c>
      <c r="K427" s="6">
        <v>0.11780923</v>
      </c>
      <c r="L427" s="6">
        <v>0.0920903</v>
      </c>
      <c r="M427" s="6">
        <v>0.10617262</v>
      </c>
      <c r="N427" s="6">
        <v>0.0647299</v>
      </c>
      <c r="O427" s="6">
        <v>0.06139836</v>
      </c>
      <c r="P427" s="6">
        <v>0.1456351</v>
      </c>
      <c r="Q427" s="6">
        <v>0.11511787</v>
      </c>
      <c r="R427" s="6">
        <v>217.69486</v>
      </c>
      <c r="S427" s="6">
        <v>0.00054117</v>
      </c>
      <c r="T427" s="6">
        <v>169.97573</v>
      </c>
      <c r="U427" s="6">
        <v>0.00054178</v>
      </c>
      <c r="V427" s="6">
        <v>197.11803</v>
      </c>
      <c r="W427" s="6">
        <v>0.00053862</v>
      </c>
      <c r="X427" s="6">
        <v>134.47093</v>
      </c>
      <c r="Y427" s="6">
        <v>0.00048137</v>
      </c>
      <c r="Z427" s="6">
        <v>134.86767</v>
      </c>
      <c r="AA427" s="6">
        <v>0.00045525</v>
      </c>
      <c r="AB427" s="6">
        <v>294.9318</v>
      </c>
      <c r="AC427" s="6">
        <v>0.00049379</v>
      </c>
      <c r="AD427" s="6">
        <v>243.86163</v>
      </c>
      <c r="AE427" s="6">
        <v>0.00047206</v>
      </c>
      <c r="AF427" s="6">
        <v>775</v>
      </c>
      <c r="AG427" s="6">
        <v>-0.00407054</v>
      </c>
      <c r="AH427" s="6">
        <v>-0.00407457</v>
      </c>
      <c r="AI427" s="6">
        <v>-0.00405395</v>
      </c>
      <c r="AJ427" s="6">
        <v>-0.00367711</v>
      </c>
      <c r="AK427" s="6">
        <v>-0.00350299</v>
      </c>
      <c r="AL427" s="6">
        <v>-0.00375944</v>
      </c>
      <c r="AM427" s="6">
        <v>-0.00361524</v>
      </c>
      <c r="AN427" s="6">
        <v>-6.4762184</v>
      </c>
      <c r="AO427" s="6">
        <v>-6.4515561</v>
      </c>
      <c r="AP427" s="6">
        <v>-6.4739881</v>
      </c>
      <c r="AQ427" s="6">
        <v>-6.4253629</v>
      </c>
      <c r="AR427" s="6">
        <v>-6.4020076</v>
      </c>
      <c r="AS427" s="6">
        <v>-6.4618417</v>
      </c>
      <c r="AT427" s="6">
        <v>-6.4506396</v>
      </c>
      <c r="AU427" s="6">
        <v>0.97344833</v>
      </c>
      <c r="AV427" s="6">
        <v>0.96974131</v>
      </c>
      <c r="AW427" s="6">
        <v>0.97311308</v>
      </c>
      <c r="AX427" s="6">
        <v>0.96580418</v>
      </c>
      <c r="AY427" s="6">
        <v>0.96229362</v>
      </c>
      <c r="AZ427" s="6">
        <v>0.97128734</v>
      </c>
      <c r="BA427" s="6">
        <v>0.96960354</v>
      </c>
      <c r="BB427" s="6">
        <v>0.02655167</v>
      </c>
      <c r="BC427" s="6">
        <v>0.03025869</v>
      </c>
      <c r="BD427" s="6">
        <v>0.02688692</v>
      </c>
      <c r="BE427" s="6">
        <v>0.03419582</v>
      </c>
      <c r="BF427" s="6">
        <v>0.03770638</v>
      </c>
      <c r="BG427" s="6">
        <v>0.02871266</v>
      </c>
      <c r="BH427" s="6">
        <v>0.03039646</v>
      </c>
      <c r="BI427" s="6">
        <v>0.21470859</v>
      </c>
      <c r="BJ427" s="6">
        <v>0.12366373</v>
      </c>
      <c r="BK427" s="6">
        <v>0.1409291</v>
      </c>
      <c r="BL427" s="6">
        <v>0.12522516</v>
      </c>
      <c r="BM427" s="6">
        <v>0.1592662</v>
      </c>
      <c r="BN427" s="6">
        <v>0.17561655</v>
      </c>
      <c r="BO427" s="6">
        <v>0.1337285</v>
      </c>
      <c r="BP427" s="6">
        <v>0.14157076</v>
      </c>
      <c r="BQ427" s="6">
        <v>0.01456873</v>
      </c>
      <c r="BR427" s="6">
        <v>0.0129782</v>
      </c>
      <c r="BS427" s="6">
        <v>0.01329548</v>
      </c>
      <c r="BT427" s="6">
        <v>0.01030929</v>
      </c>
      <c r="BU427" s="6">
        <v>0.01078257</v>
      </c>
      <c r="BV427" s="6">
        <v>0.01947556</v>
      </c>
      <c r="BW427" s="6">
        <v>0.01629732</v>
      </c>
      <c r="BX427" s="12">
        <v>7919</v>
      </c>
      <c r="BY427" s="13">
        <v>9488</v>
      </c>
      <c r="BZ427" s="12">
        <v>5137.66</v>
      </c>
      <c r="CA427" s="6">
        <f t="shared" si="36"/>
        <v>0.834633220910624</v>
      </c>
      <c r="CB427" s="6">
        <f t="shared" si="37"/>
        <v>1.54136318868901</v>
      </c>
      <c r="CC427" s="7">
        <v>222162202.7</v>
      </c>
      <c r="CD427" s="7">
        <f t="shared" si="38"/>
        <v>4.32419044273074</v>
      </c>
      <c r="CE427" s="8">
        <v>1048.3</v>
      </c>
      <c r="CF427" s="8">
        <v>4435.9</v>
      </c>
      <c r="CG427" s="8">
        <v>3069.5</v>
      </c>
      <c r="CH427" s="8">
        <v>11765</v>
      </c>
      <c r="CI427" s="14">
        <v>0</v>
      </c>
      <c r="CJ427" s="14">
        <v>0</v>
      </c>
      <c r="CK427" s="14">
        <f t="shared" si="39"/>
        <v>0</v>
      </c>
      <c r="CL427">
        <f t="shared" si="40"/>
        <v>4.53658228674969</v>
      </c>
      <c r="CM427">
        <f t="shared" si="41"/>
        <v>0.0468175887913017</v>
      </c>
      <c r="CN427" s="15">
        <v>7918.84</v>
      </c>
      <c r="CO427" s="15">
        <v>8724.85</v>
      </c>
      <c r="CP427" s="15">
        <v>426.75</v>
      </c>
      <c r="CQ427" s="15">
        <v>610.58</v>
      </c>
      <c r="CR427" s="15">
        <v>120.86</v>
      </c>
      <c r="CS427" s="15">
        <v>14.34</v>
      </c>
      <c r="CT427" s="15">
        <v>155.02</v>
      </c>
      <c r="CU427" s="15">
        <v>57.55</v>
      </c>
      <c r="CV427" s="15">
        <v>11.23</v>
      </c>
      <c r="CW427" s="15">
        <v>718.52</v>
      </c>
    </row>
    <row r="428" spans="1:101">
      <c r="A428" s="6">
        <v>2001</v>
      </c>
      <c r="B428" s="6" t="s">
        <v>117</v>
      </c>
      <c r="C428" s="6">
        <v>0.09755349</v>
      </c>
      <c r="D428" s="6">
        <v>0.021051</v>
      </c>
      <c r="E428" s="6">
        <v>0.00509</v>
      </c>
      <c r="F428" s="6">
        <v>0.009543</v>
      </c>
      <c r="G428" s="6">
        <v>0.003104</v>
      </c>
      <c r="H428" s="6">
        <v>0.003314</v>
      </c>
      <c r="I428" s="6">
        <v>0.021124</v>
      </c>
      <c r="J428" s="6">
        <v>0.010984</v>
      </c>
      <c r="K428" s="6">
        <v>0.11355445</v>
      </c>
      <c r="L428" s="6">
        <v>0.07983991</v>
      </c>
      <c r="M428" s="6">
        <v>0.10375437</v>
      </c>
      <c r="N428" s="6">
        <v>0.0632528</v>
      </c>
      <c r="O428" s="6">
        <v>0.06694522</v>
      </c>
      <c r="P428" s="6">
        <v>0.14550166</v>
      </c>
      <c r="Q428" s="6">
        <v>0.12698995</v>
      </c>
      <c r="R428" s="6">
        <v>217.69486</v>
      </c>
      <c r="S428" s="6">
        <v>0.00052162</v>
      </c>
      <c r="T428" s="6">
        <v>169.97573</v>
      </c>
      <c r="U428" s="6">
        <v>0.00046971</v>
      </c>
      <c r="V428" s="6">
        <v>197.11803</v>
      </c>
      <c r="W428" s="6">
        <v>0.00052636</v>
      </c>
      <c r="X428" s="6">
        <v>134.47093</v>
      </c>
      <c r="Y428" s="6">
        <v>0.00047038</v>
      </c>
      <c r="Z428" s="6">
        <v>134.86767</v>
      </c>
      <c r="AA428" s="6">
        <v>0.00049638</v>
      </c>
      <c r="AB428" s="6">
        <v>294.9318</v>
      </c>
      <c r="AC428" s="6">
        <v>0.00049334</v>
      </c>
      <c r="AD428" s="6">
        <v>243.86163</v>
      </c>
      <c r="AE428" s="6">
        <v>0.00052075</v>
      </c>
      <c r="AF428" s="6">
        <v>775</v>
      </c>
      <c r="AG428" s="6">
        <v>-0.00394272</v>
      </c>
      <c r="AH428" s="6">
        <v>-0.0035996</v>
      </c>
      <c r="AI428" s="6">
        <v>-0.00397375</v>
      </c>
      <c r="AJ428" s="6">
        <v>-0.00360406</v>
      </c>
      <c r="AK428" s="6">
        <v>-0.00377652</v>
      </c>
      <c r="AL428" s="6">
        <v>-0.00375644</v>
      </c>
      <c r="AM428" s="6">
        <v>-0.00393697</v>
      </c>
      <c r="AN428" s="6">
        <v>-6.4762184</v>
      </c>
      <c r="AO428" s="6">
        <v>-6.4515561</v>
      </c>
      <c r="AP428" s="6">
        <v>-6.4739881</v>
      </c>
      <c r="AQ428" s="6">
        <v>-6.4253629</v>
      </c>
      <c r="AR428" s="6">
        <v>-6.4020076</v>
      </c>
      <c r="AS428" s="6">
        <v>-6.4618417</v>
      </c>
      <c r="AT428" s="6">
        <v>-6.4506396</v>
      </c>
      <c r="AU428" s="6">
        <v>0.97344833</v>
      </c>
      <c r="AV428" s="6">
        <v>0.96974131</v>
      </c>
      <c r="AW428" s="6">
        <v>0.97311308</v>
      </c>
      <c r="AX428" s="6">
        <v>0.96580418</v>
      </c>
      <c r="AY428" s="6">
        <v>0.96229362</v>
      </c>
      <c r="AZ428" s="6">
        <v>0.97128734</v>
      </c>
      <c r="BA428" s="6">
        <v>0.96960354</v>
      </c>
      <c r="BB428" s="6">
        <v>0.02655167</v>
      </c>
      <c r="BC428" s="6">
        <v>0.03025869</v>
      </c>
      <c r="BD428" s="6">
        <v>0.02688692</v>
      </c>
      <c r="BE428" s="6">
        <v>0.03419582</v>
      </c>
      <c r="BF428" s="6">
        <v>0.03770638</v>
      </c>
      <c r="BG428" s="6">
        <v>0.02871266</v>
      </c>
      <c r="BH428" s="6">
        <v>0.03039646</v>
      </c>
      <c r="BI428" s="6">
        <v>0.21470859</v>
      </c>
      <c r="BJ428" s="6">
        <v>0.12366373</v>
      </c>
      <c r="BK428" s="6">
        <v>0.1409291</v>
      </c>
      <c r="BL428" s="6">
        <v>0.12522516</v>
      </c>
      <c r="BM428" s="6">
        <v>0.1592662</v>
      </c>
      <c r="BN428" s="6">
        <v>0.17561655</v>
      </c>
      <c r="BO428" s="6">
        <v>0.1337285</v>
      </c>
      <c r="BP428" s="6">
        <v>0.14157076</v>
      </c>
      <c r="BQ428" s="6">
        <v>0.01404257</v>
      </c>
      <c r="BR428" s="6">
        <v>0.01125177</v>
      </c>
      <c r="BS428" s="6">
        <v>0.01299266</v>
      </c>
      <c r="BT428" s="6">
        <v>0.01007403</v>
      </c>
      <c r="BU428" s="6">
        <v>0.01175669</v>
      </c>
      <c r="BV428" s="6">
        <v>0.01945772</v>
      </c>
      <c r="BW428" s="6">
        <v>0.01797806</v>
      </c>
      <c r="BX428" s="12">
        <v>8367</v>
      </c>
      <c r="BY428" s="13">
        <v>9555</v>
      </c>
      <c r="BZ428" s="12">
        <v>5533.01</v>
      </c>
      <c r="CA428" s="6">
        <f t="shared" si="36"/>
        <v>0.875667189952904</v>
      </c>
      <c r="CB428" s="6">
        <f t="shared" si="37"/>
        <v>1.51219679704175</v>
      </c>
      <c r="CC428" s="7">
        <v>239454149.9</v>
      </c>
      <c r="CD428" s="7">
        <f t="shared" si="38"/>
        <v>4.32773752261427</v>
      </c>
      <c r="CE428" s="8">
        <v>1094.5</v>
      </c>
      <c r="CF428" s="8">
        <v>4907.5</v>
      </c>
      <c r="CG428" s="8">
        <v>3454.9</v>
      </c>
      <c r="CH428" s="8">
        <v>12879</v>
      </c>
      <c r="CI428" s="14">
        <v>0</v>
      </c>
      <c r="CJ428" s="14">
        <v>0</v>
      </c>
      <c r="CK428" s="14">
        <f t="shared" si="39"/>
        <v>0</v>
      </c>
      <c r="CL428">
        <f t="shared" si="40"/>
        <v>4.16809156222866</v>
      </c>
      <c r="CM428">
        <f t="shared" si="41"/>
        <v>0</v>
      </c>
      <c r="CN428" s="15">
        <v>8244</v>
      </c>
      <c r="CO428" s="15">
        <v>9325</v>
      </c>
      <c r="CP428" s="15">
        <v>486.66</v>
      </c>
      <c r="CQ428" s="15">
        <v>598.2</v>
      </c>
      <c r="CR428" s="15">
        <v>124.03</v>
      </c>
      <c r="CS428" s="15">
        <v>13.16</v>
      </c>
      <c r="CT428" s="15">
        <v>157.87</v>
      </c>
      <c r="CU428" s="15">
        <v>65.87</v>
      </c>
      <c r="CV428" s="15">
        <v>13.11</v>
      </c>
      <c r="CW428" s="15">
        <v>808.41</v>
      </c>
    </row>
    <row r="429" spans="1:101">
      <c r="A429" s="6">
        <v>2002</v>
      </c>
      <c r="B429" s="6" t="s">
        <v>117</v>
      </c>
      <c r="C429" s="6">
        <v>0.11508718</v>
      </c>
      <c r="D429" s="6">
        <v>0.024636</v>
      </c>
      <c r="E429" s="6">
        <v>0.00631</v>
      </c>
      <c r="F429" s="6">
        <v>0.011432</v>
      </c>
      <c r="G429" s="6">
        <v>0.003712</v>
      </c>
      <c r="H429" s="6">
        <v>0.003182</v>
      </c>
      <c r="I429" s="6">
        <v>0.024329</v>
      </c>
      <c r="J429" s="6">
        <v>0.010755</v>
      </c>
      <c r="K429" s="6">
        <v>0.14167503</v>
      </c>
      <c r="L429" s="6">
        <v>0.10868099</v>
      </c>
      <c r="M429" s="6">
        <v>0.13278844</v>
      </c>
      <c r="N429" s="6">
        <v>0.08124303</v>
      </c>
      <c r="O429" s="6">
        <v>0.06292702</v>
      </c>
      <c r="P429" s="6">
        <v>0.18119994</v>
      </c>
      <c r="Q429" s="6">
        <v>0.12290994</v>
      </c>
      <c r="R429" s="6">
        <v>217.69486</v>
      </c>
      <c r="S429" s="6">
        <v>0.0006508</v>
      </c>
      <c r="T429" s="6">
        <v>169.97573</v>
      </c>
      <c r="U429" s="6">
        <v>0.00063939</v>
      </c>
      <c r="V429" s="6">
        <v>197.11803</v>
      </c>
      <c r="W429" s="6">
        <v>0.00067365</v>
      </c>
      <c r="X429" s="6">
        <v>134.47093</v>
      </c>
      <c r="Y429" s="6">
        <v>0.00060417</v>
      </c>
      <c r="Z429" s="6">
        <v>134.86767</v>
      </c>
      <c r="AA429" s="6">
        <v>0.00046658</v>
      </c>
      <c r="AB429" s="6">
        <v>294.9318</v>
      </c>
      <c r="AC429" s="6">
        <v>0.00061438</v>
      </c>
      <c r="AD429" s="6">
        <v>243.86163</v>
      </c>
      <c r="AE429" s="6">
        <v>0.00050402</v>
      </c>
      <c r="AF429" s="6">
        <v>775</v>
      </c>
      <c r="AG429" s="6">
        <v>-0.0047751</v>
      </c>
      <c r="AH429" s="6">
        <v>-0.00470272</v>
      </c>
      <c r="AI429" s="6">
        <v>-0.00491953</v>
      </c>
      <c r="AJ429" s="6">
        <v>-0.00447789</v>
      </c>
      <c r="AK429" s="6">
        <v>-0.00357873</v>
      </c>
      <c r="AL429" s="6">
        <v>-0.00454327</v>
      </c>
      <c r="AM429" s="6">
        <v>-0.00382694</v>
      </c>
      <c r="AN429" s="6">
        <v>-6.4762184</v>
      </c>
      <c r="AO429" s="6">
        <v>-6.4515561</v>
      </c>
      <c r="AP429" s="6">
        <v>-6.4739881</v>
      </c>
      <c r="AQ429" s="6">
        <v>-6.4253629</v>
      </c>
      <c r="AR429" s="6">
        <v>-6.4020076</v>
      </c>
      <c r="AS429" s="6">
        <v>-6.4618417</v>
      </c>
      <c r="AT429" s="6">
        <v>-6.4506396</v>
      </c>
      <c r="AU429" s="6">
        <v>0.97344833</v>
      </c>
      <c r="AV429" s="6">
        <v>0.96974131</v>
      </c>
      <c r="AW429" s="6">
        <v>0.97311308</v>
      </c>
      <c r="AX429" s="6">
        <v>0.96580418</v>
      </c>
      <c r="AY429" s="6">
        <v>0.96229362</v>
      </c>
      <c r="AZ429" s="6">
        <v>0.97128734</v>
      </c>
      <c r="BA429" s="6">
        <v>0.96960354</v>
      </c>
      <c r="BB429" s="6">
        <v>0.02655167</v>
      </c>
      <c r="BC429" s="6">
        <v>0.03025869</v>
      </c>
      <c r="BD429" s="6">
        <v>0.02688692</v>
      </c>
      <c r="BE429" s="6">
        <v>0.03419582</v>
      </c>
      <c r="BF429" s="6">
        <v>0.03770638</v>
      </c>
      <c r="BG429" s="6">
        <v>0.02871266</v>
      </c>
      <c r="BH429" s="6">
        <v>0.03039646</v>
      </c>
      <c r="BI429" s="6">
        <v>0.21470859</v>
      </c>
      <c r="BJ429" s="6">
        <v>0.12366373</v>
      </c>
      <c r="BK429" s="6">
        <v>0.1409291</v>
      </c>
      <c r="BL429" s="6">
        <v>0.12522516</v>
      </c>
      <c r="BM429" s="6">
        <v>0.1592662</v>
      </c>
      <c r="BN429" s="6">
        <v>0.17561655</v>
      </c>
      <c r="BO429" s="6">
        <v>0.1337285</v>
      </c>
      <c r="BP429" s="6">
        <v>0.14157076</v>
      </c>
      <c r="BQ429" s="6">
        <v>0.01752006</v>
      </c>
      <c r="BR429" s="6">
        <v>0.01531631</v>
      </c>
      <c r="BS429" s="6">
        <v>0.01662845</v>
      </c>
      <c r="BT429" s="6">
        <v>0.01293927</v>
      </c>
      <c r="BU429" s="6">
        <v>0.01105103</v>
      </c>
      <c r="BV429" s="6">
        <v>0.0242316</v>
      </c>
      <c r="BW429" s="6">
        <v>0.01740045</v>
      </c>
      <c r="BX429" s="12">
        <v>9005</v>
      </c>
      <c r="BY429" s="13">
        <v>9613</v>
      </c>
      <c r="BZ429" s="12">
        <v>6035.48</v>
      </c>
      <c r="CA429" s="6">
        <f t="shared" si="36"/>
        <v>0.936752314574014</v>
      </c>
      <c r="CB429" s="6">
        <f t="shared" si="37"/>
        <v>1.492010577452</v>
      </c>
      <c r="CC429" s="7">
        <v>255729069</v>
      </c>
      <c r="CD429" s="7">
        <f t="shared" si="38"/>
        <v>4.23709579022712</v>
      </c>
      <c r="CE429" s="8">
        <v>1110.4</v>
      </c>
      <c r="CF429" s="8">
        <v>5604.5</v>
      </c>
      <c r="CG429" s="8">
        <v>3891.9</v>
      </c>
      <c r="CH429" s="8">
        <v>14369</v>
      </c>
      <c r="CI429" s="14">
        <v>0</v>
      </c>
      <c r="CJ429" s="14">
        <v>0</v>
      </c>
      <c r="CK429" s="14">
        <f t="shared" si="39"/>
        <v>0</v>
      </c>
      <c r="CL429">
        <f t="shared" si="40"/>
        <v>4.06804884448575</v>
      </c>
      <c r="CM429">
        <f t="shared" si="41"/>
        <v>0</v>
      </c>
      <c r="CN429" s="15">
        <v>9055</v>
      </c>
      <c r="CO429" s="15">
        <v>10333</v>
      </c>
      <c r="CP429" s="15">
        <v>505.47</v>
      </c>
      <c r="CQ429" s="15">
        <v>601.64</v>
      </c>
      <c r="CR429" s="15">
        <v>119.5</v>
      </c>
      <c r="CS429" s="15">
        <v>13.28</v>
      </c>
      <c r="CT429" s="15">
        <v>156.27</v>
      </c>
      <c r="CU429" s="15">
        <v>70.24</v>
      </c>
      <c r="CV429" s="15">
        <v>14.63</v>
      </c>
      <c r="CW429" s="15">
        <v>927.56</v>
      </c>
    </row>
    <row r="430" spans="1:101">
      <c r="A430" s="6">
        <v>2003</v>
      </c>
      <c r="B430" s="6" t="s">
        <v>117</v>
      </c>
      <c r="C430" s="6">
        <v>0.1292049</v>
      </c>
      <c r="D430" s="6">
        <v>0.026039</v>
      </c>
      <c r="E430" s="6">
        <v>0.006632</v>
      </c>
      <c r="F430" s="6">
        <v>0.011991</v>
      </c>
      <c r="G430" s="6">
        <v>0.004177</v>
      </c>
      <c r="H430" s="6">
        <v>0.003239</v>
      </c>
      <c r="I430" s="6">
        <v>0.02532</v>
      </c>
      <c r="J430" s="6">
        <v>0.013383</v>
      </c>
      <c r="K430" s="6">
        <v>0.15268206</v>
      </c>
      <c r="L430" s="6">
        <v>0.11629041</v>
      </c>
      <c r="M430" s="6">
        <v>0.14138021</v>
      </c>
      <c r="N430" s="6">
        <v>0.09497989</v>
      </c>
      <c r="O430" s="6">
        <v>0.06467411</v>
      </c>
      <c r="P430" s="6">
        <v>0.19223259</v>
      </c>
      <c r="Q430" s="6">
        <v>0.16979987</v>
      </c>
      <c r="R430" s="6">
        <v>217.69486</v>
      </c>
      <c r="S430" s="6">
        <v>0.00070136</v>
      </c>
      <c r="T430" s="6">
        <v>169.97573</v>
      </c>
      <c r="U430" s="6">
        <v>0.00068416</v>
      </c>
      <c r="V430" s="6">
        <v>197.11803</v>
      </c>
      <c r="W430" s="6">
        <v>0.00071724</v>
      </c>
      <c r="X430" s="6">
        <v>134.47093</v>
      </c>
      <c r="Y430" s="6">
        <v>0.00070632</v>
      </c>
      <c r="Z430" s="6">
        <v>134.86767</v>
      </c>
      <c r="AA430" s="6">
        <v>0.00047954</v>
      </c>
      <c r="AB430" s="6">
        <v>294.9318</v>
      </c>
      <c r="AC430" s="6">
        <v>0.00065179</v>
      </c>
      <c r="AD430" s="6">
        <v>243.86163</v>
      </c>
      <c r="AE430" s="6">
        <v>0.0006963</v>
      </c>
      <c r="AF430" s="6">
        <v>775</v>
      </c>
      <c r="AG430" s="6">
        <v>-0.00509361</v>
      </c>
      <c r="AH430" s="6">
        <v>-0.00498569</v>
      </c>
      <c r="AI430" s="6">
        <v>-0.00519287</v>
      </c>
      <c r="AJ430" s="6">
        <v>-0.00512468</v>
      </c>
      <c r="AK430" s="6">
        <v>-0.00366496</v>
      </c>
      <c r="AL430" s="6">
        <v>-0.00478137</v>
      </c>
      <c r="AM430" s="6">
        <v>-0.00506189</v>
      </c>
      <c r="AN430" s="6">
        <v>-6.4762184</v>
      </c>
      <c r="AO430" s="6">
        <v>-6.4515561</v>
      </c>
      <c r="AP430" s="6">
        <v>-6.4739881</v>
      </c>
      <c r="AQ430" s="6">
        <v>-6.4253629</v>
      </c>
      <c r="AR430" s="6">
        <v>-6.4020076</v>
      </c>
      <c r="AS430" s="6">
        <v>-6.4618417</v>
      </c>
      <c r="AT430" s="6">
        <v>-6.4506396</v>
      </c>
      <c r="AU430" s="6">
        <v>0.97344833</v>
      </c>
      <c r="AV430" s="6">
        <v>0.96974131</v>
      </c>
      <c r="AW430" s="6">
        <v>0.97311308</v>
      </c>
      <c r="AX430" s="6">
        <v>0.96580418</v>
      </c>
      <c r="AY430" s="6">
        <v>0.96229362</v>
      </c>
      <c r="AZ430" s="6">
        <v>0.97128734</v>
      </c>
      <c r="BA430" s="6">
        <v>0.96960354</v>
      </c>
      <c r="BB430" s="6">
        <v>0.02655167</v>
      </c>
      <c r="BC430" s="6">
        <v>0.03025869</v>
      </c>
      <c r="BD430" s="6">
        <v>0.02688692</v>
      </c>
      <c r="BE430" s="6">
        <v>0.03419582</v>
      </c>
      <c r="BF430" s="6">
        <v>0.03770638</v>
      </c>
      <c r="BG430" s="6">
        <v>0.02871266</v>
      </c>
      <c r="BH430" s="6">
        <v>0.03039646</v>
      </c>
      <c r="BI430" s="6">
        <v>0.21470859</v>
      </c>
      <c r="BJ430" s="6">
        <v>0.12366373</v>
      </c>
      <c r="BK430" s="6">
        <v>0.1409291</v>
      </c>
      <c r="BL430" s="6">
        <v>0.12522516</v>
      </c>
      <c r="BM430" s="6">
        <v>0.1592662</v>
      </c>
      <c r="BN430" s="6">
        <v>0.17561655</v>
      </c>
      <c r="BO430" s="6">
        <v>0.1337285</v>
      </c>
      <c r="BP430" s="6">
        <v>0.14157076</v>
      </c>
      <c r="BQ430" s="6">
        <v>0.01888123</v>
      </c>
      <c r="BR430" s="6">
        <v>0.0163887</v>
      </c>
      <c r="BS430" s="6">
        <v>0.01770436</v>
      </c>
      <c r="BT430" s="6">
        <v>0.01512709</v>
      </c>
      <c r="BU430" s="6">
        <v>0.01135784</v>
      </c>
      <c r="BV430" s="6">
        <v>0.02570698</v>
      </c>
      <c r="BW430" s="6">
        <v>0.0240387</v>
      </c>
      <c r="BX430" s="12">
        <v>10595</v>
      </c>
      <c r="BY430" s="13">
        <v>9667</v>
      </c>
      <c r="BZ430" s="12">
        <v>6867.7</v>
      </c>
      <c r="CA430" s="6">
        <f t="shared" ref="CA430:CA493" si="42">BX430/BY430</f>
        <v>1.09599668976932</v>
      </c>
      <c r="CB430" s="6">
        <f t="shared" ref="CB430:CB493" si="43">BX430/BZ430</f>
        <v>1.54272900679995</v>
      </c>
      <c r="CC430" s="7">
        <v>296511988.2</v>
      </c>
      <c r="CD430" s="7">
        <f t="shared" si="38"/>
        <v>4.31748603171367</v>
      </c>
      <c r="CE430" s="8">
        <v>1162.5</v>
      </c>
      <c r="CF430" s="8">
        <v>6787.1</v>
      </c>
      <c r="CG430" s="8">
        <v>4493.3</v>
      </c>
      <c r="CH430" s="8">
        <v>16743</v>
      </c>
      <c r="CI430" s="14">
        <v>0</v>
      </c>
      <c r="CJ430" s="14">
        <v>0</v>
      </c>
      <c r="CK430" s="14">
        <f t="shared" si="39"/>
        <v>0</v>
      </c>
      <c r="CL430">
        <f t="shared" si="40"/>
        <v>4.08414499624993</v>
      </c>
      <c r="CM430">
        <f t="shared" si="41"/>
        <v>0</v>
      </c>
      <c r="CN430" s="15">
        <v>10594.88</v>
      </c>
      <c r="CO430" s="15">
        <v>11419.97</v>
      </c>
      <c r="CP430" s="15">
        <v>520.66</v>
      </c>
      <c r="CQ430" s="15">
        <v>37.12</v>
      </c>
      <c r="CR430" s="15">
        <v>121.99</v>
      </c>
      <c r="CS430" s="15">
        <v>12.74</v>
      </c>
      <c r="CT430" s="15">
        <v>168.68</v>
      </c>
      <c r="CU430" s="15">
        <v>78.36</v>
      </c>
      <c r="CV430" s="15">
        <v>16.77</v>
      </c>
      <c r="CW430" s="15">
        <v>1054.64</v>
      </c>
    </row>
    <row r="431" spans="1:101">
      <c r="A431" s="6">
        <v>2004</v>
      </c>
      <c r="B431" s="6" t="s">
        <v>117</v>
      </c>
      <c r="C431" s="6">
        <v>0.12824297</v>
      </c>
      <c r="D431" s="6">
        <v>0.026113</v>
      </c>
      <c r="E431" s="6">
        <v>0.006552</v>
      </c>
      <c r="F431" s="6">
        <v>0.011906</v>
      </c>
      <c r="G431" s="6">
        <v>0.003755</v>
      </c>
      <c r="H431" s="6">
        <v>0.003899</v>
      </c>
      <c r="I431" s="6">
        <v>0.024844</v>
      </c>
      <c r="J431" s="6">
        <v>0.012819</v>
      </c>
      <c r="K431" s="6">
        <v>0.15326504</v>
      </c>
      <c r="L431" s="6">
        <v>0.11441811</v>
      </c>
      <c r="M431" s="6">
        <v>0.14008256</v>
      </c>
      <c r="N431" s="6">
        <v>0.08250628</v>
      </c>
      <c r="O431" s="6">
        <v>0.08467297</v>
      </c>
      <c r="P431" s="6">
        <v>0.18692982</v>
      </c>
      <c r="Q431" s="6">
        <v>0.15974102</v>
      </c>
      <c r="R431" s="6">
        <v>217.69486</v>
      </c>
      <c r="S431" s="6">
        <v>0.00070404</v>
      </c>
      <c r="T431" s="6">
        <v>169.97573</v>
      </c>
      <c r="U431" s="6">
        <v>0.00067314</v>
      </c>
      <c r="V431" s="6">
        <v>197.11803</v>
      </c>
      <c r="W431" s="6">
        <v>0.00071065</v>
      </c>
      <c r="X431" s="6">
        <v>134.47093</v>
      </c>
      <c r="Y431" s="6">
        <v>0.00061356</v>
      </c>
      <c r="Z431" s="6">
        <v>134.86767</v>
      </c>
      <c r="AA431" s="6">
        <v>0.00062782</v>
      </c>
      <c r="AB431" s="6">
        <v>294.9318</v>
      </c>
      <c r="AC431" s="6">
        <v>0.00063381</v>
      </c>
      <c r="AD431" s="6">
        <v>243.86163</v>
      </c>
      <c r="AE431" s="6">
        <v>0.00065505</v>
      </c>
      <c r="AF431" s="6">
        <v>775</v>
      </c>
      <c r="AG431" s="6">
        <v>-0.00511037</v>
      </c>
      <c r="AH431" s="6">
        <v>-0.00491634</v>
      </c>
      <c r="AI431" s="6">
        <v>-0.00515176</v>
      </c>
      <c r="AJ431" s="6">
        <v>-0.00453805</v>
      </c>
      <c r="AK431" s="6">
        <v>-0.00462909</v>
      </c>
      <c r="AL431" s="6">
        <v>-0.00466721</v>
      </c>
      <c r="AM431" s="6">
        <v>-0.00480203</v>
      </c>
      <c r="AN431" s="6">
        <v>-6.4762184</v>
      </c>
      <c r="AO431" s="6">
        <v>-6.4515561</v>
      </c>
      <c r="AP431" s="6">
        <v>-6.4739881</v>
      </c>
      <c r="AQ431" s="6">
        <v>-6.4253629</v>
      </c>
      <c r="AR431" s="6">
        <v>-6.4020076</v>
      </c>
      <c r="AS431" s="6">
        <v>-6.4618417</v>
      </c>
      <c r="AT431" s="6">
        <v>-6.4506396</v>
      </c>
      <c r="AU431" s="6">
        <v>0.97344833</v>
      </c>
      <c r="AV431" s="6">
        <v>0.96974131</v>
      </c>
      <c r="AW431" s="6">
        <v>0.97311308</v>
      </c>
      <c r="AX431" s="6">
        <v>0.96580418</v>
      </c>
      <c r="AY431" s="6">
        <v>0.96229362</v>
      </c>
      <c r="AZ431" s="6">
        <v>0.97128734</v>
      </c>
      <c r="BA431" s="6">
        <v>0.96960354</v>
      </c>
      <c r="BB431" s="6">
        <v>0.02655167</v>
      </c>
      <c r="BC431" s="6">
        <v>0.03025869</v>
      </c>
      <c r="BD431" s="6">
        <v>0.02688692</v>
      </c>
      <c r="BE431" s="6">
        <v>0.03419582</v>
      </c>
      <c r="BF431" s="6">
        <v>0.03770638</v>
      </c>
      <c r="BG431" s="6">
        <v>0.02871266</v>
      </c>
      <c r="BH431" s="6">
        <v>0.03039646</v>
      </c>
      <c r="BI431" s="6">
        <v>0.21470859</v>
      </c>
      <c r="BJ431" s="6">
        <v>0.12366373</v>
      </c>
      <c r="BK431" s="6">
        <v>0.1409291</v>
      </c>
      <c r="BL431" s="6">
        <v>0.12522516</v>
      </c>
      <c r="BM431" s="6">
        <v>0.1592662</v>
      </c>
      <c r="BN431" s="6">
        <v>0.17561655</v>
      </c>
      <c r="BO431" s="6">
        <v>0.1337285</v>
      </c>
      <c r="BP431" s="6">
        <v>0.14157076</v>
      </c>
      <c r="BQ431" s="6">
        <v>0.01895333</v>
      </c>
      <c r="BR431" s="6">
        <v>0.01612484</v>
      </c>
      <c r="BS431" s="6">
        <v>0.01754186</v>
      </c>
      <c r="BT431" s="6">
        <v>0.01314046</v>
      </c>
      <c r="BU431" s="6">
        <v>0.01486998</v>
      </c>
      <c r="BV431" s="6">
        <v>0.02499784</v>
      </c>
      <c r="BW431" s="6">
        <v>0.02261466</v>
      </c>
      <c r="BX431" s="12">
        <v>13074</v>
      </c>
      <c r="BY431" s="13">
        <v>9717</v>
      </c>
      <c r="BZ431" s="12">
        <v>8553.79</v>
      </c>
      <c r="CA431" s="6">
        <f t="shared" si="42"/>
        <v>1.34547699907379</v>
      </c>
      <c r="CB431" s="6">
        <f t="shared" si="43"/>
        <v>1.528445285657</v>
      </c>
      <c r="CC431" s="7">
        <v>360704335.3</v>
      </c>
      <c r="CD431" s="7">
        <f t="shared" si="38"/>
        <v>4.21689491207991</v>
      </c>
      <c r="CE431" s="8">
        <v>1300.4</v>
      </c>
      <c r="CF431" s="8">
        <v>8325.8</v>
      </c>
      <c r="CG431" s="8">
        <v>5197</v>
      </c>
      <c r="CH431" s="8">
        <v>19790</v>
      </c>
      <c r="CI431" s="14">
        <v>0</v>
      </c>
      <c r="CJ431" s="14">
        <v>0</v>
      </c>
      <c r="CK431" s="14">
        <f t="shared" si="39"/>
        <v>0</v>
      </c>
      <c r="CL431">
        <f t="shared" si="40"/>
        <v>3.89549779892895</v>
      </c>
      <c r="CM431">
        <f t="shared" si="41"/>
        <v>0</v>
      </c>
      <c r="CN431" s="15">
        <v>13074.16</v>
      </c>
      <c r="CO431" s="15">
        <v>14937.64</v>
      </c>
      <c r="CP431" s="15">
        <v>818.01</v>
      </c>
      <c r="CQ431" s="15">
        <v>704.54</v>
      </c>
      <c r="CR431" s="15">
        <v>221.95</v>
      </c>
      <c r="CS431" s="15">
        <v>12.63</v>
      </c>
      <c r="CT431" s="15">
        <v>274.83</v>
      </c>
      <c r="CU431" s="15">
        <v>77.25</v>
      </c>
      <c r="CV431" s="15">
        <v>20.29</v>
      </c>
      <c r="CW431" s="15">
        <v>1299.63</v>
      </c>
    </row>
    <row r="432" spans="1:101">
      <c r="A432" s="6">
        <v>2005</v>
      </c>
      <c r="B432" s="6" t="s">
        <v>117</v>
      </c>
      <c r="C432" s="6">
        <v>0.12487746</v>
      </c>
      <c r="D432" s="6">
        <v>0.024683</v>
      </c>
      <c r="E432" s="6">
        <v>0.006128</v>
      </c>
      <c r="F432" s="6">
        <v>0.01121</v>
      </c>
      <c r="G432" s="6">
        <v>0.003801</v>
      </c>
      <c r="H432" s="6">
        <v>0.003544</v>
      </c>
      <c r="I432" s="6">
        <v>0.025633</v>
      </c>
      <c r="J432" s="6">
        <v>0.013324</v>
      </c>
      <c r="K432" s="6">
        <v>0.14204714</v>
      </c>
      <c r="L432" s="6">
        <v>0.10439246</v>
      </c>
      <c r="M432" s="6">
        <v>0.12937583</v>
      </c>
      <c r="N432" s="6">
        <v>0.08386385</v>
      </c>
      <c r="O432" s="6">
        <v>0.07390342</v>
      </c>
      <c r="P432" s="6">
        <v>0.19571948</v>
      </c>
      <c r="Q432" s="6">
        <v>0.16874759</v>
      </c>
      <c r="R432" s="6">
        <v>217.69486</v>
      </c>
      <c r="S432" s="6">
        <v>0.00065251</v>
      </c>
      <c r="T432" s="6">
        <v>169.97573</v>
      </c>
      <c r="U432" s="6">
        <v>0.00061416</v>
      </c>
      <c r="V432" s="6">
        <v>197.11803</v>
      </c>
      <c r="W432" s="6">
        <v>0.00065634</v>
      </c>
      <c r="X432" s="6">
        <v>134.47093</v>
      </c>
      <c r="Y432" s="6">
        <v>0.00062366</v>
      </c>
      <c r="Z432" s="6">
        <v>134.86767</v>
      </c>
      <c r="AA432" s="6">
        <v>0.00054797</v>
      </c>
      <c r="AB432" s="6">
        <v>294.9318</v>
      </c>
      <c r="AC432" s="6">
        <v>0.00066361</v>
      </c>
      <c r="AD432" s="6">
        <v>243.86163</v>
      </c>
      <c r="AE432" s="6">
        <v>0.00069198</v>
      </c>
      <c r="AF432" s="6">
        <v>775</v>
      </c>
      <c r="AG432" s="6">
        <v>-0.00478593</v>
      </c>
      <c r="AH432" s="6">
        <v>-0.00454188</v>
      </c>
      <c r="AI432" s="6">
        <v>-0.00481019</v>
      </c>
      <c r="AJ432" s="6">
        <v>-0.00460254</v>
      </c>
      <c r="AK432" s="6">
        <v>-0.00411487</v>
      </c>
      <c r="AL432" s="6">
        <v>-0.00485617</v>
      </c>
      <c r="AM432" s="6">
        <v>-0.00503482</v>
      </c>
      <c r="AN432" s="6">
        <v>-6.4762184</v>
      </c>
      <c r="AO432" s="6">
        <v>-6.4515561</v>
      </c>
      <c r="AP432" s="6">
        <v>-6.4739881</v>
      </c>
      <c r="AQ432" s="6">
        <v>-6.4253629</v>
      </c>
      <c r="AR432" s="6">
        <v>-6.4020076</v>
      </c>
      <c r="AS432" s="6">
        <v>-6.4618417</v>
      </c>
      <c r="AT432" s="6">
        <v>-6.4506396</v>
      </c>
      <c r="AU432" s="6">
        <v>0.97344833</v>
      </c>
      <c r="AV432" s="6">
        <v>0.96974131</v>
      </c>
      <c r="AW432" s="6">
        <v>0.97311308</v>
      </c>
      <c r="AX432" s="6">
        <v>0.96580418</v>
      </c>
      <c r="AY432" s="6">
        <v>0.96229362</v>
      </c>
      <c r="AZ432" s="6">
        <v>0.97128734</v>
      </c>
      <c r="BA432" s="6">
        <v>0.96960354</v>
      </c>
      <c r="BB432" s="6">
        <v>0.02655167</v>
      </c>
      <c r="BC432" s="6">
        <v>0.03025869</v>
      </c>
      <c r="BD432" s="6">
        <v>0.02688692</v>
      </c>
      <c r="BE432" s="6">
        <v>0.03419582</v>
      </c>
      <c r="BF432" s="6">
        <v>0.03770638</v>
      </c>
      <c r="BG432" s="6">
        <v>0.02871266</v>
      </c>
      <c r="BH432" s="6">
        <v>0.03039646</v>
      </c>
      <c r="BI432" s="6">
        <v>0.21470859</v>
      </c>
      <c r="BJ432" s="6">
        <v>0.12366373</v>
      </c>
      <c r="BK432" s="6">
        <v>0.1409291</v>
      </c>
      <c r="BL432" s="6">
        <v>0.12522516</v>
      </c>
      <c r="BM432" s="6">
        <v>0.1592662</v>
      </c>
      <c r="BN432" s="6">
        <v>0.17561655</v>
      </c>
      <c r="BO432" s="6">
        <v>0.1337285</v>
      </c>
      <c r="BP432" s="6">
        <v>0.14157076</v>
      </c>
      <c r="BQ432" s="6">
        <v>0.01756608</v>
      </c>
      <c r="BR432" s="6">
        <v>0.01471194</v>
      </c>
      <c r="BS432" s="6">
        <v>0.01620111</v>
      </c>
      <c r="BT432" s="6">
        <v>0.01335668</v>
      </c>
      <c r="BU432" s="6">
        <v>0.01297866</v>
      </c>
      <c r="BV432" s="6">
        <v>0.02617327</v>
      </c>
      <c r="BW432" s="6">
        <v>0.02388972</v>
      </c>
      <c r="BX432" s="12">
        <v>14625</v>
      </c>
      <c r="BY432" s="13">
        <v>9380</v>
      </c>
      <c r="BZ432" s="12">
        <v>10587.42</v>
      </c>
      <c r="CA432" s="6">
        <f t="shared" si="42"/>
        <v>1.5591684434968</v>
      </c>
      <c r="CB432" s="6">
        <f t="shared" si="43"/>
        <v>1.38135636444006</v>
      </c>
      <c r="CC432" s="7">
        <v>409374009.2</v>
      </c>
      <c r="CD432" s="7">
        <f t="shared" si="38"/>
        <v>3.8666078156907</v>
      </c>
      <c r="CE432" s="8">
        <v>1390.2</v>
      </c>
      <c r="CF432" s="8">
        <v>10234.1</v>
      </c>
      <c r="CG432" s="8">
        <v>6497.1</v>
      </c>
      <c r="CH432" s="8">
        <v>23984</v>
      </c>
      <c r="CI432" s="14">
        <v>0</v>
      </c>
      <c r="CJ432" s="14">
        <v>0</v>
      </c>
      <c r="CK432" s="14">
        <f t="shared" si="39"/>
        <v>0</v>
      </c>
      <c r="CL432">
        <f t="shared" si="40"/>
        <v>3.71995059106252</v>
      </c>
      <c r="CM432">
        <f t="shared" si="41"/>
        <v>0</v>
      </c>
      <c r="CN432" s="15">
        <v>14624.6</v>
      </c>
      <c r="CO432" s="15">
        <v>18467.89</v>
      </c>
      <c r="CP432" s="15">
        <v>994.37</v>
      </c>
      <c r="CQ432" s="15">
        <v>668.82</v>
      </c>
      <c r="CR432" s="15">
        <v>234.54</v>
      </c>
      <c r="CS432" s="15">
        <v>13.91</v>
      </c>
      <c r="CT432" s="15">
        <v>329.47</v>
      </c>
      <c r="CU432" s="15">
        <v>78.46</v>
      </c>
      <c r="CV432" s="15">
        <v>23.71</v>
      </c>
      <c r="CW432" s="15">
        <v>1352.74</v>
      </c>
    </row>
    <row r="433" spans="1:101">
      <c r="A433" s="6">
        <v>2006</v>
      </c>
      <c r="B433" s="6" t="s">
        <v>117</v>
      </c>
      <c r="C433" s="6">
        <v>0.13490728</v>
      </c>
      <c r="D433" s="6">
        <v>0.025541</v>
      </c>
      <c r="E433" s="6">
        <v>0.006366</v>
      </c>
      <c r="F433" s="6">
        <v>0.011526</v>
      </c>
      <c r="G433" s="6">
        <v>0.003915</v>
      </c>
      <c r="H433" s="6">
        <v>0.003735</v>
      </c>
      <c r="I433" s="6">
        <v>0.02863</v>
      </c>
      <c r="J433" s="6">
        <v>0.01403</v>
      </c>
      <c r="K433" s="6">
        <v>0.14877932</v>
      </c>
      <c r="L433" s="6">
        <v>0.11000777</v>
      </c>
      <c r="M433" s="6">
        <v>0.13423147</v>
      </c>
      <c r="N433" s="6">
        <v>0.08724318</v>
      </c>
      <c r="O433" s="6">
        <v>0.07967635</v>
      </c>
      <c r="P433" s="6">
        <v>0.22910223</v>
      </c>
      <c r="Q433" s="6">
        <v>0.18133226</v>
      </c>
      <c r="R433" s="6">
        <v>217.69486</v>
      </c>
      <c r="S433" s="6">
        <v>0.00068343</v>
      </c>
      <c r="T433" s="6">
        <v>169.97573</v>
      </c>
      <c r="U433" s="6">
        <v>0.0006472</v>
      </c>
      <c r="V433" s="6">
        <v>197.11803</v>
      </c>
      <c r="W433" s="6">
        <v>0.00068097</v>
      </c>
      <c r="X433" s="6">
        <v>134.47093</v>
      </c>
      <c r="Y433" s="6">
        <v>0.00064879</v>
      </c>
      <c r="Z433" s="6">
        <v>134.86767</v>
      </c>
      <c r="AA433" s="6">
        <v>0.00059077</v>
      </c>
      <c r="AB433" s="6">
        <v>294.9318</v>
      </c>
      <c r="AC433" s="6">
        <v>0.0007768</v>
      </c>
      <c r="AD433" s="6">
        <v>243.86163</v>
      </c>
      <c r="AE433" s="6">
        <v>0.00074359</v>
      </c>
      <c r="AF433" s="6">
        <v>775</v>
      </c>
      <c r="AG433" s="6">
        <v>-0.00498111</v>
      </c>
      <c r="AH433" s="6">
        <v>-0.00475228</v>
      </c>
      <c r="AI433" s="6">
        <v>-0.00496563</v>
      </c>
      <c r="AJ433" s="6">
        <v>-0.00476237</v>
      </c>
      <c r="AK433" s="6">
        <v>-0.00439186</v>
      </c>
      <c r="AL433" s="6">
        <v>-0.00556213</v>
      </c>
      <c r="AM433" s="6">
        <v>-0.00535682</v>
      </c>
      <c r="AN433" s="6">
        <v>-6.4762184</v>
      </c>
      <c r="AO433" s="6">
        <v>-6.4515561</v>
      </c>
      <c r="AP433" s="6">
        <v>-6.4739881</v>
      </c>
      <c r="AQ433" s="6">
        <v>-6.4253629</v>
      </c>
      <c r="AR433" s="6">
        <v>-6.4020076</v>
      </c>
      <c r="AS433" s="6">
        <v>-6.4618417</v>
      </c>
      <c r="AT433" s="6">
        <v>-6.4506396</v>
      </c>
      <c r="AU433" s="6">
        <v>0.97344833</v>
      </c>
      <c r="AV433" s="6">
        <v>0.96974131</v>
      </c>
      <c r="AW433" s="6">
        <v>0.97311308</v>
      </c>
      <c r="AX433" s="6">
        <v>0.96580418</v>
      </c>
      <c r="AY433" s="6">
        <v>0.96229362</v>
      </c>
      <c r="AZ433" s="6">
        <v>0.97128734</v>
      </c>
      <c r="BA433" s="6">
        <v>0.96960354</v>
      </c>
      <c r="BB433" s="6">
        <v>0.02655167</v>
      </c>
      <c r="BC433" s="6">
        <v>0.03025869</v>
      </c>
      <c r="BD433" s="6">
        <v>0.02688692</v>
      </c>
      <c r="BE433" s="6">
        <v>0.03419582</v>
      </c>
      <c r="BF433" s="6">
        <v>0.03770638</v>
      </c>
      <c r="BG433" s="6">
        <v>0.02871266</v>
      </c>
      <c r="BH433" s="6">
        <v>0.03039646</v>
      </c>
      <c r="BI433" s="6">
        <v>0.21470859</v>
      </c>
      <c r="BJ433" s="6">
        <v>0.12366373</v>
      </c>
      <c r="BK433" s="6">
        <v>0.1409291</v>
      </c>
      <c r="BL433" s="6">
        <v>0.12522516</v>
      </c>
      <c r="BM433" s="6">
        <v>0.1592662</v>
      </c>
      <c r="BN433" s="6">
        <v>0.17561655</v>
      </c>
      <c r="BO433" s="6">
        <v>0.1337285</v>
      </c>
      <c r="BP433" s="6">
        <v>0.14157076</v>
      </c>
      <c r="BQ433" s="6">
        <v>0.01839861</v>
      </c>
      <c r="BR433" s="6">
        <v>0.0155033</v>
      </c>
      <c r="BS433" s="6">
        <v>0.01680916</v>
      </c>
      <c r="BT433" s="6">
        <v>0.01389489</v>
      </c>
      <c r="BU433" s="6">
        <v>0.01399249</v>
      </c>
      <c r="BV433" s="6">
        <v>0.0306375</v>
      </c>
      <c r="BW433" s="6">
        <v>0.02567135</v>
      </c>
      <c r="BX433" s="12">
        <v>16234</v>
      </c>
      <c r="BY433" s="13">
        <v>9392</v>
      </c>
      <c r="BZ433" s="12">
        <v>12362.79</v>
      </c>
      <c r="CA433" s="6">
        <f t="shared" si="42"/>
        <v>1.72849233390119</v>
      </c>
      <c r="CB433" s="6">
        <f t="shared" si="43"/>
        <v>1.31313400939432</v>
      </c>
      <c r="CC433" s="7">
        <v>453770064.9</v>
      </c>
      <c r="CD433" s="7">
        <f t="shared" si="38"/>
        <v>3.6704503182534</v>
      </c>
      <c r="CE433" s="8">
        <v>1468.3</v>
      </c>
      <c r="CF433" s="8">
        <v>11991.1</v>
      </c>
      <c r="CG433" s="8">
        <v>7781.4</v>
      </c>
      <c r="CH433" s="8">
        <v>27868</v>
      </c>
      <c r="CI433" s="14">
        <v>0</v>
      </c>
      <c r="CJ433" s="14">
        <v>0</v>
      </c>
      <c r="CK433" s="14">
        <f t="shared" si="39"/>
        <v>0</v>
      </c>
      <c r="CL433">
        <f t="shared" si="40"/>
        <v>3.57740717995078</v>
      </c>
      <c r="CM433">
        <f t="shared" si="41"/>
        <v>0</v>
      </c>
      <c r="CN433" s="15">
        <v>16235.32</v>
      </c>
      <c r="CO433" s="15">
        <v>21002.82</v>
      </c>
      <c r="CP433" s="15">
        <v>1192.23</v>
      </c>
      <c r="CQ433" s="15">
        <v>696.57</v>
      </c>
      <c r="CR433" s="15">
        <v>249.69</v>
      </c>
      <c r="CS433" s="15">
        <v>16.03</v>
      </c>
      <c r="CT433" s="15">
        <v>346.01</v>
      </c>
      <c r="CU433" s="15">
        <v>70.37</v>
      </c>
      <c r="CV433" s="15">
        <v>30.53</v>
      </c>
      <c r="CW433" s="15">
        <v>1534.21</v>
      </c>
    </row>
    <row r="434" spans="1:101">
      <c r="A434" s="6">
        <v>2007</v>
      </c>
      <c r="B434" s="6" t="s">
        <v>117</v>
      </c>
      <c r="C434" s="6">
        <v>0.15477076</v>
      </c>
      <c r="D434" s="6">
        <v>0.030568</v>
      </c>
      <c r="E434" s="6">
        <v>0.00781</v>
      </c>
      <c r="F434" s="6">
        <v>0.014235</v>
      </c>
      <c r="G434" s="6">
        <v>0.004476</v>
      </c>
      <c r="H434" s="6">
        <v>0.004048</v>
      </c>
      <c r="I434" s="6">
        <v>0.028709</v>
      </c>
      <c r="J434" s="6">
        <v>0.014243</v>
      </c>
      <c r="K434" s="6">
        <v>0.18820906</v>
      </c>
      <c r="L434" s="6">
        <v>0.14414876</v>
      </c>
      <c r="M434" s="6">
        <v>0.17586553</v>
      </c>
      <c r="N434" s="6">
        <v>0.10381365</v>
      </c>
      <c r="O434" s="6">
        <v>0.08916838</v>
      </c>
      <c r="P434" s="6">
        <v>0.22998265</v>
      </c>
      <c r="Q434" s="6">
        <v>0.18513638</v>
      </c>
      <c r="R434" s="6">
        <v>217.69486</v>
      </c>
      <c r="S434" s="6">
        <v>0.00086455</v>
      </c>
      <c r="T434" s="6">
        <v>169.97573</v>
      </c>
      <c r="U434" s="6">
        <v>0.00084805</v>
      </c>
      <c r="V434" s="6">
        <v>197.11803</v>
      </c>
      <c r="W434" s="6">
        <v>0.00089218</v>
      </c>
      <c r="X434" s="6">
        <v>134.47093</v>
      </c>
      <c r="Y434" s="6">
        <v>0.00077202</v>
      </c>
      <c r="Z434" s="6">
        <v>134.86767</v>
      </c>
      <c r="AA434" s="6">
        <v>0.00066115</v>
      </c>
      <c r="AB434" s="6">
        <v>294.9318</v>
      </c>
      <c r="AC434" s="6">
        <v>0.00077978</v>
      </c>
      <c r="AD434" s="6">
        <v>243.86163</v>
      </c>
      <c r="AE434" s="6">
        <v>0.00075919</v>
      </c>
      <c r="AF434" s="6">
        <v>775</v>
      </c>
      <c r="AG434" s="6">
        <v>-0.00609796</v>
      </c>
      <c r="AH434" s="6">
        <v>-0.00599792</v>
      </c>
      <c r="AI434" s="6">
        <v>-0.00626477</v>
      </c>
      <c r="AJ434" s="6">
        <v>-0.00553265</v>
      </c>
      <c r="AK434" s="6">
        <v>-0.00484066</v>
      </c>
      <c r="AL434" s="6">
        <v>-0.00558051</v>
      </c>
      <c r="AM434" s="6">
        <v>-0.00545343</v>
      </c>
      <c r="AN434" s="6">
        <v>-6.4762184</v>
      </c>
      <c r="AO434" s="6">
        <v>-6.4515561</v>
      </c>
      <c r="AP434" s="6">
        <v>-6.4739881</v>
      </c>
      <c r="AQ434" s="6">
        <v>-6.4253629</v>
      </c>
      <c r="AR434" s="6">
        <v>-6.4020076</v>
      </c>
      <c r="AS434" s="6">
        <v>-6.4618417</v>
      </c>
      <c r="AT434" s="6">
        <v>-6.4506396</v>
      </c>
      <c r="AU434" s="6">
        <v>0.97344833</v>
      </c>
      <c r="AV434" s="6">
        <v>0.96974131</v>
      </c>
      <c r="AW434" s="6">
        <v>0.97311308</v>
      </c>
      <c r="AX434" s="6">
        <v>0.96580418</v>
      </c>
      <c r="AY434" s="6">
        <v>0.96229362</v>
      </c>
      <c r="AZ434" s="6">
        <v>0.97128734</v>
      </c>
      <c r="BA434" s="6">
        <v>0.96960354</v>
      </c>
      <c r="BB434" s="6">
        <v>0.02655167</v>
      </c>
      <c r="BC434" s="6">
        <v>0.03025869</v>
      </c>
      <c r="BD434" s="6">
        <v>0.02688692</v>
      </c>
      <c r="BE434" s="6">
        <v>0.03419582</v>
      </c>
      <c r="BF434" s="6">
        <v>0.03770638</v>
      </c>
      <c r="BG434" s="6">
        <v>0.02871266</v>
      </c>
      <c r="BH434" s="6">
        <v>0.03039646</v>
      </c>
      <c r="BI434" s="6">
        <v>0.21470859</v>
      </c>
      <c r="BJ434" s="6">
        <v>0.12366373</v>
      </c>
      <c r="BK434" s="6">
        <v>0.1409291</v>
      </c>
      <c r="BL434" s="6">
        <v>0.12522516</v>
      </c>
      <c r="BM434" s="6">
        <v>0.1592662</v>
      </c>
      <c r="BN434" s="6">
        <v>0.17561655</v>
      </c>
      <c r="BO434" s="6">
        <v>0.1337285</v>
      </c>
      <c r="BP434" s="6">
        <v>0.14157076</v>
      </c>
      <c r="BQ434" s="6">
        <v>0.02327464</v>
      </c>
      <c r="BR434" s="6">
        <v>0.02031476</v>
      </c>
      <c r="BS434" s="6">
        <v>0.02202279</v>
      </c>
      <c r="BT434" s="6">
        <v>0.01653401</v>
      </c>
      <c r="BU434" s="6">
        <v>0.01565944</v>
      </c>
      <c r="BV434" s="6">
        <v>0.03075523</v>
      </c>
      <c r="BW434" s="6">
        <v>0.0262099</v>
      </c>
      <c r="BX434" s="12">
        <v>17838</v>
      </c>
      <c r="BY434" s="13">
        <v>9360</v>
      </c>
      <c r="BZ434" s="12">
        <v>15012.46</v>
      </c>
      <c r="CA434" s="6">
        <f t="shared" si="42"/>
        <v>1.90576923076923</v>
      </c>
      <c r="CB434" s="6">
        <f t="shared" si="43"/>
        <v>1.18821299107541</v>
      </c>
      <c r="CC434" s="7">
        <v>498979481.6</v>
      </c>
      <c r="CD434" s="7">
        <f t="shared" si="38"/>
        <v>3.32376893327276</v>
      </c>
      <c r="CE434" s="8">
        <v>1715.6</v>
      </c>
      <c r="CF434" s="8">
        <v>14497.4</v>
      </c>
      <c r="CG434" s="8">
        <v>9775.4</v>
      </c>
      <c r="CH434" s="8">
        <v>33798</v>
      </c>
      <c r="CI434" s="14">
        <v>0</v>
      </c>
      <c r="CJ434" s="14">
        <v>0</v>
      </c>
      <c r="CK434" s="14">
        <f t="shared" si="39"/>
        <v>0</v>
      </c>
      <c r="CL434">
        <f t="shared" si="40"/>
        <v>3.23986794305777</v>
      </c>
      <c r="CM434">
        <f t="shared" si="41"/>
        <v>0</v>
      </c>
      <c r="CN434" s="15">
        <v>17841</v>
      </c>
      <c r="CO434" s="15">
        <v>23171</v>
      </c>
      <c r="CP434" s="15">
        <v>1437.05</v>
      </c>
      <c r="CQ434" s="15">
        <v>713.83</v>
      </c>
      <c r="CR434" s="15">
        <v>210.9</v>
      </c>
      <c r="CS434" s="15">
        <v>17.03</v>
      </c>
      <c r="CT434" s="15">
        <v>460.51</v>
      </c>
      <c r="CU434" s="15">
        <v>62.78</v>
      </c>
      <c r="CV434" s="15">
        <v>33.14</v>
      </c>
      <c r="CW434" s="15">
        <v>1864.14</v>
      </c>
    </row>
    <row r="435" spans="1:101">
      <c r="A435" s="6">
        <v>2008</v>
      </c>
      <c r="B435" s="6" t="s">
        <v>117</v>
      </c>
      <c r="C435" s="6">
        <v>0.16638113</v>
      </c>
      <c r="D435" s="6">
        <v>0.0311</v>
      </c>
      <c r="E435" s="6">
        <v>0.007744</v>
      </c>
      <c r="F435" s="6">
        <v>0.014057</v>
      </c>
      <c r="G435" s="6">
        <v>0.004531</v>
      </c>
      <c r="H435" s="6">
        <v>0.004768</v>
      </c>
      <c r="I435" s="6">
        <v>0.030956</v>
      </c>
      <c r="J435" s="6">
        <v>0.01591</v>
      </c>
      <c r="K435" s="6">
        <v>0.1923846</v>
      </c>
      <c r="L435" s="6">
        <v>0.1425971</v>
      </c>
      <c r="M435" s="6">
        <v>0.17312812</v>
      </c>
      <c r="N435" s="6">
        <v>0.10545251</v>
      </c>
      <c r="O435" s="6">
        <v>0.11100628</v>
      </c>
      <c r="P435" s="6">
        <v>0.25501358</v>
      </c>
      <c r="Q435" s="6">
        <v>0.21488839</v>
      </c>
      <c r="R435" s="6">
        <v>217.69486</v>
      </c>
      <c r="S435" s="6">
        <v>0.00088374</v>
      </c>
      <c r="T435" s="6">
        <v>169.97573</v>
      </c>
      <c r="U435" s="6">
        <v>0.00083893</v>
      </c>
      <c r="V435" s="6">
        <v>197.11803</v>
      </c>
      <c r="W435" s="6">
        <v>0.0008783</v>
      </c>
      <c r="X435" s="6">
        <v>134.47093</v>
      </c>
      <c r="Y435" s="6">
        <v>0.0007842</v>
      </c>
      <c r="Z435" s="6">
        <v>134.86767</v>
      </c>
      <c r="AA435" s="6">
        <v>0.00082308</v>
      </c>
      <c r="AB435" s="6">
        <v>294.9318</v>
      </c>
      <c r="AC435" s="6">
        <v>0.00086465</v>
      </c>
      <c r="AD435" s="6">
        <v>243.86163</v>
      </c>
      <c r="AE435" s="6">
        <v>0.00088119</v>
      </c>
      <c r="AF435" s="6">
        <v>775</v>
      </c>
      <c r="AG435" s="6">
        <v>-0.00621385</v>
      </c>
      <c r="AH435" s="6">
        <v>-0.00594244</v>
      </c>
      <c r="AI435" s="6">
        <v>-0.00618104</v>
      </c>
      <c r="AJ435" s="6">
        <v>-0.00560771</v>
      </c>
      <c r="AK435" s="6">
        <v>-0.00584586</v>
      </c>
      <c r="AL435" s="6">
        <v>-0.00609855</v>
      </c>
      <c r="AM435" s="6">
        <v>-0.0061985</v>
      </c>
      <c r="AN435" s="6">
        <v>-6.4762184</v>
      </c>
      <c r="AO435" s="6">
        <v>-6.4515561</v>
      </c>
      <c r="AP435" s="6">
        <v>-6.4739881</v>
      </c>
      <c r="AQ435" s="6">
        <v>-6.4253629</v>
      </c>
      <c r="AR435" s="6">
        <v>-6.4020076</v>
      </c>
      <c r="AS435" s="6">
        <v>-6.4618417</v>
      </c>
      <c r="AT435" s="6">
        <v>-6.4506396</v>
      </c>
      <c r="AU435" s="6">
        <v>0.97344833</v>
      </c>
      <c r="AV435" s="6">
        <v>0.96974131</v>
      </c>
      <c r="AW435" s="6">
        <v>0.97311308</v>
      </c>
      <c r="AX435" s="6">
        <v>0.96580418</v>
      </c>
      <c r="AY435" s="6">
        <v>0.96229362</v>
      </c>
      <c r="AZ435" s="6">
        <v>0.97128734</v>
      </c>
      <c r="BA435" s="6">
        <v>0.96960354</v>
      </c>
      <c r="BB435" s="6">
        <v>0.02655167</v>
      </c>
      <c r="BC435" s="6">
        <v>0.03025869</v>
      </c>
      <c r="BD435" s="6">
        <v>0.02688692</v>
      </c>
      <c r="BE435" s="6">
        <v>0.03419582</v>
      </c>
      <c r="BF435" s="6">
        <v>0.03770638</v>
      </c>
      <c r="BG435" s="6">
        <v>0.02871266</v>
      </c>
      <c r="BH435" s="6">
        <v>0.03039646</v>
      </c>
      <c r="BI435" s="6">
        <v>0.21470859</v>
      </c>
      <c r="BJ435" s="6">
        <v>0.12366373</v>
      </c>
      <c r="BK435" s="6">
        <v>0.1409291</v>
      </c>
      <c r="BL435" s="6">
        <v>0.12522516</v>
      </c>
      <c r="BM435" s="6">
        <v>0.1592662</v>
      </c>
      <c r="BN435" s="6">
        <v>0.17561655</v>
      </c>
      <c r="BO435" s="6">
        <v>0.1337285</v>
      </c>
      <c r="BP435" s="6">
        <v>0.14157076</v>
      </c>
      <c r="BQ435" s="6">
        <v>0.023791</v>
      </c>
      <c r="BR435" s="6">
        <v>0.02009608</v>
      </c>
      <c r="BS435" s="6">
        <v>0.02168</v>
      </c>
      <c r="BT435" s="6">
        <v>0.01679502</v>
      </c>
      <c r="BU435" s="6">
        <v>0.01949454</v>
      </c>
      <c r="BV435" s="6">
        <v>0.03410258</v>
      </c>
      <c r="BW435" s="6">
        <v>0.03042191</v>
      </c>
      <c r="BX435" s="12">
        <v>18976</v>
      </c>
      <c r="BY435" s="13">
        <v>9429</v>
      </c>
      <c r="BZ435" s="12">
        <v>18018.53</v>
      </c>
      <c r="CA435" s="6">
        <f t="shared" si="42"/>
        <v>2.01251458267048</v>
      </c>
      <c r="CB435" s="6">
        <f t="shared" si="43"/>
        <v>1.0531380750816</v>
      </c>
      <c r="CC435" s="7">
        <v>515464760.6</v>
      </c>
      <c r="CD435" s="7">
        <f t="shared" si="38"/>
        <v>2.8607481331718</v>
      </c>
      <c r="CE435" s="8">
        <v>1988.2</v>
      </c>
      <c r="CF435" s="8">
        <v>17051.1</v>
      </c>
      <c r="CG435" s="8">
        <v>11906.2</v>
      </c>
      <c r="CH435" s="8">
        <v>39967</v>
      </c>
      <c r="CI435" s="14">
        <v>0</v>
      </c>
      <c r="CJ435" s="14">
        <v>0</v>
      </c>
      <c r="CK435" s="14">
        <f t="shared" si="39"/>
        <v>0</v>
      </c>
      <c r="CL435">
        <f t="shared" si="40"/>
        <v>2.71728515287532</v>
      </c>
      <c r="CM435">
        <f t="shared" si="41"/>
        <v>0</v>
      </c>
      <c r="CN435" s="15">
        <v>18976</v>
      </c>
      <c r="CO435" s="15">
        <v>23868</v>
      </c>
      <c r="CP435" s="15">
        <v>1488.98</v>
      </c>
      <c r="CQ435" s="15">
        <v>704.22</v>
      </c>
      <c r="CR435" s="15">
        <v>191.75</v>
      </c>
      <c r="CS435" s="15">
        <v>16.5</v>
      </c>
      <c r="CT435" s="15">
        <v>543.45</v>
      </c>
      <c r="CU435" s="15">
        <v>46.08</v>
      </c>
      <c r="CV435" s="15">
        <v>38.23</v>
      </c>
      <c r="CW435" s="15">
        <v>2092.63</v>
      </c>
    </row>
    <row r="436" spans="1:101">
      <c r="A436" s="6">
        <v>2009</v>
      </c>
      <c r="B436" s="6" t="s">
        <v>117</v>
      </c>
      <c r="C436" s="6">
        <v>0.17257333</v>
      </c>
      <c r="D436" s="6">
        <v>0.031334</v>
      </c>
      <c r="E436" s="6">
        <v>0.007876</v>
      </c>
      <c r="F436" s="6">
        <v>0.014473</v>
      </c>
      <c r="G436" s="6">
        <v>0.004597</v>
      </c>
      <c r="H436" s="6">
        <v>0.004388</v>
      </c>
      <c r="I436" s="6">
        <v>0.032395</v>
      </c>
      <c r="J436" s="6">
        <v>0.017611</v>
      </c>
      <c r="K436" s="6">
        <v>0.1942147</v>
      </c>
      <c r="L436" s="6">
        <v>0.14570431</v>
      </c>
      <c r="M436" s="6">
        <v>0.17952115</v>
      </c>
      <c r="N436" s="6">
        <v>0.10739976</v>
      </c>
      <c r="O436" s="6">
        <v>0.09949221</v>
      </c>
      <c r="P436" s="6">
        <v>0.2710386</v>
      </c>
      <c r="Q436" s="6">
        <v>0.24523606</v>
      </c>
      <c r="R436" s="6">
        <v>217.69486</v>
      </c>
      <c r="S436" s="6">
        <v>0.00089214</v>
      </c>
      <c r="T436" s="6">
        <v>169.97573</v>
      </c>
      <c r="U436" s="6">
        <v>0.00085721</v>
      </c>
      <c r="V436" s="6">
        <v>197.11803</v>
      </c>
      <c r="W436" s="6">
        <v>0.00091073</v>
      </c>
      <c r="X436" s="6">
        <v>134.47093</v>
      </c>
      <c r="Y436" s="6">
        <v>0.00079868</v>
      </c>
      <c r="Z436" s="6">
        <v>134.86767</v>
      </c>
      <c r="AA436" s="6">
        <v>0.0007377</v>
      </c>
      <c r="AB436" s="6">
        <v>294.9318</v>
      </c>
      <c r="AC436" s="6">
        <v>0.00091899</v>
      </c>
      <c r="AD436" s="6">
        <v>243.86163</v>
      </c>
      <c r="AE436" s="6">
        <v>0.00100564</v>
      </c>
      <c r="AF436" s="6">
        <v>775</v>
      </c>
      <c r="AG436" s="6">
        <v>-0.00626452</v>
      </c>
      <c r="AH436" s="6">
        <v>-0.00605345</v>
      </c>
      <c r="AI436" s="6">
        <v>-0.00637626</v>
      </c>
      <c r="AJ436" s="6">
        <v>-0.00569665</v>
      </c>
      <c r="AK436" s="6">
        <v>-0.00532029</v>
      </c>
      <c r="AL436" s="6">
        <v>-0.00642578</v>
      </c>
      <c r="AM436" s="6">
        <v>-0.00694104</v>
      </c>
      <c r="AN436" s="6">
        <v>-6.4762184</v>
      </c>
      <c r="AO436" s="6">
        <v>-6.4515561</v>
      </c>
      <c r="AP436" s="6">
        <v>-6.4739881</v>
      </c>
      <c r="AQ436" s="6">
        <v>-6.4253629</v>
      </c>
      <c r="AR436" s="6">
        <v>-6.4020076</v>
      </c>
      <c r="AS436" s="6">
        <v>-6.4618417</v>
      </c>
      <c r="AT436" s="6">
        <v>-6.4506396</v>
      </c>
      <c r="AU436" s="6">
        <v>0.97344833</v>
      </c>
      <c r="AV436" s="6">
        <v>0.96974131</v>
      </c>
      <c r="AW436" s="6">
        <v>0.97311308</v>
      </c>
      <c r="AX436" s="6">
        <v>0.96580418</v>
      </c>
      <c r="AY436" s="6">
        <v>0.96229362</v>
      </c>
      <c r="AZ436" s="6">
        <v>0.97128734</v>
      </c>
      <c r="BA436" s="6">
        <v>0.96960354</v>
      </c>
      <c r="BB436" s="6">
        <v>0.02655167</v>
      </c>
      <c r="BC436" s="6">
        <v>0.03025869</v>
      </c>
      <c r="BD436" s="6">
        <v>0.02688692</v>
      </c>
      <c r="BE436" s="6">
        <v>0.03419582</v>
      </c>
      <c r="BF436" s="6">
        <v>0.03770638</v>
      </c>
      <c r="BG436" s="6">
        <v>0.02871266</v>
      </c>
      <c r="BH436" s="6">
        <v>0.03039646</v>
      </c>
      <c r="BI436" s="6">
        <v>0.21470859</v>
      </c>
      <c r="BJ436" s="6">
        <v>0.12366373</v>
      </c>
      <c r="BK436" s="6">
        <v>0.1409291</v>
      </c>
      <c r="BL436" s="6">
        <v>0.12522516</v>
      </c>
      <c r="BM436" s="6">
        <v>0.1592662</v>
      </c>
      <c r="BN436" s="6">
        <v>0.17561655</v>
      </c>
      <c r="BO436" s="6">
        <v>0.1337285</v>
      </c>
      <c r="BP436" s="6">
        <v>0.14157076</v>
      </c>
      <c r="BQ436" s="6">
        <v>0.02401731</v>
      </c>
      <c r="BR436" s="6">
        <v>0.02053398</v>
      </c>
      <c r="BS436" s="6">
        <v>0.02248056</v>
      </c>
      <c r="BT436" s="6">
        <v>0.01710515</v>
      </c>
      <c r="BU436" s="6">
        <v>0.01747248</v>
      </c>
      <c r="BV436" s="6">
        <v>0.03624558</v>
      </c>
      <c r="BW436" s="6">
        <v>0.03471826</v>
      </c>
      <c r="BX436" s="12">
        <v>19751</v>
      </c>
      <c r="BY436" s="13">
        <v>9487.05</v>
      </c>
      <c r="BZ436" s="12">
        <v>19480.46</v>
      </c>
      <c r="CA436" s="6">
        <f t="shared" si="42"/>
        <v>2.08189057715517</v>
      </c>
      <c r="CB436" s="6">
        <f t="shared" si="43"/>
        <v>1.01388776240397</v>
      </c>
      <c r="CC436" s="7">
        <v>539729858.5</v>
      </c>
      <c r="CD436" s="7">
        <f t="shared" si="38"/>
        <v>2.77062173326503</v>
      </c>
      <c r="CE436" s="8">
        <v>2143.6</v>
      </c>
      <c r="CF436" s="8">
        <v>18667.2</v>
      </c>
      <c r="CG436" s="8">
        <v>13660.9</v>
      </c>
      <c r="CH436" s="8">
        <v>44272</v>
      </c>
      <c r="CI436" s="14">
        <v>0</v>
      </c>
      <c r="CJ436" s="14">
        <v>0</v>
      </c>
      <c r="CK436" s="14">
        <f t="shared" si="39"/>
        <v>0</v>
      </c>
      <c r="CL436">
        <f t="shared" si="40"/>
        <v>2.66960201713366</v>
      </c>
      <c r="CM436">
        <f t="shared" si="41"/>
        <v>0</v>
      </c>
      <c r="CN436" s="15">
        <v>19751</v>
      </c>
      <c r="CO436" s="15">
        <v>24445</v>
      </c>
      <c r="CP436" s="15">
        <v>1441.74</v>
      </c>
      <c r="CQ436" s="15">
        <v>785.82</v>
      </c>
      <c r="CR436" s="15">
        <v>196.36</v>
      </c>
      <c r="CS436" s="15">
        <v>25.63</v>
      </c>
      <c r="CT436" s="15">
        <v>526.18</v>
      </c>
      <c r="CU436" s="15">
        <v>25.93</v>
      </c>
      <c r="CV436" s="15">
        <v>41.5</v>
      </c>
      <c r="CW436" s="15">
        <v>2275.19</v>
      </c>
    </row>
    <row r="437" spans="1:101">
      <c r="A437" s="6">
        <v>2010</v>
      </c>
      <c r="B437" s="6" t="s">
        <v>117</v>
      </c>
      <c r="C437" s="6">
        <v>0.18523264</v>
      </c>
      <c r="D437" s="6">
        <v>0.033727</v>
      </c>
      <c r="E437" s="6">
        <v>0.008181</v>
      </c>
      <c r="F437" s="6">
        <v>0.015117</v>
      </c>
      <c r="G437" s="6">
        <v>0.004823</v>
      </c>
      <c r="H437" s="6">
        <v>0.005606</v>
      </c>
      <c r="I437" s="6">
        <v>0.032673</v>
      </c>
      <c r="J437" s="6">
        <v>0.017659</v>
      </c>
      <c r="K437" s="6">
        <v>0.21298934</v>
      </c>
      <c r="L437" s="6">
        <v>0.15292021</v>
      </c>
      <c r="M437" s="6">
        <v>0.18942888</v>
      </c>
      <c r="N437" s="6">
        <v>0.11407106</v>
      </c>
      <c r="O437" s="6">
        <v>0.13640197</v>
      </c>
      <c r="P437" s="6">
        <v>0.27413289</v>
      </c>
      <c r="Q437" s="6">
        <v>0.24609548</v>
      </c>
      <c r="R437" s="6">
        <v>217.69486</v>
      </c>
      <c r="S437" s="6">
        <v>0.00097838</v>
      </c>
      <c r="T437" s="6">
        <v>169.97573</v>
      </c>
      <c r="U437" s="6">
        <v>0.00089966</v>
      </c>
      <c r="V437" s="6">
        <v>197.11803</v>
      </c>
      <c r="W437" s="6">
        <v>0.00096099</v>
      </c>
      <c r="X437" s="6">
        <v>134.47093</v>
      </c>
      <c r="Y437" s="6">
        <v>0.0008483</v>
      </c>
      <c r="Z437" s="6">
        <v>134.86767</v>
      </c>
      <c r="AA437" s="6">
        <v>0.00101138</v>
      </c>
      <c r="AB437" s="6">
        <v>294.9318</v>
      </c>
      <c r="AC437" s="6">
        <v>0.00092948</v>
      </c>
      <c r="AD437" s="6">
        <v>243.86163</v>
      </c>
      <c r="AE437" s="6">
        <v>0.00100916</v>
      </c>
      <c r="AF437" s="6">
        <v>775</v>
      </c>
      <c r="AG437" s="6">
        <v>-0.00677982</v>
      </c>
      <c r="AH437" s="6">
        <v>-0.00630975</v>
      </c>
      <c r="AI437" s="6">
        <v>-0.00667654</v>
      </c>
      <c r="AJ437" s="6">
        <v>-0.00599938</v>
      </c>
      <c r="AK437" s="6">
        <v>-0.0069749</v>
      </c>
      <c r="AL437" s="6">
        <v>-0.00648859</v>
      </c>
      <c r="AM437" s="6">
        <v>-0.00696183</v>
      </c>
      <c r="AN437" s="6">
        <v>-6.4762184</v>
      </c>
      <c r="AO437" s="6">
        <v>-6.4515561</v>
      </c>
      <c r="AP437" s="6">
        <v>-6.4739881</v>
      </c>
      <c r="AQ437" s="6">
        <v>-6.4253629</v>
      </c>
      <c r="AR437" s="6">
        <v>-6.4020076</v>
      </c>
      <c r="AS437" s="6">
        <v>-6.4618417</v>
      </c>
      <c r="AT437" s="6">
        <v>-6.4506396</v>
      </c>
      <c r="AU437" s="6">
        <v>0.97344833</v>
      </c>
      <c r="AV437" s="6">
        <v>0.96974131</v>
      </c>
      <c r="AW437" s="6">
        <v>0.97311308</v>
      </c>
      <c r="AX437" s="6">
        <v>0.96580418</v>
      </c>
      <c r="AY437" s="6">
        <v>0.96229362</v>
      </c>
      <c r="AZ437" s="6">
        <v>0.97128734</v>
      </c>
      <c r="BA437" s="6">
        <v>0.96960354</v>
      </c>
      <c r="BB437" s="6">
        <v>0.02655167</v>
      </c>
      <c r="BC437" s="6">
        <v>0.03025869</v>
      </c>
      <c r="BD437" s="6">
        <v>0.02688692</v>
      </c>
      <c r="BE437" s="6">
        <v>0.03419582</v>
      </c>
      <c r="BF437" s="6">
        <v>0.03770638</v>
      </c>
      <c r="BG437" s="6">
        <v>0.02871266</v>
      </c>
      <c r="BH437" s="6">
        <v>0.03039646</v>
      </c>
      <c r="BI437" s="6">
        <v>0.21470859</v>
      </c>
      <c r="BJ437" s="6">
        <v>0.12366373</v>
      </c>
      <c r="BK437" s="6">
        <v>0.1409291</v>
      </c>
      <c r="BL437" s="6">
        <v>0.12522516</v>
      </c>
      <c r="BM437" s="6">
        <v>0.1592662</v>
      </c>
      <c r="BN437" s="6">
        <v>0.17561655</v>
      </c>
      <c r="BO437" s="6">
        <v>0.1337285</v>
      </c>
      <c r="BP437" s="6">
        <v>0.14157076</v>
      </c>
      <c r="BQ437" s="6">
        <v>0.02633906</v>
      </c>
      <c r="BR437" s="6">
        <v>0.02155091</v>
      </c>
      <c r="BS437" s="6">
        <v>0.02372126</v>
      </c>
      <c r="BT437" s="6">
        <v>0.01816766</v>
      </c>
      <c r="BU437" s="6">
        <v>0.02395444</v>
      </c>
      <c r="BV437" s="6">
        <v>0.03665938</v>
      </c>
      <c r="BW437" s="6">
        <v>0.03483993</v>
      </c>
      <c r="BX437" s="12">
        <v>18964</v>
      </c>
      <c r="BY437" s="13">
        <v>9405.47</v>
      </c>
      <c r="BZ437" s="12">
        <v>23092.36</v>
      </c>
      <c r="CA437" s="6">
        <f t="shared" si="42"/>
        <v>2.01627350892619</v>
      </c>
      <c r="CB437" s="6">
        <f t="shared" si="43"/>
        <v>0.821223989232802</v>
      </c>
      <c r="CC437" s="7">
        <v>579721040.6</v>
      </c>
      <c r="CD437" s="7">
        <f t="shared" si="38"/>
        <v>2.51044518879837</v>
      </c>
      <c r="CE437" s="8">
        <v>2409.2</v>
      </c>
      <c r="CF437" s="8">
        <v>21853.6</v>
      </c>
      <c r="CG437" s="8">
        <v>17121</v>
      </c>
      <c r="CH437" s="8">
        <v>52787</v>
      </c>
      <c r="CI437" s="14">
        <v>0</v>
      </c>
      <c r="CJ437" s="14">
        <v>0</v>
      </c>
      <c r="CK437" s="14">
        <f t="shared" si="39"/>
        <v>0</v>
      </c>
      <c r="CL437">
        <f t="shared" si="40"/>
        <v>2.40850270516871</v>
      </c>
      <c r="CM437">
        <f t="shared" si="41"/>
        <v>0</v>
      </c>
      <c r="CN437" s="15">
        <v>21437.76</v>
      </c>
      <c r="CO437" s="15">
        <v>26050</v>
      </c>
      <c r="CP437" s="15">
        <v>1743.44</v>
      </c>
      <c r="CQ437" s="15">
        <v>835.07</v>
      </c>
      <c r="CR437" s="15">
        <v>297.49</v>
      </c>
      <c r="CS437" s="15">
        <v>30.64</v>
      </c>
      <c r="CT437" s="15">
        <v>561.22</v>
      </c>
      <c r="CU437" s="15">
        <v>18.34</v>
      </c>
      <c r="CV437" s="15">
        <v>47.15</v>
      </c>
      <c r="CW437" s="15">
        <v>2353.96</v>
      </c>
    </row>
    <row r="438" spans="1:101">
      <c r="A438" s="6">
        <v>2011</v>
      </c>
      <c r="B438" s="6" t="s">
        <v>117</v>
      </c>
      <c r="C438" s="6">
        <v>0.18645603</v>
      </c>
      <c r="D438" s="6">
        <v>0.034292</v>
      </c>
      <c r="E438" s="6">
        <v>0.008478</v>
      </c>
      <c r="F438" s="6">
        <v>0.015146</v>
      </c>
      <c r="G438" s="6">
        <v>0.005181</v>
      </c>
      <c r="H438" s="6">
        <v>0.005487</v>
      </c>
      <c r="I438" s="6">
        <v>0.034293</v>
      </c>
      <c r="J438" s="6">
        <v>0.016141</v>
      </c>
      <c r="K438" s="6">
        <v>0.21741876</v>
      </c>
      <c r="L438" s="6">
        <v>0.15993523</v>
      </c>
      <c r="M438" s="6">
        <v>0.18986923</v>
      </c>
      <c r="N438" s="6">
        <v>0.12466966</v>
      </c>
      <c r="O438" s="6">
        <v>0.13278878</v>
      </c>
      <c r="P438" s="6">
        <v>0.29217668</v>
      </c>
      <c r="Q438" s="6">
        <v>0.21900961</v>
      </c>
      <c r="R438" s="6">
        <v>217.69486</v>
      </c>
      <c r="S438" s="6">
        <v>0.00099873</v>
      </c>
      <c r="T438" s="6">
        <v>169.97573</v>
      </c>
      <c r="U438" s="6">
        <v>0.00094093</v>
      </c>
      <c r="V438" s="6">
        <v>197.11803</v>
      </c>
      <c r="W438" s="6">
        <v>0.00096323</v>
      </c>
      <c r="X438" s="6">
        <v>134.47093</v>
      </c>
      <c r="Y438" s="6">
        <v>0.00092711</v>
      </c>
      <c r="Z438" s="6">
        <v>134.86767</v>
      </c>
      <c r="AA438" s="6">
        <v>0.00098459</v>
      </c>
      <c r="AB438" s="6">
        <v>294.9318</v>
      </c>
      <c r="AC438" s="6">
        <v>0.00099066</v>
      </c>
      <c r="AD438" s="6">
        <v>243.86163</v>
      </c>
      <c r="AE438" s="6">
        <v>0.00089809</v>
      </c>
      <c r="AF438" s="6">
        <v>775</v>
      </c>
      <c r="AG438" s="6">
        <v>-0.00690026</v>
      </c>
      <c r="AH438" s="6">
        <v>-0.006557</v>
      </c>
      <c r="AI438" s="6">
        <v>-0.00668982</v>
      </c>
      <c r="AJ438" s="6">
        <v>-0.00647443</v>
      </c>
      <c r="AK438" s="6">
        <v>-0.00681657</v>
      </c>
      <c r="AL438" s="6">
        <v>-0.00685252</v>
      </c>
      <c r="AM438" s="6">
        <v>-0.00630032</v>
      </c>
      <c r="AN438" s="6">
        <v>-6.4762184</v>
      </c>
      <c r="AO438" s="6">
        <v>-6.4515561</v>
      </c>
      <c r="AP438" s="6">
        <v>-6.4739881</v>
      </c>
      <c r="AQ438" s="6">
        <v>-6.4253629</v>
      </c>
      <c r="AR438" s="6">
        <v>-6.4020076</v>
      </c>
      <c r="AS438" s="6">
        <v>-6.4618417</v>
      </c>
      <c r="AT438" s="6">
        <v>-6.4506396</v>
      </c>
      <c r="AU438" s="6">
        <v>0.97344833</v>
      </c>
      <c r="AV438" s="6">
        <v>0.96974131</v>
      </c>
      <c r="AW438" s="6">
        <v>0.97311308</v>
      </c>
      <c r="AX438" s="6">
        <v>0.96580418</v>
      </c>
      <c r="AY438" s="6">
        <v>0.96229362</v>
      </c>
      <c r="AZ438" s="6">
        <v>0.97128734</v>
      </c>
      <c r="BA438" s="6">
        <v>0.96960354</v>
      </c>
      <c r="BB438" s="6">
        <v>0.02655167</v>
      </c>
      <c r="BC438" s="6">
        <v>0.03025869</v>
      </c>
      <c r="BD438" s="6">
        <v>0.02688692</v>
      </c>
      <c r="BE438" s="6">
        <v>0.03419582</v>
      </c>
      <c r="BF438" s="6">
        <v>0.03770638</v>
      </c>
      <c r="BG438" s="6">
        <v>0.02871266</v>
      </c>
      <c r="BH438" s="6">
        <v>0.03039646</v>
      </c>
      <c r="BI438" s="6">
        <v>0.21470859</v>
      </c>
      <c r="BJ438" s="6">
        <v>0.12366373</v>
      </c>
      <c r="BK438" s="6">
        <v>0.1409291</v>
      </c>
      <c r="BL438" s="6">
        <v>0.12522516</v>
      </c>
      <c r="BM438" s="6">
        <v>0.1592662</v>
      </c>
      <c r="BN438" s="6">
        <v>0.17561655</v>
      </c>
      <c r="BO438" s="6">
        <v>0.1337285</v>
      </c>
      <c r="BP438" s="6">
        <v>0.14157076</v>
      </c>
      <c r="BQ438" s="6">
        <v>0.02688682</v>
      </c>
      <c r="BR438" s="6">
        <v>0.02253953</v>
      </c>
      <c r="BS438" s="6">
        <v>0.0237764</v>
      </c>
      <c r="BT438" s="6">
        <v>0.01985566</v>
      </c>
      <c r="BU438" s="6">
        <v>0.02331991</v>
      </c>
      <c r="BV438" s="6">
        <v>0.03907235</v>
      </c>
      <c r="BW438" s="6">
        <v>0.03100536</v>
      </c>
      <c r="BX438" s="12">
        <v>20462</v>
      </c>
      <c r="BY438" s="13">
        <v>9461</v>
      </c>
      <c r="BZ438" s="12">
        <v>26931.03</v>
      </c>
      <c r="CA438" s="6">
        <f t="shared" si="42"/>
        <v>2.16277349117429</v>
      </c>
      <c r="CB438" s="6">
        <f t="shared" si="43"/>
        <v>0.759792700093535</v>
      </c>
      <c r="CC438" s="7">
        <v>629821628.5</v>
      </c>
      <c r="CD438" s="7">
        <f t="shared" si="38"/>
        <v>2.33864664106794</v>
      </c>
      <c r="CE438" s="8">
        <v>2908.8</v>
      </c>
      <c r="CF438" s="8">
        <v>25231.2</v>
      </c>
      <c r="CG438" s="8">
        <v>20699.2</v>
      </c>
      <c r="CH438" s="8">
        <v>61464</v>
      </c>
      <c r="CI438" s="14">
        <v>0</v>
      </c>
      <c r="CJ438" s="14">
        <v>0</v>
      </c>
      <c r="CK438" s="14">
        <f t="shared" si="39"/>
        <v>0</v>
      </c>
      <c r="CL438">
        <f t="shared" si="40"/>
        <v>2.18035126729488</v>
      </c>
      <c r="CM438">
        <f t="shared" si="41"/>
        <v>0</v>
      </c>
      <c r="CN438" s="15">
        <v>23062</v>
      </c>
      <c r="CO438" s="15">
        <v>28374</v>
      </c>
      <c r="CP438" s="15">
        <v>2052.63</v>
      </c>
      <c r="CQ438" s="15">
        <v>874.63</v>
      </c>
      <c r="CR438" s="15">
        <v>358.53</v>
      </c>
      <c r="CS438" s="15">
        <v>49.64</v>
      </c>
      <c r="CT438" s="15">
        <v>663.34</v>
      </c>
      <c r="CU438" s="15">
        <v>41.83</v>
      </c>
      <c r="CV438" s="15">
        <v>54.96</v>
      </c>
      <c r="CW438" s="15">
        <v>2823</v>
      </c>
    </row>
    <row r="439" spans="1:101">
      <c r="A439" s="6">
        <v>2012</v>
      </c>
      <c r="B439" s="6" t="s">
        <v>117</v>
      </c>
      <c r="C439" s="6">
        <v>0.17498082</v>
      </c>
      <c r="D439" s="6">
        <v>0.032951</v>
      </c>
      <c r="E439" s="6">
        <v>0.008337</v>
      </c>
      <c r="F439" s="6">
        <v>0.014775</v>
      </c>
      <c r="G439" s="6">
        <v>0.004867</v>
      </c>
      <c r="H439" s="6">
        <v>0.004971</v>
      </c>
      <c r="I439" s="6">
        <v>0.033477</v>
      </c>
      <c r="J439" s="6">
        <v>0.014735</v>
      </c>
      <c r="K439" s="6">
        <v>0.20689795</v>
      </c>
      <c r="L439" s="6">
        <v>0.15661274</v>
      </c>
      <c r="M439" s="6">
        <v>0.18417631</v>
      </c>
      <c r="N439" s="6">
        <v>0.11537477</v>
      </c>
      <c r="O439" s="6">
        <v>0.11715559</v>
      </c>
      <c r="P439" s="6">
        <v>0.28308464</v>
      </c>
      <c r="Q439" s="6">
        <v>0.19392427</v>
      </c>
      <c r="R439" s="6">
        <v>217.69486</v>
      </c>
      <c r="S439" s="6">
        <v>0.0009504</v>
      </c>
      <c r="T439" s="6">
        <v>169.97573</v>
      </c>
      <c r="U439" s="6">
        <v>0.00092138</v>
      </c>
      <c r="V439" s="6">
        <v>197.11803</v>
      </c>
      <c r="W439" s="6">
        <v>0.00093435</v>
      </c>
      <c r="X439" s="6">
        <v>134.47093</v>
      </c>
      <c r="Y439" s="6">
        <v>0.00085799</v>
      </c>
      <c r="Z439" s="6">
        <v>134.86767</v>
      </c>
      <c r="AA439" s="6">
        <v>0.00086867</v>
      </c>
      <c r="AB439" s="6">
        <v>294.9318</v>
      </c>
      <c r="AC439" s="6">
        <v>0.00095983</v>
      </c>
      <c r="AD439" s="6">
        <v>243.86163</v>
      </c>
      <c r="AE439" s="6">
        <v>0.00079522</v>
      </c>
      <c r="AF439" s="6">
        <v>775</v>
      </c>
      <c r="AG439" s="6">
        <v>-0.0066135</v>
      </c>
      <c r="AH439" s="6">
        <v>-0.00644013</v>
      </c>
      <c r="AI439" s="6">
        <v>-0.00651768</v>
      </c>
      <c r="AJ439" s="6">
        <v>-0.0060582</v>
      </c>
      <c r="AK439" s="6">
        <v>-0.00612287</v>
      </c>
      <c r="AL439" s="6">
        <v>-0.00666963</v>
      </c>
      <c r="AM439" s="6">
        <v>-0.00567541</v>
      </c>
      <c r="AN439" s="6">
        <v>-6.4762184</v>
      </c>
      <c r="AO439" s="6">
        <v>-6.4515561</v>
      </c>
      <c r="AP439" s="6">
        <v>-6.4739881</v>
      </c>
      <c r="AQ439" s="6">
        <v>-6.4253629</v>
      </c>
      <c r="AR439" s="6">
        <v>-6.4020076</v>
      </c>
      <c r="AS439" s="6">
        <v>-6.4618417</v>
      </c>
      <c r="AT439" s="6">
        <v>-6.4506396</v>
      </c>
      <c r="AU439" s="6">
        <v>0.97344833</v>
      </c>
      <c r="AV439" s="6">
        <v>0.96974131</v>
      </c>
      <c r="AW439" s="6">
        <v>0.97311308</v>
      </c>
      <c r="AX439" s="6">
        <v>0.96580418</v>
      </c>
      <c r="AY439" s="6">
        <v>0.96229362</v>
      </c>
      <c r="AZ439" s="6">
        <v>0.97128734</v>
      </c>
      <c r="BA439" s="6">
        <v>0.96960354</v>
      </c>
      <c r="BB439" s="6">
        <v>0.02655167</v>
      </c>
      <c r="BC439" s="6">
        <v>0.03025869</v>
      </c>
      <c r="BD439" s="6">
        <v>0.02688692</v>
      </c>
      <c r="BE439" s="6">
        <v>0.03419582</v>
      </c>
      <c r="BF439" s="6">
        <v>0.03770638</v>
      </c>
      <c r="BG439" s="6">
        <v>0.02871266</v>
      </c>
      <c r="BH439" s="6">
        <v>0.03039646</v>
      </c>
      <c r="BI439" s="6">
        <v>0.21470859</v>
      </c>
      <c r="BJ439" s="6">
        <v>0.12366373</v>
      </c>
      <c r="BK439" s="6">
        <v>0.1409291</v>
      </c>
      <c r="BL439" s="6">
        <v>0.12522516</v>
      </c>
      <c r="BM439" s="6">
        <v>0.1592662</v>
      </c>
      <c r="BN439" s="6">
        <v>0.17561655</v>
      </c>
      <c r="BO439" s="6">
        <v>0.1337285</v>
      </c>
      <c r="BP439" s="6">
        <v>0.14157076</v>
      </c>
      <c r="BQ439" s="6">
        <v>0.02558577</v>
      </c>
      <c r="BR439" s="6">
        <v>0.02207129</v>
      </c>
      <c r="BS439" s="6">
        <v>0.02306351</v>
      </c>
      <c r="BT439" s="6">
        <v>0.0183753</v>
      </c>
      <c r="BU439" s="6">
        <v>0.02057446</v>
      </c>
      <c r="BV439" s="6">
        <v>0.03785648</v>
      </c>
      <c r="BW439" s="6">
        <v>0.02745401</v>
      </c>
      <c r="BX439" s="12">
        <v>20920</v>
      </c>
      <c r="BY439" s="13">
        <v>9532</v>
      </c>
      <c r="BZ439" s="12">
        <v>29599.31</v>
      </c>
      <c r="CA439" s="6">
        <f t="shared" si="42"/>
        <v>2.1947125472094</v>
      </c>
      <c r="CB439" s="6">
        <f t="shared" si="43"/>
        <v>0.706773232213859</v>
      </c>
      <c r="CC439" s="7">
        <v>650228607.5</v>
      </c>
      <c r="CD439" s="7">
        <f t="shared" si="38"/>
        <v>2.19676947705876</v>
      </c>
      <c r="CE439" s="8">
        <v>3241.4</v>
      </c>
      <c r="CF439" s="8">
        <v>27150.8</v>
      </c>
      <c r="CG439" s="8">
        <v>23309.8</v>
      </c>
      <c r="CH439" s="8">
        <v>66533</v>
      </c>
      <c r="CI439" s="14">
        <v>0</v>
      </c>
      <c r="CJ439" s="14">
        <v>0</v>
      </c>
      <c r="CK439" s="14">
        <f t="shared" si="39"/>
        <v>0</v>
      </c>
      <c r="CL439">
        <f t="shared" si="40"/>
        <v>2.01609935715007</v>
      </c>
      <c r="CM439">
        <f t="shared" si="41"/>
        <v>0</v>
      </c>
      <c r="CN439" s="15">
        <v>23647.11</v>
      </c>
      <c r="CO439" s="15">
        <v>25240</v>
      </c>
      <c r="CP439" s="15">
        <v>2221.93</v>
      </c>
      <c r="CQ439" s="15">
        <v>1010.02</v>
      </c>
      <c r="CR439" s="15">
        <v>426.92</v>
      </c>
      <c r="CS439" s="15">
        <v>53.39</v>
      </c>
      <c r="CT439" s="15">
        <v>738.19</v>
      </c>
      <c r="CU439" s="15">
        <v>13.16</v>
      </c>
      <c r="CV439" s="15">
        <v>73.92</v>
      </c>
      <c r="CW439" s="15">
        <v>2926.2</v>
      </c>
    </row>
    <row r="440" spans="1:101">
      <c r="A440" s="6">
        <v>2013</v>
      </c>
      <c r="B440" s="6" t="s">
        <v>117</v>
      </c>
      <c r="C440" s="6">
        <v>0.19312562</v>
      </c>
      <c r="D440" s="6">
        <v>0.036216</v>
      </c>
      <c r="E440" s="6">
        <v>0.00906</v>
      </c>
      <c r="F440" s="6">
        <v>0.016632</v>
      </c>
      <c r="G440" s="6">
        <v>0.005024</v>
      </c>
      <c r="H440" s="6">
        <v>0.0055</v>
      </c>
      <c r="I440" s="6">
        <v>0.034541</v>
      </c>
      <c r="J440" s="6">
        <v>0.016261</v>
      </c>
      <c r="K440" s="6">
        <v>0.2325159</v>
      </c>
      <c r="L440" s="6">
        <v>0.17371215</v>
      </c>
      <c r="M440" s="6">
        <v>0.21271016</v>
      </c>
      <c r="N440" s="6">
        <v>0.12002868</v>
      </c>
      <c r="O440" s="6">
        <v>0.13317786</v>
      </c>
      <c r="P440" s="6">
        <v>0.29494379</v>
      </c>
      <c r="Q440" s="6">
        <v>0.22113984</v>
      </c>
      <c r="R440" s="6">
        <v>217.69486</v>
      </c>
      <c r="S440" s="6">
        <v>0.00106808</v>
      </c>
      <c r="T440" s="6">
        <v>169.97573</v>
      </c>
      <c r="U440" s="6">
        <v>0.00102198</v>
      </c>
      <c r="V440" s="6">
        <v>197.11803</v>
      </c>
      <c r="W440" s="6">
        <v>0.0010791</v>
      </c>
      <c r="X440" s="6">
        <v>134.47093</v>
      </c>
      <c r="Y440" s="6">
        <v>0.0008926</v>
      </c>
      <c r="Z440" s="6">
        <v>134.86767</v>
      </c>
      <c r="AA440" s="6">
        <v>0.00098747</v>
      </c>
      <c r="AB440" s="6">
        <v>294.9318</v>
      </c>
      <c r="AC440" s="6">
        <v>0.00100004</v>
      </c>
      <c r="AD440" s="6">
        <v>243.86163</v>
      </c>
      <c r="AE440" s="6">
        <v>0.00090683</v>
      </c>
      <c r="AF440" s="6">
        <v>775</v>
      </c>
      <c r="AG440" s="6">
        <v>-0.0073077</v>
      </c>
      <c r="AH440" s="6">
        <v>-0.00703738</v>
      </c>
      <c r="AI440" s="6">
        <v>-0.00737201</v>
      </c>
      <c r="AJ440" s="6">
        <v>-0.00626727</v>
      </c>
      <c r="AK440" s="6">
        <v>-0.00683366</v>
      </c>
      <c r="AL440" s="6">
        <v>-0.006908</v>
      </c>
      <c r="AM440" s="6">
        <v>-0.00635282</v>
      </c>
      <c r="AN440" s="6">
        <v>-6.4762184</v>
      </c>
      <c r="AO440" s="6">
        <v>-6.4515561</v>
      </c>
      <c r="AP440" s="6">
        <v>-6.4739881</v>
      </c>
      <c r="AQ440" s="6">
        <v>-6.4253629</v>
      </c>
      <c r="AR440" s="6">
        <v>-6.4020076</v>
      </c>
      <c r="AS440" s="6">
        <v>-6.4618417</v>
      </c>
      <c r="AT440" s="6">
        <v>-6.4506396</v>
      </c>
      <c r="AU440" s="6">
        <v>0.97344833</v>
      </c>
      <c r="AV440" s="6">
        <v>0.96974131</v>
      </c>
      <c r="AW440" s="6">
        <v>0.97311308</v>
      </c>
      <c r="AX440" s="6">
        <v>0.96580418</v>
      </c>
      <c r="AY440" s="6">
        <v>0.96229362</v>
      </c>
      <c r="AZ440" s="6">
        <v>0.97128734</v>
      </c>
      <c r="BA440" s="6">
        <v>0.96960354</v>
      </c>
      <c r="BB440" s="6">
        <v>0.02655167</v>
      </c>
      <c r="BC440" s="6">
        <v>0.03025869</v>
      </c>
      <c r="BD440" s="6">
        <v>0.02688692</v>
      </c>
      <c r="BE440" s="6">
        <v>0.03419582</v>
      </c>
      <c r="BF440" s="6">
        <v>0.03770638</v>
      </c>
      <c r="BG440" s="6">
        <v>0.02871266</v>
      </c>
      <c r="BH440" s="6">
        <v>0.03039646</v>
      </c>
      <c r="BI440" s="6">
        <v>0.21470859</v>
      </c>
      <c r="BJ440" s="6">
        <v>0.12366373</v>
      </c>
      <c r="BK440" s="6">
        <v>0.1409291</v>
      </c>
      <c r="BL440" s="6">
        <v>0.12522516</v>
      </c>
      <c r="BM440" s="6">
        <v>0.1592662</v>
      </c>
      <c r="BN440" s="6">
        <v>0.17561655</v>
      </c>
      <c r="BO440" s="6">
        <v>0.1337285</v>
      </c>
      <c r="BP440" s="6">
        <v>0.14157076</v>
      </c>
      <c r="BQ440" s="6">
        <v>0.02875378</v>
      </c>
      <c r="BR440" s="6">
        <v>0.0244811</v>
      </c>
      <c r="BS440" s="6">
        <v>0.02663666</v>
      </c>
      <c r="BT440" s="6">
        <v>0.01911651</v>
      </c>
      <c r="BU440" s="6">
        <v>0.02338824</v>
      </c>
      <c r="BV440" s="6">
        <v>0.03944239</v>
      </c>
      <c r="BW440" s="6">
        <v>0.03130694</v>
      </c>
      <c r="BX440" s="12">
        <v>21909</v>
      </c>
      <c r="BY440" s="13">
        <v>9573</v>
      </c>
      <c r="BZ440" s="12">
        <v>32191.3</v>
      </c>
      <c r="CA440" s="6">
        <f t="shared" si="42"/>
        <v>2.28862425571921</v>
      </c>
      <c r="CB440" s="6">
        <f t="shared" si="43"/>
        <v>0.680587612180931</v>
      </c>
      <c r="CC440" s="7">
        <v>671934918.1</v>
      </c>
      <c r="CD440" s="7">
        <f t="shared" si="38"/>
        <v>2.08731836893819</v>
      </c>
      <c r="CE440" s="8">
        <v>3447.5</v>
      </c>
      <c r="CF440" s="8">
        <v>29149.4</v>
      </c>
      <c r="CG440" s="8">
        <v>26752.5</v>
      </c>
      <c r="CH440" s="8">
        <v>72768</v>
      </c>
      <c r="CI440" s="14">
        <v>0</v>
      </c>
      <c r="CJ440" s="14">
        <v>0</v>
      </c>
      <c r="CK440" s="14">
        <f t="shared" si="39"/>
        <v>0</v>
      </c>
      <c r="CL440">
        <f t="shared" si="40"/>
        <v>1.91398219724656</v>
      </c>
      <c r="CM440">
        <f t="shared" si="41"/>
        <v>0</v>
      </c>
      <c r="CN440" s="15">
        <v>21909</v>
      </c>
      <c r="CO440" s="15">
        <v>25058.14</v>
      </c>
      <c r="CP440" s="15">
        <v>1817.47</v>
      </c>
      <c r="CQ440" s="15">
        <v>963.57</v>
      </c>
      <c r="CR440" s="15">
        <v>556.92</v>
      </c>
      <c r="CS440" s="15">
        <v>46.07</v>
      </c>
      <c r="CT440" s="15">
        <v>777.59</v>
      </c>
      <c r="CU440" s="15">
        <v>33.89</v>
      </c>
      <c r="CV440" s="15">
        <v>79.77</v>
      </c>
      <c r="CW440" s="15">
        <v>2899.18</v>
      </c>
    </row>
    <row r="441" spans="1:101">
      <c r="A441" s="6">
        <v>2014</v>
      </c>
      <c r="B441" s="6" t="s">
        <v>117</v>
      </c>
      <c r="C441" s="6">
        <v>0.19788905</v>
      </c>
      <c r="D441" s="6">
        <v>0.035996</v>
      </c>
      <c r="E441" s="6">
        <v>0.009446</v>
      </c>
      <c r="F441" s="6">
        <v>0.016122</v>
      </c>
      <c r="G441" s="6">
        <v>0.005116</v>
      </c>
      <c r="H441" s="6">
        <v>0.005312</v>
      </c>
      <c r="I441" s="6">
        <v>0.03534</v>
      </c>
      <c r="J441" s="6">
        <v>0.017865</v>
      </c>
      <c r="K441" s="6">
        <v>0.23078809</v>
      </c>
      <c r="L441" s="6">
        <v>0.18283157</v>
      </c>
      <c r="M441" s="6">
        <v>0.20488044</v>
      </c>
      <c r="N441" s="6">
        <v>0.12274461</v>
      </c>
      <c r="O441" s="6">
        <v>0.12746724</v>
      </c>
      <c r="P441" s="6">
        <v>0.30384509</v>
      </c>
      <c r="Q441" s="6">
        <v>0.24976407</v>
      </c>
      <c r="R441" s="6">
        <v>217.69486</v>
      </c>
      <c r="S441" s="6">
        <v>0.00106014</v>
      </c>
      <c r="T441" s="6">
        <v>169.97573</v>
      </c>
      <c r="U441" s="6">
        <v>0.00107563</v>
      </c>
      <c r="V441" s="6">
        <v>197.11803</v>
      </c>
      <c r="W441" s="6">
        <v>0.00103938</v>
      </c>
      <c r="X441" s="6">
        <v>134.47093</v>
      </c>
      <c r="Y441" s="6">
        <v>0.0009128</v>
      </c>
      <c r="Z441" s="6">
        <v>134.86767</v>
      </c>
      <c r="AA441" s="6">
        <v>0.00094513</v>
      </c>
      <c r="AB441" s="6">
        <v>294.9318</v>
      </c>
      <c r="AC441" s="6">
        <v>0.00103022</v>
      </c>
      <c r="AD441" s="6">
        <v>243.86163</v>
      </c>
      <c r="AE441" s="6">
        <v>0.0010242</v>
      </c>
      <c r="AF441" s="6">
        <v>775</v>
      </c>
      <c r="AG441" s="6">
        <v>-0.0072613</v>
      </c>
      <c r="AH441" s="6">
        <v>-0.00735179</v>
      </c>
      <c r="AI441" s="6">
        <v>-0.00713963</v>
      </c>
      <c r="AJ441" s="6">
        <v>-0.00638866</v>
      </c>
      <c r="AK441" s="6">
        <v>-0.00658205</v>
      </c>
      <c r="AL441" s="6">
        <v>-0.00708584</v>
      </c>
      <c r="AM441" s="6">
        <v>-0.00705046</v>
      </c>
      <c r="AN441" s="6">
        <v>-6.4762184</v>
      </c>
      <c r="AO441" s="6">
        <v>-6.4515561</v>
      </c>
      <c r="AP441" s="6">
        <v>-6.4739881</v>
      </c>
      <c r="AQ441" s="6">
        <v>-6.4253629</v>
      </c>
      <c r="AR441" s="6">
        <v>-6.4020076</v>
      </c>
      <c r="AS441" s="6">
        <v>-6.4618417</v>
      </c>
      <c r="AT441" s="6">
        <v>-6.4506396</v>
      </c>
      <c r="AU441" s="6">
        <v>0.97344833</v>
      </c>
      <c r="AV441" s="6">
        <v>0.96974131</v>
      </c>
      <c r="AW441" s="6">
        <v>0.97311308</v>
      </c>
      <c r="AX441" s="6">
        <v>0.96580418</v>
      </c>
      <c r="AY441" s="6">
        <v>0.96229362</v>
      </c>
      <c r="AZ441" s="6">
        <v>0.97128734</v>
      </c>
      <c r="BA441" s="6">
        <v>0.96960354</v>
      </c>
      <c r="BB441" s="6">
        <v>0.02655167</v>
      </c>
      <c r="BC441" s="6">
        <v>0.03025869</v>
      </c>
      <c r="BD441" s="6">
        <v>0.02688692</v>
      </c>
      <c r="BE441" s="6">
        <v>0.03419582</v>
      </c>
      <c r="BF441" s="6">
        <v>0.03770638</v>
      </c>
      <c r="BG441" s="6">
        <v>0.02871266</v>
      </c>
      <c r="BH441" s="6">
        <v>0.03039646</v>
      </c>
      <c r="BI441" s="6">
        <v>0.21470859</v>
      </c>
      <c r="BJ441" s="6">
        <v>0.12366373</v>
      </c>
      <c r="BK441" s="6">
        <v>0.1409291</v>
      </c>
      <c r="BL441" s="6">
        <v>0.12522516</v>
      </c>
      <c r="BM441" s="6">
        <v>0.1592662</v>
      </c>
      <c r="BN441" s="6">
        <v>0.17561655</v>
      </c>
      <c r="BO441" s="6">
        <v>0.1337285</v>
      </c>
      <c r="BP441" s="6">
        <v>0.14157076</v>
      </c>
      <c r="BQ441" s="6">
        <v>0.02854012</v>
      </c>
      <c r="BR441" s="6">
        <v>0.02576629</v>
      </c>
      <c r="BS441" s="6">
        <v>0.02565619</v>
      </c>
      <c r="BT441" s="6">
        <v>0.01954907</v>
      </c>
      <c r="BU441" s="6">
        <v>0.02238536</v>
      </c>
      <c r="BV441" s="6">
        <v>0.04063275</v>
      </c>
      <c r="BW441" s="6">
        <v>0.03535929</v>
      </c>
      <c r="BX441" s="12">
        <v>22890</v>
      </c>
      <c r="BY441" s="13">
        <v>9645</v>
      </c>
      <c r="BZ441" s="12">
        <v>34938.24</v>
      </c>
      <c r="CA441" s="6">
        <f t="shared" si="42"/>
        <v>2.37325038880249</v>
      </c>
      <c r="CB441" s="6">
        <f t="shared" si="43"/>
        <v>0.655156069681816</v>
      </c>
      <c r="CC441" s="7">
        <v>662241931.5</v>
      </c>
      <c r="CD441" s="7">
        <f t="shared" si="38"/>
        <v>1.89546448676293</v>
      </c>
      <c r="CE441" s="8">
        <v>3607.4</v>
      </c>
      <c r="CF441" s="8">
        <v>31048.8</v>
      </c>
      <c r="CG441" s="8">
        <v>30174.3</v>
      </c>
      <c r="CH441" s="8">
        <v>78711</v>
      </c>
      <c r="CI441" s="14">
        <v>0</v>
      </c>
      <c r="CJ441" s="14">
        <v>0</v>
      </c>
      <c r="CK441" s="14">
        <f t="shared" si="39"/>
        <v>0</v>
      </c>
      <c r="CL441">
        <f t="shared" si="40"/>
        <v>1.79640226266579</v>
      </c>
      <c r="CM441">
        <f t="shared" si="41"/>
        <v>0</v>
      </c>
      <c r="CN441" s="15">
        <v>22889.93</v>
      </c>
      <c r="CO441" s="15">
        <v>24249.88</v>
      </c>
      <c r="CP441" s="15">
        <v>2700.94</v>
      </c>
      <c r="CQ441" s="15">
        <v>845.17</v>
      </c>
      <c r="CR441" s="15">
        <v>529.82</v>
      </c>
      <c r="CS441" s="15">
        <v>50.5</v>
      </c>
      <c r="CT441" s="15">
        <v>800.47</v>
      </c>
      <c r="CU441" s="15">
        <v>49.3</v>
      </c>
      <c r="CV441" s="15">
        <v>76.87</v>
      </c>
      <c r="CW441" s="15">
        <v>2919.57</v>
      </c>
    </row>
    <row r="442" spans="1:101">
      <c r="A442" s="6">
        <v>2015</v>
      </c>
      <c r="B442" s="6" t="s">
        <v>117</v>
      </c>
      <c r="C442" s="6">
        <v>0.20922908</v>
      </c>
      <c r="D442" s="6">
        <v>0.03526</v>
      </c>
      <c r="E442" s="6">
        <v>0.009135</v>
      </c>
      <c r="F442" s="6">
        <v>0.015774</v>
      </c>
      <c r="G442" s="6">
        <v>0.005294</v>
      </c>
      <c r="H442" s="6">
        <v>0.005057</v>
      </c>
      <c r="I442" s="6">
        <v>0.039373</v>
      </c>
      <c r="J442" s="6">
        <v>0.02114</v>
      </c>
      <c r="K442" s="6">
        <v>0.22501328</v>
      </c>
      <c r="L442" s="6">
        <v>0.17548338</v>
      </c>
      <c r="M442" s="6">
        <v>0.19952911</v>
      </c>
      <c r="N442" s="6">
        <v>0.12799095</v>
      </c>
      <c r="O442" s="6">
        <v>0.11974839</v>
      </c>
      <c r="P442" s="6">
        <v>0.34875728</v>
      </c>
      <c r="Q442" s="6">
        <v>0.308207</v>
      </c>
      <c r="R442" s="6">
        <v>217.69486</v>
      </c>
      <c r="S442" s="6">
        <v>0.00103362</v>
      </c>
      <c r="T442" s="6">
        <v>169.97573</v>
      </c>
      <c r="U442" s="6">
        <v>0.0010324</v>
      </c>
      <c r="V442" s="6">
        <v>197.11803</v>
      </c>
      <c r="W442" s="6">
        <v>0.00101223</v>
      </c>
      <c r="X442" s="6">
        <v>134.47093</v>
      </c>
      <c r="Y442" s="6">
        <v>0.00095181</v>
      </c>
      <c r="Z442" s="6">
        <v>134.86767</v>
      </c>
      <c r="AA442" s="6">
        <v>0.0008879</v>
      </c>
      <c r="AB442" s="6">
        <v>294.9318</v>
      </c>
      <c r="AC442" s="6">
        <v>0.0011825</v>
      </c>
      <c r="AD442" s="6">
        <v>243.86163</v>
      </c>
      <c r="AE442" s="6">
        <v>0.00126386</v>
      </c>
      <c r="AF442" s="6">
        <v>775</v>
      </c>
      <c r="AG442" s="6">
        <v>-0.0071058</v>
      </c>
      <c r="AH442" s="6">
        <v>-0.00709866</v>
      </c>
      <c r="AI442" s="6">
        <v>-0.00697994</v>
      </c>
      <c r="AJ442" s="6">
        <v>-0.00662189</v>
      </c>
      <c r="AK442" s="6">
        <v>-0.00623894</v>
      </c>
      <c r="AL442" s="6">
        <v>-0.00797021</v>
      </c>
      <c r="AM442" s="6">
        <v>-0.00843448</v>
      </c>
      <c r="AN442" s="6">
        <v>-6.4762184</v>
      </c>
      <c r="AO442" s="6">
        <v>-6.4515561</v>
      </c>
      <c r="AP442" s="6">
        <v>-6.4739881</v>
      </c>
      <c r="AQ442" s="6">
        <v>-6.4253629</v>
      </c>
      <c r="AR442" s="6">
        <v>-6.4020076</v>
      </c>
      <c r="AS442" s="6">
        <v>-6.4618417</v>
      </c>
      <c r="AT442" s="6">
        <v>-6.4506396</v>
      </c>
      <c r="AU442" s="6">
        <v>0.97344833</v>
      </c>
      <c r="AV442" s="6">
        <v>0.96974131</v>
      </c>
      <c r="AW442" s="6">
        <v>0.97311308</v>
      </c>
      <c r="AX442" s="6">
        <v>0.96580418</v>
      </c>
      <c r="AY442" s="6">
        <v>0.96229362</v>
      </c>
      <c r="AZ442" s="6">
        <v>0.97128734</v>
      </c>
      <c r="BA442" s="6">
        <v>0.96960354</v>
      </c>
      <c r="BB442" s="6">
        <v>0.02655167</v>
      </c>
      <c r="BC442" s="6">
        <v>0.03025869</v>
      </c>
      <c r="BD442" s="6">
        <v>0.02688692</v>
      </c>
      <c r="BE442" s="6">
        <v>0.03419582</v>
      </c>
      <c r="BF442" s="6">
        <v>0.03770638</v>
      </c>
      <c r="BG442" s="6">
        <v>0.02871266</v>
      </c>
      <c r="BH442" s="6">
        <v>0.03039646</v>
      </c>
      <c r="BI442" s="6">
        <v>0.21470859</v>
      </c>
      <c r="BJ442" s="6">
        <v>0.12366373</v>
      </c>
      <c r="BK442" s="6">
        <v>0.1409291</v>
      </c>
      <c r="BL442" s="6">
        <v>0.12522516</v>
      </c>
      <c r="BM442" s="6">
        <v>0.1592662</v>
      </c>
      <c r="BN442" s="6">
        <v>0.17561655</v>
      </c>
      <c r="BO442" s="6">
        <v>0.1337285</v>
      </c>
      <c r="BP442" s="6">
        <v>0.14157076</v>
      </c>
      <c r="BQ442" s="6">
        <v>0.02782598</v>
      </c>
      <c r="BR442" s="6">
        <v>0.02473071</v>
      </c>
      <c r="BS442" s="6">
        <v>0.02498607</v>
      </c>
      <c r="BT442" s="6">
        <v>0.02038463</v>
      </c>
      <c r="BU442" s="6">
        <v>0.0210298</v>
      </c>
      <c r="BV442" s="6">
        <v>0.04663879</v>
      </c>
      <c r="BW442" s="6">
        <v>0.0436331</v>
      </c>
      <c r="BX442" s="12">
        <v>22343</v>
      </c>
      <c r="BY442" s="13">
        <v>9701</v>
      </c>
      <c r="BZ442" s="12">
        <v>37002.16</v>
      </c>
      <c r="CA442" s="6">
        <f t="shared" si="42"/>
        <v>2.3031646222039</v>
      </c>
      <c r="CB442" s="6">
        <f t="shared" si="43"/>
        <v>0.603829614271167</v>
      </c>
      <c r="CC442" s="7">
        <v>657402349.5</v>
      </c>
      <c r="CD442" s="7">
        <f t="shared" si="38"/>
        <v>1.77665938826274</v>
      </c>
      <c r="CE442" s="8">
        <v>3952.5</v>
      </c>
      <c r="CF442" s="8">
        <v>33371.8</v>
      </c>
      <c r="CG442" s="8">
        <v>33931.7</v>
      </c>
      <c r="CH442" s="8">
        <v>85871</v>
      </c>
      <c r="CI442" s="14">
        <v>0</v>
      </c>
      <c r="CJ442" s="14">
        <v>0</v>
      </c>
      <c r="CK442" s="14">
        <f t="shared" si="39"/>
        <v>0</v>
      </c>
      <c r="CL442">
        <f t="shared" si="40"/>
        <v>1.71577514742415</v>
      </c>
      <c r="CM442">
        <f t="shared" si="41"/>
        <v>0</v>
      </c>
      <c r="CN442" s="15">
        <v>22343</v>
      </c>
      <c r="CO442" s="15">
        <v>24253.68</v>
      </c>
      <c r="CP442" s="15">
        <v>1414.15</v>
      </c>
      <c r="CQ442" s="15">
        <v>606.37</v>
      </c>
      <c r="CR442" s="15">
        <v>682.1</v>
      </c>
      <c r="CS442" s="15">
        <v>67.76</v>
      </c>
      <c r="CT442" s="15">
        <v>862.41</v>
      </c>
      <c r="CU442" s="15">
        <v>39.03</v>
      </c>
      <c r="CV442" s="15">
        <v>87.14</v>
      </c>
      <c r="CW442" s="15">
        <v>2880</v>
      </c>
    </row>
    <row r="443" spans="1:101">
      <c r="A443" s="6">
        <v>2016</v>
      </c>
      <c r="B443" s="6" t="s">
        <v>117</v>
      </c>
      <c r="C443" s="6">
        <v>0.17299482</v>
      </c>
      <c r="D443" s="6">
        <v>0.032269</v>
      </c>
      <c r="E443" s="6">
        <v>0.008408</v>
      </c>
      <c r="F443" s="6">
        <v>0.014506</v>
      </c>
      <c r="G443" s="6">
        <v>0.00482</v>
      </c>
      <c r="H443" s="6">
        <v>0.004534</v>
      </c>
      <c r="I443" s="6">
        <v>0.032648</v>
      </c>
      <c r="J443" s="6">
        <v>0.015819</v>
      </c>
      <c r="K443" s="6">
        <v>0.20154886</v>
      </c>
      <c r="L443" s="6">
        <v>0.15829257</v>
      </c>
      <c r="M443" s="6">
        <v>0.18004279</v>
      </c>
      <c r="N443" s="6">
        <v>0.11398962</v>
      </c>
      <c r="O443" s="6">
        <v>0.10390704</v>
      </c>
      <c r="P443" s="6">
        <v>0.27385452</v>
      </c>
      <c r="Q443" s="6">
        <v>0.2132642</v>
      </c>
      <c r="R443" s="6">
        <v>217.69486</v>
      </c>
      <c r="S443" s="6">
        <v>0.00092583</v>
      </c>
      <c r="T443" s="6">
        <v>169.97573</v>
      </c>
      <c r="U443" s="6">
        <v>0.00093127</v>
      </c>
      <c r="V443" s="6">
        <v>197.11803</v>
      </c>
      <c r="W443" s="6">
        <v>0.00091338</v>
      </c>
      <c r="X443" s="6">
        <v>134.47093</v>
      </c>
      <c r="Y443" s="6">
        <v>0.00084769</v>
      </c>
      <c r="Z443" s="6">
        <v>134.86767</v>
      </c>
      <c r="AA443" s="6">
        <v>0.00077044</v>
      </c>
      <c r="AB443" s="6">
        <v>294.9318</v>
      </c>
      <c r="AC443" s="6">
        <v>0.00092854</v>
      </c>
      <c r="AD443" s="6">
        <v>243.86163</v>
      </c>
      <c r="AE443" s="6">
        <v>0.00087453</v>
      </c>
      <c r="AF443" s="6">
        <v>775</v>
      </c>
      <c r="AG443" s="6">
        <v>-0.00646677</v>
      </c>
      <c r="AH443" s="6">
        <v>-0.00649927</v>
      </c>
      <c r="AI443" s="6">
        <v>-0.00639213</v>
      </c>
      <c r="AJ443" s="6">
        <v>-0.00599571</v>
      </c>
      <c r="AK443" s="6">
        <v>-0.00552292</v>
      </c>
      <c r="AL443" s="6">
        <v>-0.00648294</v>
      </c>
      <c r="AM443" s="6">
        <v>-0.00615828</v>
      </c>
      <c r="AN443" s="6">
        <v>-6.4762184</v>
      </c>
      <c r="AO443" s="6">
        <v>-6.4515561</v>
      </c>
      <c r="AP443" s="6">
        <v>-6.4739881</v>
      </c>
      <c r="AQ443" s="6">
        <v>-6.4253629</v>
      </c>
      <c r="AR443" s="6">
        <v>-6.4020076</v>
      </c>
      <c r="AS443" s="6">
        <v>-6.4618417</v>
      </c>
      <c r="AT443" s="6">
        <v>-6.4506396</v>
      </c>
      <c r="AU443" s="6">
        <v>0.97344833</v>
      </c>
      <c r="AV443" s="6">
        <v>0.96974131</v>
      </c>
      <c r="AW443" s="6">
        <v>0.97311308</v>
      </c>
      <c r="AX443" s="6">
        <v>0.96580418</v>
      </c>
      <c r="AY443" s="6">
        <v>0.96229362</v>
      </c>
      <c r="AZ443" s="6">
        <v>0.97128734</v>
      </c>
      <c r="BA443" s="6">
        <v>0.96960354</v>
      </c>
      <c r="BB443" s="6">
        <v>0.02655167</v>
      </c>
      <c r="BC443" s="6">
        <v>0.03025869</v>
      </c>
      <c r="BD443" s="6">
        <v>0.02688692</v>
      </c>
      <c r="BE443" s="6">
        <v>0.03419582</v>
      </c>
      <c r="BF443" s="6">
        <v>0.03770638</v>
      </c>
      <c r="BG443" s="6">
        <v>0.02871266</v>
      </c>
      <c r="BH443" s="6">
        <v>0.03039646</v>
      </c>
      <c r="BI443" s="6">
        <v>0.21470859</v>
      </c>
      <c r="BJ443" s="6">
        <v>0.12366373</v>
      </c>
      <c r="BK443" s="6">
        <v>0.1409291</v>
      </c>
      <c r="BL443" s="6">
        <v>0.12522516</v>
      </c>
      <c r="BM443" s="6">
        <v>0.1592662</v>
      </c>
      <c r="BN443" s="6">
        <v>0.17561655</v>
      </c>
      <c r="BO443" s="6">
        <v>0.1337285</v>
      </c>
      <c r="BP443" s="6">
        <v>0.14157076</v>
      </c>
      <c r="BQ443" s="6">
        <v>0.02492428</v>
      </c>
      <c r="BR443" s="6">
        <v>0.02230803</v>
      </c>
      <c r="BS443" s="6">
        <v>0.02254589</v>
      </c>
      <c r="BT443" s="6">
        <v>0.01815469</v>
      </c>
      <c r="BU443" s="6">
        <v>0.0182478</v>
      </c>
      <c r="BV443" s="6">
        <v>0.03662215</v>
      </c>
      <c r="BW443" s="6">
        <v>0.03019198</v>
      </c>
      <c r="BX443" s="12">
        <v>22323</v>
      </c>
      <c r="BY443" s="13">
        <v>9778</v>
      </c>
      <c r="BZ443" s="12">
        <v>40471.79</v>
      </c>
      <c r="CA443" s="6">
        <f t="shared" si="42"/>
        <v>2.28298220494989</v>
      </c>
      <c r="CB443" s="6">
        <f t="shared" si="43"/>
        <v>0.551569377089573</v>
      </c>
      <c r="CC443" s="7">
        <v>644779440.1</v>
      </c>
      <c r="CD443" s="7">
        <f t="shared" si="38"/>
        <v>1.5931577034275</v>
      </c>
      <c r="CE443" s="8">
        <v>4039.8</v>
      </c>
      <c r="CF443" s="8">
        <v>35041.5</v>
      </c>
      <c r="CG443" s="8">
        <v>38269.6</v>
      </c>
      <c r="CH443" s="8">
        <v>92658</v>
      </c>
      <c r="CI443" s="14">
        <v>0</v>
      </c>
      <c r="CJ443" s="14">
        <v>0</v>
      </c>
      <c r="CK443" s="14">
        <f t="shared" si="39"/>
        <v>0</v>
      </c>
      <c r="CL443">
        <f t="shared" si="40"/>
        <v>1.62438398605541</v>
      </c>
      <c r="CM443">
        <f t="shared" si="41"/>
        <v>0.0192234612603738</v>
      </c>
      <c r="CN443" s="15">
        <v>22323</v>
      </c>
      <c r="CO443" s="15">
        <v>23662.33</v>
      </c>
      <c r="CP443" s="15">
        <v>1341.97</v>
      </c>
      <c r="CQ443" s="15">
        <v>685.33</v>
      </c>
      <c r="CR443" s="15">
        <v>700.29</v>
      </c>
      <c r="CS443" s="15">
        <v>74</v>
      </c>
      <c r="CT443" s="15">
        <v>928.12</v>
      </c>
      <c r="CU443" s="15">
        <v>38.66</v>
      </c>
      <c r="CV443" s="15">
        <v>90.38</v>
      </c>
      <c r="CW443" s="15">
        <v>2989.15</v>
      </c>
    </row>
    <row r="444" spans="1:101">
      <c r="A444" s="6">
        <v>2017</v>
      </c>
      <c r="B444" s="6" t="s">
        <v>117</v>
      </c>
      <c r="C444" s="6">
        <v>0.20908158</v>
      </c>
      <c r="D444" s="6">
        <v>0.036433</v>
      </c>
      <c r="E444" s="6">
        <v>0.00883</v>
      </c>
      <c r="F444" s="6">
        <v>0.016236</v>
      </c>
      <c r="G444" s="6">
        <v>0.005375</v>
      </c>
      <c r="H444" s="6">
        <v>0.005991</v>
      </c>
      <c r="I444" s="6">
        <v>0.038813</v>
      </c>
      <c r="J444" s="6">
        <v>0.018892</v>
      </c>
      <c r="K444" s="6">
        <v>0.23421106</v>
      </c>
      <c r="L444" s="6">
        <v>0.16826253</v>
      </c>
      <c r="M444" s="6">
        <v>0.20663219</v>
      </c>
      <c r="N444" s="6">
        <v>0.13040195</v>
      </c>
      <c r="O444" s="6">
        <v>0.14806141</v>
      </c>
      <c r="P444" s="6">
        <v>0.34252561</v>
      </c>
      <c r="Q444" s="6">
        <v>0.26808809</v>
      </c>
      <c r="R444" s="6">
        <v>217.69486</v>
      </c>
      <c r="S444" s="6">
        <v>0.00107587</v>
      </c>
      <c r="T444" s="6">
        <v>169.97573</v>
      </c>
      <c r="U444" s="6">
        <v>0.00098992</v>
      </c>
      <c r="V444" s="6">
        <v>197.11803</v>
      </c>
      <c r="W444" s="6">
        <v>0.00104827</v>
      </c>
      <c r="X444" s="6">
        <v>134.47093</v>
      </c>
      <c r="Y444" s="6">
        <v>0.00096974</v>
      </c>
      <c r="Z444" s="6">
        <v>134.86767</v>
      </c>
      <c r="AA444" s="6">
        <v>0.00109783</v>
      </c>
      <c r="AB444" s="6">
        <v>294.9318</v>
      </c>
      <c r="AC444" s="6">
        <v>0.00116137</v>
      </c>
      <c r="AD444" s="6">
        <v>243.86163</v>
      </c>
      <c r="AE444" s="6">
        <v>0.00109935</v>
      </c>
      <c r="AF444" s="6">
        <v>775</v>
      </c>
      <c r="AG444" s="6">
        <v>-0.00735316</v>
      </c>
      <c r="AH444" s="6">
        <v>-0.00684816</v>
      </c>
      <c r="AI444" s="6">
        <v>-0.00719175</v>
      </c>
      <c r="AJ444" s="6">
        <v>-0.00672853</v>
      </c>
      <c r="AK444" s="6">
        <v>-0.00748106</v>
      </c>
      <c r="AL444" s="6">
        <v>-0.00784873</v>
      </c>
      <c r="AM444" s="6">
        <v>-0.00748988</v>
      </c>
      <c r="AN444" s="6">
        <v>-6.4762184</v>
      </c>
      <c r="AO444" s="6">
        <v>-6.4515561</v>
      </c>
      <c r="AP444" s="6">
        <v>-6.4739881</v>
      </c>
      <c r="AQ444" s="6">
        <v>-6.4253629</v>
      </c>
      <c r="AR444" s="6">
        <v>-6.4020076</v>
      </c>
      <c r="AS444" s="6">
        <v>-6.4618417</v>
      </c>
      <c r="AT444" s="6">
        <v>-6.4506396</v>
      </c>
      <c r="AU444" s="6">
        <v>0.97344833</v>
      </c>
      <c r="AV444" s="6">
        <v>0.96974131</v>
      </c>
      <c r="AW444" s="6">
        <v>0.97311308</v>
      </c>
      <c r="AX444" s="6">
        <v>0.96580418</v>
      </c>
      <c r="AY444" s="6">
        <v>0.96229362</v>
      </c>
      <c r="AZ444" s="6">
        <v>0.97128734</v>
      </c>
      <c r="BA444" s="6">
        <v>0.96960354</v>
      </c>
      <c r="BB444" s="6">
        <v>0.02655167</v>
      </c>
      <c r="BC444" s="6">
        <v>0.03025869</v>
      </c>
      <c r="BD444" s="6">
        <v>0.02688692</v>
      </c>
      <c r="BE444" s="6">
        <v>0.03419582</v>
      </c>
      <c r="BF444" s="6">
        <v>0.03770638</v>
      </c>
      <c r="BG444" s="6">
        <v>0.02871266</v>
      </c>
      <c r="BH444" s="6">
        <v>0.03039646</v>
      </c>
      <c r="BI444" s="6">
        <v>0.21470859</v>
      </c>
      <c r="BJ444" s="6">
        <v>0.12366373</v>
      </c>
      <c r="BK444" s="6">
        <v>0.1409291</v>
      </c>
      <c r="BL444" s="6">
        <v>0.12522516</v>
      </c>
      <c r="BM444" s="6">
        <v>0.1592662</v>
      </c>
      <c r="BN444" s="6">
        <v>0.17561655</v>
      </c>
      <c r="BO444" s="6">
        <v>0.1337285</v>
      </c>
      <c r="BP444" s="6">
        <v>0.14157076</v>
      </c>
      <c r="BQ444" s="6">
        <v>0.02896341</v>
      </c>
      <c r="BR444" s="6">
        <v>0.02371309</v>
      </c>
      <c r="BS444" s="6">
        <v>0.02587555</v>
      </c>
      <c r="BT444" s="6">
        <v>0.02076862</v>
      </c>
      <c r="BU444" s="6">
        <v>0.02600203</v>
      </c>
      <c r="BV444" s="6">
        <v>0.04580543</v>
      </c>
      <c r="BW444" s="6">
        <v>0.03795344</v>
      </c>
      <c r="BX444" s="12">
        <v>22162</v>
      </c>
      <c r="BY444" s="13">
        <v>9829</v>
      </c>
      <c r="BZ444" s="12">
        <v>44552.83</v>
      </c>
      <c r="CA444" s="6">
        <f t="shared" si="42"/>
        <v>2.25475633329942</v>
      </c>
      <c r="CB444" s="6">
        <f t="shared" si="43"/>
        <v>0.497431925199813</v>
      </c>
      <c r="CC444" s="7">
        <v>647660998.1</v>
      </c>
      <c r="CD444" s="7">
        <f t="shared" si="38"/>
        <v>1.45369216298942</v>
      </c>
      <c r="CE444" s="8">
        <v>4045.2</v>
      </c>
      <c r="CF444" s="8">
        <v>39124.1</v>
      </c>
      <c r="CG444" s="8">
        <v>42700.5</v>
      </c>
      <c r="CH444" s="8">
        <v>102202</v>
      </c>
      <c r="CI444" s="14">
        <v>1</v>
      </c>
      <c r="CJ444" s="14">
        <v>0</v>
      </c>
      <c r="CK444" s="14">
        <f t="shared" si="39"/>
        <v>0</v>
      </c>
      <c r="CL444">
        <f t="shared" si="40"/>
        <v>1.56738551218677</v>
      </c>
      <c r="CM444">
        <f t="shared" si="41"/>
        <v>0.0725369402188285</v>
      </c>
      <c r="CN444" s="15">
        <v>22162</v>
      </c>
      <c r="CO444" s="15">
        <v>22976.12</v>
      </c>
      <c r="CP444" s="15">
        <v>1233.39</v>
      </c>
      <c r="CQ444" s="15">
        <v>650.45</v>
      </c>
      <c r="CR444" s="15">
        <v>740.64</v>
      </c>
      <c r="CS444" s="15">
        <v>72.36</v>
      </c>
      <c r="CT444" s="15">
        <v>972.82</v>
      </c>
      <c r="CU444" s="15">
        <v>27.91</v>
      </c>
      <c r="CV444" s="15">
        <v>100.17</v>
      </c>
      <c r="CW444" s="15">
        <v>3166.17</v>
      </c>
    </row>
    <row r="445" spans="1:101">
      <c r="A445" s="6">
        <v>2018</v>
      </c>
      <c r="B445" s="6" t="s">
        <v>117</v>
      </c>
      <c r="C445" s="6">
        <v>0.21640231</v>
      </c>
      <c r="D445" s="6">
        <v>0.038371</v>
      </c>
      <c r="E445" s="6">
        <v>0.009629</v>
      </c>
      <c r="F445" s="6">
        <v>0.017506</v>
      </c>
      <c r="G445" s="6">
        <v>0.006065</v>
      </c>
      <c r="H445" s="6">
        <v>0.005172</v>
      </c>
      <c r="I445" s="6">
        <v>0.037941</v>
      </c>
      <c r="J445" s="6">
        <v>0.01998</v>
      </c>
      <c r="K445" s="6">
        <v>0.24941965</v>
      </c>
      <c r="L445" s="6">
        <v>0.18716252</v>
      </c>
      <c r="M445" s="6">
        <v>0.2261453</v>
      </c>
      <c r="N445" s="6">
        <v>0.15077792</v>
      </c>
      <c r="O445" s="6">
        <v>0.12322833</v>
      </c>
      <c r="P445" s="6">
        <v>0.33281323</v>
      </c>
      <c r="Q445" s="6">
        <v>0.28749613</v>
      </c>
      <c r="R445" s="6">
        <v>217.69486</v>
      </c>
      <c r="S445" s="6">
        <v>0.00114573</v>
      </c>
      <c r="T445" s="6">
        <v>169.97573</v>
      </c>
      <c r="U445" s="6">
        <v>0.00110111</v>
      </c>
      <c r="V445" s="6">
        <v>197.11803</v>
      </c>
      <c r="W445" s="6">
        <v>0.00114726</v>
      </c>
      <c r="X445" s="6">
        <v>134.47093</v>
      </c>
      <c r="Y445" s="6">
        <v>0.00112127</v>
      </c>
      <c r="Z445" s="6">
        <v>134.86767</v>
      </c>
      <c r="AA445" s="6">
        <v>0.0009137</v>
      </c>
      <c r="AB445" s="6">
        <v>294.9318</v>
      </c>
      <c r="AC445" s="6">
        <v>0.00112844</v>
      </c>
      <c r="AD445" s="6">
        <v>243.86163</v>
      </c>
      <c r="AE445" s="6">
        <v>0.00117893</v>
      </c>
      <c r="AF445" s="6">
        <v>775</v>
      </c>
      <c r="AG445" s="6">
        <v>-0.00775856</v>
      </c>
      <c r="AH445" s="6">
        <v>-0.00750016</v>
      </c>
      <c r="AI445" s="6">
        <v>-0.00776738</v>
      </c>
      <c r="AJ445" s="6">
        <v>-0.0076171</v>
      </c>
      <c r="AK445" s="6">
        <v>-0.00639407</v>
      </c>
      <c r="AL445" s="6">
        <v>-0.00765864</v>
      </c>
      <c r="AM445" s="6">
        <v>-0.00794971</v>
      </c>
      <c r="AN445" s="6">
        <v>-6.4762184</v>
      </c>
      <c r="AO445" s="6">
        <v>-6.4515561</v>
      </c>
      <c r="AP445" s="6">
        <v>-6.4739881</v>
      </c>
      <c r="AQ445" s="6">
        <v>-6.4253629</v>
      </c>
      <c r="AR445" s="6">
        <v>-6.4020076</v>
      </c>
      <c r="AS445" s="6">
        <v>-6.4618417</v>
      </c>
      <c r="AT445" s="6">
        <v>-6.4506396</v>
      </c>
      <c r="AU445" s="6">
        <v>0.97344833</v>
      </c>
      <c r="AV445" s="6">
        <v>0.96974131</v>
      </c>
      <c r="AW445" s="6">
        <v>0.97311308</v>
      </c>
      <c r="AX445" s="6">
        <v>0.96580418</v>
      </c>
      <c r="AY445" s="6">
        <v>0.96229362</v>
      </c>
      <c r="AZ445" s="6">
        <v>0.97128734</v>
      </c>
      <c r="BA445" s="6">
        <v>0.96960354</v>
      </c>
      <c r="BB445" s="6">
        <v>0.02655167</v>
      </c>
      <c r="BC445" s="6">
        <v>0.03025869</v>
      </c>
      <c r="BD445" s="6">
        <v>0.02688692</v>
      </c>
      <c r="BE445" s="6">
        <v>0.03419582</v>
      </c>
      <c r="BF445" s="6">
        <v>0.03770638</v>
      </c>
      <c r="BG445" s="6">
        <v>0.02871266</v>
      </c>
      <c r="BH445" s="6">
        <v>0.03039646</v>
      </c>
      <c r="BI445" s="6">
        <v>0.21470859</v>
      </c>
      <c r="BJ445" s="6">
        <v>0.12366373</v>
      </c>
      <c r="BK445" s="6">
        <v>0.1409291</v>
      </c>
      <c r="BL445" s="6">
        <v>0.12522516</v>
      </c>
      <c r="BM445" s="6">
        <v>0.1592662</v>
      </c>
      <c r="BN445" s="6">
        <v>0.17561655</v>
      </c>
      <c r="BO445" s="6">
        <v>0.1337285</v>
      </c>
      <c r="BP445" s="6">
        <v>0.14157076</v>
      </c>
      <c r="BQ445" s="6">
        <v>0.03084416</v>
      </c>
      <c r="BR445" s="6">
        <v>0.02637664</v>
      </c>
      <c r="BS445" s="6">
        <v>0.02831908</v>
      </c>
      <c r="BT445" s="6">
        <v>0.02401383</v>
      </c>
      <c r="BU445" s="6">
        <v>0.02164093</v>
      </c>
      <c r="BV445" s="6">
        <v>0.04450661</v>
      </c>
      <c r="BW445" s="6">
        <v>0.04070105</v>
      </c>
      <c r="BX445" s="12">
        <v>22659</v>
      </c>
      <c r="BY445" s="13">
        <v>9864</v>
      </c>
      <c r="BZ445" s="12">
        <v>48055.86</v>
      </c>
      <c r="CA445" s="6">
        <f t="shared" si="42"/>
        <v>2.29714111922141</v>
      </c>
      <c r="CB445" s="6">
        <f t="shared" si="43"/>
        <v>0.471513775843362</v>
      </c>
      <c r="CC445" s="7">
        <v>671046223.9</v>
      </c>
      <c r="CD445" s="7">
        <f t="shared" si="38"/>
        <v>1.39638792001641</v>
      </c>
      <c r="CE445" s="8">
        <v>4141.7</v>
      </c>
      <c r="CF445" s="8">
        <v>42129.4</v>
      </c>
      <c r="CG445" s="8">
        <v>46936.5</v>
      </c>
      <c r="CH445" s="8">
        <v>110508</v>
      </c>
      <c r="CI445" s="14">
        <v>1</v>
      </c>
      <c r="CJ445" s="14">
        <v>0</v>
      </c>
      <c r="CK445" s="14">
        <f t="shared" si="39"/>
        <v>0</v>
      </c>
      <c r="CL445">
        <f t="shared" si="40"/>
        <v>1.51591455826218</v>
      </c>
      <c r="CM445">
        <f t="shared" si="41"/>
        <v>0.0788478727869661</v>
      </c>
      <c r="CN445" s="15">
        <v>22659</v>
      </c>
      <c r="CO445" s="15">
        <v>22332.79</v>
      </c>
      <c r="CP445" s="15">
        <v>1423.42</v>
      </c>
      <c r="CQ445" s="15">
        <v>828.75</v>
      </c>
      <c r="CR445" s="15">
        <v>761.76</v>
      </c>
      <c r="CS445" s="15">
        <v>81.89</v>
      </c>
      <c r="CT445" s="15">
        <v>993.8</v>
      </c>
      <c r="CU445" s="15">
        <v>31.68</v>
      </c>
      <c r="CV445" s="15">
        <v>106.31</v>
      </c>
      <c r="CW445" s="15">
        <v>3417.68</v>
      </c>
    </row>
    <row r="446" spans="1:101">
      <c r="A446" s="6">
        <v>2019</v>
      </c>
      <c r="B446" s="6" t="s">
        <v>117</v>
      </c>
      <c r="C446" s="6">
        <v>0.23466829</v>
      </c>
      <c r="D446" s="6">
        <v>0.042042</v>
      </c>
      <c r="E446" s="6">
        <v>0.010313</v>
      </c>
      <c r="F446" s="6">
        <v>0.018648</v>
      </c>
      <c r="G446" s="6">
        <v>0.006347</v>
      </c>
      <c r="H446" s="6">
        <v>0.006736</v>
      </c>
      <c r="I446" s="6">
        <v>0.039463</v>
      </c>
      <c r="J446" s="6">
        <v>0.019312</v>
      </c>
      <c r="K446" s="6">
        <v>0.27821507</v>
      </c>
      <c r="L446" s="6">
        <v>0.20332594</v>
      </c>
      <c r="M446" s="6">
        <v>0.24368911</v>
      </c>
      <c r="N446" s="6">
        <v>0.15911488</v>
      </c>
      <c r="O446" s="6">
        <v>0.17061959</v>
      </c>
      <c r="P446" s="6">
        <v>0.34975804</v>
      </c>
      <c r="Q446" s="6">
        <v>0.27558489</v>
      </c>
      <c r="R446" s="6">
        <v>217.69486</v>
      </c>
      <c r="S446" s="6">
        <v>0.001278</v>
      </c>
      <c r="T446" s="6">
        <v>169.97573</v>
      </c>
      <c r="U446" s="6">
        <v>0.00119621</v>
      </c>
      <c r="V446" s="6">
        <v>197.11803</v>
      </c>
      <c r="W446" s="6">
        <v>0.00123626</v>
      </c>
      <c r="X446" s="6">
        <v>134.47093</v>
      </c>
      <c r="Y446" s="6">
        <v>0.00118327</v>
      </c>
      <c r="Z446" s="6">
        <v>134.86767</v>
      </c>
      <c r="AA446" s="6">
        <v>0.00126509</v>
      </c>
      <c r="AB446" s="6">
        <v>294.9318</v>
      </c>
      <c r="AC446" s="6">
        <v>0.00118589</v>
      </c>
      <c r="AD446" s="6">
        <v>243.86163</v>
      </c>
      <c r="AE446" s="6">
        <v>0.00113009</v>
      </c>
      <c r="AF446" s="6">
        <v>775</v>
      </c>
      <c r="AG446" s="6">
        <v>-0.00851465</v>
      </c>
      <c r="AH446" s="6">
        <v>-0.00804879</v>
      </c>
      <c r="AI446" s="6">
        <v>-0.00827758</v>
      </c>
      <c r="AJ446" s="6">
        <v>-0.00797459</v>
      </c>
      <c r="AK446" s="6">
        <v>-0.00844145</v>
      </c>
      <c r="AL446" s="6">
        <v>-0.00798968</v>
      </c>
      <c r="AM446" s="6">
        <v>-0.00766816</v>
      </c>
      <c r="AN446" s="6">
        <v>-6.4762184</v>
      </c>
      <c r="AO446" s="6">
        <v>-6.4515561</v>
      </c>
      <c r="AP446" s="6">
        <v>-6.4739881</v>
      </c>
      <c r="AQ446" s="6">
        <v>-6.4253629</v>
      </c>
      <c r="AR446" s="6">
        <v>-6.4020076</v>
      </c>
      <c r="AS446" s="6">
        <v>-6.4618417</v>
      </c>
      <c r="AT446" s="6">
        <v>-6.4506396</v>
      </c>
      <c r="AU446" s="6">
        <v>0.97344833</v>
      </c>
      <c r="AV446" s="6">
        <v>0.96974131</v>
      </c>
      <c r="AW446" s="6">
        <v>0.97311308</v>
      </c>
      <c r="AX446" s="6">
        <v>0.96580418</v>
      </c>
      <c r="AY446" s="6">
        <v>0.96229362</v>
      </c>
      <c r="AZ446" s="6">
        <v>0.97128734</v>
      </c>
      <c r="BA446" s="6">
        <v>0.96960354</v>
      </c>
      <c r="BB446" s="6">
        <v>0.02655167</v>
      </c>
      <c r="BC446" s="6">
        <v>0.03025869</v>
      </c>
      <c r="BD446" s="6">
        <v>0.02688692</v>
      </c>
      <c r="BE446" s="6">
        <v>0.03419582</v>
      </c>
      <c r="BF446" s="6">
        <v>0.03770638</v>
      </c>
      <c r="BG446" s="6">
        <v>0.02871266</v>
      </c>
      <c r="BH446" s="6">
        <v>0.03039646</v>
      </c>
      <c r="BI446" s="6">
        <v>0.21470859</v>
      </c>
      <c r="BJ446" s="6">
        <v>0.12366373</v>
      </c>
      <c r="BK446" s="6">
        <v>0.1409291</v>
      </c>
      <c r="BL446" s="6">
        <v>0.12522516</v>
      </c>
      <c r="BM446" s="6">
        <v>0.1592662</v>
      </c>
      <c r="BN446" s="6">
        <v>0.17561655</v>
      </c>
      <c r="BO446" s="6">
        <v>0.1337285</v>
      </c>
      <c r="BP446" s="6">
        <v>0.14157076</v>
      </c>
      <c r="BQ446" s="6">
        <v>0.03440511</v>
      </c>
      <c r="BR446" s="6">
        <v>0.02865454</v>
      </c>
      <c r="BS446" s="6">
        <v>0.03051601</v>
      </c>
      <c r="BT446" s="6">
        <v>0.02534162</v>
      </c>
      <c r="BU446" s="6">
        <v>0.02996362</v>
      </c>
      <c r="BV446" s="6">
        <v>0.04677262</v>
      </c>
      <c r="BW446" s="6">
        <v>0.03901476</v>
      </c>
      <c r="BX446" s="12">
        <v>22275</v>
      </c>
      <c r="BY446" s="13">
        <v>9901</v>
      </c>
      <c r="BZ446" s="12">
        <v>54259.2</v>
      </c>
      <c r="CA446" s="6">
        <f t="shared" si="42"/>
        <v>2.24977275022725</v>
      </c>
      <c r="CB446" s="6">
        <f t="shared" si="43"/>
        <v>0.410529458598726</v>
      </c>
      <c r="CC446" s="7">
        <v>687633160</v>
      </c>
      <c r="CD446" s="7">
        <f t="shared" si="38"/>
        <v>1.26731164484548</v>
      </c>
      <c r="CE446" s="8">
        <v>4297.2</v>
      </c>
      <c r="CF446" s="8">
        <v>43507.5</v>
      </c>
      <c r="CG446" s="8">
        <v>50852.1</v>
      </c>
      <c r="CH446" s="8">
        <v>116650</v>
      </c>
      <c r="CI446" s="14">
        <v>1</v>
      </c>
      <c r="CJ446" s="14">
        <v>0</v>
      </c>
      <c r="CK446" s="14">
        <f t="shared" si="39"/>
        <v>0</v>
      </c>
      <c r="CL446">
        <f t="shared" si="40"/>
        <v>1.5000536746505</v>
      </c>
      <c r="CM446">
        <f t="shared" si="41"/>
        <v>0.155155801247743</v>
      </c>
      <c r="CN446" s="15">
        <v>22300</v>
      </c>
      <c r="CO446" s="15">
        <v>20045.45</v>
      </c>
      <c r="CP446" s="15">
        <v>1431.96</v>
      </c>
      <c r="CQ446" s="15">
        <v>799.61</v>
      </c>
      <c r="CR446" s="15">
        <v>769.77</v>
      </c>
      <c r="CS446" s="15">
        <v>92.65</v>
      </c>
      <c r="CT446" s="15">
        <v>1007.54</v>
      </c>
      <c r="CU446" s="15">
        <v>9.77</v>
      </c>
      <c r="CV446" s="15">
        <v>109.34</v>
      </c>
      <c r="CW446" s="15">
        <v>3364.17</v>
      </c>
    </row>
    <row r="447" spans="1:101">
      <c r="A447" s="6">
        <v>2020</v>
      </c>
      <c r="B447" s="6" t="s">
        <v>117</v>
      </c>
      <c r="C447" s="6">
        <v>0.22841049</v>
      </c>
      <c r="D447" s="6">
        <v>0.039716</v>
      </c>
      <c r="E447" s="6">
        <v>0.009619</v>
      </c>
      <c r="F447" s="6">
        <v>0.01777</v>
      </c>
      <c r="G447" s="6">
        <v>0.005692</v>
      </c>
      <c r="H447" s="6">
        <v>0.006635</v>
      </c>
      <c r="I447" s="6">
        <v>0.039025</v>
      </c>
      <c r="J447" s="6">
        <v>0.021001</v>
      </c>
      <c r="K447" s="6">
        <v>0.25996942</v>
      </c>
      <c r="L447" s="6">
        <v>0.18692768</v>
      </c>
      <c r="M447" s="6">
        <v>0.23020754</v>
      </c>
      <c r="N447" s="6">
        <v>0.13977355</v>
      </c>
      <c r="O447" s="6">
        <v>0.1675594</v>
      </c>
      <c r="P447" s="6">
        <v>0.34488973</v>
      </c>
      <c r="Q447" s="6">
        <v>0.30572262</v>
      </c>
      <c r="R447" s="6">
        <v>217.69486</v>
      </c>
      <c r="S447" s="6">
        <v>0.00119419</v>
      </c>
      <c r="T447" s="6">
        <v>169.97573</v>
      </c>
      <c r="U447" s="6">
        <v>0.00109973</v>
      </c>
      <c r="V447" s="6">
        <v>197.11803</v>
      </c>
      <c r="W447" s="6">
        <v>0.00116787</v>
      </c>
      <c r="X447" s="6">
        <v>134.47093</v>
      </c>
      <c r="Y447" s="6">
        <v>0.00103943</v>
      </c>
      <c r="Z447" s="6">
        <v>134.86767</v>
      </c>
      <c r="AA447" s="6">
        <v>0.0012424</v>
      </c>
      <c r="AB447" s="6">
        <v>294.9318</v>
      </c>
      <c r="AC447" s="6">
        <v>0.00116939</v>
      </c>
      <c r="AD447" s="6">
        <v>243.86163</v>
      </c>
      <c r="AE447" s="6">
        <v>0.00125367</v>
      </c>
      <c r="AF447" s="6">
        <v>775</v>
      </c>
      <c r="AG447" s="6">
        <v>-0.00803725</v>
      </c>
      <c r="AH447" s="6">
        <v>-0.00749213</v>
      </c>
      <c r="AI447" s="6">
        <v>-0.00788611</v>
      </c>
      <c r="AJ447" s="6">
        <v>-0.00713995</v>
      </c>
      <c r="AK447" s="6">
        <v>-0.00831253</v>
      </c>
      <c r="AL447" s="6">
        <v>-0.00789486</v>
      </c>
      <c r="AM447" s="6">
        <v>-0.00837664</v>
      </c>
      <c r="AN447" s="6">
        <v>-6.4762184</v>
      </c>
      <c r="AO447" s="6">
        <v>-6.4515561</v>
      </c>
      <c r="AP447" s="6">
        <v>-6.4739881</v>
      </c>
      <c r="AQ447" s="6">
        <v>-6.4253629</v>
      </c>
      <c r="AR447" s="6">
        <v>-6.4020076</v>
      </c>
      <c r="AS447" s="6">
        <v>-6.4618417</v>
      </c>
      <c r="AT447" s="6">
        <v>-6.4506396</v>
      </c>
      <c r="AU447" s="6">
        <v>0.97344833</v>
      </c>
      <c r="AV447" s="6">
        <v>0.96974131</v>
      </c>
      <c r="AW447" s="6">
        <v>0.97311308</v>
      </c>
      <c r="AX447" s="6">
        <v>0.96580418</v>
      </c>
      <c r="AY447" s="6">
        <v>0.96229362</v>
      </c>
      <c r="AZ447" s="6">
        <v>0.97128734</v>
      </c>
      <c r="BA447" s="6">
        <v>0.96960354</v>
      </c>
      <c r="BB447" s="6">
        <v>0.02655167</v>
      </c>
      <c r="BC447" s="6">
        <v>0.03025869</v>
      </c>
      <c r="BD447" s="6">
        <v>0.02688692</v>
      </c>
      <c r="BE447" s="6">
        <v>0.03419582</v>
      </c>
      <c r="BF447" s="6">
        <v>0.03770638</v>
      </c>
      <c r="BG447" s="6">
        <v>0.02871266</v>
      </c>
      <c r="BH447" s="6">
        <v>0.03039646</v>
      </c>
      <c r="BI447" s="6">
        <v>0.21470859</v>
      </c>
      <c r="BJ447" s="6">
        <v>0.12366373</v>
      </c>
      <c r="BK447" s="6">
        <v>0.1409291</v>
      </c>
      <c r="BL447" s="6">
        <v>0.12522516</v>
      </c>
      <c r="BM447" s="6">
        <v>0.1592662</v>
      </c>
      <c r="BN447" s="6">
        <v>0.17561655</v>
      </c>
      <c r="BO447" s="6">
        <v>0.1337285</v>
      </c>
      <c r="BP447" s="6">
        <v>0.14157076</v>
      </c>
      <c r="BQ447" s="6">
        <v>0.03214879</v>
      </c>
      <c r="BR447" s="6">
        <v>0.02634355</v>
      </c>
      <c r="BS447" s="6">
        <v>0.02882778</v>
      </c>
      <c r="BT447" s="6">
        <v>0.0222612</v>
      </c>
      <c r="BU447" s="6">
        <v>0.0294262</v>
      </c>
      <c r="BV447" s="6">
        <v>0.04612158</v>
      </c>
      <c r="BW447" s="6">
        <v>0.04328138</v>
      </c>
      <c r="BX447" s="12">
        <v>22767</v>
      </c>
      <c r="BY447" s="13">
        <v>9941.17</v>
      </c>
      <c r="BZ447" s="12">
        <v>54997.07</v>
      </c>
      <c r="CA447" s="6">
        <f t="shared" si="42"/>
        <v>2.29017308827834</v>
      </c>
      <c r="CB447" s="6">
        <f t="shared" si="43"/>
        <v>0.413967507723593</v>
      </c>
      <c r="CC447" s="7">
        <v>692056170.3</v>
      </c>
      <c r="CD447" s="7">
        <f t="shared" si="38"/>
        <v>1.25835098178867</v>
      </c>
      <c r="CE447" s="8">
        <v>4537.6</v>
      </c>
      <c r="CF447" s="8">
        <v>44631.3</v>
      </c>
      <c r="CG447" s="8">
        <v>53638.9</v>
      </c>
      <c r="CH447" s="8">
        <v>121333</v>
      </c>
      <c r="CI447" s="14">
        <v>1</v>
      </c>
      <c r="CJ447" s="14">
        <v>0</v>
      </c>
      <c r="CK447" s="14">
        <f t="shared" si="39"/>
        <v>0</v>
      </c>
      <c r="CL447">
        <f t="shared" si="40"/>
        <v>1.47141701078949</v>
      </c>
      <c r="CM447">
        <f t="shared" si="41"/>
        <v>0.144803293314177</v>
      </c>
      <c r="CN447" s="15">
        <v>22752</v>
      </c>
      <c r="CO447" s="15">
        <v>20004.87</v>
      </c>
      <c r="CP447" s="15">
        <v>1481.35</v>
      </c>
      <c r="CQ447" s="15">
        <v>890.73</v>
      </c>
      <c r="CR447" s="15">
        <v>762.26</v>
      </c>
      <c r="CS447" s="15">
        <v>95.14</v>
      </c>
      <c r="CT447" s="15">
        <v>1026.1</v>
      </c>
      <c r="CU447" s="15">
        <v>4.91</v>
      </c>
      <c r="CV447" s="15">
        <v>106.1</v>
      </c>
      <c r="CW447" s="15">
        <v>3392</v>
      </c>
    </row>
    <row r="448" spans="1:101">
      <c r="A448" s="6">
        <v>2021</v>
      </c>
      <c r="B448" s="6" t="s">
        <v>117</v>
      </c>
      <c r="C448" s="6">
        <v>0.24681415</v>
      </c>
      <c r="D448" s="6">
        <v>0.043146</v>
      </c>
      <c r="E448" s="6">
        <v>0.010687</v>
      </c>
      <c r="F448" s="6">
        <v>0.019121</v>
      </c>
      <c r="G448" s="6">
        <v>0.006661</v>
      </c>
      <c r="H448" s="6">
        <v>0.006678</v>
      </c>
      <c r="I448" s="6">
        <v>0.043115</v>
      </c>
      <c r="J448" s="6">
        <v>0.020224</v>
      </c>
      <c r="K448" s="6">
        <v>0.28687426</v>
      </c>
      <c r="L448" s="6">
        <v>0.21216863</v>
      </c>
      <c r="M448" s="6">
        <v>0.25096277</v>
      </c>
      <c r="N448" s="6">
        <v>0.16839476</v>
      </c>
      <c r="O448" s="6">
        <v>0.16888353</v>
      </c>
      <c r="P448" s="6">
        <v>0.39044219</v>
      </c>
      <c r="Q448" s="6">
        <v>0.29186138</v>
      </c>
      <c r="R448" s="6">
        <v>217.69486</v>
      </c>
      <c r="S448" s="6">
        <v>0.00131778</v>
      </c>
      <c r="T448" s="6">
        <v>169.97573</v>
      </c>
      <c r="U448" s="6">
        <v>0.00124823</v>
      </c>
      <c r="V448" s="6">
        <v>197.11803</v>
      </c>
      <c r="W448" s="6">
        <v>0.00127316</v>
      </c>
      <c r="X448" s="6">
        <v>134.47093</v>
      </c>
      <c r="Y448" s="6">
        <v>0.00125228</v>
      </c>
      <c r="Z448" s="6">
        <v>134.86767</v>
      </c>
      <c r="AA448" s="6">
        <v>0.00125222</v>
      </c>
      <c r="AB448" s="6">
        <v>294.9318</v>
      </c>
      <c r="AC448" s="6">
        <v>0.00132384</v>
      </c>
      <c r="AD448" s="6">
        <v>243.86163</v>
      </c>
      <c r="AE448" s="6">
        <v>0.00119683</v>
      </c>
      <c r="AF448" s="6">
        <v>775</v>
      </c>
      <c r="AG448" s="6">
        <v>-0.00873927</v>
      </c>
      <c r="AH448" s="6">
        <v>-0.0083457</v>
      </c>
      <c r="AI448" s="6">
        <v>-0.00848721</v>
      </c>
      <c r="AJ448" s="6">
        <v>-0.0083687</v>
      </c>
      <c r="AK448" s="6">
        <v>-0.00836836</v>
      </c>
      <c r="AL448" s="6">
        <v>-0.00877337</v>
      </c>
      <c r="AM448" s="6">
        <v>-0.00805238</v>
      </c>
      <c r="AN448" s="6">
        <v>-6.4762184</v>
      </c>
      <c r="AO448" s="6">
        <v>-6.4515561</v>
      </c>
      <c r="AP448" s="6">
        <v>-6.4739881</v>
      </c>
      <c r="AQ448" s="6">
        <v>-6.4253629</v>
      </c>
      <c r="AR448" s="6">
        <v>-6.4020076</v>
      </c>
      <c r="AS448" s="6">
        <v>-6.4618417</v>
      </c>
      <c r="AT448" s="6">
        <v>-6.4506396</v>
      </c>
      <c r="AU448" s="6">
        <v>0.97344833</v>
      </c>
      <c r="AV448" s="6">
        <v>0.96974131</v>
      </c>
      <c r="AW448" s="6">
        <v>0.97311308</v>
      </c>
      <c r="AX448" s="6">
        <v>0.96580418</v>
      </c>
      <c r="AY448" s="6">
        <v>0.96229362</v>
      </c>
      <c r="AZ448" s="6">
        <v>0.97128734</v>
      </c>
      <c r="BA448" s="6">
        <v>0.96960354</v>
      </c>
      <c r="BB448" s="6">
        <v>0.02655167</v>
      </c>
      <c r="BC448" s="6">
        <v>0.03025869</v>
      </c>
      <c r="BD448" s="6">
        <v>0.02688692</v>
      </c>
      <c r="BE448" s="6">
        <v>0.03419582</v>
      </c>
      <c r="BF448" s="6">
        <v>0.03770638</v>
      </c>
      <c r="BG448" s="6">
        <v>0.02871266</v>
      </c>
      <c r="BH448" s="6">
        <v>0.03039646</v>
      </c>
      <c r="BI448" s="6">
        <v>0.21470859</v>
      </c>
      <c r="BJ448" s="6">
        <v>0.12366373</v>
      </c>
      <c r="BK448" s="6">
        <v>0.1409291</v>
      </c>
      <c r="BL448" s="6">
        <v>0.12522516</v>
      </c>
      <c r="BM448" s="6">
        <v>0.1592662</v>
      </c>
      <c r="BN448" s="6">
        <v>0.17561655</v>
      </c>
      <c r="BO448" s="6">
        <v>0.1337285</v>
      </c>
      <c r="BP448" s="6">
        <v>0.14157076</v>
      </c>
      <c r="BQ448" s="6">
        <v>0.03547594</v>
      </c>
      <c r="BR448" s="6">
        <v>0.02990073</v>
      </c>
      <c r="BS448" s="6">
        <v>0.03142685</v>
      </c>
      <c r="BT448" s="6">
        <v>0.02681959</v>
      </c>
      <c r="BU448" s="6">
        <v>0.02965874</v>
      </c>
      <c r="BV448" s="6">
        <v>0.05221325</v>
      </c>
      <c r="BW448" s="6">
        <v>0.04131904</v>
      </c>
      <c r="BX448" s="12">
        <v>23521</v>
      </c>
      <c r="BY448" s="13">
        <v>9883</v>
      </c>
      <c r="BZ448" s="12">
        <v>58887.4</v>
      </c>
      <c r="CA448" s="6">
        <f t="shared" si="42"/>
        <v>2.37994536072043</v>
      </c>
      <c r="CB448" s="6">
        <f t="shared" si="43"/>
        <v>0.399423306174156</v>
      </c>
      <c r="CC448" s="7">
        <v>724088439.7</v>
      </c>
      <c r="CD448" s="7">
        <f t="shared" si="38"/>
        <v>1.22961523127188</v>
      </c>
      <c r="CE448" s="8">
        <v>4721</v>
      </c>
      <c r="CF448" s="8">
        <v>52678.7</v>
      </c>
      <c r="CG448" s="8">
        <v>59992.7</v>
      </c>
      <c r="CH448" s="8">
        <v>138255</v>
      </c>
      <c r="CI448" s="14">
        <v>1</v>
      </c>
      <c r="CJ448" s="14">
        <v>0</v>
      </c>
      <c r="CK448" s="14">
        <f t="shared" si="39"/>
        <v>0</v>
      </c>
      <c r="CL448">
        <f t="shared" si="40"/>
        <v>1.36781889095748</v>
      </c>
      <c r="CM448">
        <f t="shared" si="41"/>
        <v>0.101039443598307</v>
      </c>
      <c r="CN448" s="15">
        <v>23501</v>
      </c>
      <c r="CO448" s="15">
        <v>22421.79</v>
      </c>
      <c r="CP448" s="15">
        <v>1582.19</v>
      </c>
      <c r="CQ448" s="15">
        <v>922.74</v>
      </c>
      <c r="CR448" s="15">
        <v>775.89</v>
      </c>
      <c r="CS448" s="15">
        <v>89.78</v>
      </c>
      <c r="CT448" s="15">
        <v>1121.34</v>
      </c>
      <c r="CU448" s="15">
        <v>6.8</v>
      </c>
      <c r="CV448" s="15">
        <v>117.16</v>
      </c>
      <c r="CW448" s="15">
        <v>3647</v>
      </c>
    </row>
    <row r="449" spans="1:101">
      <c r="A449" s="6">
        <v>2022</v>
      </c>
      <c r="B449" s="6" t="s">
        <v>117</v>
      </c>
      <c r="C449" s="6">
        <v>0.2674731</v>
      </c>
      <c r="D449" s="6">
        <v>0.045961</v>
      </c>
      <c r="E449" s="6">
        <v>0.011218</v>
      </c>
      <c r="F449" s="6">
        <v>0.020812</v>
      </c>
      <c r="G449" s="6">
        <v>0.007028</v>
      </c>
      <c r="H449" s="6">
        <v>0.006904</v>
      </c>
      <c r="I449" s="6">
        <v>0.045351</v>
      </c>
      <c r="J449" s="6">
        <v>0.022855</v>
      </c>
      <c r="K449" s="6">
        <v>0.30895623</v>
      </c>
      <c r="L449" s="6">
        <v>0.22472372</v>
      </c>
      <c r="M449" s="6">
        <v>0.27695732</v>
      </c>
      <c r="N449" s="6">
        <v>0.17925585</v>
      </c>
      <c r="O449" s="6">
        <v>0.17571291</v>
      </c>
      <c r="P449" s="6">
        <v>0.41534192</v>
      </c>
      <c r="Q449" s="6">
        <v>0.33879693</v>
      </c>
      <c r="R449" s="6">
        <v>217.69486</v>
      </c>
      <c r="S449" s="6">
        <v>0.00141922</v>
      </c>
      <c r="T449" s="6">
        <v>169.97573</v>
      </c>
      <c r="U449" s="6">
        <v>0.00132209</v>
      </c>
      <c r="V449" s="6">
        <v>197.11803</v>
      </c>
      <c r="W449" s="6">
        <v>0.00140503</v>
      </c>
      <c r="X449" s="6">
        <v>134.47093</v>
      </c>
      <c r="Y449" s="6">
        <v>0.00133305</v>
      </c>
      <c r="Z449" s="6">
        <v>134.86767</v>
      </c>
      <c r="AA449" s="6">
        <v>0.00130285</v>
      </c>
      <c r="AB449" s="6">
        <v>294.9318</v>
      </c>
      <c r="AC449" s="6">
        <v>0.00140826</v>
      </c>
      <c r="AD449" s="6">
        <v>243.86163</v>
      </c>
      <c r="AE449" s="6">
        <v>0.0013893</v>
      </c>
      <c r="AF449" s="6">
        <v>775</v>
      </c>
      <c r="AG449" s="6">
        <v>-0.00930673</v>
      </c>
      <c r="AH449" s="6">
        <v>-0.00876355</v>
      </c>
      <c r="AI449" s="6">
        <v>-0.00922783</v>
      </c>
      <c r="AJ449" s="6">
        <v>-0.00882515</v>
      </c>
      <c r="AK449" s="6">
        <v>-0.00865512</v>
      </c>
      <c r="AL449" s="6">
        <v>-0.00924581</v>
      </c>
      <c r="AM449" s="6">
        <v>-0.00914014</v>
      </c>
      <c r="AN449" s="6">
        <v>-6.4762184</v>
      </c>
      <c r="AO449" s="6">
        <v>-6.4515561</v>
      </c>
      <c r="AP449" s="6">
        <v>-6.4739881</v>
      </c>
      <c r="AQ449" s="6">
        <v>-6.4253629</v>
      </c>
      <c r="AR449" s="6">
        <v>-6.4020076</v>
      </c>
      <c r="AS449" s="6">
        <v>-6.4618417</v>
      </c>
      <c r="AT449" s="6">
        <v>-6.4506396</v>
      </c>
      <c r="AU449" s="6">
        <v>0.97344833</v>
      </c>
      <c r="AV449" s="6">
        <v>0.96974131</v>
      </c>
      <c r="AW449" s="6">
        <v>0.97311308</v>
      </c>
      <c r="AX449" s="6">
        <v>0.96580418</v>
      </c>
      <c r="AY449" s="6">
        <v>0.96229362</v>
      </c>
      <c r="AZ449" s="6">
        <v>0.97128734</v>
      </c>
      <c r="BA449" s="6">
        <v>0.96960354</v>
      </c>
      <c r="BB449" s="6">
        <v>0.02655167</v>
      </c>
      <c r="BC449" s="6">
        <v>0.03025869</v>
      </c>
      <c r="BD449" s="6">
        <v>0.02688692</v>
      </c>
      <c r="BE449" s="6">
        <v>0.03419582</v>
      </c>
      <c r="BF449" s="6">
        <v>0.03770638</v>
      </c>
      <c r="BG449" s="6">
        <v>0.02871266</v>
      </c>
      <c r="BH449" s="6">
        <v>0.03039646</v>
      </c>
      <c r="BI449" s="6">
        <v>0.21470859</v>
      </c>
      <c r="BJ449" s="6">
        <v>0.12366373</v>
      </c>
      <c r="BK449" s="6">
        <v>0.1409291</v>
      </c>
      <c r="BL449" s="6">
        <v>0.12522516</v>
      </c>
      <c r="BM449" s="6">
        <v>0.1592662</v>
      </c>
      <c r="BN449" s="6">
        <v>0.17561655</v>
      </c>
      <c r="BO449" s="6">
        <v>0.1337285</v>
      </c>
      <c r="BP449" s="6">
        <v>0.14157076</v>
      </c>
      <c r="BQ449" s="6">
        <v>0.03820668</v>
      </c>
      <c r="BR449" s="6">
        <v>0.03167011</v>
      </c>
      <c r="BS449" s="6">
        <v>0.03468203</v>
      </c>
      <c r="BT449" s="6">
        <v>0.0285494</v>
      </c>
      <c r="BU449" s="6">
        <v>0.03085809</v>
      </c>
      <c r="BV449" s="6">
        <v>0.05554305</v>
      </c>
      <c r="BW449" s="6">
        <v>0.04796374</v>
      </c>
      <c r="BX449" s="12">
        <v>24402</v>
      </c>
      <c r="BY449" s="13">
        <v>9872</v>
      </c>
      <c r="BZ449" s="12">
        <v>61345.1</v>
      </c>
      <c r="CA449" s="6">
        <f t="shared" si="42"/>
        <v>2.47183954619125</v>
      </c>
      <c r="CB449" s="6">
        <f t="shared" si="43"/>
        <v>0.397782381966938</v>
      </c>
      <c r="CC449" s="7">
        <v>708929929.7</v>
      </c>
      <c r="CD449" s="7">
        <f t="shared" si="38"/>
        <v>1.15564230835063</v>
      </c>
      <c r="CE449" s="8">
        <v>4964.2</v>
      </c>
      <c r="CF449" s="8">
        <v>54886.1</v>
      </c>
      <c r="CG449" s="8">
        <v>62239</v>
      </c>
      <c r="CH449" s="8">
        <v>143466</v>
      </c>
      <c r="CI449" s="14">
        <v>1</v>
      </c>
      <c r="CJ449" s="14">
        <v>0</v>
      </c>
      <c r="CK449" s="14">
        <f t="shared" si="39"/>
        <v>0</v>
      </c>
      <c r="CL449">
        <f t="shared" si="40"/>
        <v>1.27047633725244</v>
      </c>
      <c r="CM449">
        <f t="shared" si="41"/>
        <v>0.0903865940157139</v>
      </c>
      <c r="CN449" s="15">
        <v>24371.2858323834</v>
      </c>
      <c r="CO449" s="15">
        <v>24295.84</v>
      </c>
      <c r="CP449" s="15">
        <v>1582.44</v>
      </c>
      <c r="CQ449" s="15">
        <v>875.7</v>
      </c>
      <c r="CR449" s="15">
        <v>800.83</v>
      </c>
      <c r="CS449" s="15">
        <v>95.65</v>
      </c>
      <c r="CT449" s="15">
        <v>1170.07</v>
      </c>
      <c r="CU449" s="15">
        <v>50.64</v>
      </c>
      <c r="CV449" s="15">
        <v>123.49</v>
      </c>
      <c r="CW449" s="15">
        <v>3920.45</v>
      </c>
    </row>
    <row r="450" spans="1:101">
      <c r="A450" s="6">
        <v>2023</v>
      </c>
      <c r="B450" s="6" t="s">
        <v>117</v>
      </c>
      <c r="C450" s="6">
        <v>0.30824175</v>
      </c>
      <c r="D450" s="6">
        <v>0.049769</v>
      </c>
      <c r="E450" s="6">
        <v>0.012741</v>
      </c>
      <c r="F450" s="6">
        <v>0.023495</v>
      </c>
      <c r="G450" s="6">
        <v>0.008387</v>
      </c>
      <c r="H450" s="6">
        <v>0.008121</v>
      </c>
      <c r="I450" s="6">
        <v>0.048578</v>
      </c>
      <c r="J450" s="6">
        <v>0.026477</v>
      </c>
      <c r="K450" s="6">
        <v>0.33881949</v>
      </c>
      <c r="L450" s="6">
        <v>0.26073227</v>
      </c>
      <c r="M450" s="6">
        <v>0.31819849</v>
      </c>
      <c r="N450" s="6">
        <v>0.21943977</v>
      </c>
      <c r="O450" s="6">
        <v>0.21260442</v>
      </c>
      <c r="P450" s="6">
        <v>0.45129079</v>
      </c>
      <c r="Q450" s="6">
        <v>0.40343229</v>
      </c>
      <c r="R450" s="6">
        <v>217.69486</v>
      </c>
      <c r="S450" s="6">
        <v>0.0015564</v>
      </c>
      <c r="T450" s="6">
        <v>169.97573</v>
      </c>
      <c r="U450" s="6">
        <v>0.00153394</v>
      </c>
      <c r="V450" s="6">
        <v>197.11803</v>
      </c>
      <c r="W450" s="6">
        <v>0.00161425</v>
      </c>
      <c r="X450" s="6">
        <v>134.47093</v>
      </c>
      <c r="Y450" s="6">
        <v>0.00163188</v>
      </c>
      <c r="Z450" s="6">
        <v>134.86767</v>
      </c>
      <c r="AA450" s="6">
        <v>0.00157639</v>
      </c>
      <c r="AB450" s="6">
        <v>294.9318</v>
      </c>
      <c r="AC450" s="6">
        <v>0.00153015</v>
      </c>
      <c r="AD450" s="6">
        <v>243.86163</v>
      </c>
      <c r="AE450" s="6">
        <v>0.00165435</v>
      </c>
      <c r="AF450" s="6">
        <v>775</v>
      </c>
      <c r="AG450" s="6">
        <v>-0.0100627</v>
      </c>
      <c r="AH450" s="6">
        <v>-0.00993979</v>
      </c>
      <c r="AI450" s="6">
        <v>-0.01037785</v>
      </c>
      <c r="AJ450" s="6">
        <v>-0.01047342</v>
      </c>
      <c r="AK450" s="6">
        <v>-0.01017186</v>
      </c>
      <c r="AL450" s="6">
        <v>-0.00991905</v>
      </c>
      <c r="AM450" s="6">
        <v>-0.01059503</v>
      </c>
      <c r="AN450" s="6">
        <v>-6.4762184</v>
      </c>
      <c r="AO450" s="6">
        <v>-6.4515561</v>
      </c>
      <c r="AP450" s="6">
        <v>-6.4739881</v>
      </c>
      <c r="AQ450" s="6">
        <v>-6.4253629</v>
      </c>
      <c r="AR450" s="6">
        <v>-6.4020076</v>
      </c>
      <c r="AS450" s="6">
        <v>-6.4618417</v>
      </c>
      <c r="AT450" s="6">
        <v>-6.4506396</v>
      </c>
      <c r="AU450" s="6">
        <v>0.97344833</v>
      </c>
      <c r="AV450" s="6">
        <v>0.96974131</v>
      </c>
      <c r="AW450" s="6">
        <v>0.97311308</v>
      </c>
      <c r="AX450" s="6">
        <v>0.96580418</v>
      </c>
      <c r="AY450" s="6">
        <v>0.96229362</v>
      </c>
      <c r="AZ450" s="6">
        <v>0.97128734</v>
      </c>
      <c r="BA450" s="6">
        <v>0.96960354</v>
      </c>
      <c r="BB450" s="6">
        <v>0.02655167</v>
      </c>
      <c r="BC450" s="6">
        <v>0.03025869</v>
      </c>
      <c r="BD450" s="6">
        <v>0.02688692</v>
      </c>
      <c r="BE450" s="6">
        <v>0.03419582</v>
      </c>
      <c r="BF450" s="6">
        <v>0.03770638</v>
      </c>
      <c r="BG450" s="6">
        <v>0.02871266</v>
      </c>
      <c r="BH450" s="6">
        <v>0.03039646</v>
      </c>
      <c r="BI450" s="6">
        <v>0.21470859</v>
      </c>
      <c r="BJ450" s="6">
        <v>0.12366373</v>
      </c>
      <c r="BK450" s="6">
        <v>0.1409291</v>
      </c>
      <c r="BL450" s="6">
        <v>0.12522516</v>
      </c>
      <c r="BM450" s="6">
        <v>0.1592662</v>
      </c>
      <c r="BN450" s="6">
        <v>0.17561655</v>
      </c>
      <c r="BO450" s="6">
        <v>0.1337285</v>
      </c>
      <c r="BP450" s="6">
        <v>0.14157076</v>
      </c>
      <c r="BQ450" s="6">
        <v>0.04189968</v>
      </c>
      <c r="BR450" s="6">
        <v>0.03674476</v>
      </c>
      <c r="BS450" s="6">
        <v>0.03984646</v>
      </c>
      <c r="BT450" s="6">
        <v>0.03494934</v>
      </c>
      <c r="BU450" s="6">
        <v>0.03733685</v>
      </c>
      <c r="BV450" s="6">
        <v>0.06035044</v>
      </c>
      <c r="BW450" s="6">
        <v>0.05711422</v>
      </c>
      <c r="BX450" s="12">
        <v>24911</v>
      </c>
      <c r="BY450" s="13">
        <v>9815</v>
      </c>
      <c r="BZ450" s="12">
        <v>59132.4</v>
      </c>
      <c r="CA450" s="6">
        <f t="shared" si="42"/>
        <v>2.53805399898115</v>
      </c>
      <c r="CB450" s="6">
        <f t="shared" si="43"/>
        <v>0.421274969390723</v>
      </c>
      <c r="CC450" s="7">
        <v>719423511.7</v>
      </c>
      <c r="CD450" s="7">
        <f t="shared" si="38"/>
        <v>1.21663168026327</v>
      </c>
      <c r="CE450" s="8">
        <v>5075.8</v>
      </c>
      <c r="CF450" s="8">
        <v>56909.7</v>
      </c>
      <c r="CG450" s="8">
        <v>66236.7</v>
      </c>
      <c r="CH450" s="8">
        <v>150487</v>
      </c>
      <c r="CI450" s="14">
        <v>1</v>
      </c>
      <c r="CJ450" s="14">
        <v>0</v>
      </c>
      <c r="CK450" s="14">
        <f t="shared" si="39"/>
        <v>0</v>
      </c>
      <c r="CL450">
        <f t="shared" si="40"/>
        <v>1.2756783895882</v>
      </c>
      <c r="CM450">
        <f t="shared" si="41"/>
        <v>0.0462865168892509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</row>
    <row r="451" spans="1:101">
      <c r="A451" s="6">
        <v>2024</v>
      </c>
      <c r="B451" s="6" t="s">
        <v>117</v>
      </c>
      <c r="C451" s="6">
        <v>0.33128288</v>
      </c>
      <c r="D451" s="6">
        <v>0.052504</v>
      </c>
      <c r="E451" s="6">
        <v>0.013506</v>
      </c>
      <c r="F451" s="6">
        <v>0.024959</v>
      </c>
      <c r="G451" s="6">
        <v>0.008995</v>
      </c>
      <c r="H451" s="6">
        <v>0.00894</v>
      </c>
      <c r="I451" s="6">
        <v>0.051074</v>
      </c>
      <c r="J451" s="6">
        <v>0.028096</v>
      </c>
      <c r="K451" s="6">
        <v>0.36027393</v>
      </c>
      <c r="L451" s="6">
        <v>0.27881739</v>
      </c>
      <c r="M451" s="6">
        <v>0.34069882</v>
      </c>
      <c r="N451" s="6">
        <v>0.23739494</v>
      </c>
      <c r="O451" s="6">
        <v>0.2374144</v>
      </c>
      <c r="P451" s="6">
        <v>0.47908426</v>
      </c>
      <c r="Q451" s="6">
        <v>0.43230962</v>
      </c>
      <c r="R451" s="6">
        <v>217.69486</v>
      </c>
      <c r="S451" s="6">
        <v>0.00165495</v>
      </c>
      <c r="T451" s="6">
        <v>169.97573</v>
      </c>
      <c r="U451" s="6">
        <v>0.00164034</v>
      </c>
      <c r="V451" s="6">
        <v>197.11803</v>
      </c>
      <c r="W451" s="6">
        <v>0.0017284</v>
      </c>
      <c r="X451" s="6">
        <v>134.47093</v>
      </c>
      <c r="Y451" s="6">
        <v>0.0017654</v>
      </c>
      <c r="Z451" s="6">
        <v>134.86767</v>
      </c>
      <c r="AA451" s="6">
        <v>0.00176035</v>
      </c>
      <c r="AB451" s="6">
        <v>294.9318</v>
      </c>
      <c r="AC451" s="6">
        <v>0.00162439</v>
      </c>
      <c r="AD451" s="6">
        <v>243.86163</v>
      </c>
      <c r="AE451" s="6">
        <v>0.00177277</v>
      </c>
      <c r="AF451" s="6">
        <v>775</v>
      </c>
      <c r="AG451" s="6">
        <v>-0.01059827</v>
      </c>
      <c r="AH451" s="6">
        <v>-0.01051924</v>
      </c>
      <c r="AI451" s="6">
        <v>-0.01099359</v>
      </c>
      <c r="AJ451" s="6">
        <v>-0.01119154</v>
      </c>
      <c r="AK451" s="6">
        <v>-0.01116457</v>
      </c>
      <c r="AL451" s="6">
        <v>-0.01043284</v>
      </c>
      <c r="AM451" s="6">
        <v>-0.01123085</v>
      </c>
      <c r="AN451" s="6">
        <v>-6.4762184</v>
      </c>
      <c r="AO451" s="6">
        <v>-6.4515561</v>
      </c>
      <c r="AP451" s="6">
        <v>-6.4739881</v>
      </c>
      <c r="AQ451" s="6">
        <v>-6.4253629</v>
      </c>
      <c r="AR451" s="6">
        <v>-6.4020076</v>
      </c>
      <c r="AS451" s="6">
        <v>-6.4618417</v>
      </c>
      <c r="AT451" s="6">
        <v>-6.4506396</v>
      </c>
      <c r="AU451" s="6">
        <v>0.97344833</v>
      </c>
      <c r="AV451" s="6">
        <v>0.96974131</v>
      </c>
      <c r="AW451" s="6">
        <v>0.97311308</v>
      </c>
      <c r="AX451" s="6">
        <v>0.96580418</v>
      </c>
      <c r="AY451" s="6">
        <v>0.96229362</v>
      </c>
      <c r="AZ451" s="6">
        <v>0.97128734</v>
      </c>
      <c r="BA451" s="6">
        <v>0.96960354</v>
      </c>
      <c r="BB451" s="6">
        <v>0.02655167</v>
      </c>
      <c r="BC451" s="6">
        <v>0.03025869</v>
      </c>
      <c r="BD451" s="6">
        <v>0.02688692</v>
      </c>
      <c r="BE451" s="6">
        <v>0.03419582</v>
      </c>
      <c r="BF451" s="6">
        <v>0.03770638</v>
      </c>
      <c r="BG451" s="6">
        <v>0.02871266</v>
      </c>
      <c r="BH451" s="6">
        <v>0.03039646</v>
      </c>
      <c r="BI451" s="6">
        <v>0.21470859</v>
      </c>
      <c r="BJ451" s="6">
        <v>0.12366373</v>
      </c>
      <c r="BK451" s="6">
        <v>0.1409291</v>
      </c>
      <c r="BL451" s="6">
        <v>0.12522516</v>
      </c>
      <c r="BM451" s="6">
        <v>0.1592662</v>
      </c>
      <c r="BN451" s="6">
        <v>0.17561655</v>
      </c>
      <c r="BO451" s="6">
        <v>0.1337285</v>
      </c>
      <c r="BP451" s="6">
        <v>0.14157076</v>
      </c>
      <c r="BQ451" s="6">
        <v>0.04455282</v>
      </c>
      <c r="BR451" s="6">
        <v>0.03929348</v>
      </c>
      <c r="BS451" s="6">
        <v>0.04266406</v>
      </c>
      <c r="BT451" s="6">
        <v>0.03780899</v>
      </c>
      <c r="BU451" s="6">
        <v>0.0416939</v>
      </c>
      <c r="BV451" s="6">
        <v>0.06406722</v>
      </c>
      <c r="BW451" s="6">
        <v>0.0612024</v>
      </c>
      <c r="BX451" s="12">
        <v>25970</v>
      </c>
      <c r="BY451" s="13">
        <v>9785</v>
      </c>
      <c r="BZ451" s="12">
        <v>63590</v>
      </c>
      <c r="CA451" s="6">
        <f t="shared" si="42"/>
        <v>2.65406234031681</v>
      </c>
      <c r="CB451" s="6">
        <f t="shared" si="43"/>
        <v>0.408397546784086</v>
      </c>
      <c r="CC451" s="7">
        <v>716767972.6</v>
      </c>
      <c r="CD451" s="7">
        <f t="shared" ref="CD451:CD514" si="44">CC451/10000/BZ451</f>
        <v>1.12717089573832</v>
      </c>
      <c r="CE451" s="8">
        <v>5245.2</v>
      </c>
      <c r="CF451" s="8">
        <v>59180.1</v>
      </c>
      <c r="CG451" s="8">
        <v>72582.8</v>
      </c>
      <c r="CH451" s="8">
        <v>160694</v>
      </c>
      <c r="CI451" s="14">
        <v>1</v>
      </c>
      <c r="CJ451" s="14">
        <v>0</v>
      </c>
      <c r="CK451" s="14">
        <f t="shared" ref="CK451:CK514" si="45">CI451*CJ451</f>
        <v>0</v>
      </c>
      <c r="CL451">
        <f t="shared" ref="CL451:CL514" si="46">AVERAGEIF($A:$A,$A451,$CD:$CD)</f>
        <v>1.21200651315194</v>
      </c>
      <c r="CM451">
        <f t="shared" ref="CM451:CM514" si="47">MAX(0,1-CD451/CL451)</f>
        <v>0.0699960078539488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</row>
    <row r="452" spans="1:101">
      <c r="A452" s="6">
        <v>2000</v>
      </c>
      <c r="B452" s="6" t="s">
        <v>118</v>
      </c>
      <c r="C452" s="6">
        <v>0.19255032</v>
      </c>
      <c r="D452" s="6">
        <v>0.036606</v>
      </c>
      <c r="E452" s="6">
        <v>0.009202</v>
      </c>
      <c r="F452" s="6">
        <v>0.016132</v>
      </c>
      <c r="G452" s="6">
        <v>0.005219</v>
      </c>
      <c r="H452" s="6">
        <v>0.006054</v>
      </c>
      <c r="I452" s="6">
        <v>0.033076</v>
      </c>
      <c r="J452" s="6">
        <v>0.015411</v>
      </c>
      <c r="K452" s="6">
        <v>0.23557457</v>
      </c>
      <c r="L452" s="6">
        <v>0.17705732</v>
      </c>
      <c r="M452" s="6">
        <v>0.20502091</v>
      </c>
      <c r="N452" s="6">
        <v>0.12577672</v>
      </c>
      <c r="O452" s="6">
        <v>0.14997508</v>
      </c>
      <c r="P452" s="6">
        <v>0.27862668</v>
      </c>
      <c r="Q452" s="6">
        <v>0.2059858</v>
      </c>
      <c r="R452" s="6">
        <v>217.69486</v>
      </c>
      <c r="S452" s="6">
        <v>0.00108213</v>
      </c>
      <c r="T452" s="6">
        <v>169.97573</v>
      </c>
      <c r="U452" s="6">
        <v>0.00104166</v>
      </c>
      <c r="V452" s="6">
        <v>197.11803</v>
      </c>
      <c r="W452" s="6">
        <v>0.00104009</v>
      </c>
      <c r="X452" s="6">
        <v>134.47093</v>
      </c>
      <c r="Y452" s="6">
        <v>0.00093535</v>
      </c>
      <c r="Z452" s="6">
        <v>134.86767</v>
      </c>
      <c r="AA452" s="6">
        <v>0.00111202</v>
      </c>
      <c r="AB452" s="6">
        <v>294.9318</v>
      </c>
      <c r="AC452" s="6">
        <v>0.00094472</v>
      </c>
      <c r="AD452" s="6">
        <v>243.86163</v>
      </c>
      <c r="AE452" s="6">
        <v>0.00084468</v>
      </c>
      <c r="AF452" s="6">
        <v>775</v>
      </c>
      <c r="AG452" s="6">
        <v>-0.00738969</v>
      </c>
      <c r="AH452" s="6">
        <v>-0.00715303</v>
      </c>
      <c r="AI452" s="6">
        <v>-0.00714382</v>
      </c>
      <c r="AJ452" s="6">
        <v>-0.00652365</v>
      </c>
      <c r="AK452" s="6">
        <v>-0.00756347</v>
      </c>
      <c r="AL452" s="6">
        <v>-0.00657959</v>
      </c>
      <c r="AM452" s="6">
        <v>-0.00597744</v>
      </c>
      <c r="AN452" s="6">
        <v>-6.4762184</v>
      </c>
      <c r="AO452" s="6">
        <v>-6.4515561</v>
      </c>
      <c r="AP452" s="6">
        <v>-6.4739881</v>
      </c>
      <c r="AQ452" s="6">
        <v>-6.4253629</v>
      </c>
      <c r="AR452" s="6">
        <v>-6.4020076</v>
      </c>
      <c r="AS452" s="6">
        <v>-6.4618417</v>
      </c>
      <c r="AT452" s="6">
        <v>-6.4506396</v>
      </c>
      <c r="AU452" s="6">
        <v>0.97344833</v>
      </c>
      <c r="AV452" s="6">
        <v>0.96974131</v>
      </c>
      <c r="AW452" s="6">
        <v>0.97311308</v>
      </c>
      <c r="AX452" s="6">
        <v>0.96580418</v>
      </c>
      <c r="AY452" s="6">
        <v>0.96229362</v>
      </c>
      <c r="AZ452" s="6">
        <v>0.97128734</v>
      </c>
      <c r="BA452" s="6">
        <v>0.96960354</v>
      </c>
      <c r="BB452" s="6">
        <v>0.02655167</v>
      </c>
      <c r="BC452" s="6">
        <v>0.03025869</v>
      </c>
      <c r="BD452" s="6">
        <v>0.02688692</v>
      </c>
      <c r="BE452" s="6">
        <v>0.03419582</v>
      </c>
      <c r="BF452" s="6">
        <v>0.03770638</v>
      </c>
      <c r="BG452" s="6">
        <v>0.02871266</v>
      </c>
      <c r="BH452" s="6">
        <v>0.03039646</v>
      </c>
      <c r="BI452" s="6">
        <v>0.21470859</v>
      </c>
      <c r="BJ452" s="6">
        <v>0.12366373</v>
      </c>
      <c r="BK452" s="6">
        <v>0.1409291</v>
      </c>
      <c r="BL452" s="6">
        <v>0.12522516</v>
      </c>
      <c r="BM452" s="6">
        <v>0.1592662</v>
      </c>
      <c r="BN452" s="6">
        <v>0.17561655</v>
      </c>
      <c r="BO452" s="6">
        <v>0.1337285</v>
      </c>
      <c r="BP452" s="6">
        <v>0.14157076</v>
      </c>
      <c r="BQ452" s="6">
        <v>0.02913203</v>
      </c>
      <c r="BR452" s="6">
        <v>0.02495253</v>
      </c>
      <c r="BS452" s="6">
        <v>0.02567378</v>
      </c>
      <c r="BT452" s="6">
        <v>0.02003198</v>
      </c>
      <c r="BU452" s="6">
        <v>0.02633811</v>
      </c>
      <c r="BV452" s="6">
        <v>0.03726033</v>
      </c>
      <c r="BW452" s="6">
        <v>0.02916157</v>
      </c>
      <c r="BX452" s="12">
        <v>6560</v>
      </c>
      <c r="BY452" s="13">
        <v>4679.91</v>
      </c>
      <c r="BZ452" s="12">
        <v>6036.34</v>
      </c>
      <c r="CA452" s="6">
        <f t="shared" si="42"/>
        <v>1.40173635817783</v>
      </c>
      <c r="CB452" s="6">
        <f t="shared" si="43"/>
        <v>1.08675124330306</v>
      </c>
      <c r="CC452" s="7">
        <v>118554334.5</v>
      </c>
      <c r="CD452" s="7">
        <f t="shared" si="44"/>
        <v>1.96401021976893</v>
      </c>
      <c r="CE452" s="8">
        <v>46</v>
      </c>
      <c r="CF452" s="8">
        <v>121.4</v>
      </c>
      <c r="CG452" s="8">
        <v>127.6</v>
      </c>
      <c r="CH452" s="8">
        <v>5376</v>
      </c>
      <c r="CI452" s="14">
        <v>0</v>
      </c>
      <c r="CJ452" s="14">
        <v>1</v>
      </c>
      <c r="CK452" s="14">
        <f t="shared" si="45"/>
        <v>0</v>
      </c>
      <c r="CL452">
        <f t="shared" si="46"/>
        <v>4.53658228674969</v>
      </c>
      <c r="CM452">
        <f t="shared" si="47"/>
        <v>0.567072722232913</v>
      </c>
      <c r="CN452" s="15">
        <v>6560.37</v>
      </c>
      <c r="CO452" s="15">
        <v>5384.82</v>
      </c>
      <c r="CP452" s="15">
        <v>117.46</v>
      </c>
      <c r="CQ452" s="15">
        <v>1112.48</v>
      </c>
      <c r="CR452" s="15">
        <v>196.19</v>
      </c>
      <c r="CS452" s="15">
        <v>11.25</v>
      </c>
      <c r="CT452" s="15">
        <v>434.22</v>
      </c>
      <c r="CU452" s="15">
        <v>182.52</v>
      </c>
      <c r="CV452">
        <v>0</v>
      </c>
      <c r="CW452" s="15">
        <v>738.05</v>
      </c>
    </row>
    <row r="453" spans="1:101">
      <c r="A453" s="6">
        <v>2001</v>
      </c>
      <c r="B453" s="6" t="s">
        <v>118</v>
      </c>
      <c r="C453" s="6">
        <v>0.17477533</v>
      </c>
      <c r="D453" s="6">
        <v>0.031236</v>
      </c>
      <c r="E453" s="6">
        <v>0.008083</v>
      </c>
      <c r="F453" s="6">
        <v>0.014631</v>
      </c>
      <c r="G453" s="6">
        <v>0.004813</v>
      </c>
      <c r="H453" s="6">
        <v>0.003709</v>
      </c>
      <c r="I453" s="6">
        <v>0.035434</v>
      </c>
      <c r="J453" s="6">
        <v>0.017362</v>
      </c>
      <c r="K453" s="6">
        <v>0.19345238</v>
      </c>
      <c r="L453" s="6">
        <v>0.15060955</v>
      </c>
      <c r="M453" s="6">
        <v>0.18195672</v>
      </c>
      <c r="N453" s="6">
        <v>0.11378921</v>
      </c>
      <c r="O453" s="6">
        <v>0.07890686</v>
      </c>
      <c r="P453" s="6">
        <v>0.30488803</v>
      </c>
      <c r="Q453" s="6">
        <v>0.24079203</v>
      </c>
      <c r="R453" s="6">
        <v>217.69486</v>
      </c>
      <c r="S453" s="6">
        <v>0.00088864</v>
      </c>
      <c r="T453" s="6">
        <v>169.97573</v>
      </c>
      <c r="U453" s="6">
        <v>0.00088607</v>
      </c>
      <c r="V453" s="6">
        <v>197.11803</v>
      </c>
      <c r="W453" s="6">
        <v>0.00092309</v>
      </c>
      <c r="X453" s="6">
        <v>134.47093</v>
      </c>
      <c r="Y453" s="6">
        <v>0.0008462</v>
      </c>
      <c r="Z453" s="6">
        <v>134.86767</v>
      </c>
      <c r="AA453" s="6">
        <v>0.00058507</v>
      </c>
      <c r="AB453" s="6">
        <v>294.9318</v>
      </c>
      <c r="AC453" s="6">
        <v>0.00103376</v>
      </c>
      <c r="AD453" s="6">
        <v>243.86163</v>
      </c>
      <c r="AE453" s="6">
        <v>0.00098741</v>
      </c>
      <c r="AF453" s="6">
        <v>775</v>
      </c>
      <c r="AG453" s="6">
        <v>-0.00624342</v>
      </c>
      <c r="AH453" s="6">
        <v>-0.0062279</v>
      </c>
      <c r="AI453" s="6">
        <v>-0.00645032</v>
      </c>
      <c r="AJ453" s="6">
        <v>-0.00598665</v>
      </c>
      <c r="AK453" s="6">
        <v>-0.00435512</v>
      </c>
      <c r="AL453" s="6">
        <v>-0.00710662</v>
      </c>
      <c r="AM453" s="6">
        <v>-0.00683331</v>
      </c>
      <c r="AN453" s="6">
        <v>-6.4762184</v>
      </c>
      <c r="AO453" s="6">
        <v>-6.4515561</v>
      </c>
      <c r="AP453" s="6">
        <v>-6.4739881</v>
      </c>
      <c r="AQ453" s="6">
        <v>-6.4253629</v>
      </c>
      <c r="AR453" s="6">
        <v>-6.4020076</v>
      </c>
      <c r="AS453" s="6">
        <v>-6.4618417</v>
      </c>
      <c r="AT453" s="6">
        <v>-6.4506396</v>
      </c>
      <c r="AU453" s="6">
        <v>0.97344833</v>
      </c>
      <c r="AV453" s="6">
        <v>0.96974131</v>
      </c>
      <c r="AW453" s="6">
        <v>0.97311308</v>
      </c>
      <c r="AX453" s="6">
        <v>0.96580418</v>
      </c>
      <c r="AY453" s="6">
        <v>0.96229362</v>
      </c>
      <c r="AZ453" s="6">
        <v>0.97128734</v>
      </c>
      <c r="BA453" s="6">
        <v>0.96960354</v>
      </c>
      <c r="BB453" s="6">
        <v>0.02655167</v>
      </c>
      <c r="BC453" s="6">
        <v>0.03025869</v>
      </c>
      <c r="BD453" s="6">
        <v>0.02688692</v>
      </c>
      <c r="BE453" s="6">
        <v>0.03419582</v>
      </c>
      <c r="BF453" s="6">
        <v>0.03770638</v>
      </c>
      <c r="BG453" s="6">
        <v>0.02871266</v>
      </c>
      <c r="BH453" s="6">
        <v>0.03039646</v>
      </c>
      <c r="BI453" s="6">
        <v>0.21470859</v>
      </c>
      <c r="BJ453" s="6">
        <v>0.12366373</v>
      </c>
      <c r="BK453" s="6">
        <v>0.1409291</v>
      </c>
      <c r="BL453" s="6">
        <v>0.12522516</v>
      </c>
      <c r="BM453" s="6">
        <v>0.1592662</v>
      </c>
      <c r="BN453" s="6">
        <v>0.17561655</v>
      </c>
      <c r="BO453" s="6">
        <v>0.1337285</v>
      </c>
      <c r="BP453" s="6">
        <v>0.14157076</v>
      </c>
      <c r="BQ453" s="6">
        <v>0.02392304</v>
      </c>
      <c r="BR453" s="6">
        <v>0.02122527</v>
      </c>
      <c r="BS453" s="6">
        <v>0.02278556</v>
      </c>
      <c r="BT453" s="6">
        <v>0.01812278</v>
      </c>
      <c r="BU453" s="6">
        <v>0.01385735</v>
      </c>
      <c r="BV453" s="6">
        <v>0.04077222</v>
      </c>
      <c r="BW453" s="6">
        <v>0.03408911</v>
      </c>
      <c r="BX453" s="12">
        <v>6530</v>
      </c>
      <c r="BY453" s="13">
        <v>4728.8</v>
      </c>
      <c r="BZ453" s="12">
        <v>6898.33884</v>
      </c>
      <c r="CA453" s="6">
        <f t="shared" si="42"/>
        <v>1.38090001691761</v>
      </c>
      <c r="CB453" s="6">
        <f t="shared" si="43"/>
        <v>0.946604704619004</v>
      </c>
      <c r="CC453" s="7">
        <v>125957927.8</v>
      </c>
      <c r="CD453" s="7">
        <f t="shared" si="44"/>
        <v>1.82591679999297</v>
      </c>
      <c r="CE453" s="8">
        <v>49.7</v>
      </c>
      <c r="CF453" s="8">
        <v>135.9</v>
      </c>
      <c r="CG453" s="8">
        <v>151.9</v>
      </c>
      <c r="CH453" s="8">
        <v>6039</v>
      </c>
      <c r="CI453" s="14">
        <v>0</v>
      </c>
      <c r="CJ453" s="14">
        <v>1</v>
      </c>
      <c r="CK453" s="14">
        <f t="shared" si="45"/>
        <v>0</v>
      </c>
      <c r="CL453">
        <f t="shared" si="46"/>
        <v>4.16809156222866</v>
      </c>
      <c r="CM453">
        <f t="shared" si="47"/>
        <v>0.561929777037657</v>
      </c>
      <c r="CN453" s="15">
        <v>6530</v>
      </c>
      <c r="CO453" s="15">
        <v>5527</v>
      </c>
      <c r="CP453" s="15">
        <v>108.64</v>
      </c>
      <c r="CQ453" s="15">
        <v>1123.85</v>
      </c>
      <c r="CR453" s="15">
        <v>212.87</v>
      </c>
      <c r="CS453" s="15">
        <v>9.92</v>
      </c>
      <c r="CT453" s="15">
        <v>471.67</v>
      </c>
      <c r="CU453" s="15">
        <v>193.19</v>
      </c>
      <c r="CV453">
        <v>0</v>
      </c>
      <c r="CW453" s="15">
        <v>855.29</v>
      </c>
    </row>
    <row r="454" spans="1:101">
      <c r="A454" s="6">
        <v>2002</v>
      </c>
      <c r="B454" s="6" t="s">
        <v>118</v>
      </c>
      <c r="C454" s="6">
        <v>0.18305342</v>
      </c>
      <c r="D454" s="6">
        <v>0.032614</v>
      </c>
      <c r="E454" s="6">
        <v>0.007675</v>
      </c>
      <c r="F454" s="6">
        <v>0.015018</v>
      </c>
      <c r="G454" s="6">
        <v>0.005032</v>
      </c>
      <c r="H454" s="6">
        <v>0.00489</v>
      </c>
      <c r="I454" s="6">
        <v>0.035551</v>
      </c>
      <c r="J454" s="6">
        <v>0.017391</v>
      </c>
      <c r="K454" s="6">
        <v>0.20425769</v>
      </c>
      <c r="L454" s="6">
        <v>0.14095805</v>
      </c>
      <c r="M454" s="6">
        <v>0.1879024</v>
      </c>
      <c r="N454" s="6">
        <v>0.12024827</v>
      </c>
      <c r="O454" s="6">
        <v>0.11467789</v>
      </c>
      <c r="P454" s="6">
        <v>0.30618555</v>
      </c>
      <c r="Q454" s="6">
        <v>0.2413097</v>
      </c>
      <c r="R454" s="6">
        <v>217.69486</v>
      </c>
      <c r="S454" s="6">
        <v>0.00093828</v>
      </c>
      <c r="T454" s="6">
        <v>169.97573</v>
      </c>
      <c r="U454" s="6">
        <v>0.00082928</v>
      </c>
      <c r="V454" s="6">
        <v>197.11803</v>
      </c>
      <c r="W454" s="6">
        <v>0.00095325</v>
      </c>
      <c r="X454" s="6">
        <v>134.47093</v>
      </c>
      <c r="Y454" s="6">
        <v>0.00089423</v>
      </c>
      <c r="Z454" s="6">
        <v>134.86767</v>
      </c>
      <c r="AA454" s="6">
        <v>0.0008503</v>
      </c>
      <c r="AB454" s="6">
        <v>294.9318</v>
      </c>
      <c r="AC454" s="6">
        <v>0.00103816</v>
      </c>
      <c r="AD454" s="6">
        <v>243.86163</v>
      </c>
      <c r="AE454" s="6">
        <v>0.00098954</v>
      </c>
      <c r="AF454" s="6">
        <v>775</v>
      </c>
      <c r="AG454" s="6">
        <v>-0.00654115</v>
      </c>
      <c r="AH454" s="6">
        <v>-0.00588372</v>
      </c>
      <c r="AI454" s="6">
        <v>-0.00663045</v>
      </c>
      <c r="AJ454" s="6">
        <v>-0.0062771</v>
      </c>
      <c r="AK454" s="6">
        <v>-0.00601155</v>
      </c>
      <c r="AL454" s="6">
        <v>-0.00713246</v>
      </c>
      <c r="AM454" s="6">
        <v>-0.00684588</v>
      </c>
      <c r="AN454" s="6">
        <v>-6.4762184</v>
      </c>
      <c r="AO454" s="6">
        <v>-6.4515561</v>
      </c>
      <c r="AP454" s="6">
        <v>-6.4739881</v>
      </c>
      <c r="AQ454" s="6">
        <v>-6.4253629</v>
      </c>
      <c r="AR454" s="6">
        <v>-6.4020076</v>
      </c>
      <c r="AS454" s="6">
        <v>-6.4618417</v>
      </c>
      <c r="AT454" s="6">
        <v>-6.4506396</v>
      </c>
      <c r="AU454" s="6">
        <v>0.97344833</v>
      </c>
      <c r="AV454" s="6">
        <v>0.96974131</v>
      </c>
      <c r="AW454" s="6">
        <v>0.97311308</v>
      </c>
      <c r="AX454" s="6">
        <v>0.96580418</v>
      </c>
      <c r="AY454" s="6">
        <v>0.96229362</v>
      </c>
      <c r="AZ454" s="6">
        <v>0.97128734</v>
      </c>
      <c r="BA454" s="6">
        <v>0.96960354</v>
      </c>
      <c r="BB454" s="6">
        <v>0.02655167</v>
      </c>
      <c r="BC454" s="6">
        <v>0.03025869</v>
      </c>
      <c r="BD454" s="6">
        <v>0.02688692</v>
      </c>
      <c r="BE454" s="6">
        <v>0.03419582</v>
      </c>
      <c r="BF454" s="6">
        <v>0.03770638</v>
      </c>
      <c r="BG454" s="6">
        <v>0.02871266</v>
      </c>
      <c r="BH454" s="6">
        <v>0.03039646</v>
      </c>
      <c r="BI454" s="6">
        <v>0.21470859</v>
      </c>
      <c r="BJ454" s="6">
        <v>0.12366373</v>
      </c>
      <c r="BK454" s="6">
        <v>0.1409291</v>
      </c>
      <c r="BL454" s="6">
        <v>0.12522516</v>
      </c>
      <c r="BM454" s="6">
        <v>0.1592662</v>
      </c>
      <c r="BN454" s="6">
        <v>0.17561655</v>
      </c>
      <c r="BO454" s="6">
        <v>0.1337285</v>
      </c>
      <c r="BP454" s="6">
        <v>0.14157076</v>
      </c>
      <c r="BQ454" s="6">
        <v>0.02525927</v>
      </c>
      <c r="BR454" s="6">
        <v>0.01986509</v>
      </c>
      <c r="BS454" s="6">
        <v>0.02353011</v>
      </c>
      <c r="BT454" s="6">
        <v>0.01915149</v>
      </c>
      <c r="BU454" s="6">
        <v>0.02013934</v>
      </c>
      <c r="BV454" s="6">
        <v>0.04094573</v>
      </c>
      <c r="BW454" s="6">
        <v>0.0341624</v>
      </c>
      <c r="BX454" s="12">
        <v>8280</v>
      </c>
      <c r="BY454" s="13">
        <v>4776.4</v>
      </c>
      <c r="BZ454" s="12">
        <v>8003.66999</v>
      </c>
      <c r="CA454" s="6">
        <f t="shared" si="42"/>
        <v>1.73352315551461</v>
      </c>
      <c r="CB454" s="6">
        <f t="shared" si="43"/>
        <v>1.03452541276005</v>
      </c>
      <c r="CC454" s="7">
        <v>134737669.7</v>
      </c>
      <c r="CD454" s="7">
        <f t="shared" si="44"/>
        <v>1.68344859131305</v>
      </c>
      <c r="CE454" s="8">
        <v>53</v>
      </c>
      <c r="CF454" s="8">
        <v>153.1</v>
      </c>
      <c r="CG454" s="8">
        <v>171.1</v>
      </c>
      <c r="CH454" s="8">
        <v>6647</v>
      </c>
      <c r="CI454" s="14">
        <v>0</v>
      </c>
      <c r="CJ454" s="14">
        <v>1</v>
      </c>
      <c r="CK454" s="14">
        <f t="shared" si="45"/>
        <v>0</v>
      </c>
      <c r="CL454">
        <f t="shared" si="46"/>
        <v>4.06804884448575</v>
      </c>
      <c r="CM454">
        <f t="shared" si="47"/>
        <v>0.586177881419746</v>
      </c>
      <c r="CN454" s="15">
        <v>8280</v>
      </c>
      <c r="CO454" s="15">
        <v>6595</v>
      </c>
      <c r="CP454" s="15">
        <v>125.56</v>
      </c>
      <c r="CQ454" s="15">
        <v>1241.04</v>
      </c>
      <c r="CR454" s="15">
        <v>231.44</v>
      </c>
      <c r="CS454" s="15">
        <v>9.37</v>
      </c>
      <c r="CT454" s="15">
        <v>502.15</v>
      </c>
      <c r="CU454" s="15">
        <v>192.42</v>
      </c>
      <c r="CV454">
        <v>0</v>
      </c>
      <c r="CW454" s="15">
        <v>1015.84</v>
      </c>
    </row>
    <row r="455" spans="1:101">
      <c r="A455" s="6">
        <v>2003</v>
      </c>
      <c r="B455" s="6" t="s">
        <v>118</v>
      </c>
      <c r="C455" s="6">
        <v>0.23189395</v>
      </c>
      <c r="D455" s="6">
        <v>0.038869</v>
      </c>
      <c r="E455" s="6">
        <v>0.009187</v>
      </c>
      <c r="F455" s="6">
        <v>0.016916</v>
      </c>
      <c r="G455" s="6">
        <v>0.005825</v>
      </c>
      <c r="H455" s="6">
        <v>0.006941</v>
      </c>
      <c r="I455" s="6">
        <v>0.042133</v>
      </c>
      <c r="J455" s="6">
        <v>0.0212</v>
      </c>
      <c r="K455" s="6">
        <v>0.25332594</v>
      </c>
      <c r="L455" s="6">
        <v>0.17671119</v>
      </c>
      <c r="M455" s="6">
        <v>0.21708101</v>
      </c>
      <c r="N455" s="6">
        <v>0.14369004</v>
      </c>
      <c r="O455" s="6">
        <v>0.17685502</v>
      </c>
      <c r="P455" s="6">
        <v>0.37950566</v>
      </c>
      <c r="Q455" s="6">
        <v>0.3092772</v>
      </c>
      <c r="R455" s="6">
        <v>217.69486</v>
      </c>
      <c r="S455" s="6">
        <v>0.00116367</v>
      </c>
      <c r="T455" s="6">
        <v>169.97573</v>
      </c>
      <c r="U455" s="6">
        <v>0.00103963</v>
      </c>
      <c r="V455" s="6">
        <v>197.11803</v>
      </c>
      <c r="W455" s="6">
        <v>0.00110127</v>
      </c>
      <c r="X455" s="6">
        <v>134.47093</v>
      </c>
      <c r="Y455" s="6">
        <v>0.00106856</v>
      </c>
      <c r="Z455" s="6">
        <v>134.86767</v>
      </c>
      <c r="AA455" s="6">
        <v>0.00131132</v>
      </c>
      <c r="AB455" s="6">
        <v>294.9318</v>
      </c>
      <c r="AC455" s="6">
        <v>0.00128676</v>
      </c>
      <c r="AD455" s="6">
        <v>243.86163</v>
      </c>
      <c r="AE455" s="6">
        <v>0.00126825</v>
      </c>
      <c r="AF455" s="6">
        <v>775</v>
      </c>
      <c r="AG455" s="6">
        <v>-0.00786199</v>
      </c>
      <c r="AH455" s="6">
        <v>-0.00714108</v>
      </c>
      <c r="AI455" s="6">
        <v>-0.0075011</v>
      </c>
      <c r="AJ455" s="6">
        <v>-0.00731048</v>
      </c>
      <c r="AK455" s="6">
        <v>-0.00870288</v>
      </c>
      <c r="AL455" s="6">
        <v>-0.00856418</v>
      </c>
      <c r="AM455" s="6">
        <v>-0.00845937</v>
      </c>
      <c r="AN455" s="6">
        <v>-6.4762184</v>
      </c>
      <c r="AO455" s="6">
        <v>-6.4515561</v>
      </c>
      <c r="AP455" s="6">
        <v>-6.4739881</v>
      </c>
      <c r="AQ455" s="6">
        <v>-6.4253629</v>
      </c>
      <c r="AR455" s="6">
        <v>-6.4020076</v>
      </c>
      <c r="AS455" s="6">
        <v>-6.4618417</v>
      </c>
      <c r="AT455" s="6">
        <v>-6.4506396</v>
      </c>
      <c r="AU455" s="6">
        <v>0.97344833</v>
      </c>
      <c r="AV455" s="6">
        <v>0.96974131</v>
      </c>
      <c r="AW455" s="6">
        <v>0.97311308</v>
      </c>
      <c r="AX455" s="6">
        <v>0.96580418</v>
      </c>
      <c r="AY455" s="6">
        <v>0.96229362</v>
      </c>
      <c r="AZ455" s="6">
        <v>0.97128734</v>
      </c>
      <c r="BA455" s="6">
        <v>0.96960354</v>
      </c>
      <c r="BB455" s="6">
        <v>0.02655167</v>
      </c>
      <c r="BC455" s="6">
        <v>0.03025869</v>
      </c>
      <c r="BD455" s="6">
        <v>0.02688692</v>
      </c>
      <c r="BE455" s="6">
        <v>0.03419582</v>
      </c>
      <c r="BF455" s="6">
        <v>0.03770638</v>
      </c>
      <c r="BG455" s="6">
        <v>0.02871266</v>
      </c>
      <c r="BH455" s="6">
        <v>0.03039646</v>
      </c>
      <c r="BI455" s="6">
        <v>0.21470859</v>
      </c>
      <c r="BJ455" s="6">
        <v>0.12366373</v>
      </c>
      <c r="BK455" s="6">
        <v>0.1409291</v>
      </c>
      <c r="BL455" s="6">
        <v>0.12522516</v>
      </c>
      <c r="BM455" s="6">
        <v>0.1592662</v>
      </c>
      <c r="BN455" s="6">
        <v>0.17561655</v>
      </c>
      <c r="BO455" s="6">
        <v>0.1337285</v>
      </c>
      <c r="BP455" s="6">
        <v>0.14157076</v>
      </c>
      <c r="BQ455" s="6">
        <v>0.03132723</v>
      </c>
      <c r="BR455" s="6">
        <v>0.02490375</v>
      </c>
      <c r="BS455" s="6">
        <v>0.027184</v>
      </c>
      <c r="BT455" s="6">
        <v>0.02288497</v>
      </c>
      <c r="BU455" s="6">
        <v>0.03105867</v>
      </c>
      <c r="BV455" s="6">
        <v>0.05075072</v>
      </c>
      <c r="BW455" s="6">
        <v>0.04378461</v>
      </c>
      <c r="BX455" s="12">
        <v>9523</v>
      </c>
      <c r="BY455" s="13">
        <v>4856.8</v>
      </c>
      <c r="BZ455" s="12">
        <v>9705.02</v>
      </c>
      <c r="CA455" s="6">
        <f t="shared" si="42"/>
        <v>1.96075605336847</v>
      </c>
      <c r="CB455" s="6">
        <f t="shared" si="43"/>
        <v>0.981244757867578</v>
      </c>
      <c r="CC455" s="7">
        <v>156963524.2</v>
      </c>
      <c r="CD455" s="7">
        <f t="shared" si="44"/>
        <v>1.61734364483535</v>
      </c>
      <c r="CE455" s="8">
        <v>55.6</v>
      </c>
      <c r="CF455" s="8">
        <v>191.8</v>
      </c>
      <c r="CG455" s="8">
        <v>195.2</v>
      </c>
      <c r="CH455" s="8">
        <v>7686</v>
      </c>
      <c r="CI455" s="14">
        <v>0</v>
      </c>
      <c r="CJ455" s="14">
        <v>1</v>
      </c>
      <c r="CK455" s="14">
        <f t="shared" si="45"/>
        <v>0</v>
      </c>
      <c r="CL455">
        <f t="shared" si="46"/>
        <v>4.08414499624993</v>
      </c>
      <c r="CM455">
        <f t="shared" si="47"/>
        <v>0.603994557901251</v>
      </c>
      <c r="CN455" s="15">
        <v>9522.56</v>
      </c>
      <c r="CO455" s="15">
        <v>7266.69</v>
      </c>
      <c r="CP455" s="15">
        <v>126.93</v>
      </c>
      <c r="CQ455" s="15">
        <v>1425.16</v>
      </c>
      <c r="CR455" s="15">
        <v>262.15</v>
      </c>
      <c r="CS455" s="15">
        <v>10.4</v>
      </c>
      <c r="CT455" s="15">
        <v>569.98</v>
      </c>
      <c r="CU455" s="15">
        <v>261.6</v>
      </c>
      <c r="CV455">
        <v>0</v>
      </c>
      <c r="CW455" s="15">
        <v>1240.35</v>
      </c>
    </row>
    <row r="456" spans="1:101">
      <c r="A456" s="6">
        <v>2004</v>
      </c>
      <c r="B456" s="6" t="s">
        <v>118</v>
      </c>
      <c r="C456" s="6">
        <v>0.20785352</v>
      </c>
      <c r="D456" s="6">
        <v>0.034528</v>
      </c>
      <c r="E456" s="6">
        <v>0.008697</v>
      </c>
      <c r="F456" s="6">
        <v>0.014963</v>
      </c>
      <c r="G456" s="6">
        <v>0.005346</v>
      </c>
      <c r="H456" s="6">
        <v>0.005523</v>
      </c>
      <c r="I456" s="6">
        <v>0.041694</v>
      </c>
      <c r="J456" s="6">
        <v>0.019626</v>
      </c>
      <c r="K456" s="6">
        <v>0.21927402</v>
      </c>
      <c r="L456" s="6">
        <v>0.16511235</v>
      </c>
      <c r="M456" s="6">
        <v>0.18706526</v>
      </c>
      <c r="N456" s="6">
        <v>0.12953592</v>
      </c>
      <c r="O456" s="6">
        <v>0.13386017</v>
      </c>
      <c r="P456" s="6">
        <v>0.37461089</v>
      </c>
      <c r="Q456" s="6">
        <v>0.2811877</v>
      </c>
      <c r="R456" s="6">
        <v>217.69486</v>
      </c>
      <c r="S456" s="6">
        <v>0.00100725</v>
      </c>
      <c r="T456" s="6">
        <v>169.97573</v>
      </c>
      <c r="U456" s="6">
        <v>0.00097139</v>
      </c>
      <c r="V456" s="6">
        <v>197.11803</v>
      </c>
      <c r="W456" s="6">
        <v>0.000949</v>
      </c>
      <c r="X456" s="6">
        <v>134.47093</v>
      </c>
      <c r="Y456" s="6">
        <v>0.0009633</v>
      </c>
      <c r="Z456" s="6">
        <v>134.86767</v>
      </c>
      <c r="AA456" s="6">
        <v>0.00099253</v>
      </c>
      <c r="AB456" s="6">
        <v>294.9318</v>
      </c>
      <c r="AC456" s="6">
        <v>0.00127016</v>
      </c>
      <c r="AD456" s="6">
        <v>243.86163</v>
      </c>
      <c r="AE456" s="6">
        <v>0.00115306</v>
      </c>
      <c r="AF456" s="6">
        <v>775</v>
      </c>
      <c r="AG456" s="6">
        <v>-0.00695058</v>
      </c>
      <c r="AH456" s="6">
        <v>-0.00673831</v>
      </c>
      <c r="AI456" s="6">
        <v>-0.00660514</v>
      </c>
      <c r="AJ456" s="6">
        <v>-0.00669026</v>
      </c>
      <c r="AK456" s="6">
        <v>-0.00686359</v>
      </c>
      <c r="AL456" s="6">
        <v>-0.00847021</v>
      </c>
      <c r="AM456" s="6">
        <v>-0.00780085</v>
      </c>
      <c r="AN456" s="6">
        <v>-6.4762184</v>
      </c>
      <c r="AO456" s="6">
        <v>-6.4515561</v>
      </c>
      <c r="AP456" s="6">
        <v>-6.4739881</v>
      </c>
      <c r="AQ456" s="6">
        <v>-6.4253629</v>
      </c>
      <c r="AR456" s="6">
        <v>-6.4020076</v>
      </c>
      <c r="AS456" s="6">
        <v>-6.4618417</v>
      </c>
      <c r="AT456" s="6">
        <v>-6.4506396</v>
      </c>
      <c r="AU456" s="6">
        <v>0.97344833</v>
      </c>
      <c r="AV456" s="6">
        <v>0.96974131</v>
      </c>
      <c r="AW456" s="6">
        <v>0.97311308</v>
      </c>
      <c r="AX456" s="6">
        <v>0.96580418</v>
      </c>
      <c r="AY456" s="6">
        <v>0.96229362</v>
      </c>
      <c r="AZ456" s="6">
        <v>0.97128734</v>
      </c>
      <c r="BA456" s="6">
        <v>0.96960354</v>
      </c>
      <c r="BB456" s="6">
        <v>0.02655167</v>
      </c>
      <c r="BC456" s="6">
        <v>0.03025869</v>
      </c>
      <c r="BD456" s="6">
        <v>0.02688692</v>
      </c>
      <c r="BE456" s="6">
        <v>0.03419582</v>
      </c>
      <c r="BF456" s="6">
        <v>0.03770638</v>
      </c>
      <c r="BG456" s="6">
        <v>0.02871266</v>
      </c>
      <c r="BH456" s="6">
        <v>0.03039646</v>
      </c>
      <c r="BI456" s="6">
        <v>0.21470859</v>
      </c>
      <c r="BJ456" s="6">
        <v>0.12366373</v>
      </c>
      <c r="BK456" s="6">
        <v>0.1409291</v>
      </c>
      <c r="BL456" s="6">
        <v>0.12522516</v>
      </c>
      <c r="BM456" s="6">
        <v>0.1592662</v>
      </c>
      <c r="BN456" s="6">
        <v>0.17561655</v>
      </c>
      <c r="BO456" s="6">
        <v>0.1337285</v>
      </c>
      <c r="BP456" s="6">
        <v>0.14157076</v>
      </c>
      <c r="BQ456" s="6">
        <v>0.02711624</v>
      </c>
      <c r="BR456" s="6">
        <v>0.02326913</v>
      </c>
      <c r="BS456" s="6">
        <v>0.02342528</v>
      </c>
      <c r="BT456" s="6">
        <v>0.02063069</v>
      </c>
      <c r="BU456" s="6">
        <v>0.02350806</v>
      </c>
      <c r="BV456" s="6">
        <v>0.05009615</v>
      </c>
      <c r="BW456" s="6">
        <v>0.03980796</v>
      </c>
      <c r="BX456" s="12">
        <v>10825</v>
      </c>
      <c r="BY456" s="13">
        <v>4925.2</v>
      </c>
      <c r="BZ456" s="12">
        <v>11648.7</v>
      </c>
      <c r="CA456" s="6">
        <f t="shared" si="42"/>
        <v>2.19788028912531</v>
      </c>
      <c r="CB456" s="6">
        <f t="shared" si="43"/>
        <v>0.929288246757149</v>
      </c>
      <c r="CC456" s="7">
        <v>183858196.8</v>
      </c>
      <c r="CD456" s="7">
        <f t="shared" si="44"/>
        <v>1.57835807257462</v>
      </c>
      <c r="CE456" s="8">
        <v>65.3</v>
      </c>
      <c r="CF456" s="8">
        <v>232.6</v>
      </c>
      <c r="CG456" s="8">
        <v>222</v>
      </c>
      <c r="CH456" s="8">
        <v>8904</v>
      </c>
      <c r="CI456" s="14">
        <v>0</v>
      </c>
      <c r="CJ456" s="14">
        <v>1</v>
      </c>
      <c r="CK456" s="14">
        <f t="shared" si="45"/>
        <v>0</v>
      </c>
      <c r="CL456">
        <f t="shared" si="46"/>
        <v>3.89549779892895</v>
      </c>
      <c r="CM456">
        <f t="shared" si="47"/>
        <v>0.594825063690555</v>
      </c>
      <c r="CN456" s="15">
        <v>10824.69</v>
      </c>
      <c r="CO456" s="15">
        <v>8361.83</v>
      </c>
      <c r="CP456" s="15">
        <v>149.21</v>
      </c>
      <c r="CQ456" s="15">
        <v>1853.44</v>
      </c>
      <c r="CR456" s="15">
        <v>278.66</v>
      </c>
      <c r="CS456" s="15">
        <v>10.55</v>
      </c>
      <c r="CT456" s="15">
        <v>641.82</v>
      </c>
      <c r="CU456" s="15">
        <v>292.31</v>
      </c>
      <c r="CV456" s="15">
        <v>0.32</v>
      </c>
      <c r="CW456" s="15">
        <v>1419.53</v>
      </c>
    </row>
    <row r="457" spans="1:101">
      <c r="A457" s="6">
        <v>2005</v>
      </c>
      <c r="B457" s="6" t="s">
        <v>118</v>
      </c>
      <c r="C457" s="6">
        <v>0.23553246</v>
      </c>
      <c r="D457" s="6">
        <v>0.044329</v>
      </c>
      <c r="E457" s="6">
        <v>0.011312</v>
      </c>
      <c r="F457" s="6">
        <v>0.019817</v>
      </c>
      <c r="G457" s="6">
        <v>0.006188</v>
      </c>
      <c r="H457" s="6">
        <v>0.007011</v>
      </c>
      <c r="I457" s="6">
        <v>0.038078</v>
      </c>
      <c r="J457" s="6">
        <v>0.017098</v>
      </c>
      <c r="K457" s="6">
        <v>0.29614882</v>
      </c>
      <c r="L457" s="6">
        <v>0.22693979</v>
      </c>
      <c r="M457" s="6">
        <v>0.26166855</v>
      </c>
      <c r="N457" s="6">
        <v>0.15443884</v>
      </c>
      <c r="O457" s="6">
        <v>0.17898034</v>
      </c>
      <c r="P457" s="6">
        <v>0.33433306</v>
      </c>
      <c r="Q457" s="6">
        <v>0.236073</v>
      </c>
      <c r="R457" s="6">
        <v>217.69486</v>
      </c>
      <c r="S457" s="6">
        <v>0.00136038</v>
      </c>
      <c r="T457" s="6">
        <v>169.97573</v>
      </c>
      <c r="U457" s="6">
        <v>0.00133513</v>
      </c>
      <c r="V457" s="6">
        <v>197.11803</v>
      </c>
      <c r="W457" s="6">
        <v>0.00132747</v>
      </c>
      <c r="X457" s="6">
        <v>134.47093</v>
      </c>
      <c r="Y457" s="6">
        <v>0.00114849</v>
      </c>
      <c r="Z457" s="6">
        <v>134.86767</v>
      </c>
      <c r="AA457" s="6">
        <v>0.00132708</v>
      </c>
      <c r="AB457" s="6">
        <v>294.9318</v>
      </c>
      <c r="AC457" s="6">
        <v>0.00113359</v>
      </c>
      <c r="AD457" s="6">
        <v>243.86163</v>
      </c>
      <c r="AE457" s="6">
        <v>0.00096806</v>
      </c>
      <c r="AF457" s="6">
        <v>775</v>
      </c>
      <c r="AG457" s="6">
        <v>-0.00897852</v>
      </c>
      <c r="AH457" s="6">
        <v>-0.00883686</v>
      </c>
      <c r="AI457" s="6">
        <v>-0.00879381</v>
      </c>
      <c r="AJ457" s="6">
        <v>-0.0077745</v>
      </c>
      <c r="AK457" s="6">
        <v>-0.00879161</v>
      </c>
      <c r="AL457" s="6">
        <v>-0.00768845</v>
      </c>
      <c r="AM457" s="6">
        <v>-0.00671855</v>
      </c>
      <c r="AN457" s="6">
        <v>-6.4762184</v>
      </c>
      <c r="AO457" s="6">
        <v>-6.4515561</v>
      </c>
      <c r="AP457" s="6">
        <v>-6.4739881</v>
      </c>
      <c r="AQ457" s="6">
        <v>-6.4253629</v>
      </c>
      <c r="AR457" s="6">
        <v>-6.4020076</v>
      </c>
      <c r="AS457" s="6">
        <v>-6.4618417</v>
      </c>
      <c r="AT457" s="6">
        <v>-6.4506396</v>
      </c>
      <c r="AU457" s="6">
        <v>0.97344833</v>
      </c>
      <c r="AV457" s="6">
        <v>0.96974131</v>
      </c>
      <c r="AW457" s="6">
        <v>0.97311308</v>
      </c>
      <c r="AX457" s="6">
        <v>0.96580418</v>
      </c>
      <c r="AY457" s="6">
        <v>0.96229362</v>
      </c>
      <c r="AZ457" s="6">
        <v>0.97128734</v>
      </c>
      <c r="BA457" s="6">
        <v>0.96960354</v>
      </c>
      <c r="BB457" s="6">
        <v>0.02655167</v>
      </c>
      <c r="BC457" s="6">
        <v>0.03025869</v>
      </c>
      <c r="BD457" s="6">
        <v>0.02688692</v>
      </c>
      <c r="BE457" s="6">
        <v>0.03419582</v>
      </c>
      <c r="BF457" s="6">
        <v>0.03770638</v>
      </c>
      <c r="BG457" s="6">
        <v>0.02871266</v>
      </c>
      <c r="BH457" s="6">
        <v>0.03039646</v>
      </c>
      <c r="BI457" s="6">
        <v>0.21470859</v>
      </c>
      <c r="BJ457" s="6">
        <v>0.12366373</v>
      </c>
      <c r="BK457" s="6">
        <v>0.1409291</v>
      </c>
      <c r="BL457" s="6">
        <v>0.12522516</v>
      </c>
      <c r="BM457" s="6">
        <v>0.1592662</v>
      </c>
      <c r="BN457" s="6">
        <v>0.17561655</v>
      </c>
      <c r="BO457" s="6">
        <v>0.1337285</v>
      </c>
      <c r="BP457" s="6">
        <v>0.14157076</v>
      </c>
      <c r="BQ457" s="6">
        <v>0.03662287</v>
      </c>
      <c r="BR457" s="6">
        <v>0.03198242</v>
      </c>
      <c r="BS457" s="6">
        <v>0.03276749</v>
      </c>
      <c r="BT457" s="6">
        <v>0.02459689</v>
      </c>
      <c r="BU457" s="6">
        <v>0.03143191</v>
      </c>
      <c r="BV457" s="6">
        <v>0.04470986</v>
      </c>
      <c r="BW457" s="6">
        <v>0.03342104</v>
      </c>
      <c r="BX457" s="12">
        <v>12032</v>
      </c>
      <c r="BY457" s="13">
        <v>4990.9</v>
      </c>
      <c r="BZ457" s="12">
        <v>13417.68</v>
      </c>
      <c r="CA457" s="6">
        <f t="shared" si="42"/>
        <v>2.41078763349296</v>
      </c>
      <c r="CB457" s="6">
        <f t="shared" si="43"/>
        <v>0.896727303080711</v>
      </c>
      <c r="CC457" s="7">
        <v>212000064.7</v>
      </c>
      <c r="CD457" s="7">
        <f t="shared" si="44"/>
        <v>1.58000537127134</v>
      </c>
      <c r="CE457" s="8">
        <v>69.8</v>
      </c>
      <c r="CF457" s="8">
        <v>259.8</v>
      </c>
      <c r="CG457" s="8">
        <v>250.3</v>
      </c>
      <c r="CH457" s="8">
        <v>9796</v>
      </c>
      <c r="CI457" s="14">
        <v>0</v>
      </c>
      <c r="CJ457" s="14">
        <v>1</v>
      </c>
      <c r="CK457" s="14">
        <f t="shared" si="45"/>
        <v>0</v>
      </c>
      <c r="CL457">
        <f t="shared" si="46"/>
        <v>3.71995059106252</v>
      </c>
      <c r="CM457">
        <f t="shared" si="47"/>
        <v>0.575261731952185</v>
      </c>
      <c r="CN457" s="15">
        <v>12031.7</v>
      </c>
      <c r="CO457" s="15">
        <v>9680.8</v>
      </c>
      <c r="CP457" s="15">
        <v>163.59</v>
      </c>
      <c r="CQ457" s="15">
        <v>2113.04</v>
      </c>
      <c r="CR457" s="15">
        <v>368.53</v>
      </c>
      <c r="CS457" s="15">
        <v>40.98</v>
      </c>
      <c r="CT457" s="15">
        <v>803.11</v>
      </c>
      <c r="CU457" s="15">
        <v>303.66</v>
      </c>
      <c r="CV457" s="15">
        <v>2.25</v>
      </c>
      <c r="CW457" s="15">
        <v>1642.31</v>
      </c>
    </row>
    <row r="458" spans="1:101">
      <c r="A458" s="6">
        <v>2006</v>
      </c>
      <c r="B458" s="6" t="s">
        <v>118</v>
      </c>
      <c r="C458" s="6">
        <v>0.24607922</v>
      </c>
      <c r="D458" s="6">
        <v>0.042537</v>
      </c>
      <c r="E458" s="6">
        <v>0.010405</v>
      </c>
      <c r="F458" s="6">
        <v>0.019415</v>
      </c>
      <c r="G458" s="6">
        <v>0.006175</v>
      </c>
      <c r="H458" s="6">
        <v>0.006541</v>
      </c>
      <c r="I458" s="6">
        <v>0.042711</v>
      </c>
      <c r="J458" s="6">
        <v>0.021746</v>
      </c>
      <c r="K458" s="6">
        <v>0.28209292</v>
      </c>
      <c r="L458" s="6">
        <v>0.20551662</v>
      </c>
      <c r="M458" s="6">
        <v>0.25549168</v>
      </c>
      <c r="N458" s="6">
        <v>0.15403984</v>
      </c>
      <c r="O458" s="6">
        <v>0.16472483</v>
      </c>
      <c r="P458" s="6">
        <v>0.38594494</v>
      </c>
      <c r="Q458" s="6">
        <v>0.31901866</v>
      </c>
      <c r="R458" s="6">
        <v>217.69486</v>
      </c>
      <c r="S458" s="6">
        <v>0.00129582</v>
      </c>
      <c r="T458" s="6">
        <v>169.97573</v>
      </c>
      <c r="U458" s="6">
        <v>0.00120909</v>
      </c>
      <c r="V458" s="6">
        <v>197.11803</v>
      </c>
      <c r="W458" s="6">
        <v>0.00129614</v>
      </c>
      <c r="X458" s="6">
        <v>134.47093</v>
      </c>
      <c r="Y458" s="6">
        <v>0.00114553</v>
      </c>
      <c r="Z458" s="6">
        <v>134.86767</v>
      </c>
      <c r="AA458" s="6">
        <v>0.00122138</v>
      </c>
      <c r="AB458" s="6">
        <v>294.9318</v>
      </c>
      <c r="AC458" s="6">
        <v>0.00130859</v>
      </c>
      <c r="AD458" s="6">
        <v>243.86163</v>
      </c>
      <c r="AE458" s="6">
        <v>0.0013082</v>
      </c>
      <c r="AF458" s="6">
        <v>775</v>
      </c>
      <c r="AG458" s="6">
        <v>-0.00861539</v>
      </c>
      <c r="AH458" s="6">
        <v>-0.00812255</v>
      </c>
      <c r="AI458" s="6">
        <v>-0.00861719</v>
      </c>
      <c r="AJ458" s="6">
        <v>-0.00775737</v>
      </c>
      <c r="AK458" s="6">
        <v>-0.00819275</v>
      </c>
      <c r="AL458" s="6">
        <v>-0.00868748</v>
      </c>
      <c r="AM458" s="6">
        <v>-0.00868525</v>
      </c>
      <c r="AN458" s="6">
        <v>-6.4762184</v>
      </c>
      <c r="AO458" s="6">
        <v>-6.4515561</v>
      </c>
      <c r="AP458" s="6">
        <v>-6.4739881</v>
      </c>
      <c r="AQ458" s="6">
        <v>-6.4253629</v>
      </c>
      <c r="AR458" s="6">
        <v>-6.4020076</v>
      </c>
      <c r="AS458" s="6">
        <v>-6.4618417</v>
      </c>
      <c r="AT458" s="6">
        <v>-6.4506396</v>
      </c>
      <c r="AU458" s="6">
        <v>0.97344833</v>
      </c>
      <c r="AV458" s="6">
        <v>0.96974131</v>
      </c>
      <c r="AW458" s="6">
        <v>0.97311308</v>
      </c>
      <c r="AX458" s="6">
        <v>0.96580418</v>
      </c>
      <c r="AY458" s="6">
        <v>0.96229362</v>
      </c>
      <c r="AZ458" s="6">
        <v>0.97128734</v>
      </c>
      <c r="BA458" s="6">
        <v>0.96960354</v>
      </c>
      <c r="BB458" s="6">
        <v>0.02655167</v>
      </c>
      <c r="BC458" s="6">
        <v>0.03025869</v>
      </c>
      <c r="BD458" s="6">
        <v>0.02688692</v>
      </c>
      <c r="BE458" s="6">
        <v>0.03419582</v>
      </c>
      <c r="BF458" s="6">
        <v>0.03770638</v>
      </c>
      <c r="BG458" s="6">
        <v>0.02871266</v>
      </c>
      <c r="BH458" s="6">
        <v>0.03039646</v>
      </c>
      <c r="BI458" s="6">
        <v>0.21470859</v>
      </c>
      <c r="BJ458" s="6">
        <v>0.12366373</v>
      </c>
      <c r="BK458" s="6">
        <v>0.1409291</v>
      </c>
      <c r="BL458" s="6">
        <v>0.12522516</v>
      </c>
      <c r="BM458" s="6">
        <v>0.1592662</v>
      </c>
      <c r="BN458" s="6">
        <v>0.17561655</v>
      </c>
      <c r="BO458" s="6">
        <v>0.1337285</v>
      </c>
      <c r="BP458" s="6">
        <v>0.14157076</v>
      </c>
      <c r="BQ458" s="6">
        <v>0.03488466</v>
      </c>
      <c r="BR458" s="6">
        <v>0.02896327</v>
      </c>
      <c r="BS458" s="6">
        <v>0.03199399</v>
      </c>
      <c r="BT458" s="6">
        <v>0.02453334</v>
      </c>
      <c r="BU458" s="6">
        <v>0.02892841</v>
      </c>
      <c r="BV458" s="6">
        <v>0.05161184</v>
      </c>
      <c r="BW458" s="6">
        <v>0.04516372</v>
      </c>
      <c r="BX458" s="12">
        <v>13219</v>
      </c>
      <c r="BY458" s="13">
        <v>5071.8</v>
      </c>
      <c r="BZ458" s="12">
        <v>15718.47</v>
      </c>
      <c r="CA458" s="6">
        <f t="shared" si="42"/>
        <v>2.60637249102883</v>
      </c>
      <c r="CB458" s="6">
        <f t="shared" si="43"/>
        <v>0.840985159497076</v>
      </c>
      <c r="CC458" s="7">
        <v>255761718</v>
      </c>
      <c r="CD458" s="7">
        <f t="shared" si="44"/>
        <v>1.62714130573777</v>
      </c>
      <c r="CE458" s="8">
        <v>76.8</v>
      </c>
      <c r="CF458" s="8">
        <v>321.9</v>
      </c>
      <c r="CG458" s="8">
        <v>284.6</v>
      </c>
      <c r="CH458" s="8">
        <v>11389</v>
      </c>
      <c r="CI458" s="14">
        <v>0</v>
      </c>
      <c r="CJ458" s="14">
        <v>1</v>
      </c>
      <c r="CK458" s="14">
        <f t="shared" si="45"/>
        <v>0</v>
      </c>
      <c r="CL458">
        <f t="shared" si="46"/>
        <v>3.57740717995078</v>
      </c>
      <c r="CM458">
        <f t="shared" si="47"/>
        <v>0.545161838200325</v>
      </c>
      <c r="CN458" s="15">
        <v>13221.53</v>
      </c>
      <c r="CO458" s="15">
        <v>11334.43</v>
      </c>
      <c r="CP458" s="15">
        <v>317.76</v>
      </c>
      <c r="CQ458" s="15">
        <v>2114.73</v>
      </c>
      <c r="CR458" s="15">
        <v>404.8</v>
      </c>
      <c r="CS458" s="15">
        <v>46.47</v>
      </c>
      <c r="CT458" s="15">
        <v>842.43</v>
      </c>
      <c r="CU458" s="15">
        <v>240.95</v>
      </c>
      <c r="CV458" s="15">
        <v>11.89</v>
      </c>
      <c r="CW458" s="15">
        <v>1909.23</v>
      </c>
    </row>
    <row r="459" spans="1:101">
      <c r="A459" s="6">
        <v>2007</v>
      </c>
      <c r="B459" s="6" t="s">
        <v>118</v>
      </c>
      <c r="C459" s="6">
        <v>0.26750143</v>
      </c>
      <c r="D459" s="6">
        <v>0.046416</v>
      </c>
      <c r="E459" s="6">
        <v>0.012359</v>
      </c>
      <c r="F459" s="6">
        <v>0.0206</v>
      </c>
      <c r="G459" s="6">
        <v>0.006569</v>
      </c>
      <c r="H459" s="6">
        <v>0.006887</v>
      </c>
      <c r="I459" s="6">
        <v>0.046386</v>
      </c>
      <c r="J459" s="6">
        <v>0.021627</v>
      </c>
      <c r="K459" s="6">
        <v>0.31251821</v>
      </c>
      <c r="L459" s="6">
        <v>0.25171234</v>
      </c>
      <c r="M459" s="6">
        <v>0.27370074</v>
      </c>
      <c r="N459" s="6">
        <v>0.16567873</v>
      </c>
      <c r="O459" s="6">
        <v>0.17522127</v>
      </c>
      <c r="P459" s="6">
        <v>0.42686833</v>
      </c>
      <c r="Q459" s="6">
        <v>0.316896</v>
      </c>
      <c r="R459" s="6">
        <v>217.69486</v>
      </c>
      <c r="S459" s="6">
        <v>0.00143558</v>
      </c>
      <c r="T459" s="6">
        <v>169.97573</v>
      </c>
      <c r="U459" s="6">
        <v>0.00148087</v>
      </c>
      <c r="V459" s="6">
        <v>197.11803</v>
      </c>
      <c r="W459" s="6">
        <v>0.00138851</v>
      </c>
      <c r="X459" s="6">
        <v>134.47093</v>
      </c>
      <c r="Y459" s="6">
        <v>0.00123208</v>
      </c>
      <c r="Z459" s="6">
        <v>134.86767</v>
      </c>
      <c r="AA459" s="6">
        <v>0.00129921</v>
      </c>
      <c r="AB459" s="6">
        <v>294.9318</v>
      </c>
      <c r="AC459" s="6">
        <v>0.00144735</v>
      </c>
      <c r="AD459" s="6">
        <v>243.86163</v>
      </c>
      <c r="AE459" s="6">
        <v>0.00129949</v>
      </c>
      <c r="AF459" s="6">
        <v>775</v>
      </c>
      <c r="AG459" s="6">
        <v>-0.00939757</v>
      </c>
      <c r="AH459" s="6">
        <v>-0.00964807</v>
      </c>
      <c r="AI459" s="6">
        <v>-0.00913575</v>
      </c>
      <c r="AJ459" s="6">
        <v>-0.00825376</v>
      </c>
      <c r="AK459" s="6">
        <v>-0.00863454</v>
      </c>
      <c r="AL459" s="6">
        <v>-0.00946278</v>
      </c>
      <c r="AM459" s="6">
        <v>-0.00863613</v>
      </c>
      <c r="AN459" s="6">
        <v>-6.4762184</v>
      </c>
      <c r="AO459" s="6">
        <v>-6.4515561</v>
      </c>
      <c r="AP459" s="6">
        <v>-6.4739881</v>
      </c>
      <c r="AQ459" s="6">
        <v>-6.4253629</v>
      </c>
      <c r="AR459" s="6">
        <v>-6.4020076</v>
      </c>
      <c r="AS459" s="6">
        <v>-6.4618417</v>
      </c>
      <c r="AT459" s="6">
        <v>-6.4506396</v>
      </c>
      <c r="AU459" s="6">
        <v>0.97344833</v>
      </c>
      <c r="AV459" s="6">
        <v>0.96974131</v>
      </c>
      <c r="AW459" s="6">
        <v>0.97311308</v>
      </c>
      <c r="AX459" s="6">
        <v>0.96580418</v>
      </c>
      <c r="AY459" s="6">
        <v>0.96229362</v>
      </c>
      <c r="AZ459" s="6">
        <v>0.97128734</v>
      </c>
      <c r="BA459" s="6">
        <v>0.96960354</v>
      </c>
      <c r="BB459" s="6">
        <v>0.02655167</v>
      </c>
      <c r="BC459" s="6">
        <v>0.03025869</v>
      </c>
      <c r="BD459" s="6">
        <v>0.02688692</v>
      </c>
      <c r="BE459" s="6">
        <v>0.03419582</v>
      </c>
      <c r="BF459" s="6">
        <v>0.03770638</v>
      </c>
      <c r="BG459" s="6">
        <v>0.02871266</v>
      </c>
      <c r="BH459" s="6">
        <v>0.03039646</v>
      </c>
      <c r="BI459" s="6">
        <v>0.21470859</v>
      </c>
      <c r="BJ459" s="6">
        <v>0.12366373</v>
      </c>
      <c r="BK459" s="6">
        <v>0.1409291</v>
      </c>
      <c r="BL459" s="6">
        <v>0.12522516</v>
      </c>
      <c r="BM459" s="6">
        <v>0.1592662</v>
      </c>
      <c r="BN459" s="6">
        <v>0.17561655</v>
      </c>
      <c r="BO459" s="6">
        <v>0.1337285</v>
      </c>
      <c r="BP459" s="6">
        <v>0.14157076</v>
      </c>
      <c r="BQ459" s="6">
        <v>0.03864717</v>
      </c>
      <c r="BR459" s="6">
        <v>0.03547359</v>
      </c>
      <c r="BS459" s="6">
        <v>0.03427422</v>
      </c>
      <c r="BT459" s="6">
        <v>0.02638702</v>
      </c>
      <c r="BU459" s="6">
        <v>0.03077176</v>
      </c>
      <c r="BV459" s="6">
        <v>0.05708446</v>
      </c>
      <c r="BW459" s="6">
        <v>0.04486321</v>
      </c>
      <c r="BX459" s="12">
        <v>14524</v>
      </c>
      <c r="BY459" s="13">
        <v>5154.9</v>
      </c>
      <c r="BZ459" s="12">
        <v>18753.73</v>
      </c>
      <c r="CA459" s="6">
        <f t="shared" si="42"/>
        <v>2.81751343382025</v>
      </c>
      <c r="CB459" s="6">
        <f t="shared" si="43"/>
        <v>0.774459267569705</v>
      </c>
      <c r="CC459" s="7">
        <v>272431829.2</v>
      </c>
      <c r="CD459" s="7">
        <f t="shared" si="44"/>
        <v>1.45268076910567</v>
      </c>
      <c r="CE459" s="8">
        <v>92.9</v>
      </c>
      <c r="CF459" s="8">
        <v>422</v>
      </c>
      <c r="CG459" s="8">
        <v>362.7</v>
      </c>
      <c r="CH459" s="8">
        <v>14458</v>
      </c>
      <c r="CI459" s="14">
        <v>0</v>
      </c>
      <c r="CJ459" s="14">
        <v>1</v>
      </c>
      <c r="CK459" s="14">
        <f t="shared" si="45"/>
        <v>0</v>
      </c>
      <c r="CL459">
        <f t="shared" si="46"/>
        <v>3.23986794305777</v>
      </c>
      <c r="CM459">
        <f t="shared" si="47"/>
        <v>0.551623462857983</v>
      </c>
      <c r="CN459" s="15">
        <v>14532.91</v>
      </c>
      <c r="CO459" s="15">
        <v>13024.12</v>
      </c>
      <c r="CP459" s="15">
        <v>326.4</v>
      </c>
      <c r="CQ459" s="15">
        <v>2248.73</v>
      </c>
      <c r="CR459" s="15">
        <v>447.09</v>
      </c>
      <c r="CS459" s="15">
        <v>49.48</v>
      </c>
      <c r="CT459" s="15">
        <v>874.4</v>
      </c>
      <c r="CU459" s="15">
        <v>227.29</v>
      </c>
      <c r="CV459" s="15">
        <v>18.09</v>
      </c>
      <c r="CW459" s="15">
        <v>2189.33</v>
      </c>
    </row>
    <row r="460" spans="1:101">
      <c r="A460" s="6">
        <v>2008</v>
      </c>
      <c r="B460" s="6" t="s">
        <v>118</v>
      </c>
      <c r="C460" s="6">
        <v>0.28385632</v>
      </c>
      <c r="D460" s="6">
        <v>0.049281</v>
      </c>
      <c r="E460" s="6">
        <v>0.011867</v>
      </c>
      <c r="F460" s="6">
        <v>0.022546</v>
      </c>
      <c r="G460" s="6">
        <v>0.007282</v>
      </c>
      <c r="H460" s="6">
        <v>0.007586</v>
      </c>
      <c r="I460" s="6">
        <v>0.048343</v>
      </c>
      <c r="J460" s="6">
        <v>0.022211</v>
      </c>
      <c r="K460" s="6">
        <v>0.33499875</v>
      </c>
      <c r="L460" s="6">
        <v>0.24006938</v>
      </c>
      <c r="M460" s="6">
        <v>0.30360623</v>
      </c>
      <c r="N460" s="6">
        <v>0.18677872</v>
      </c>
      <c r="O460" s="6">
        <v>0.19639862</v>
      </c>
      <c r="P460" s="6">
        <v>0.44867526</v>
      </c>
      <c r="Q460" s="6">
        <v>0.32731459</v>
      </c>
      <c r="R460" s="6">
        <v>217.69486</v>
      </c>
      <c r="S460" s="6">
        <v>0.00153885</v>
      </c>
      <c r="T460" s="6">
        <v>169.97573</v>
      </c>
      <c r="U460" s="6">
        <v>0.00141237</v>
      </c>
      <c r="V460" s="6">
        <v>197.11803</v>
      </c>
      <c r="W460" s="6">
        <v>0.00154023</v>
      </c>
      <c r="X460" s="6">
        <v>134.47093</v>
      </c>
      <c r="Y460" s="6">
        <v>0.00138899</v>
      </c>
      <c r="Z460" s="6">
        <v>134.86767</v>
      </c>
      <c r="AA460" s="6">
        <v>0.00145623</v>
      </c>
      <c r="AB460" s="6">
        <v>294.9318</v>
      </c>
      <c r="AC460" s="6">
        <v>0.00152128</v>
      </c>
      <c r="AD460" s="6">
        <v>243.86163</v>
      </c>
      <c r="AE460" s="6">
        <v>0.00134221</v>
      </c>
      <c r="AF460" s="6">
        <v>775</v>
      </c>
      <c r="AG460" s="6">
        <v>-0.00996668</v>
      </c>
      <c r="AH460" s="6">
        <v>-0.00926868</v>
      </c>
      <c r="AI460" s="6">
        <v>-0.00997423</v>
      </c>
      <c r="AJ460" s="6">
        <v>-0.00913841</v>
      </c>
      <c r="AK460" s="6">
        <v>-0.00951197</v>
      </c>
      <c r="AL460" s="6">
        <v>-0.0098704</v>
      </c>
      <c r="AM460" s="6">
        <v>-0.00887665</v>
      </c>
      <c r="AN460" s="6">
        <v>-6.4762184</v>
      </c>
      <c r="AO460" s="6">
        <v>-6.4515561</v>
      </c>
      <c r="AP460" s="6">
        <v>-6.4739881</v>
      </c>
      <c r="AQ460" s="6">
        <v>-6.4253629</v>
      </c>
      <c r="AR460" s="6">
        <v>-6.4020076</v>
      </c>
      <c r="AS460" s="6">
        <v>-6.4618417</v>
      </c>
      <c r="AT460" s="6">
        <v>-6.4506396</v>
      </c>
      <c r="AU460" s="6">
        <v>0.97344833</v>
      </c>
      <c r="AV460" s="6">
        <v>0.96974131</v>
      </c>
      <c r="AW460" s="6">
        <v>0.97311308</v>
      </c>
      <c r="AX460" s="6">
        <v>0.96580418</v>
      </c>
      <c r="AY460" s="6">
        <v>0.96229362</v>
      </c>
      <c r="AZ460" s="6">
        <v>0.97128734</v>
      </c>
      <c r="BA460" s="6">
        <v>0.96960354</v>
      </c>
      <c r="BB460" s="6">
        <v>0.02655167</v>
      </c>
      <c r="BC460" s="6">
        <v>0.03025869</v>
      </c>
      <c r="BD460" s="6">
        <v>0.02688692</v>
      </c>
      <c r="BE460" s="6">
        <v>0.03419582</v>
      </c>
      <c r="BF460" s="6">
        <v>0.03770638</v>
      </c>
      <c r="BG460" s="6">
        <v>0.02871266</v>
      </c>
      <c r="BH460" s="6">
        <v>0.03039646</v>
      </c>
      <c r="BI460" s="6">
        <v>0.21470859</v>
      </c>
      <c r="BJ460" s="6">
        <v>0.12366373</v>
      </c>
      <c r="BK460" s="6">
        <v>0.1409291</v>
      </c>
      <c r="BL460" s="6">
        <v>0.12522516</v>
      </c>
      <c r="BM460" s="6">
        <v>0.1592662</v>
      </c>
      <c r="BN460" s="6">
        <v>0.17561655</v>
      </c>
      <c r="BO460" s="6">
        <v>0.1337285</v>
      </c>
      <c r="BP460" s="6">
        <v>0.14157076</v>
      </c>
      <c r="BQ460" s="6">
        <v>0.0414272</v>
      </c>
      <c r="BR460" s="6">
        <v>0.03383276</v>
      </c>
      <c r="BS460" s="6">
        <v>0.03801914</v>
      </c>
      <c r="BT460" s="6">
        <v>0.02974754</v>
      </c>
      <c r="BU460" s="6">
        <v>0.03449085</v>
      </c>
      <c r="BV460" s="6">
        <v>0.06000067</v>
      </c>
      <c r="BW460" s="6">
        <v>0.04633818</v>
      </c>
      <c r="BX460" s="12">
        <v>15107</v>
      </c>
      <c r="BY460" s="13">
        <v>5212.4</v>
      </c>
      <c r="BZ460" s="12">
        <v>21462.69</v>
      </c>
      <c r="CA460" s="6">
        <f t="shared" si="42"/>
        <v>2.89828102217788</v>
      </c>
      <c r="CB460" s="6">
        <f t="shared" si="43"/>
        <v>0.703872627336089</v>
      </c>
      <c r="CC460" s="7">
        <v>293551484.1</v>
      </c>
      <c r="CD460" s="7">
        <f t="shared" si="44"/>
        <v>1.36772922732425</v>
      </c>
      <c r="CE460" s="8">
        <v>112.9</v>
      </c>
      <c r="CF460" s="8">
        <v>558.1</v>
      </c>
      <c r="CG460" s="8">
        <v>468.2</v>
      </c>
      <c r="CH460" s="8">
        <v>18554</v>
      </c>
      <c r="CI460" s="14">
        <v>0</v>
      </c>
      <c r="CJ460" s="14">
        <v>1</v>
      </c>
      <c r="CK460" s="14">
        <f t="shared" si="45"/>
        <v>0</v>
      </c>
      <c r="CL460">
        <f t="shared" si="46"/>
        <v>2.71728515287532</v>
      </c>
      <c r="CM460">
        <f t="shared" si="47"/>
        <v>0.496655981843872</v>
      </c>
      <c r="CN460" s="15">
        <v>15107</v>
      </c>
      <c r="CO460" s="15">
        <v>13041</v>
      </c>
      <c r="CP460" s="15">
        <v>485.98</v>
      </c>
      <c r="CQ460" s="15">
        <v>2287.35</v>
      </c>
      <c r="CR460" s="15">
        <v>475.36</v>
      </c>
      <c r="CS460" s="15">
        <v>54.91</v>
      </c>
      <c r="CT460" s="15">
        <v>898.63</v>
      </c>
      <c r="CU460" s="15">
        <v>219.86</v>
      </c>
      <c r="CV460" s="15">
        <v>17.7</v>
      </c>
      <c r="CW460" s="15">
        <v>2322.87</v>
      </c>
    </row>
    <row r="461" spans="1:101">
      <c r="A461" s="6">
        <v>2009</v>
      </c>
      <c r="B461" s="6" t="s">
        <v>118</v>
      </c>
      <c r="C461" s="6">
        <v>0.31127225</v>
      </c>
      <c r="D461" s="6">
        <v>0.053218</v>
      </c>
      <c r="E461" s="6">
        <v>0.01409</v>
      </c>
      <c r="F461" s="6">
        <v>0.0235</v>
      </c>
      <c r="G461" s="6">
        <v>0.006737</v>
      </c>
      <c r="H461" s="6">
        <v>0.008891</v>
      </c>
      <c r="I461" s="6">
        <v>0.052321</v>
      </c>
      <c r="J461" s="6">
        <v>0.023816</v>
      </c>
      <c r="K461" s="6">
        <v>0.36587752</v>
      </c>
      <c r="L461" s="6">
        <v>0.29262753</v>
      </c>
      <c r="M461" s="6">
        <v>0.31827473</v>
      </c>
      <c r="N461" s="6">
        <v>0.17065356</v>
      </c>
      <c r="O461" s="6">
        <v>0.23593694</v>
      </c>
      <c r="P461" s="6">
        <v>0.49298313</v>
      </c>
      <c r="Q461" s="6">
        <v>0.35594257</v>
      </c>
      <c r="R461" s="6">
        <v>217.69486</v>
      </c>
      <c r="S461" s="6">
        <v>0.00168069</v>
      </c>
      <c r="T461" s="6">
        <v>169.97573</v>
      </c>
      <c r="U461" s="6">
        <v>0.00172158</v>
      </c>
      <c r="V461" s="6">
        <v>197.11803</v>
      </c>
      <c r="W461" s="6">
        <v>0.00161464</v>
      </c>
      <c r="X461" s="6">
        <v>134.47093</v>
      </c>
      <c r="Y461" s="6">
        <v>0.00126907</v>
      </c>
      <c r="Z461" s="6">
        <v>134.86767</v>
      </c>
      <c r="AA461" s="6">
        <v>0.0017494</v>
      </c>
      <c r="AB461" s="6">
        <v>294.9318</v>
      </c>
      <c r="AC461" s="6">
        <v>0.00167152</v>
      </c>
      <c r="AD461" s="6">
        <v>243.86163</v>
      </c>
      <c r="AE461" s="6">
        <v>0.00145961</v>
      </c>
      <c r="AF461" s="6">
        <v>775</v>
      </c>
      <c r="AG461" s="6">
        <v>-0.01073717</v>
      </c>
      <c r="AH461" s="6">
        <v>-0.01095704</v>
      </c>
      <c r="AI461" s="6">
        <v>-0.01037995</v>
      </c>
      <c r="AJ461" s="6">
        <v>-0.00846405</v>
      </c>
      <c r="AK461" s="6">
        <v>-0.01110601</v>
      </c>
      <c r="AL461" s="6">
        <v>-0.01068771</v>
      </c>
      <c r="AM461" s="6">
        <v>-0.00953064</v>
      </c>
      <c r="AN461" s="6">
        <v>-6.4762184</v>
      </c>
      <c r="AO461" s="6">
        <v>-6.4515561</v>
      </c>
      <c r="AP461" s="6">
        <v>-6.4739881</v>
      </c>
      <c r="AQ461" s="6">
        <v>-6.4253629</v>
      </c>
      <c r="AR461" s="6">
        <v>-6.4020076</v>
      </c>
      <c r="AS461" s="6">
        <v>-6.4618417</v>
      </c>
      <c r="AT461" s="6">
        <v>-6.4506396</v>
      </c>
      <c r="AU461" s="6">
        <v>0.97344833</v>
      </c>
      <c r="AV461" s="6">
        <v>0.96974131</v>
      </c>
      <c r="AW461" s="6">
        <v>0.97311308</v>
      </c>
      <c r="AX461" s="6">
        <v>0.96580418</v>
      </c>
      <c r="AY461" s="6">
        <v>0.96229362</v>
      </c>
      <c r="AZ461" s="6">
        <v>0.97128734</v>
      </c>
      <c r="BA461" s="6">
        <v>0.96960354</v>
      </c>
      <c r="BB461" s="6">
        <v>0.02655167</v>
      </c>
      <c r="BC461" s="6">
        <v>0.03025869</v>
      </c>
      <c r="BD461" s="6">
        <v>0.02688692</v>
      </c>
      <c r="BE461" s="6">
        <v>0.03419582</v>
      </c>
      <c r="BF461" s="6">
        <v>0.03770638</v>
      </c>
      <c r="BG461" s="6">
        <v>0.02871266</v>
      </c>
      <c r="BH461" s="6">
        <v>0.03039646</v>
      </c>
      <c r="BI461" s="6">
        <v>0.21470859</v>
      </c>
      <c r="BJ461" s="6">
        <v>0.12366373</v>
      </c>
      <c r="BK461" s="6">
        <v>0.1409291</v>
      </c>
      <c r="BL461" s="6">
        <v>0.12522516</v>
      </c>
      <c r="BM461" s="6">
        <v>0.1592662</v>
      </c>
      <c r="BN461" s="6">
        <v>0.17561655</v>
      </c>
      <c r="BO461" s="6">
        <v>0.1337285</v>
      </c>
      <c r="BP461" s="6">
        <v>0.14157076</v>
      </c>
      <c r="BQ461" s="6">
        <v>0.04524578</v>
      </c>
      <c r="BR461" s="6">
        <v>0.04123973</v>
      </c>
      <c r="BS461" s="6">
        <v>0.039856</v>
      </c>
      <c r="BT461" s="6">
        <v>0.02717934</v>
      </c>
      <c r="BU461" s="6">
        <v>0.04143443</v>
      </c>
      <c r="BV461" s="6">
        <v>0.06592589</v>
      </c>
      <c r="BW461" s="6">
        <v>0.05039106</v>
      </c>
      <c r="BX461" s="12">
        <v>15567</v>
      </c>
      <c r="BY461" s="13">
        <v>5275.5</v>
      </c>
      <c r="BZ461" s="12">
        <v>22990.35</v>
      </c>
      <c r="CA461" s="6">
        <f t="shared" si="42"/>
        <v>2.95081034972988</v>
      </c>
      <c r="CB461" s="6">
        <f t="shared" si="43"/>
        <v>0.677110178835903</v>
      </c>
      <c r="CC461" s="7">
        <v>314122336.3</v>
      </c>
      <c r="CD461" s="7">
        <f t="shared" si="44"/>
        <v>1.36632254967845</v>
      </c>
      <c r="CE461" s="8">
        <v>120.4</v>
      </c>
      <c r="CF461" s="8">
        <v>593</v>
      </c>
      <c r="CG461" s="8">
        <v>553.2</v>
      </c>
      <c r="CH461" s="8">
        <v>20382</v>
      </c>
      <c r="CI461" s="14">
        <v>0</v>
      </c>
      <c r="CJ461" s="14">
        <v>1</v>
      </c>
      <c r="CK461" s="14">
        <f t="shared" si="45"/>
        <v>0</v>
      </c>
      <c r="CL461">
        <f t="shared" si="46"/>
        <v>2.66960201713366</v>
      </c>
      <c r="CM461">
        <f t="shared" si="47"/>
        <v>0.488192419353404</v>
      </c>
      <c r="CN461" s="15">
        <v>15567</v>
      </c>
      <c r="CO461" s="15">
        <v>13276</v>
      </c>
      <c r="CP461" s="15">
        <v>504.51</v>
      </c>
      <c r="CQ461" s="15">
        <v>2505.8</v>
      </c>
      <c r="CR461" s="15">
        <v>508.62</v>
      </c>
      <c r="CS461" s="15">
        <v>62.9</v>
      </c>
      <c r="CT461" s="15">
        <v>897.23</v>
      </c>
      <c r="CU461" s="15">
        <v>289.53</v>
      </c>
      <c r="CV461" s="15">
        <v>19.3</v>
      </c>
      <c r="CW461" s="15">
        <v>2471.44</v>
      </c>
    </row>
    <row r="462" spans="1:101">
      <c r="A462" s="6">
        <v>2010</v>
      </c>
      <c r="B462" s="6" t="s">
        <v>118</v>
      </c>
      <c r="C462" s="6">
        <v>0.29805916</v>
      </c>
      <c r="D462" s="6">
        <v>0.049695</v>
      </c>
      <c r="E462" s="6">
        <v>0.013011</v>
      </c>
      <c r="F462" s="6">
        <v>0.023274</v>
      </c>
      <c r="G462" s="6">
        <v>0.007443</v>
      </c>
      <c r="H462" s="6">
        <v>0.005966</v>
      </c>
      <c r="I462" s="6">
        <v>0.050285</v>
      </c>
      <c r="J462" s="6">
        <v>0.027579</v>
      </c>
      <c r="K462" s="6">
        <v>0.33824157</v>
      </c>
      <c r="L462" s="6">
        <v>0.26712736</v>
      </c>
      <c r="M462" s="6">
        <v>0.31479572</v>
      </c>
      <c r="N462" s="6">
        <v>0.19153419</v>
      </c>
      <c r="O462" s="6">
        <v>0.14730661</v>
      </c>
      <c r="P462" s="6">
        <v>0.4702981</v>
      </c>
      <c r="Q462" s="6">
        <v>0.42309527</v>
      </c>
      <c r="R462" s="6">
        <v>217.69486</v>
      </c>
      <c r="S462" s="6">
        <v>0.00155374</v>
      </c>
      <c r="T462" s="6">
        <v>169.97573</v>
      </c>
      <c r="U462" s="6">
        <v>0.00157156</v>
      </c>
      <c r="V462" s="6">
        <v>197.11803</v>
      </c>
      <c r="W462" s="6">
        <v>0.00159699</v>
      </c>
      <c r="X462" s="6">
        <v>134.47093</v>
      </c>
      <c r="Y462" s="6">
        <v>0.00142435</v>
      </c>
      <c r="Z462" s="6">
        <v>134.86767</v>
      </c>
      <c r="AA462" s="6">
        <v>0.00109223</v>
      </c>
      <c r="AB462" s="6">
        <v>294.9318</v>
      </c>
      <c r="AC462" s="6">
        <v>0.0015946</v>
      </c>
      <c r="AD462" s="6">
        <v>243.86163</v>
      </c>
      <c r="AE462" s="6">
        <v>0.00173498</v>
      </c>
      <c r="AF462" s="6">
        <v>775</v>
      </c>
      <c r="AG462" s="6">
        <v>-0.01004819</v>
      </c>
      <c r="AH462" s="6">
        <v>-0.01014551</v>
      </c>
      <c r="AI462" s="6">
        <v>-0.01028404</v>
      </c>
      <c r="AJ462" s="6">
        <v>-0.00933527</v>
      </c>
      <c r="AK462" s="6">
        <v>-0.0074485</v>
      </c>
      <c r="AL462" s="6">
        <v>-0.01027103</v>
      </c>
      <c r="AM462" s="6">
        <v>-0.01102886</v>
      </c>
      <c r="AN462" s="6">
        <v>-6.4762184</v>
      </c>
      <c r="AO462" s="6">
        <v>-6.4515561</v>
      </c>
      <c r="AP462" s="6">
        <v>-6.4739881</v>
      </c>
      <c r="AQ462" s="6">
        <v>-6.4253629</v>
      </c>
      <c r="AR462" s="6">
        <v>-6.4020076</v>
      </c>
      <c r="AS462" s="6">
        <v>-6.4618417</v>
      </c>
      <c r="AT462" s="6">
        <v>-6.4506396</v>
      </c>
      <c r="AU462" s="6">
        <v>0.97344833</v>
      </c>
      <c r="AV462" s="6">
        <v>0.96974131</v>
      </c>
      <c r="AW462" s="6">
        <v>0.97311308</v>
      </c>
      <c r="AX462" s="6">
        <v>0.96580418</v>
      </c>
      <c r="AY462" s="6">
        <v>0.96229362</v>
      </c>
      <c r="AZ462" s="6">
        <v>0.97128734</v>
      </c>
      <c r="BA462" s="6">
        <v>0.96960354</v>
      </c>
      <c r="BB462" s="6">
        <v>0.02655167</v>
      </c>
      <c r="BC462" s="6">
        <v>0.03025869</v>
      </c>
      <c r="BD462" s="6">
        <v>0.02688692</v>
      </c>
      <c r="BE462" s="6">
        <v>0.03419582</v>
      </c>
      <c r="BF462" s="6">
        <v>0.03770638</v>
      </c>
      <c r="BG462" s="6">
        <v>0.02871266</v>
      </c>
      <c r="BH462" s="6">
        <v>0.03039646</v>
      </c>
      <c r="BI462" s="6">
        <v>0.21470859</v>
      </c>
      <c r="BJ462" s="6">
        <v>0.12366373</v>
      </c>
      <c r="BK462" s="6">
        <v>0.1409291</v>
      </c>
      <c r="BL462" s="6">
        <v>0.12522516</v>
      </c>
      <c r="BM462" s="6">
        <v>0.1592662</v>
      </c>
      <c r="BN462" s="6">
        <v>0.17561655</v>
      </c>
      <c r="BO462" s="6">
        <v>0.1337285</v>
      </c>
      <c r="BP462" s="6">
        <v>0.14157076</v>
      </c>
      <c r="BQ462" s="6">
        <v>0.04182822</v>
      </c>
      <c r="BR462" s="6">
        <v>0.03764602</v>
      </c>
      <c r="BS462" s="6">
        <v>0.03942034</v>
      </c>
      <c r="BT462" s="6">
        <v>0.03050492</v>
      </c>
      <c r="BU462" s="6">
        <v>0.02586948</v>
      </c>
      <c r="BV462" s="6">
        <v>0.06289226</v>
      </c>
      <c r="BW462" s="6">
        <v>0.05989792</v>
      </c>
      <c r="BX462" s="12">
        <v>16865</v>
      </c>
      <c r="BY462" s="13">
        <v>5446.51</v>
      </c>
      <c r="BZ462" s="12">
        <v>27722.31</v>
      </c>
      <c r="CA462" s="6">
        <f t="shared" si="42"/>
        <v>3.09647829527532</v>
      </c>
      <c r="CB462" s="6">
        <f t="shared" si="43"/>
        <v>0.608354787173219</v>
      </c>
      <c r="CC462" s="7">
        <v>337658290.9</v>
      </c>
      <c r="CD462" s="7">
        <f t="shared" si="44"/>
        <v>1.21800200235839</v>
      </c>
      <c r="CE462" s="8">
        <v>151.4</v>
      </c>
      <c r="CF462" s="8">
        <v>733.4</v>
      </c>
      <c r="CG462" s="8">
        <v>686.9</v>
      </c>
      <c r="CH462" s="8">
        <v>24984</v>
      </c>
      <c r="CI462" s="14">
        <v>0</v>
      </c>
      <c r="CJ462" s="14">
        <v>1</v>
      </c>
      <c r="CK462" s="14">
        <f t="shared" si="45"/>
        <v>0</v>
      </c>
      <c r="CL462">
        <f t="shared" si="46"/>
        <v>2.40850270516871</v>
      </c>
      <c r="CM462">
        <f t="shared" si="47"/>
        <v>0.494290789151066</v>
      </c>
      <c r="CN462" s="15">
        <v>16865.29</v>
      </c>
      <c r="CO462" s="15">
        <v>13949.86</v>
      </c>
      <c r="CP462" s="15">
        <v>443.09</v>
      </c>
      <c r="CQ462" s="15">
        <v>2835.41</v>
      </c>
      <c r="CR462" s="15">
        <v>586.7</v>
      </c>
      <c r="CS462" s="15">
        <v>70.42</v>
      </c>
      <c r="CT462" s="15">
        <v>958.33</v>
      </c>
      <c r="CU462" s="15">
        <v>330.48</v>
      </c>
      <c r="CV462" s="15">
        <v>31.81</v>
      </c>
      <c r="CW462" s="15">
        <v>2820.93</v>
      </c>
    </row>
    <row r="463" spans="1:101">
      <c r="A463" s="6">
        <v>2011</v>
      </c>
      <c r="B463" s="6" t="s">
        <v>118</v>
      </c>
      <c r="C463" s="6">
        <v>0.28686589</v>
      </c>
      <c r="D463" s="6">
        <v>0.050602</v>
      </c>
      <c r="E463" s="6">
        <v>0.012972</v>
      </c>
      <c r="F463" s="6">
        <v>0.023187</v>
      </c>
      <c r="G463" s="6">
        <v>0.007128</v>
      </c>
      <c r="H463" s="6">
        <v>0.007315</v>
      </c>
      <c r="I463" s="6">
        <v>0.047598</v>
      </c>
      <c r="J463" s="6">
        <v>0.022248</v>
      </c>
      <c r="K463" s="6">
        <v>0.34535576</v>
      </c>
      <c r="L463" s="6">
        <v>0.26619641</v>
      </c>
      <c r="M463" s="6">
        <v>0.3134521</v>
      </c>
      <c r="N463" s="6">
        <v>0.18222218</v>
      </c>
      <c r="O463" s="6">
        <v>0.18818078</v>
      </c>
      <c r="P463" s="6">
        <v>0.44037594</v>
      </c>
      <c r="Q463" s="6">
        <v>0.32796807</v>
      </c>
      <c r="R463" s="6">
        <v>217.69486</v>
      </c>
      <c r="S463" s="6">
        <v>0.00158642</v>
      </c>
      <c r="T463" s="6">
        <v>169.97573</v>
      </c>
      <c r="U463" s="6">
        <v>0.00156608</v>
      </c>
      <c r="V463" s="6">
        <v>197.11803</v>
      </c>
      <c r="W463" s="6">
        <v>0.00159017</v>
      </c>
      <c r="X463" s="6">
        <v>134.47093</v>
      </c>
      <c r="Y463" s="6">
        <v>0.0013551</v>
      </c>
      <c r="Z463" s="6">
        <v>134.86767</v>
      </c>
      <c r="AA463" s="6">
        <v>0.0013953</v>
      </c>
      <c r="AB463" s="6">
        <v>294.9318</v>
      </c>
      <c r="AC463" s="6">
        <v>0.00149315</v>
      </c>
      <c r="AD463" s="6">
        <v>243.86163</v>
      </c>
      <c r="AE463" s="6">
        <v>0.00134489</v>
      </c>
      <c r="AF463" s="6">
        <v>775</v>
      </c>
      <c r="AG463" s="6">
        <v>-0.01022651</v>
      </c>
      <c r="AH463" s="6">
        <v>-0.01011562</v>
      </c>
      <c r="AI463" s="6">
        <v>-0.01024694</v>
      </c>
      <c r="AJ463" s="6">
        <v>-0.00894894</v>
      </c>
      <c r="AK463" s="6">
        <v>-0.0091736</v>
      </c>
      <c r="AL463" s="6">
        <v>-0.0097157</v>
      </c>
      <c r="AM463" s="6">
        <v>-0.00889169</v>
      </c>
      <c r="AN463" s="6">
        <v>-6.4762184</v>
      </c>
      <c r="AO463" s="6">
        <v>-6.4515561</v>
      </c>
      <c r="AP463" s="6">
        <v>-6.4739881</v>
      </c>
      <c r="AQ463" s="6">
        <v>-6.4253629</v>
      </c>
      <c r="AR463" s="6">
        <v>-6.4020076</v>
      </c>
      <c r="AS463" s="6">
        <v>-6.4618417</v>
      </c>
      <c r="AT463" s="6">
        <v>-6.4506396</v>
      </c>
      <c r="AU463" s="6">
        <v>0.97344833</v>
      </c>
      <c r="AV463" s="6">
        <v>0.96974131</v>
      </c>
      <c r="AW463" s="6">
        <v>0.97311308</v>
      </c>
      <c r="AX463" s="6">
        <v>0.96580418</v>
      </c>
      <c r="AY463" s="6">
        <v>0.96229362</v>
      </c>
      <c r="AZ463" s="6">
        <v>0.97128734</v>
      </c>
      <c r="BA463" s="6">
        <v>0.96960354</v>
      </c>
      <c r="BB463" s="6">
        <v>0.02655167</v>
      </c>
      <c r="BC463" s="6">
        <v>0.03025869</v>
      </c>
      <c r="BD463" s="6">
        <v>0.02688692</v>
      </c>
      <c r="BE463" s="6">
        <v>0.03419582</v>
      </c>
      <c r="BF463" s="6">
        <v>0.03770638</v>
      </c>
      <c r="BG463" s="6">
        <v>0.02871266</v>
      </c>
      <c r="BH463" s="6">
        <v>0.03039646</v>
      </c>
      <c r="BI463" s="6">
        <v>0.21470859</v>
      </c>
      <c r="BJ463" s="6">
        <v>0.12366373</v>
      </c>
      <c r="BK463" s="6">
        <v>0.1409291</v>
      </c>
      <c r="BL463" s="6">
        <v>0.12522516</v>
      </c>
      <c r="BM463" s="6">
        <v>0.1592662</v>
      </c>
      <c r="BN463" s="6">
        <v>0.17561655</v>
      </c>
      <c r="BO463" s="6">
        <v>0.1337285</v>
      </c>
      <c r="BP463" s="6">
        <v>0.14157076</v>
      </c>
      <c r="BQ463" s="6">
        <v>0.04270798</v>
      </c>
      <c r="BR463" s="6">
        <v>0.03751482</v>
      </c>
      <c r="BS463" s="6">
        <v>0.03925209</v>
      </c>
      <c r="BT463" s="6">
        <v>0.02902184</v>
      </c>
      <c r="BU463" s="6">
        <v>0.03304766</v>
      </c>
      <c r="BV463" s="6">
        <v>0.05889081</v>
      </c>
      <c r="BW463" s="6">
        <v>0.04643069</v>
      </c>
      <c r="BX463" s="12">
        <v>17827</v>
      </c>
      <c r="BY463" s="13">
        <v>5570</v>
      </c>
      <c r="BZ463" s="12">
        <v>32318.85</v>
      </c>
      <c r="CA463" s="6">
        <f t="shared" si="42"/>
        <v>3.20053859964093</v>
      </c>
      <c r="CB463" s="6">
        <f t="shared" si="43"/>
        <v>0.551597597067965</v>
      </c>
      <c r="CC463" s="7">
        <v>365746583.2</v>
      </c>
      <c r="CD463" s="7">
        <f t="shared" si="44"/>
        <v>1.13168192308823</v>
      </c>
      <c r="CE463" s="8">
        <v>175</v>
      </c>
      <c r="CF463" s="8">
        <v>919.8</v>
      </c>
      <c r="CG463" s="8">
        <v>837</v>
      </c>
      <c r="CH463" s="8">
        <v>30161</v>
      </c>
      <c r="CI463" s="14">
        <v>0</v>
      </c>
      <c r="CJ463" s="14">
        <v>1</v>
      </c>
      <c r="CK463" s="14">
        <f t="shared" si="45"/>
        <v>0</v>
      </c>
      <c r="CL463">
        <f t="shared" si="46"/>
        <v>2.18035126729488</v>
      </c>
      <c r="CM463">
        <f t="shared" si="47"/>
        <v>0.480963485075372</v>
      </c>
      <c r="CN463" s="15">
        <v>17827</v>
      </c>
      <c r="CO463" s="15">
        <v>14776</v>
      </c>
      <c r="CP463" s="15">
        <v>470</v>
      </c>
      <c r="CQ463" s="15">
        <v>2939.77</v>
      </c>
      <c r="CR463" s="15">
        <v>647.76</v>
      </c>
      <c r="CS463" s="15">
        <v>74.75</v>
      </c>
      <c r="CT463" s="15">
        <v>958.44</v>
      </c>
      <c r="CU463" s="15">
        <v>370.29</v>
      </c>
      <c r="CV463" s="15">
        <v>43.88</v>
      </c>
      <c r="CW463" s="15">
        <v>3117</v>
      </c>
    </row>
    <row r="464" spans="1:101">
      <c r="A464" s="6">
        <v>2012</v>
      </c>
      <c r="B464" s="6" t="s">
        <v>118</v>
      </c>
      <c r="C464" s="6">
        <v>0.34240068</v>
      </c>
      <c r="D464" s="6">
        <v>0.055656</v>
      </c>
      <c r="E464" s="6">
        <v>0.014786</v>
      </c>
      <c r="F464" s="6">
        <v>0.024852</v>
      </c>
      <c r="G464" s="6">
        <v>0.007953</v>
      </c>
      <c r="H464" s="6">
        <v>0.008066</v>
      </c>
      <c r="I464" s="6">
        <v>0.055729</v>
      </c>
      <c r="J464" s="6">
        <v>0.030719</v>
      </c>
      <c r="K464" s="6">
        <v>0.38499904</v>
      </c>
      <c r="L464" s="6">
        <v>0.30907816</v>
      </c>
      <c r="M464" s="6">
        <v>0.33904503</v>
      </c>
      <c r="N464" s="6">
        <v>0.20659427</v>
      </c>
      <c r="O464" s="6">
        <v>0.21092445</v>
      </c>
      <c r="P464" s="6">
        <v>0.53094214</v>
      </c>
      <c r="Q464" s="6">
        <v>0.47910872</v>
      </c>
      <c r="R464" s="6">
        <v>217.69486</v>
      </c>
      <c r="S464" s="6">
        <v>0.00176853</v>
      </c>
      <c r="T464" s="6">
        <v>169.97573</v>
      </c>
      <c r="U464" s="6">
        <v>0.00181837</v>
      </c>
      <c r="V464" s="6">
        <v>197.11803</v>
      </c>
      <c r="W464" s="6">
        <v>0.00172001</v>
      </c>
      <c r="X464" s="6">
        <v>134.47093</v>
      </c>
      <c r="Y464" s="6">
        <v>0.00153635</v>
      </c>
      <c r="Z464" s="6">
        <v>134.86767</v>
      </c>
      <c r="AA464" s="6">
        <v>0.00156394</v>
      </c>
      <c r="AB464" s="6">
        <v>294.9318</v>
      </c>
      <c r="AC464" s="6">
        <v>0.00180022</v>
      </c>
      <c r="AD464" s="6">
        <v>243.86163</v>
      </c>
      <c r="AE464" s="6">
        <v>0.00196467</v>
      </c>
      <c r="AF464" s="6">
        <v>775</v>
      </c>
      <c r="AG464" s="6">
        <v>-0.01120823</v>
      </c>
      <c r="AH464" s="6">
        <v>-0.01147356</v>
      </c>
      <c r="AI464" s="6">
        <v>-0.0109486</v>
      </c>
      <c r="AJ464" s="6">
        <v>-0.009953</v>
      </c>
      <c r="AK464" s="6">
        <v>-0.01010389</v>
      </c>
      <c r="AL464" s="6">
        <v>-0.01137711</v>
      </c>
      <c r="AM464" s="6">
        <v>-0.01224469</v>
      </c>
      <c r="AN464" s="6">
        <v>-6.4762184</v>
      </c>
      <c r="AO464" s="6">
        <v>-6.4515561</v>
      </c>
      <c r="AP464" s="6">
        <v>-6.4739881</v>
      </c>
      <c r="AQ464" s="6">
        <v>-6.4253629</v>
      </c>
      <c r="AR464" s="6">
        <v>-6.4020076</v>
      </c>
      <c r="AS464" s="6">
        <v>-6.4618417</v>
      </c>
      <c r="AT464" s="6">
        <v>-6.4506396</v>
      </c>
      <c r="AU464" s="6">
        <v>0.97344833</v>
      </c>
      <c r="AV464" s="6">
        <v>0.96974131</v>
      </c>
      <c r="AW464" s="6">
        <v>0.97311308</v>
      </c>
      <c r="AX464" s="6">
        <v>0.96580418</v>
      </c>
      <c r="AY464" s="6">
        <v>0.96229362</v>
      </c>
      <c r="AZ464" s="6">
        <v>0.97128734</v>
      </c>
      <c r="BA464" s="6">
        <v>0.96960354</v>
      </c>
      <c r="BB464" s="6">
        <v>0.02655167</v>
      </c>
      <c r="BC464" s="6">
        <v>0.03025869</v>
      </c>
      <c r="BD464" s="6">
        <v>0.02688692</v>
      </c>
      <c r="BE464" s="6">
        <v>0.03419582</v>
      </c>
      <c r="BF464" s="6">
        <v>0.03770638</v>
      </c>
      <c r="BG464" s="6">
        <v>0.02871266</v>
      </c>
      <c r="BH464" s="6">
        <v>0.03039646</v>
      </c>
      <c r="BI464" s="6">
        <v>0.21470859</v>
      </c>
      <c r="BJ464" s="6">
        <v>0.12366373</v>
      </c>
      <c r="BK464" s="6">
        <v>0.1409291</v>
      </c>
      <c r="BL464" s="6">
        <v>0.12522516</v>
      </c>
      <c r="BM464" s="6">
        <v>0.1592662</v>
      </c>
      <c r="BN464" s="6">
        <v>0.17561655</v>
      </c>
      <c r="BO464" s="6">
        <v>0.1337285</v>
      </c>
      <c r="BP464" s="6">
        <v>0.14157076</v>
      </c>
      <c r="BQ464" s="6">
        <v>0.04761042</v>
      </c>
      <c r="BR464" s="6">
        <v>0.04355811</v>
      </c>
      <c r="BS464" s="6">
        <v>0.04245697</v>
      </c>
      <c r="BT464" s="6">
        <v>0.03290348</v>
      </c>
      <c r="BU464" s="6">
        <v>0.03704182</v>
      </c>
      <c r="BV464" s="6">
        <v>0.07100209</v>
      </c>
      <c r="BW464" s="6">
        <v>0.06782779</v>
      </c>
      <c r="BX464" s="12">
        <v>18076</v>
      </c>
      <c r="BY464" s="13">
        <v>5685</v>
      </c>
      <c r="BZ464" s="12">
        <v>34665.33</v>
      </c>
      <c r="CA464" s="6">
        <f t="shared" si="42"/>
        <v>3.17959542656113</v>
      </c>
      <c r="CB464" s="6">
        <f t="shared" si="43"/>
        <v>0.521443182568866</v>
      </c>
      <c r="CC464" s="7">
        <v>365857971.7</v>
      </c>
      <c r="CD464" s="7">
        <f t="shared" si="44"/>
        <v>1.05540022754724</v>
      </c>
      <c r="CE464" s="8">
        <v>189</v>
      </c>
      <c r="CF464" s="8">
        <v>992.5</v>
      </c>
      <c r="CG464" s="8">
        <v>949.5</v>
      </c>
      <c r="CH464" s="8">
        <v>32609</v>
      </c>
      <c r="CI464" s="14">
        <v>0</v>
      </c>
      <c r="CJ464" s="14">
        <v>1</v>
      </c>
      <c r="CK464" s="14">
        <f t="shared" si="45"/>
        <v>0</v>
      </c>
      <c r="CL464">
        <f t="shared" si="46"/>
        <v>2.01609935715007</v>
      </c>
      <c r="CM464">
        <f t="shared" si="47"/>
        <v>0.476513782019584</v>
      </c>
      <c r="CN464" s="15">
        <v>18076.18</v>
      </c>
      <c r="CO464" s="15">
        <v>14374</v>
      </c>
      <c r="CP464" s="15">
        <v>451.42</v>
      </c>
      <c r="CQ464" s="15">
        <v>2732.59</v>
      </c>
      <c r="CR464" s="15">
        <v>706.16</v>
      </c>
      <c r="CS464" s="15">
        <v>80.07</v>
      </c>
      <c r="CT464" s="15">
        <v>938.9</v>
      </c>
      <c r="CU464" s="15">
        <v>328.67</v>
      </c>
      <c r="CV464" s="15">
        <v>48.08</v>
      </c>
      <c r="CW464" s="15">
        <v>3210.55</v>
      </c>
    </row>
    <row r="465" spans="1:101">
      <c r="A465" s="6">
        <v>2013</v>
      </c>
      <c r="B465" s="6" t="s">
        <v>118</v>
      </c>
      <c r="C465" s="6">
        <v>0.33905693</v>
      </c>
      <c r="D465" s="6">
        <v>0.055369</v>
      </c>
      <c r="E465" s="6">
        <v>0.014402</v>
      </c>
      <c r="F465" s="6">
        <v>0.024804</v>
      </c>
      <c r="G465" s="6">
        <v>0.008521</v>
      </c>
      <c r="H465" s="6">
        <v>0.007642</v>
      </c>
      <c r="I465" s="6">
        <v>0.057628</v>
      </c>
      <c r="J465" s="6">
        <v>0.028761</v>
      </c>
      <c r="K465" s="6">
        <v>0.38274917</v>
      </c>
      <c r="L465" s="6">
        <v>0.30001565</v>
      </c>
      <c r="M465" s="6">
        <v>0.33830414</v>
      </c>
      <c r="N465" s="6">
        <v>0.22340089</v>
      </c>
      <c r="O465" s="6">
        <v>0.19807898</v>
      </c>
      <c r="P465" s="6">
        <v>0.55209086</v>
      </c>
      <c r="Q465" s="6">
        <v>0.44418192</v>
      </c>
      <c r="R465" s="6">
        <v>217.69486</v>
      </c>
      <c r="S465" s="6">
        <v>0.00175819</v>
      </c>
      <c r="T465" s="6">
        <v>169.97573</v>
      </c>
      <c r="U465" s="6">
        <v>0.00176505</v>
      </c>
      <c r="V465" s="6">
        <v>197.11803</v>
      </c>
      <c r="W465" s="6">
        <v>0.00171625</v>
      </c>
      <c r="X465" s="6">
        <v>134.47093</v>
      </c>
      <c r="Y465" s="6">
        <v>0.00166133</v>
      </c>
      <c r="Z465" s="6">
        <v>134.86767</v>
      </c>
      <c r="AA465" s="6">
        <v>0.00146869</v>
      </c>
      <c r="AB465" s="6">
        <v>294.9318</v>
      </c>
      <c r="AC465" s="6">
        <v>0.00187193</v>
      </c>
      <c r="AD465" s="6">
        <v>243.86163</v>
      </c>
      <c r="AE465" s="6">
        <v>0.00182145</v>
      </c>
      <c r="AF465" s="6">
        <v>775</v>
      </c>
      <c r="AG465" s="6">
        <v>-0.01115303</v>
      </c>
      <c r="AH465" s="6">
        <v>-0.01118967</v>
      </c>
      <c r="AI465" s="6">
        <v>-0.01092843</v>
      </c>
      <c r="AJ465" s="6">
        <v>-0.01063275</v>
      </c>
      <c r="AK465" s="6">
        <v>-0.00958084</v>
      </c>
      <c r="AL465" s="6">
        <v>-0.01175718</v>
      </c>
      <c r="AM465" s="6">
        <v>-0.01148993</v>
      </c>
      <c r="AN465" s="6">
        <v>-6.4762184</v>
      </c>
      <c r="AO465" s="6">
        <v>-6.4515561</v>
      </c>
      <c r="AP465" s="6">
        <v>-6.4739881</v>
      </c>
      <c r="AQ465" s="6">
        <v>-6.4253629</v>
      </c>
      <c r="AR465" s="6">
        <v>-6.4020076</v>
      </c>
      <c r="AS465" s="6">
        <v>-6.4618417</v>
      </c>
      <c r="AT465" s="6">
        <v>-6.4506396</v>
      </c>
      <c r="AU465" s="6">
        <v>0.97344833</v>
      </c>
      <c r="AV465" s="6">
        <v>0.96974131</v>
      </c>
      <c r="AW465" s="6">
        <v>0.97311308</v>
      </c>
      <c r="AX465" s="6">
        <v>0.96580418</v>
      </c>
      <c r="AY465" s="6">
        <v>0.96229362</v>
      </c>
      <c r="AZ465" s="6">
        <v>0.97128734</v>
      </c>
      <c r="BA465" s="6">
        <v>0.96960354</v>
      </c>
      <c r="BB465" s="6">
        <v>0.02655167</v>
      </c>
      <c r="BC465" s="6">
        <v>0.03025869</v>
      </c>
      <c r="BD465" s="6">
        <v>0.02688692</v>
      </c>
      <c r="BE465" s="6">
        <v>0.03419582</v>
      </c>
      <c r="BF465" s="6">
        <v>0.03770638</v>
      </c>
      <c r="BG465" s="6">
        <v>0.02871266</v>
      </c>
      <c r="BH465" s="6">
        <v>0.03039646</v>
      </c>
      <c r="BI465" s="6">
        <v>0.21470859</v>
      </c>
      <c r="BJ465" s="6">
        <v>0.12366373</v>
      </c>
      <c r="BK465" s="6">
        <v>0.1409291</v>
      </c>
      <c r="BL465" s="6">
        <v>0.12522516</v>
      </c>
      <c r="BM465" s="6">
        <v>0.1592662</v>
      </c>
      <c r="BN465" s="6">
        <v>0.17561655</v>
      </c>
      <c r="BO465" s="6">
        <v>0.1337285</v>
      </c>
      <c r="BP465" s="6">
        <v>0.14157076</v>
      </c>
      <c r="BQ465" s="6">
        <v>0.04733219</v>
      </c>
      <c r="BR465" s="6">
        <v>0.04228093</v>
      </c>
      <c r="BS465" s="6">
        <v>0.04236419</v>
      </c>
      <c r="BT465" s="6">
        <v>0.03558021</v>
      </c>
      <c r="BU465" s="6">
        <v>0.03478595</v>
      </c>
      <c r="BV465" s="6">
        <v>0.07383028</v>
      </c>
      <c r="BW465" s="6">
        <v>0.06288317</v>
      </c>
      <c r="BX465" s="12">
        <v>18640</v>
      </c>
      <c r="BY465" s="13">
        <v>5784</v>
      </c>
      <c r="BZ465" s="12">
        <v>37756.58</v>
      </c>
      <c r="CA465" s="6">
        <f t="shared" si="42"/>
        <v>3.22268326417704</v>
      </c>
      <c r="CB465" s="6">
        <f t="shared" si="43"/>
        <v>0.493688782193726</v>
      </c>
      <c r="CC465" s="7">
        <v>376030180.2</v>
      </c>
      <c r="CD465" s="7">
        <f t="shared" si="44"/>
        <v>0.995932841904643</v>
      </c>
      <c r="CE465" s="8">
        <v>210.7</v>
      </c>
      <c r="CF465" s="8">
        <v>1059.5</v>
      </c>
      <c r="CG465" s="8">
        <v>1057.5</v>
      </c>
      <c r="CH465" s="8">
        <v>35135</v>
      </c>
      <c r="CI465" s="14">
        <v>0</v>
      </c>
      <c r="CJ465" s="14">
        <v>1</v>
      </c>
      <c r="CK465" s="14">
        <f t="shared" si="45"/>
        <v>0</v>
      </c>
      <c r="CL465">
        <f t="shared" si="46"/>
        <v>1.91398219724656</v>
      </c>
      <c r="CM465">
        <f t="shared" si="47"/>
        <v>0.479654072364213</v>
      </c>
      <c r="CN465" s="15">
        <v>18640</v>
      </c>
      <c r="CO465" s="15">
        <v>14161.26</v>
      </c>
      <c r="CP465" s="15">
        <v>446.18</v>
      </c>
      <c r="CQ465" s="15">
        <v>2853.65</v>
      </c>
      <c r="CR465" s="15">
        <v>706.14</v>
      </c>
      <c r="CS465" s="15">
        <v>92.15</v>
      </c>
      <c r="CT465" s="15">
        <v>946.63</v>
      </c>
      <c r="CU465" s="15">
        <v>328.49</v>
      </c>
      <c r="CV465" s="15">
        <v>56.72</v>
      </c>
      <c r="CW465" s="15">
        <v>3453.05</v>
      </c>
    </row>
    <row r="466" spans="1:101">
      <c r="A466" s="6">
        <v>2014</v>
      </c>
      <c r="B466" s="6" t="s">
        <v>118</v>
      </c>
      <c r="C466" s="6">
        <v>0.308743</v>
      </c>
      <c r="D466" s="6">
        <v>0.046686</v>
      </c>
      <c r="E466" s="6">
        <v>0.011883</v>
      </c>
      <c r="F466" s="6">
        <v>0.020885</v>
      </c>
      <c r="G466" s="6">
        <v>0.007422</v>
      </c>
      <c r="H466" s="6">
        <v>0.006496</v>
      </c>
      <c r="I466" s="6">
        <v>0.058567</v>
      </c>
      <c r="J466" s="6">
        <v>0.030311</v>
      </c>
      <c r="K466" s="6">
        <v>0.31464347</v>
      </c>
      <c r="L466" s="6">
        <v>0.24045125</v>
      </c>
      <c r="M466" s="6">
        <v>0.27807492</v>
      </c>
      <c r="N466" s="6">
        <v>0.19091144</v>
      </c>
      <c r="O466" s="6">
        <v>0.16337261</v>
      </c>
      <c r="P466" s="6">
        <v>0.56255247</v>
      </c>
      <c r="Q466" s="6">
        <v>0.47183814</v>
      </c>
      <c r="R466" s="6">
        <v>217.69486</v>
      </c>
      <c r="S466" s="6">
        <v>0.00144534</v>
      </c>
      <c r="T466" s="6">
        <v>169.97573</v>
      </c>
      <c r="U466" s="6">
        <v>0.00141462</v>
      </c>
      <c r="V466" s="6">
        <v>197.11803</v>
      </c>
      <c r="W466" s="6">
        <v>0.0014107</v>
      </c>
      <c r="X466" s="6">
        <v>134.47093</v>
      </c>
      <c r="Y466" s="6">
        <v>0.00141972</v>
      </c>
      <c r="Z466" s="6">
        <v>134.86767</v>
      </c>
      <c r="AA466" s="6">
        <v>0.00121135</v>
      </c>
      <c r="AB466" s="6">
        <v>294.9318</v>
      </c>
      <c r="AC466" s="6">
        <v>0.0019074</v>
      </c>
      <c r="AD466" s="6">
        <v>243.86163</v>
      </c>
      <c r="AE466" s="6">
        <v>0.00193486</v>
      </c>
      <c r="AF466" s="6">
        <v>775</v>
      </c>
      <c r="AG466" s="6">
        <v>-0.00945168</v>
      </c>
      <c r="AH466" s="6">
        <v>-0.00928118</v>
      </c>
      <c r="AI466" s="6">
        <v>-0.00925938</v>
      </c>
      <c r="AJ466" s="6">
        <v>-0.00930954</v>
      </c>
      <c r="AK466" s="6">
        <v>-0.00813548</v>
      </c>
      <c r="AL466" s="6">
        <v>-0.01194416</v>
      </c>
      <c r="AM466" s="6">
        <v>-0.01208846</v>
      </c>
      <c r="AN466" s="6">
        <v>-6.4762184</v>
      </c>
      <c r="AO466" s="6">
        <v>-6.4515561</v>
      </c>
      <c r="AP466" s="6">
        <v>-6.4739881</v>
      </c>
      <c r="AQ466" s="6">
        <v>-6.4253629</v>
      </c>
      <c r="AR466" s="6">
        <v>-6.4020076</v>
      </c>
      <c r="AS466" s="6">
        <v>-6.4618417</v>
      </c>
      <c r="AT466" s="6">
        <v>-6.4506396</v>
      </c>
      <c r="AU466" s="6">
        <v>0.97344833</v>
      </c>
      <c r="AV466" s="6">
        <v>0.96974131</v>
      </c>
      <c r="AW466" s="6">
        <v>0.97311308</v>
      </c>
      <c r="AX466" s="6">
        <v>0.96580418</v>
      </c>
      <c r="AY466" s="6">
        <v>0.96229362</v>
      </c>
      <c r="AZ466" s="6">
        <v>0.97128734</v>
      </c>
      <c r="BA466" s="6">
        <v>0.96960354</v>
      </c>
      <c r="BB466" s="6">
        <v>0.02655167</v>
      </c>
      <c r="BC466" s="6">
        <v>0.03025869</v>
      </c>
      <c r="BD466" s="6">
        <v>0.02688692</v>
      </c>
      <c r="BE466" s="6">
        <v>0.03419582</v>
      </c>
      <c r="BF466" s="6">
        <v>0.03770638</v>
      </c>
      <c r="BG466" s="6">
        <v>0.02871266</v>
      </c>
      <c r="BH466" s="6">
        <v>0.03039646</v>
      </c>
      <c r="BI466" s="6">
        <v>0.21470859</v>
      </c>
      <c r="BJ466" s="6">
        <v>0.12366373</v>
      </c>
      <c r="BK466" s="6">
        <v>0.1409291</v>
      </c>
      <c r="BL466" s="6">
        <v>0.12522516</v>
      </c>
      <c r="BM466" s="6">
        <v>0.1592662</v>
      </c>
      <c r="BN466" s="6">
        <v>0.17561655</v>
      </c>
      <c r="BO466" s="6">
        <v>0.1337285</v>
      </c>
      <c r="BP466" s="6">
        <v>0.14157076</v>
      </c>
      <c r="BQ466" s="6">
        <v>0.03890999</v>
      </c>
      <c r="BR466" s="6">
        <v>0.03388658</v>
      </c>
      <c r="BS466" s="6">
        <v>0.03482198</v>
      </c>
      <c r="BT466" s="6">
        <v>0.03040574</v>
      </c>
      <c r="BU466" s="6">
        <v>0.02869093</v>
      </c>
      <c r="BV466" s="6">
        <v>0.0752293</v>
      </c>
      <c r="BW466" s="6">
        <v>0.06679849</v>
      </c>
      <c r="BX466" s="12">
        <v>18826</v>
      </c>
      <c r="BY466" s="13">
        <v>5890</v>
      </c>
      <c r="BZ466" s="12">
        <v>40173.03</v>
      </c>
      <c r="CA466" s="6">
        <f t="shared" si="42"/>
        <v>3.19626485568761</v>
      </c>
      <c r="CB466" s="6">
        <f t="shared" si="43"/>
        <v>0.468622854686341</v>
      </c>
      <c r="CC466" s="7">
        <v>387844908.2</v>
      </c>
      <c r="CD466" s="7">
        <f t="shared" si="44"/>
        <v>0.965436035569137</v>
      </c>
      <c r="CE466" s="8">
        <v>216.9</v>
      </c>
      <c r="CF466" s="8">
        <v>1113.7</v>
      </c>
      <c r="CG466" s="8">
        <v>1143.4</v>
      </c>
      <c r="CH466" s="8">
        <v>36815</v>
      </c>
      <c r="CI466" s="14">
        <v>0</v>
      </c>
      <c r="CJ466" s="14">
        <v>1</v>
      </c>
      <c r="CK466" s="14">
        <f t="shared" si="45"/>
        <v>0</v>
      </c>
      <c r="CL466">
        <f t="shared" si="46"/>
        <v>1.79640226266579</v>
      </c>
      <c r="CM466">
        <f t="shared" si="47"/>
        <v>0.462572467406899</v>
      </c>
      <c r="CN466" s="15">
        <v>18826.42</v>
      </c>
      <c r="CO466" s="15">
        <v>13824.37</v>
      </c>
      <c r="CP466" s="15">
        <v>465.07</v>
      </c>
      <c r="CQ466" s="15">
        <v>2731.81</v>
      </c>
      <c r="CR466" s="15">
        <v>710.38</v>
      </c>
      <c r="CS466" s="15">
        <v>103.76</v>
      </c>
      <c r="CT466" s="15">
        <v>932.06</v>
      </c>
      <c r="CU466" s="15">
        <v>339.38</v>
      </c>
      <c r="CV466" s="15">
        <v>78.16</v>
      </c>
      <c r="CW466" s="15">
        <v>3506.39</v>
      </c>
    </row>
    <row r="467" spans="1:101">
      <c r="A467" s="6">
        <v>2015</v>
      </c>
      <c r="B467" s="6" t="s">
        <v>118</v>
      </c>
      <c r="C467" s="6">
        <v>0.36351474</v>
      </c>
      <c r="D467" s="6">
        <v>0.061043</v>
      </c>
      <c r="E467" s="6">
        <v>0.014696</v>
      </c>
      <c r="F467" s="6">
        <v>0.027228</v>
      </c>
      <c r="G467" s="6">
        <v>0.009625</v>
      </c>
      <c r="H467" s="6">
        <v>0.009494</v>
      </c>
      <c r="I467" s="6">
        <v>0.057325</v>
      </c>
      <c r="J467" s="6">
        <v>0.02825</v>
      </c>
      <c r="K467" s="6">
        <v>0.42725583</v>
      </c>
      <c r="L467" s="6">
        <v>0.30695894</v>
      </c>
      <c r="M467" s="6">
        <v>0.37556469</v>
      </c>
      <c r="N467" s="6">
        <v>0.25602747</v>
      </c>
      <c r="O467" s="6">
        <v>0.25420902</v>
      </c>
      <c r="P467" s="6">
        <v>0.54871064</v>
      </c>
      <c r="Q467" s="6">
        <v>0.4350546</v>
      </c>
      <c r="R467" s="6">
        <v>217.69486</v>
      </c>
      <c r="S467" s="6">
        <v>0.00196264</v>
      </c>
      <c r="T467" s="6">
        <v>169.97573</v>
      </c>
      <c r="U467" s="6">
        <v>0.0018059</v>
      </c>
      <c r="V467" s="6">
        <v>197.11803</v>
      </c>
      <c r="W467" s="6">
        <v>0.00190528</v>
      </c>
      <c r="X467" s="6">
        <v>134.47093</v>
      </c>
      <c r="Y467" s="6">
        <v>0.00190396</v>
      </c>
      <c r="Z467" s="6">
        <v>134.86767</v>
      </c>
      <c r="AA467" s="6">
        <v>0.00188488</v>
      </c>
      <c r="AB467" s="6">
        <v>294.9318</v>
      </c>
      <c r="AC467" s="6">
        <v>0.00186047</v>
      </c>
      <c r="AD467" s="6">
        <v>243.86163</v>
      </c>
      <c r="AE467" s="6">
        <v>0.00178402</v>
      </c>
      <c r="AF467" s="6">
        <v>775</v>
      </c>
      <c r="AG467" s="6">
        <v>-0.01223403</v>
      </c>
      <c r="AH467" s="6">
        <v>-0.01140731</v>
      </c>
      <c r="AI467" s="6">
        <v>-0.011933</v>
      </c>
      <c r="AJ467" s="6">
        <v>-0.01192607</v>
      </c>
      <c r="AK467" s="6">
        <v>-0.01182552</v>
      </c>
      <c r="AL467" s="6">
        <v>-0.01169662</v>
      </c>
      <c r="AM467" s="6">
        <v>-0.01129087</v>
      </c>
      <c r="AN467" s="6">
        <v>-6.4762184</v>
      </c>
      <c r="AO467" s="6">
        <v>-6.4515561</v>
      </c>
      <c r="AP467" s="6">
        <v>-6.4739881</v>
      </c>
      <c r="AQ467" s="6">
        <v>-6.4253629</v>
      </c>
      <c r="AR467" s="6">
        <v>-6.4020076</v>
      </c>
      <c r="AS467" s="6">
        <v>-6.4618417</v>
      </c>
      <c r="AT467" s="6">
        <v>-6.4506396</v>
      </c>
      <c r="AU467" s="6">
        <v>0.97344833</v>
      </c>
      <c r="AV467" s="6">
        <v>0.96974131</v>
      </c>
      <c r="AW467" s="6">
        <v>0.97311308</v>
      </c>
      <c r="AX467" s="6">
        <v>0.96580418</v>
      </c>
      <c r="AY467" s="6">
        <v>0.96229362</v>
      </c>
      <c r="AZ467" s="6">
        <v>0.97128734</v>
      </c>
      <c r="BA467" s="6">
        <v>0.96960354</v>
      </c>
      <c r="BB467" s="6">
        <v>0.02655167</v>
      </c>
      <c r="BC467" s="6">
        <v>0.03025869</v>
      </c>
      <c r="BD467" s="6">
        <v>0.02688692</v>
      </c>
      <c r="BE467" s="6">
        <v>0.03419582</v>
      </c>
      <c r="BF467" s="6">
        <v>0.03770638</v>
      </c>
      <c r="BG467" s="6">
        <v>0.02871266</v>
      </c>
      <c r="BH467" s="6">
        <v>0.03039646</v>
      </c>
      <c r="BI467" s="6">
        <v>0.21470859</v>
      </c>
      <c r="BJ467" s="6">
        <v>0.12366373</v>
      </c>
      <c r="BK467" s="6">
        <v>0.1409291</v>
      </c>
      <c r="BL467" s="6">
        <v>0.12522516</v>
      </c>
      <c r="BM467" s="6">
        <v>0.1592662</v>
      </c>
      <c r="BN467" s="6">
        <v>0.17561655</v>
      </c>
      <c r="BO467" s="6">
        <v>0.1337285</v>
      </c>
      <c r="BP467" s="6">
        <v>0.14157076</v>
      </c>
      <c r="BQ467" s="6">
        <v>0.05283605</v>
      </c>
      <c r="BR467" s="6">
        <v>0.04325945</v>
      </c>
      <c r="BS467" s="6">
        <v>0.04703015</v>
      </c>
      <c r="BT467" s="6">
        <v>0.04077652</v>
      </c>
      <c r="BU467" s="6">
        <v>0.04464331</v>
      </c>
      <c r="BV467" s="6">
        <v>0.07337825</v>
      </c>
      <c r="BW467" s="6">
        <v>0.06159101</v>
      </c>
      <c r="BX467" s="12">
        <v>19610</v>
      </c>
      <c r="BY467" s="13">
        <v>5985</v>
      </c>
      <c r="BZ467" s="12">
        <v>42886.49</v>
      </c>
      <c r="CA467" s="6">
        <f t="shared" si="42"/>
        <v>3.2765246449457</v>
      </c>
      <c r="CB467" s="6">
        <f t="shared" si="43"/>
        <v>0.457253554674211</v>
      </c>
      <c r="CC467" s="7">
        <v>392043877.7</v>
      </c>
      <c r="CD467" s="7">
        <f t="shared" si="44"/>
        <v>0.914143073261533</v>
      </c>
      <c r="CE467" s="8">
        <v>236.8</v>
      </c>
      <c r="CF467" s="8">
        <v>1116.8</v>
      </c>
      <c r="CG467" s="8">
        <v>1225.8</v>
      </c>
      <c r="CH467" s="8">
        <v>37876</v>
      </c>
      <c r="CI467" s="14">
        <v>0</v>
      </c>
      <c r="CJ467" s="14">
        <v>1</v>
      </c>
      <c r="CK467" s="14">
        <f t="shared" si="45"/>
        <v>0</v>
      </c>
      <c r="CL467">
        <f t="shared" si="46"/>
        <v>1.71577514742415</v>
      </c>
      <c r="CM467">
        <f t="shared" si="47"/>
        <v>0.467212778647648</v>
      </c>
      <c r="CN467" s="15">
        <v>19610</v>
      </c>
      <c r="CO467" s="15">
        <v>13826.07</v>
      </c>
      <c r="CP467" s="15">
        <v>427.59</v>
      </c>
      <c r="CQ467" s="15">
        <v>2846.84</v>
      </c>
      <c r="CR467" s="15">
        <v>754.05</v>
      </c>
      <c r="CS467" s="15">
        <v>113.52</v>
      </c>
      <c r="CT467" s="15">
        <v>968.37</v>
      </c>
      <c r="CU467" s="15">
        <v>326.26</v>
      </c>
      <c r="CV467" s="15">
        <v>80.35</v>
      </c>
      <c r="CW467" s="15">
        <v>3554</v>
      </c>
    </row>
    <row r="468" spans="1:101">
      <c r="A468" s="6">
        <v>2016</v>
      </c>
      <c r="B468" s="6" t="s">
        <v>118</v>
      </c>
      <c r="C468" s="6">
        <v>0.33208458</v>
      </c>
      <c r="D468" s="6">
        <v>0.056737</v>
      </c>
      <c r="E468" s="6">
        <v>0.014286</v>
      </c>
      <c r="F468" s="6">
        <v>0.025743</v>
      </c>
      <c r="G468" s="6">
        <v>0.008886</v>
      </c>
      <c r="H468" s="6">
        <v>0.007822</v>
      </c>
      <c r="I468" s="6">
        <v>0.052192</v>
      </c>
      <c r="J468" s="6">
        <v>0.02706</v>
      </c>
      <c r="K468" s="6">
        <v>0.39347926</v>
      </c>
      <c r="L468" s="6">
        <v>0.2972611</v>
      </c>
      <c r="M468" s="6">
        <v>0.35274712</v>
      </c>
      <c r="N468" s="6">
        <v>0.234171</v>
      </c>
      <c r="O468" s="6">
        <v>0.20354502</v>
      </c>
      <c r="P468" s="6">
        <v>0.49154349</v>
      </c>
      <c r="Q468" s="6">
        <v>0.41382233</v>
      </c>
      <c r="R468" s="6">
        <v>217.69486</v>
      </c>
      <c r="S468" s="6">
        <v>0.00180748</v>
      </c>
      <c r="T468" s="6">
        <v>169.97573</v>
      </c>
      <c r="U468" s="6">
        <v>0.00174884</v>
      </c>
      <c r="V468" s="6">
        <v>197.11803</v>
      </c>
      <c r="W468" s="6">
        <v>0.00178952</v>
      </c>
      <c r="X468" s="6">
        <v>134.47093</v>
      </c>
      <c r="Y468" s="6">
        <v>0.00174142</v>
      </c>
      <c r="Z468" s="6">
        <v>134.86767</v>
      </c>
      <c r="AA468" s="6">
        <v>0.00150922</v>
      </c>
      <c r="AB468" s="6">
        <v>294.9318</v>
      </c>
      <c r="AC468" s="6">
        <v>0.00166663</v>
      </c>
      <c r="AD468" s="6">
        <v>243.86163</v>
      </c>
      <c r="AE468" s="6">
        <v>0.00169696</v>
      </c>
      <c r="AF468" s="6">
        <v>775</v>
      </c>
      <c r="AG468" s="6">
        <v>-0.01141573</v>
      </c>
      <c r="AH468" s="6">
        <v>-0.01110306</v>
      </c>
      <c r="AI468" s="6">
        <v>-0.01132017</v>
      </c>
      <c r="AJ468" s="6">
        <v>-0.01106336</v>
      </c>
      <c r="AK468" s="6">
        <v>-0.00980414</v>
      </c>
      <c r="AL468" s="6">
        <v>-0.01066138</v>
      </c>
      <c r="AM468" s="6">
        <v>-0.01082474</v>
      </c>
      <c r="AN468" s="6">
        <v>-6.4762184</v>
      </c>
      <c r="AO468" s="6">
        <v>-6.4515561</v>
      </c>
      <c r="AP468" s="6">
        <v>-6.4739881</v>
      </c>
      <c r="AQ468" s="6">
        <v>-6.4253629</v>
      </c>
      <c r="AR468" s="6">
        <v>-6.4020076</v>
      </c>
      <c r="AS468" s="6">
        <v>-6.4618417</v>
      </c>
      <c r="AT468" s="6">
        <v>-6.4506396</v>
      </c>
      <c r="AU468" s="6">
        <v>0.97344833</v>
      </c>
      <c r="AV468" s="6">
        <v>0.96974131</v>
      </c>
      <c r="AW468" s="6">
        <v>0.97311308</v>
      </c>
      <c r="AX468" s="6">
        <v>0.96580418</v>
      </c>
      <c r="AY468" s="6">
        <v>0.96229362</v>
      </c>
      <c r="AZ468" s="6">
        <v>0.97128734</v>
      </c>
      <c r="BA468" s="6">
        <v>0.96960354</v>
      </c>
      <c r="BB468" s="6">
        <v>0.02655167</v>
      </c>
      <c r="BC468" s="6">
        <v>0.03025869</v>
      </c>
      <c r="BD468" s="6">
        <v>0.02688692</v>
      </c>
      <c r="BE468" s="6">
        <v>0.03419582</v>
      </c>
      <c r="BF468" s="6">
        <v>0.03770638</v>
      </c>
      <c r="BG468" s="6">
        <v>0.02871266</v>
      </c>
      <c r="BH468" s="6">
        <v>0.03039646</v>
      </c>
      <c r="BI468" s="6">
        <v>0.21470859</v>
      </c>
      <c r="BJ468" s="6">
        <v>0.12366373</v>
      </c>
      <c r="BK468" s="6">
        <v>0.1409291</v>
      </c>
      <c r="BL468" s="6">
        <v>0.12522516</v>
      </c>
      <c r="BM468" s="6">
        <v>0.1592662</v>
      </c>
      <c r="BN468" s="6">
        <v>0.17561655</v>
      </c>
      <c r="BO468" s="6">
        <v>0.1337285</v>
      </c>
      <c r="BP468" s="6">
        <v>0.14157076</v>
      </c>
      <c r="BQ468" s="6">
        <v>0.04865911</v>
      </c>
      <c r="BR468" s="6">
        <v>0.04189274</v>
      </c>
      <c r="BS468" s="6">
        <v>0.04417281</v>
      </c>
      <c r="BT468" s="6">
        <v>0.03729553</v>
      </c>
      <c r="BU468" s="6">
        <v>0.03574587</v>
      </c>
      <c r="BV468" s="6">
        <v>0.06573337</v>
      </c>
      <c r="BW468" s="6">
        <v>0.05858514</v>
      </c>
      <c r="BX468" s="12">
        <v>20276</v>
      </c>
      <c r="BY468" s="13">
        <v>6072</v>
      </c>
      <c r="BZ468" s="12">
        <v>47251.36</v>
      </c>
      <c r="CA468" s="6">
        <f t="shared" si="42"/>
        <v>3.33926218708827</v>
      </c>
      <c r="CB468" s="6">
        <f t="shared" si="43"/>
        <v>0.429109342037986</v>
      </c>
      <c r="CC468" s="7">
        <v>388095170.5</v>
      </c>
      <c r="CD468" s="7">
        <f t="shared" si="44"/>
        <v>0.821341799474132</v>
      </c>
      <c r="CE468" s="8">
        <v>241</v>
      </c>
      <c r="CF468" s="8">
        <v>1179.7</v>
      </c>
      <c r="CG468" s="8">
        <v>1360.7</v>
      </c>
      <c r="CH468" s="8">
        <v>40339</v>
      </c>
      <c r="CI468" s="14">
        <v>0</v>
      </c>
      <c r="CJ468" s="14">
        <v>1</v>
      </c>
      <c r="CK468" s="14">
        <f t="shared" si="45"/>
        <v>0</v>
      </c>
      <c r="CL468">
        <f t="shared" si="46"/>
        <v>1.62438398605541</v>
      </c>
      <c r="CM468">
        <f t="shared" si="47"/>
        <v>0.494367214571816</v>
      </c>
      <c r="CN468" s="15">
        <v>20276</v>
      </c>
      <c r="CO468" s="15">
        <v>13948.49</v>
      </c>
      <c r="CP468" s="15">
        <v>329.47</v>
      </c>
      <c r="CQ468" s="15">
        <v>2667.35</v>
      </c>
      <c r="CR468" s="15">
        <v>796.92</v>
      </c>
      <c r="CS468" s="15">
        <v>127.4</v>
      </c>
      <c r="CT468" s="15">
        <v>881.91</v>
      </c>
      <c r="CU468" s="15">
        <v>381.29</v>
      </c>
      <c r="CV468" s="15">
        <v>87.79</v>
      </c>
      <c r="CW468" s="15">
        <v>3873.19</v>
      </c>
    </row>
    <row r="469" spans="1:101">
      <c r="A469" s="6">
        <v>2017</v>
      </c>
      <c r="B469" s="6" t="s">
        <v>118</v>
      </c>
      <c r="C469" s="6">
        <v>0.36406569</v>
      </c>
      <c r="D469" s="6">
        <v>0.060706</v>
      </c>
      <c r="E469" s="6">
        <v>0.01527</v>
      </c>
      <c r="F469" s="6">
        <v>0.026697</v>
      </c>
      <c r="G469" s="6">
        <v>0.008716</v>
      </c>
      <c r="H469" s="6">
        <v>0.010023</v>
      </c>
      <c r="I469" s="6">
        <v>0.057452</v>
      </c>
      <c r="J469" s="6">
        <v>0.028749</v>
      </c>
      <c r="K469" s="6">
        <v>0.42461343</v>
      </c>
      <c r="L469" s="6">
        <v>0.32053731</v>
      </c>
      <c r="M469" s="6">
        <v>0.36740184</v>
      </c>
      <c r="N469" s="6">
        <v>0.22914947</v>
      </c>
      <c r="O469" s="6">
        <v>0.27024647</v>
      </c>
      <c r="P469" s="6">
        <v>0.55012414</v>
      </c>
      <c r="Q469" s="6">
        <v>0.4439662</v>
      </c>
      <c r="R469" s="6">
        <v>217.69486</v>
      </c>
      <c r="S469" s="6">
        <v>0.0019505</v>
      </c>
      <c r="T469" s="6">
        <v>169.97573</v>
      </c>
      <c r="U469" s="6">
        <v>0.00188578</v>
      </c>
      <c r="V469" s="6">
        <v>197.11803</v>
      </c>
      <c r="W469" s="6">
        <v>0.00186387</v>
      </c>
      <c r="X469" s="6">
        <v>134.47093</v>
      </c>
      <c r="Y469" s="6">
        <v>0.00170408</v>
      </c>
      <c r="Z469" s="6">
        <v>134.86767</v>
      </c>
      <c r="AA469" s="6">
        <v>0.00200379</v>
      </c>
      <c r="AB469" s="6">
        <v>294.9318</v>
      </c>
      <c r="AC469" s="6">
        <v>0.00186526</v>
      </c>
      <c r="AD469" s="6">
        <v>243.86163</v>
      </c>
      <c r="AE469" s="6">
        <v>0.00182057</v>
      </c>
      <c r="AF469" s="6">
        <v>775</v>
      </c>
      <c r="AG469" s="6">
        <v>-0.01217047</v>
      </c>
      <c r="AH469" s="6">
        <v>-0.01183029</v>
      </c>
      <c r="AI469" s="6">
        <v>-0.0117146</v>
      </c>
      <c r="AJ469" s="6">
        <v>-0.01086306</v>
      </c>
      <c r="AK469" s="6">
        <v>-0.01244898</v>
      </c>
      <c r="AL469" s="6">
        <v>-0.01172195</v>
      </c>
      <c r="AM469" s="6">
        <v>-0.01148524</v>
      </c>
      <c r="AN469" s="6">
        <v>-6.4762184</v>
      </c>
      <c r="AO469" s="6">
        <v>-6.4515561</v>
      </c>
      <c r="AP469" s="6">
        <v>-6.4739881</v>
      </c>
      <c r="AQ469" s="6">
        <v>-6.4253629</v>
      </c>
      <c r="AR469" s="6">
        <v>-6.4020076</v>
      </c>
      <c r="AS469" s="6">
        <v>-6.4618417</v>
      </c>
      <c r="AT469" s="6">
        <v>-6.4506396</v>
      </c>
      <c r="AU469" s="6">
        <v>0.97344833</v>
      </c>
      <c r="AV469" s="6">
        <v>0.96974131</v>
      </c>
      <c r="AW469" s="6">
        <v>0.97311308</v>
      </c>
      <c r="AX469" s="6">
        <v>0.96580418</v>
      </c>
      <c r="AY469" s="6">
        <v>0.96229362</v>
      </c>
      <c r="AZ469" s="6">
        <v>0.97128734</v>
      </c>
      <c r="BA469" s="6">
        <v>0.96960354</v>
      </c>
      <c r="BB469" s="6">
        <v>0.02655167</v>
      </c>
      <c r="BC469" s="6">
        <v>0.03025869</v>
      </c>
      <c r="BD469" s="6">
        <v>0.02688692</v>
      </c>
      <c r="BE469" s="6">
        <v>0.03419582</v>
      </c>
      <c r="BF469" s="6">
        <v>0.03770638</v>
      </c>
      <c r="BG469" s="6">
        <v>0.02871266</v>
      </c>
      <c r="BH469" s="6">
        <v>0.03039646</v>
      </c>
      <c r="BI469" s="6">
        <v>0.21470859</v>
      </c>
      <c r="BJ469" s="6">
        <v>0.12366373</v>
      </c>
      <c r="BK469" s="6">
        <v>0.1409291</v>
      </c>
      <c r="BL469" s="6">
        <v>0.12522516</v>
      </c>
      <c r="BM469" s="6">
        <v>0.1592662</v>
      </c>
      <c r="BN469" s="6">
        <v>0.17561655</v>
      </c>
      <c r="BO469" s="6">
        <v>0.1337285</v>
      </c>
      <c r="BP469" s="6">
        <v>0.14157076</v>
      </c>
      <c r="BQ469" s="6">
        <v>0.05250928</v>
      </c>
      <c r="BR469" s="6">
        <v>0.04517303</v>
      </c>
      <c r="BS469" s="6">
        <v>0.04600795</v>
      </c>
      <c r="BT469" s="6">
        <v>0.03649577</v>
      </c>
      <c r="BU469" s="6">
        <v>0.04745975</v>
      </c>
      <c r="BV469" s="6">
        <v>0.07356727</v>
      </c>
      <c r="BW469" s="6">
        <v>0.06285263</v>
      </c>
      <c r="BX469" s="12">
        <v>21030</v>
      </c>
      <c r="BY469" s="13">
        <v>6170</v>
      </c>
      <c r="BZ469" s="12">
        <v>51768.26</v>
      </c>
      <c r="CA469" s="6">
        <f t="shared" si="42"/>
        <v>3.40842787682334</v>
      </c>
      <c r="CB469" s="6">
        <f t="shared" si="43"/>
        <v>0.406233472015478</v>
      </c>
      <c r="CC469" s="7">
        <v>391871805.1</v>
      </c>
      <c r="CD469" s="7">
        <f t="shared" si="44"/>
        <v>0.756973104948863</v>
      </c>
      <c r="CE469" s="8">
        <v>250.6</v>
      </c>
      <c r="CF469" s="8">
        <v>1406</v>
      </c>
      <c r="CG469" s="8">
        <v>1543.7</v>
      </c>
      <c r="CH469" s="8">
        <v>45718</v>
      </c>
      <c r="CI469" s="14">
        <v>1</v>
      </c>
      <c r="CJ469" s="14">
        <v>1</v>
      </c>
      <c r="CK469" s="14">
        <f t="shared" si="45"/>
        <v>1</v>
      </c>
      <c r="CL469">
        <f t="shared" si="46"/>
        <v>1.56738551218677</v>
      </c>
      <c r="CM469">
        <f t="shared" si="47"/>
        <v>0.517047274545267</v>
      </c>
      <c r="CN469" s="15">
        <v>21030</v>
      </c>
      <c r="CO469" s="15">
        <v>14262.04</v>
      </c>
      <c r="CP469" s="15">
        <v>320.17</v>
      </c>
      <c r="CQ469" s="15">
        <v>3038.65</v>
      </c>
      <c r="CR469" s="15">
        <v>858.97</v>
      </c>
      <c r="CS469" s="15">
        <v>147.81</v>
      </c>
      <c r="CT469" s="15">
        <v>831.97</v>
      </c>
      <c r="CU469" s="15">
        <v>398.32</v>
      </c>
      <c r="CV469" s="15">
        <v>104.93</v>
      </c>
      <c r="CW469" s="15">
        <v>4192.63</v>
      </c>
    </row>
    <row r="470" spans="1:101">
      <c r="A470" s="6">
        <v>2018</v>
      </c>
      <c r="B470" s="6" t="s">
        <v>118</v>
      </c>
      <c r="C470" s="6">
        <v>0.37059963</v>
      </c>
      <c r="D470" s="6">
        <v>0.059421</v>
      </c>
      <c r="E470" s="6">
        <v>0.015018</v>
      </c>
      <c r="F470" s="6">
        <v>0.026374</v>
      </c>
      <c r="G470" s="6">
        <v>0.008816</v>
      </c>
      <c r="H470" s="6">
        <v>0.009213</v>
      </c>
      <c r="I470" s="6">
        <v>0.061241</v>
      </c>
      <c r="J470" s="6">
        <v>0.031694</v>
      </c>
      <c r="K470" s="6">
        <v>0.41453091</v>
      </c>
      <c r="L470" s="6">
        <v>0.31457469</v>
      </c>
      <c r="M470" s="6">
        <v>0.36243659</v>
      </c>
      <c r="N470" s="6">
        <v>0.2321119</v>
      </c>
      <c r="O470" s="6">
        <v>0.24568955</v>
      </c>
      <c r="P470" s="6">
        <v>0.59232803</v>
      </c>
      <c r="Q470" s="6">
        <v>0.49651786</v>
      </c>
      <c r="R470" s="6">
        <v>217.69486</v>
      </c>
      <c r="S470" s="6">
        <v>0.00190418</v>
      </c>
      <c r="T470" s="6">
        <v>169.97573</v>
      </c>
      <c r="U470" s="6">
        <v>0.0018507</v>
      </c>
      <c r="V470" s="6">
        <v>197.11803</v>
      </c>
      <c r="W470" s="6">
        <v>0.00183868</v>
      </c>
      <c r="X470" s="6">
        <v>134.47093</v>
      </c>
      <c r="Y470" s="6">
        <v>0.00172611</v>
      </c>
      <c r="Z470" s="6">
        <v>134.86767</v>
      </c>
      <c r="AA470" s="6">
        <v>0.00182171</v>
      </c>
      <c r="AB470" s="6">
        <v>294.9318</v>
      </c>
      <c r="AC470" s="6">
        <v>0.00200836</v>
      </c>
      <c r="AD470" s="6">
        <v>243.86163</v>
      </c>
      <c r="AE470" s="6">
        <v>0.00203606</v>
      </c>
      <c r="AF470" s="6">
        <v>775</v>
      </c>
      <c r="AG470" s="6">
        <v>-0.01192724</v>
      </c>
      <c r="AH470" s="6">
        <v>-0.01164498</v>
      </c>
      <c r="AI470" s="6">
        <v>-0.0115813</v>
      </c>
      <c r="AJ470" s="6">
        <v>-0.01098132</v>
      </c>
      <c r="AK470" s="6">
        <v>-0.0114913</v>
      </c>
      <c r="AL470" s="6">
        <v>-0.01247277</v>
      </c>
      <c r="AM470" s="6">
        <v>-0.01261695</v>
      </c>
      <c r="AN470" s="6">
        <v>-6.4762184</v>
      </c>
      <c r="AO470" s="6">
        <v>-6.4515561</v>
      </c>
      <c r="AP470" s="6">
        <v>-6.4739881</v>
      </c>
      <c r="AQ470" s="6">
        <v>-6.4253629</v>
      </c>
      <c r="AR470" s="6">
        <v>-6.4020076</v>
      </c>
      <c r="AS470" s="6">
        <v>-6.4618417</v>
      </c>
      <c r="AT470" s="6">
        <v>-6.4506396</v>
      </c>
      <c r="AU470" s="6">
        <v>0.97344833</v>
      </c>
      <c r="AV470" s="6">
        <v>0.96974131</v>
      </c>
      <c r="AW470" s="6">
        <v>0.97311308</v>
      </c>
      <c r="AX470" s="6">
        <v>0.96580418</v>
      </c>
      <c r="AY470" s="6">
        <v>0.96229362</v>
      </c>
      <c r="AZ470" s="6">
        <v>0.97128734</v>
      </c>
      <c r="BA470" s="6">
        <v>0.96960354</v>
      </c>
      <c r="BB470" s="6">
        <v>0.02655167</v>
      </c>
      <c r="BC470" s="6">
        <v>0.03025869</v>
      </c>
      <c r="BD470" s="6">
        <v>0.02688692</v>
      </c>
      <c r="BE470" s="6">
        <v>0.03419582</v>
      </c>
      <c r="BF470" s="6">
        <v>0.03770638</v>
      </c>
      <c r="BG470" s="6">
        <v>0.02871266</v>
      </c>
      <c r="BH470" s="6">
        <v>0.03039646</v>
      </c>
      <c r="BI470" s="6">
        <v>0.21470859</v>
      </c>
      <c r="BJ470" s="6">
        <v>0.12366373</v>
      </c>
      <c r="BK470" s="6">
        <v>0.1409291</v>
      </c>
      <c r="BL470" s="6">
        <v>0.12522516</v>
      </c>
      <c r="BM470" s="6">
        <v>0.1592662</v>
      </c>
      <c r="BN470" s="6">
        <v>0.17561655</v>
      </c>
      <c r="BO470" s="6">
        <v>0.1337285</v>
      </c>
      <c r="BP470" s="6">
        <v>0.14157076</v>
      </c>
      <c r="BQ470" s="6">
        <v>0.05126244</v>
      </c>
      <c r="BR470" s="6">
        <v>0.04433273</v>
      </c>
      <c r="BS470" s="6">
        <v>0.04538618</v>
      </c>
      <c r="BT470" s="6">
        <v>0.03696758</v>
      </c>
      <c r="BU470" s="6">
        <v>0.04314715</v>
      </c>
      <c r="BV470" s="6">
        <v>0.07921114</v>
      </c>
      <c r="BW470" s="6">
        <v>0.07029241</v>
      </c>
      <c r="BX470" s="12">
        <v>21675</v>
      </c>
      <c r="BY470" s="13">
        <v>6273</v>
      </c>
      <c r="BZ470" s="12">
        <v>56197.15</v>
      </c>
      <c r="CA470" s="6">
        <f t="shared" si="42"/>
        <v>3.45528455284553</v>
      </c>
      <c r="CB470" s="6">
        <f t="shared" si="43"/>
        <v>0.385695715885948</v>
      </c>
      <c r="CC470" s="7">
        <v>402870023.2</v>
      </c>
      <c r="CD470" s="7">
        <f t="shared" si="44"/>
        <v>0.716886929675259</v>
      </c>
      <c r="CE470" s="8">
        <v>279.4</v>
      </c>
      <c r="CF470" s="8">
        <v>1488.1</v>
      </c>
      <c r="CG470" s="8">
        <v>1742.7</v>
      </c>
      <c r="CH470" s="8">
        <v>49614</v>
      </c>
      <c r="CI470" s="14">
        <v>1</v>
      </c>
      <c r="CJ470" s="14">
        <v>1</v>
      </c>
      <c r="CK470" s="14">
        <f t="shared" si="45"/>
        <v>1</v>
      </c>
      <c r="CL470">
        <f t="shared" si="46"/>
        <v>1.51591455826218</v>
      </c>
      <c r="CM470">
        <f t="shared" si="47"/>
        <v>0.527092786484557</v>
      </c>
      <c r="CN470" s="15">
        <v>21675</v>
      </c>
      <c r="CO470" s="15">
        <v>14180.08</v>
      </c>
      <c r="CP470" s="15">
        <v>323.05</v>
      </c>
      <c r="CQ470" s="15">
        <v>2769.88</v>
      </c>
      <c r="CR470" s="15">
        <v>862.2</v>
      </c>
      <c r="CS470" s="15">
        <v>163.65</v>
      </c>
      <c r="CT470" s="15">
        <v>761.97</v>
      </c>
      <c r="CU470" s="15">
        <v>304.08</v>
      </c>
      <c r="CV470" s="15">
        <v>134.91</v>
      </c>
      <c r="CW470" s="15">
        <v>4532.82</v>
      </c>
    </row>
    <row r="471" spans="1:101">
      <c r="A471" s="6">
        <v>2019</v>
      </c>
      <c r="B471" s="6" t="s">
        <v>118</v>
      </c>
      <c r="C471" s="6">
        <v>0.35247177</v>
      </c>
      <c r="D471" s="6">
        <v>0.053857</v>
      </c>
      <c r="E471" s="6">
        <v>0.013616</v>
      </c>
      <c r="F471" s="6">
        <v>0.024989</v>
      </c>
      <c r="G471" s="6">
        <v>0.008389</v>
      </c>
      <c r="H471" s="6">
        <v>0.006862</v>
      </c>
      <c r="I471" s="6">
        <v>0.065405</v>
      </c>
      <c r="J471" s="6">
        <v>0.03285</v>
      </c>
      <c r="K471" s="6">
        <v>0.3708892</v>
      </c>
      <c r="L471" s="6">
        <v>0.28143378</v>
      </c>
      <c r="M471" s="6">
        <v>0.34115227</v>
      </c>
      <c r="N471" s="6">
        <v>0.21949575</v>
      </c>
      <c r="O471" s="6">
        <v>0.17446499</v>
      </c>
      <c r="P471" s="6">
        <v>0.63871273</v>
      </c>
      <c r="Q471" s="6">
        <v>0.51713985</v>
      </c>
      <c r="R471" s="6">
        <v>217.69486</v>
      </c>
      <c r="S471" s="6">
        <v>0.00170371</v>
      </c>
      <c r="T471" s="6">
        <v>169.97573</v>
      </c>
      <c r="U471" s="6">
        <v>0.00165573</v>
      </c>
      <c r="V471" s="6">
        <v>197.11803</v>
      </c>
      <c r="W471" s="6">
        <v>0.0017307</v>
      </c>
      <c r="X471" s="6">
        <v>134.47093</v>
      </c>
      <c r="Y471" s="6">
        <v>0.00163229</v>
      </c>
      <c r="Z471" s="6">
        <v>134.86767</v>
      </c>
      <c r="AA471" s="6">
        <v>0.0012936</v>
      </c>
      <c r="AB471" s="6">
        <v>294.9318</v>
      </c>
      <c r="AC471" s="6">
        <v>0.00216563</v>
      </c>
      <c r="AD471" s="6">
        <v>243.86163</v>
      </c>
      <c r="AE471" s="6">
        <v>0.00212063</v>
      </c>
      <c r="AF471" s="6">
        <v>775</v>
      </c>
      <c r="AG471" s="6">
        <v>-0.01086107</v>
      </c>
      <c r="AH471" s="6">
        <v>-0.01060248</v>
      </c>
      <c r="AI471" s="6">
        <v>-0.01100592</v>
      </c>
      <c r="AJ471" s="6">
        <v>-0.01047567</v>
      </c>
      <c r="AK471" s="6">
        <v>-0.00860287</v>
      </c>
      <c r="AL471" s="6">
        <v>-0.01328623</v>
      </c>
      <c r="AM471" s="6">
        <v>-0.01305468</v>
      </c>
      <c r="AN471" s="6">
        <v>-6.4762184</v>
      </c>
      <c r="AO471" s="6">
        <v>-6.4515561</v>
      </c>
      <c r="AP471" s="6">
        <v>-6.4739881</v>
      </c>
      <c r="AQ471" s="6">
        <v>-6.4253629</v>
      </c>
      <c r="AR471" s="6">
        <v>-6.4020076</v>
      </c>
      <c r="AS471" s="6">
        <v>-6.4618417</v>
      </c>
      <c r="AT471" s="6">
        <v>-6.4506396</v>
      </c>
      <c r="AU471" s="6">
        <v>0.97344833</v>
      </c>
      <c r="AV471" s="6">
        <v>0.96974131</v>
      </c>
      <c r="AW471" s="6">
        <v>0.97311308</v>
      </c>
      <c r="AX471" s="6">
        <v>0.96580418</v>
      </c>
      <c r="AY471" s="6">
        <v>0.96229362</v>
      </c>
      <c r="AZ471" s="6">
        <v>0.97128734</v>
      </c>
      <c r="BA471" s="6">
        <v>0.96960354</v>
      </c>
      <c r="BB471" s="6">
        <v>0.02655167</v>
      </c>
      <c r="BC471" s="6">
        <v>0.03025869</v>
      </c>
      <c r="BD471" s="6">
        <v>0.02688692</v>
      </c>
      <c r="BE471" s="6">
        <v>0.03419582</v>
      </c>
      <c r="BF471" s="6">
        <v>0.03770638</v>
      </c>
      <c r="BG471" s="6">
        <v>0.02871266</v>
      </c>
      <c r="BH471" s="6">
        <v>0.03039646</v>
      </c>
      <c r="BI471" s="6">
        <v>0.21470859</v>
      </c>
      <c r="BJ471" s="6">
        <v>0.12366373</v>
      </c>
      <c r="BK471" s="6">
        <v>0.1409291</v>
      </c>
      <c r="BL471" s="6">
        <v>0.12522516</v>
      </c>
      <c r="BM471" s="6">
        <v>0.1592662</v>
      </c>
      <c r="BN471" s="6">
        <v>0.17561655</v>
      </c>
      <c r="BO471" s="6">
        <v>0.1337285</v>
      </c>
      <c r="BP471" s="6">
        <v>0.14157076</v>
      </c>
      <c r="BQ471" s="6">
        <v>0.04586554</v>
      </c>
      <c r="BR471" s="6">
        <v>0.03966221</v>
      </c>
      <c r="BS471" s="6">
        <v>0.04272085</v>
      </c>
      <c r="BT471" s="6">
        <v>0.03495825</v>
      </c>
      <c r="BU471" s="6">
        <v>0.03063894</v>
      </c>
      <c r="BV471" s="6">
        <v>0.08541409</v>
      </c>
      <c r="BW471" s="6">
        <v>0.07321188</v>
      </c>
      <c r="BX471" s="12">
        <v>22393</v>
      </c>
      <c r="BY471" s="13">
        <v>6375</v>
      </c>
      <c r="BZ471" s="12">
        <v>62351.74</v>
      </c>
      <c r="CA471" s="6">
        <f t="shared" si="42"/>
        <v>3.51262745098039</v>
      </c>
      <c r="CB471" s="6">
        <f t="shared" si="43"/>
        <v>0.359139937393888</v>
      </c>
      <c r="CC471" s="7">
        <v>403466940.7</v>
      </c>
      <c r="CD471" s="7">
        <f t="shared" si="44"/>
        <v>0.647082087364362</v>
      </c>
      <c r="CE471" s="8">
        <v>280</v>
      </c>
      <c r="CF471" s="8">
        <v>1587.1</v>
      </c>
      <c r="CG471" s="8">
        <v>1881.4</v>
      </c>
      <c r="CH471" s="8">
        <v>52537</v>
      </c>
      <c r="CI471" s="14">
        <v>1</v>
      </c>
      <c r="CJ471" s="14">
        <v>1</v>
      </c>
      <c r="CK471" s="14">
        <f t="shared" si="45"/>
        <v>1</v>
      </c>
      <c r="CL471">
        <f t="shared" si="46"/>
        <v>1.5000536746505</v>
      </c>
      <c r="CM471">
        <f t="shared" si="47"/>
        <v>0.56862737760692</v>
      </c>
      <c r="CN471" s="15">
        <v>22393</v>
      </c>
      <c r="CO471" s="15">
        <v>13676.9</v>
      </c>
      <c r="CP471" s="15">
        <v>302.02</v>
      </c>
      <c r="CQ471" s="15">
        <v>3472.3</v>
      </c>
      <c r="CR471" s="15">
        <v>789.2</v>
      </c>
      <c r="CS471" s="15">
        <v>176.37</v>
      </c>
      <c r="CT471" s="15">
        <v>730.48</v>
      </c>
      <c r="CU471" s="15">
        <v>303.79</v>
      </c>
      <c r="CV471" s="15">
        <v>147.2</v>
      </c>
      <c r="CW471" s="15">
        <v>4706.22</v>
      </c>
    </row>
    <row r="472" spans="1:101">
      <c r="A472" s="6">
        <v>2020</v>
      </c>
      <c r="B472" s="6" t="s">
        <v>118</v>
      </c>
      <c r="C472" s="6">
        <v>0.41844062</v>
      </c>
      <c r="D472" s="6">
        <v>0.071209</v>
      </c>
      <c r="E472" s="6">
        <v>0.017477</v>
      </c>
      <c r="F472" s="6">
        <v>0.031753</v>
      </c>
      <c r="G472" s="6">
        <v>0.011512</v>
      </c>
      <c r="H472" s="6">
        <v>0.010468</v>
      </c>
      <c r="I472" s="6">
        <v>0.062894</v>
      </c>
      <c r="J472" s="6">
        <v>0.030122</v>
      </c>
      <c r="K472" s="6">
        <v>0.50700163</v>
      </c>
      <c r="L472" s="6">
        <v>0.37271273</v>
      </c>
      <c r="M472" s="6">
        <v>0.44511279</v>
      </c>
      <c r="N472" s="6">
        <v>0.31179089</v>
      </c>
      <c r="O472" s="6">
        <v>0.28371713</v>
      </c>
      <c r="P472" s="6">
        <v>0.61073921</v>
      </c>
      <c r="Q472" s="6">
        <v>0.46846615</v>
      </c>
      <c r="R472" s="6">
        <v>217.69486</v>
      </c>
      <c r="S472" s="6">
        <v>0.00232896</v>
      </c>
      <c r="T472" s="6">
        <v>169.97573</v>
      </c>
      <c r="U472" s="6">
        <v>0.00219274</v>
      </c>
      <c r="V472" s="6">
        <v>197.11803</v>
      </c>
      <c r="W472" s="6">
        <v>0.0022581</v>
      </c>
      <c r="X472" s="6">
        <v>134.47093</v>
      </c>
      <c r="Y472" s="6">
        <v>0.00231865</v>
      </c>
      <c r="Z472" s="6">
        <v>134.86767</v>
      </c>
      <c r="AA472" s="6">
        <v>0.00210367</v>
      </c>
      <c r="AB472" s="6">
        <v>294.9318</v>
      </c>
      <c r="AC472" s="6">
        <v>0.00207078</v>
      </c>
      <c r="AD472" s="6">
        <v>243.86163</v>
      </c>
      <c r="AE472" s="6">
        <v>0.00192103</v>
      </c>
      <c r="AF472" s="6">
        <v>775</v>
      </c>
      <c r="AG472" s="6">
        <v>-0.01411891</v>
      </c>
      <c r="AH472" s="6">
        <v>-0.01342528</v>
      </c>
      <c r="AI472" s="6">
        <v>-0.01375914</v>
      </c>
      <c r="AJ472" s="6">
        <v>-0.01406671</v>
      </c>
      <c r="AK472" s="6">
        <v>-0.01296718</v>
      </c>
      <c r="AL472" s="6">
        <v>-0.01279707</v>
      </c>
      <c r="AM472" s="6">
        <v>-0.01201585</v>
      </c>
      <c r="AN472" s="6">
        <v>-6.4762184</v>
      </c>
      <c r="AO472" s="6">
        <v>-6.4515561</v>
      </c>
      <c r="AP472" s="6">
        <v>-6.4739881</v>
      </c>
      <c r="AQ472" s="6">
        <v>-6.4253629</v>
      </c>
      <c r="AR472" s="6">
        <v>-6.4020076</v>
      </c>
      <c r="AS472" s="6">
        <v>-6.4618417</v>
      </c>
      <c r="AT472" s="6">
        <v>-6.4506396</v>
      </c>
      <c r="AU472" s="6">
        <v>0.97344833</v>
      </c>
      <c r="AV472" s="6">
        <v>0.96974131</v>
      </c>
      <c r="AW472" s="6">
        <v>0.97311308</v>
      </c>
      <c r="AX472" s="6">
        <v>0.96580418</v>
      </c>
      <c r="AY472" s="6">
        <v>0.96229362</v>
      </c>
      <c r="AZ472" s="6">
        <v>0.97128734</v>
      </c>
      <c r="BA472" s="6">
        <v>0.96960354</v>
      </c>
      <c r="BB472" s="6">
        <v>0.02655167</v>
      </c>
      <c r="BC472" s="6">
        <v>0.03025869</v>
      </c>
      <c r="BD472" s="6">
        <v>0.02688692</v>
      </c>
      <c r="BE472" s="6">
        <v>0.03419582</v>
      </c>
      <c r="BF472" s="6">
        <v>0.03770638</v>
      </c>
      <c r="BG472" s="6">
        <v>0.02871266</v>
      </c>
      <c r="BH472" s="6">
        <v>0.03039646</v>
      </c>
      <c r="BI472" s="6">
        <v>0.21470859</v>
      </c>
      <c r="BJ472" s="6">
        <v>0.12366373</v>
      </c>
      <c r="BK472" s="6">
        <v>0.1409291</v>
      </c>
      <c r="BL472" s="6">
        <v>0.12522516</v>
      </c>
      <c r="BM472" s="6">
        <v>0.1592662</v>
      </c>
      <c r="BN472" s="6">
        <v>0.17561655</v>
      </c>
      <c r="BO472" s="6">
        <v>0.1337285</v>
      </c>
      <c r="BP472" s="6">
        <v>0.14157076</v>
      </c>
      <c r="BQ472" s="6">
        <v>0.06269771</v>
      </c>
      <c r="BR472" s="6">
        <v>0.05252607</v>
      </c>
      <c r="BS472" s="6">
        <v>0.05573932</v>
      </c>
      <c r="BT472" s="6">
        <v>0.04965775</v>
      </c>
      <c r="BU472" s="6">
        <v>0.04982542</v>
      </c>
      <c r="BV472" s="6">
        <v>0.08167324</v>
      </c>
      <c r="BW472" s="6">
        <v>0.06632111</v>
      </c>
      <c r="BX472" s="12">
        <v>24660</v>
      </c>
      <c r="BY472" s="13">
        <v>6468.3</v>
      </c>
      <c r="BZ472" s="12">
        <v>64613.34</v>
      </c>
      <c r="CA472" s="6">
        <f t="shared" si="42"/>
        <v>3.81243912620008</v>
      </c>
      <c r="CB472" s="6">
        <f t="shared" si="43"/>
        <v>0.381654933795405</v>
      </c>
      <c r="CC472" s="7">
        <v>405793469.4</v>
      </c>
      <c r="CD472" s="7">
        <f t="shared" si="44"/>
        <v>0.628033575419565</v>
      </c>
      <c r="CE472" s="8">
        <v>338.1</v>
      </c>
      <c r="CF472" s="8">
        <v>1629.3</v>
      </c>
      <c r="CG472" s="8">
        <v>1989</v>
      </c>
      <c r="CH472" s="8">
        <v>55021</v>
      </c>
      <c r="CI472" s="14">
        <v>1</v>
      </c>
      <c r="CJ472" s="14">
        <v>1</v>
      </c>
      <c r="CK472" s="14">
        <f t="shared" si="45"/>
        <v>1</v>
      </c>
      <c r="CL472">
        <f t="shared" si="46"/>
        <v>1.47141701078949</v>
      </c>
      <c r="CM472">
        <f t="shared" si="47"/>
        <v>0.573177711814958</v>
      </c>
      <c r="CN472" s="15">
        <v>24660</v>
      </c>
      <c r="CO472" s="15">
        <v>13131.53</v>
      </c>
      <c r="CP472" s="15">
        <v>312.48</v>
      </c>
      <c r="CQ472" s="15">
        <v>5082.69</v>
      </c>
      <c r="CR472" s="15">
        <v>834.57</v>
      </c>
      <c r="CS472" s="15">
        <v>145.77</v>
      </c>
      <c r="CT472" s="15">
        <v>703.26</v>
      </c>
      <c r="CU472" s="15">
        <v>456.38</v>
      </c>
      <c r="CV472" s="15">
        <v>133.5</v>
      </c>
      <c r="CW472" s="15">
        <v>4830</v>
      </c>
    </row>
    <row r="473" spans="1:101">
      <c r="A473" s="6">
        <v>2021</v>
      </c>
      <c r="B473" s="6" t="s">
        <v>118</v>
      </c>
      <c r="C473" s="6">
        <v>0.39185309</v>
      </c>
      <c r="D473" s="6">
        <v>0.061677</v>
      </c>
      <c r="E473" s="6">
        <v>0.015801</v>
      </c>
      <c r="F473" s="6">
        <v>0.028542</v>
      </c>
      <c r="G473" s="6">
        <v>0.008463</v>
      </c>
      <c r="H473" s="6">
        <v>0.00887</v>
      </c>
      <c r="I473" s="6">
        <v>0.071448</v>
      </c>
      <c r="J473" s="6">
        <v>0.031918</v>
      </c>
      <c r="K473" s="6">
        <v>0.43222564</v>
      </c>
      <c r="L473" s="6">
        <v>0.33307313</v>
      </c>
      <c r="M473" s="6">
        <v>0.39577008</v>
      </c>
      <c r="N473" s="6">
        <v>0.22167676</v>
      </c>
      <c r="O473" s="6">
        <v>0.235314</v>
      </c>
      <c r="P473" s="6">
        <v>0.70602452</v>
      </c>
      <c r="Q473" s="6">
        <v>0.5004998</v>
      </c>
      <c r="R473" s="6">
        <v>217.69486</v>
      </c>
      <c r="S473" s="6">
        <v>0.00198547</v>
      </c>
      <c r="T473" s="6">
        <v>169.97573</v>
      </c>
      <c r="U473" s="6">
        <v>0.00195953</v>
      </c>
      <c r="V473" s="6">
        <v>197.11803</v>
      </c>
      <c r="W473" s="6">
        <v>0.00200778</v>
      </c>
      <c r="X473" s="6">
        <v>134.47093</v>
      </c>
      <c r="Y473" s="6">
        <v>0.00164851</v>
      </c>
      <c r="Z473" s="6">
        <v>134.86767</v>
      </c>
      <c r="AA473" s="6">
        <v>0.00174478</v>
      </c>
      <c r="AB473" s="6">
        <v>294.9318</v>
      </c>
      <c r="AC473" s="6">
        <v>0.00239386</v>
      </c>
      <c r="AD473" s="6">
        <v>243.86163</v>
      </c>
      <c r="AE473" s="6">
        <v>0.00205239</v>
      </c>
      <c r="AF473" s="6">
        <v>775</v>
      </c>
      <c r="AG473" s="6">
        <v>-0.01235337</v>
      </c>
      <c r="AH473" s="6">
        <v>-0.01221779</v>
      </c>
      <c r="AI473" s="6">
        <v>-0.01246978</v>
      </c>
      <c r="AJ473" s="6">
        <v>-0.01056346</v>
      </c>
      <c r="AK473" s="6">
        <v>-0.0110813</v>
      </c>
      <c r="AL473" s="6">
        <v>-0.01444657</v>
      </c>
      <c r="AM473" s="6">
        <v>-0.01270174</v>
      </c>
      <c r="AN473" s="6">
        <v>-6.4762184</v>
      </c>
      <c r="AO473" s="6">
        <v>-6.4515561</v>
      </c>
      <c r="AP473" s="6">
        <v>-6.4739881</v>
      </c>
      <c r="AQ473" s="6">
        <v>-6.4253629</v>
      </c>
      <c r="AR473" s="6">
        <v>-6.4020076</v>
      </c>
      <c r="AS473" s="6">
        <v>-6.4618417</v>
      </c>
      <c r="AT473" s="6">
        <v>-6.4506396</v>
      </c>
      <c r="AU473" s="6">
        <v>0.97344833</v>
      </c>
      <c r="AV473" s="6">
        <v>0.96974131</v>
      </c>
      <c r="AW473" s="6">
        <v>0.97311308</v>
      </c>
      <c r="AX473" s="6">
        <v>0.96580418</v>
      </c>
      <c r="AY473" s="6">
        <v>0.96229362</v>
      </c>
      <c r="AZ473" s="6">
        <v>0.97128734</v>
      </c>
      <c r="BA473" s="6">
        <v>0.96960354</v>
      </c>
      <c r="BB473" s="6">
        <v>0.02655167</v>
      </c>
      <c r="BC473" s="6">
        <v>0.03025869</v>
      </c>
      <c r="BD473" s="6">
        <v>0.02688692</v>
      </c>
      <c r="BE473" s="6">
        <v>0.03419582</v>
      </c>
      <c r="BF473" s="6">
        <v>0.03770638</v>
      </c>
      <c r="BG473" s="6">
        <v>0.02871266</v>
      </c>
      <c r="BH473" s="6">
        <v>0.03039646</v>
      </c>
      <c r="BI473" s="6">
        <v>0.21470859</v>
      </c>
      <c r="BJ473" s="6">
        <v>0.12366373</v>
      </c>
      <c r="BK473" s="6">
        <v>0.1409291</v>
      </c>
      <c r="BL473" s="6">
        <v>0.12522516</v>
      </c>
      <c r="BM473" s="6">
        <v>0.1592662</v>
      </c>
      <c r="BN473" s="6">
        <v>0.17561655</v>
      </c>
      <c r="BO473" s="6">
        <v>0.1337285</v>
      </c>
      <c r="BP473" s="6">
        <v>0.14157076</v>
      </c>
      <c r="BQ473" s="6">
        <v>0.05345064</v>
      </c>
      <c r="BR473" s="6">
        <v>0.0469397</v>
      </c>
      <c r="BS473" s="6">
        <v>0.04956037</v>
      </c>
      <c r="BT473" s="6">
        <v>0.03530562</v>
      </c>
      <c r="BU473" s="6">
        <v>0.04132503</v>
      </c>
      <c r="BV473" s="6">
        <v>0.0944156</v>
      </c>
      <c r="BW473" s="6">
        <v>0.07085614</v>
      </c>
      <c r="BX473" s="12">
        <v>26623.7</v>
      </c>
      <c r="BY473" s="13">
        <v>6540</v>
      </c>
      <c r="BZ473" s="12">
        <v>73515.8</v>
      </c>
      <c r="CA473" s="6">
        <f t="shared" si="42"/>
        <v>4.07090214067278</v>
      </c>
      <c r="CB473" s="6">
        <f t="shared" si="43"/>
        <v>0.362149361089725</v>
      </c>
      <c r="CC473" s="7">
        <v>424413186.2</v>
      </c>
      <c r="CD473" s="7">
        <f t="shared" si="44"/>
        <v>0.577308804637915</v>
      </c>
      <c r="CE473" s="8">
        <v>364.6</v>
      </c>
      <c r="CF473" s="8">
        <v>2099.2</v>
      </c>
      <c r="CG473" s="8">
        <v>2124.4</v>
      </c>
      <c r="CH473" s="8">
        <v>63461</v>
      </c>
      <c r="CI473" s="14">
        <v>1</v>
      </c>
      <c r="CJ473" s="14">
        <v>1</v>
      </c>
      <c r="CK473" s="14">
        <f t="shared" si="45"/>
        <v>1</v>
      </c>
      <c r="CL473">
        <f t="shared" si="46"/>
        <v>1.36781889095748</v>
      </c>
      <c r="CM473">
        <f t="shared" si="47"/>
        <v>0.577934762815129</v>
      </c>
      <c r="CN473" s="15">
        <v>26623.7</v>
      </c>
      <c r="CO473" s="15">
        <v>15429.95</v>
      </c>
      <c r="CP473" s="15">
        <v>285.53</v>
      </c>
      <c r="CQ473" s="15">
        <v>5636.97</v>
      </c>
      <c r="CR473" s="15">
        <v>878.65</v>
      </c>
      <c r="CS473" s="15">
        <v>155.23</v>
      </c>
      <c r="CT473" s="15">
        <v>698.76</v>
      </c>
      <c r="CU473" s="15">
        <v>260.63</v>
      </c>
      <c r="CV473" s="15">
        <v>170.53</v>
      </c>
      <c r="CW473" s="15">
        <v>5514</v>
      </c>
    </row>
    <row r="474" spans="1:101">
      <c r="A474" s="6">
        <v>2022</v>
      </c>
      <c r="B474" s="6" t="s">
        <v>118</v>
      </c>
      <c r="C474" s="6">
        <v>0.4730561</v>
      </c>
      <c r="D474" s="6">
        <v>0.07755</v>
      </c>
      <c r="E474" s="6">
        <v>0.019212</v>
      </c>
      <c r="F474" s="6">
        <v>0.035502</v>
      </c>
      <c r="G474" s="6">
        <v>0.012088</v>
      </c>
      <c r="H474" s="6">
        <v>0.010749</v>
      </c>
      <c r="I474" s="6">
        <v>0.071615</v>
      </c>
      <c r="J474" s="6">
        <v>0.037355</v>
      </c>
      <c r="K474" s="6">
        <v>0.55674104</v>
      </c>
      <c r="L474" s="6">
        <v>0.41372214</v>
      </c>
      <c r="M474" s="6">
        <v>0.50272852</v>
      </c>
      <c r="N474" s="6">
        <v>0.32883466</v>
      </c>
      <c r="O474" s="6">
        <v>0.29223895</v>
      </c>
      <c r="P474" s="6">
        <v>0.70787798</v>
      </c>
      <c r="Q474" s="6">
        <v>0.59751021</v>
      </c>
      <c r="R474" s="6">
        <v>217.69486</v>
      </c>
      <c r="S474" s="6">
        <v>0.00255744</v>
      </c>
      <c r="T474" s="6">
        <v>169.97573</v>
      </c>
      <c r="U474" s="6">
        <v>0.00243401</v>
      </c>
      <c r="V474" s="6">
        <v>197.11803</v>
      </c>
      <c r="W474" s="6">
        <v>0.00255039</v>
      </c>
      <c r="X474" s="6">
        <v>134.47093</v>
      </c>
      <c r="Y474" s="6">
        <v>0.0024454</v>
      </c>
      <c r="Z474" s="6">
        <v>134.86767</v>
      </c>
      <c r="AA474" s="6">
        <v>0.00216686</v>
      </c>
      <c r="AB474" s="6">
        <v>294.9318</v>
      </c>
      <c r="AC474" s="6">
        <v>0.00240014</v>
      </c>
      <c r="AD474" s="6">
        <v>243.86163</v>
      </c>
      <c r="AE474" s="6">
        <v>0.0024502</v>
      </c>
      <c r="AF474" s="6">
        <v>775</v>
      </c>
      <c r="AG474" s="6">
        <v>-0.0152647</v>
      </c>
      <c r="AH474" s="6">
        <v>-0.01464838</v>
      </c>
      <c r="AI474" s="6">
        <v>-0.01522969</v>
      </c>
      <c r="AJ474" s="6">
        <v>-0.01470551</v>
      </c>
      <c r="AK474" s="6">
        <v>-0.01329254</v>
      </c>
      <c r="AL474" s="6">
        <v>-0.0144782</v>
      </c>
      <c r="AM474" s="6">
        <v>-0.0147296</v>
      </c>
      <c r="AN474" s="6">
        <v>-6.4762184</v>
      </c>
      <c r="AO474" s="6">
        <v>-6.4515561</v>
      </c>
      <c r="AP474" s="6">
        <v>-6.4739881</v>
      </c>
      <c r="AQ474" s="6">
        <v>-6.4253629</v>
      </c>
      <c r="AR474" s="6">
        <v>-6.4020076</v>
      </c>
      <c r="AS474" s="6">
        <v>-6.4618417</v>
      </c>
      <c r="AT474" s="6">
        <v>-6.4506396</v>
      </c>
      <c r="AU474" s="6">
        <v>0.97344833</v>
      </c>
      <c r="AV474" s="6">
        <v>0.96974131</v>
      </c>
      <c r="AW474" s="6">
        <v>0.97311308</v>
      </c>
      <c r="AX474" s="6">
        <v>0.96580418</v>
      </c>
      <c r="AY474" s="6">
        <v>0.96229362</v>
      </c>
      <c r="AZ474" s="6">
        <v>0.97128734</v>
      </c>
      <c r="BA474" s="6">
        <v>0.96960354</v>
      </c>
      <c r="BB474" s="6">
        <v>0.02655167</v>
      </c>
      <c r="BC474" s="6">
        <v>0.03025869</v>
      </c>
      <c r="BD474" s="6">
        <v>0.02688692</v>
      </c>
      <c r="BE474" s="6">
        <v>0.03419582</v>
      </c>
      <c r="BF474" s="6">
        <v>0.03770638</v>
      </c>
      <c r="BG474" s="6">
        <v>0.02871266</v>
      </c>
      <c r="BH474" s="6">
        <v>0.03039646</v>
      </c>
      <c r="BI474" s="6">
        <v>0.21470859</v>
      </c>
      <c r="BJ474" s="6">
        <v>0.12366373</v>
      </c>
      <c r="BK474" s="6">
        <v>0.1409291</v>
      </c>
      <c r="BL474" s="6">
        <v>0.12522516</v>
      </c>
      <c r="BM474" s="6">
        <v>0.1592662</v>
      </c>
      <c r="BN474" s="6">
        <v>0.17561655</v>
      </c>
      <c r="BO474" s="6">
        <v>0.1337285</v>
      </c>
      <c r="BP474" s="6">
        <v>0.14157076</v>
      </c>
      <c r="BQ474" s="6">
        <v>0.06884868</v>
      </c>
      <c r="BR474" s="6">
        <v>0.05830549</v>
      </c>
      <c r="BS474" s="6">
        <v>0.06295426</v>
      </c>
      <c r="BT474" s="6">
        <v>0.05237225</v>
      </c>
      <c r="BU474" s="6">
        <v>0.051322</v>
      </c>
      <c r="BV474" s="6">
        <v>0.09466346</v>
      </c>
      <c r="BW474" s="6">
        <v>0.08458998</v>
      </c>
      <c r="BX474" s="12">
        <v>29112.3</v>
      </c>
      <c r="BY474" s="13">
        <v>6577</v>
      </c>
      <c r="BZ474" s="12">
        <v>77715.4</v>
      </c>
      <c r="CA474" s="6">
        <f t="shared" si="42"/>
        <v>4.42637980842329</v>
      </c>
      <c r="CB474" s="6">
        <f t="shared" si="43"/>
        <v>0.374601430347138</v>
      </c>
      <c r="CC474" s="7">
        <v>418594960.8</v>
      </c>
      <c r="CD474" s="7">
        <f t="shared" si="44"/>
        <v>0.538625498678512</v>
      </c>
      <c r="CE474" s="8">
        <v>407.5</v>
      </c>
      <c r="CF474" s="8">
        <v>2439.1</v>
      </c>
      <c r="CG474" s="8">
        <v>2258</v>
      </c>
      <c r="CH474" s="8">
        <v>70263</v>
      </c>
      <c r="CI474" s="14">
        <v>1</v>
      </c>
      <c r="CJ474" s="14">
        <v>1</v>
      </c>
      <c r="CK474" s="14">
        <f t="shared" si="45"/>
        <v>1</v>
      </c>
      <c r="CL474">
        <f t="shared" si="46"/>
        <v>1.27047633725244</v>
      </c>
      <c r="CM474">
        <f t="shared" si="47"/>
        <v>0.576044446570838</v>
      </c>
      <c r="CN474" s="15">
        <v>29112.3</v>
      </c>
      <c r="CO474" s="15">
        <v>16145.79</v>
      </c>
      <c r="CP474" s="15">
        <v>292.63</v>
      </c>
      <c r="CQ474" s="15">
        <v>6753.78</v>
      </c>
      <c r="CR474" s="15">
        <v>882.69</v>
      </c>
      <c r="CS474" s="15">
        <v>115.31</v>
      </c>
      <c r="CT474" s="15">
        <v>686.52</v>
      </c>
      <c r="CU474" s="15">
        <v>211.44</v>
      </c>
      <c r="CV474" s="15">
        <v>172.03</v>
      </c>
      <c r="CW474" s="15">
        <v>5799.31</v>
      </c>
    </row>
    <row r="475" spans="1:101">
      <c r="A475" s="6">
        <v>2023</v>
      </c>
      <c r="B475" s="6" t="s">
        <v>118</v>
      </c>
      <c r="C475" s="6">
        <v>0.71848159</v>
      </c>
      <c r="D475" s="6">
        <v>0.101525</v>
      </c>
      <c r="E475" s="6">
        <v>0.030724</v>
      </c>
      <c r="F475" s="6">
        <v>0.050562</v>
      </c>
      <c r="G475" s="6">
        <v>0.023814</v>
      </c>
      <c r="H475" s="6">
        <v>0.020728</v>
      </c>
      <c r="I475" s="6">
        <v>0.079882</v>
      </c>
      <c r="J475" s="6">
        <v>0.050893</v>
      </c>
      <c r="K475" s="6">
        <v>0.744801</v>
      </c>
      <c r="L475" s="6">
        <v>0.68589981</v>
      </c>
      <c r="M475" s="6">
        <v>0.73419582</v>
      </c>
      <c r="N475" s="6">
        <v>0.67545247</v>
      </c>
      <c r="O475" s="6">
        <v>0.59466124</v>
      </c>
      <c r="P475" s="6">
        <v>0.79996244</v>
      </c>
      <c r="Q475" s="6">
        <v>0.83906314</v>
      </c>
      <c r="R475" s="6">
        <v>217.69486</v>
      </c>
      <c r="S475" s="6">
        <v>0.00342131</v>
      </c>
      <c r="T475" s="6">
        <v>169.97573</v>
      </c>
      <c r="U475" s="6">
        <v>0.00403528</v>
      </c>
      <c r="V475" s="6">
        <v>197.11803</v>
      </c>
      <c r="W475" s="6">
        <v>0.00372465</v>
      </c>
      <c r="X475" s="6">
        <v>134.47093</v>
      </c>
      <c r="Y475" s="6">
        <v>0.00502304</v>
      </c>
      <c r="Z475" s="6">
        <v>134.86767</v>
      </c>
      <c r="AA475" s="6">
        <v>0.00440922</v>
      </c>
      <c r="AB475" s="6">
        <v>294.9318</v>
      </c>
      <c r="AC475" s="6">
        <v>0.00271236</v>
      </c>
      <c r="AD475" s="6">
        <v>243.86163</v>
      </c>
      <c r="AE475" s="6">
        <v>0.00344073</v>
      </c>
      <c r="AF475" s="6">
        <v>775</v>
      </c>
      <c r="AG475" s="6">
        <v>-0.01942527</v>
      </c>
      <c r="AH475" s="6">
        <v>-0.02224521</v>
      </c>
      <c r="AI475" s="6">
        <v>-0.02083116</v>
      </c>
      <c r="AJ475" s="6">
        <v>-0.02659055</v>
      </c>
      <c r="AK475" s="6">
        <v>-0.02391586</v>
      </c>
      <c r="AL475" s="6">
        <v>-0.0160299</v>
      </c>
      <c r="AM475" s="6">
        <v>-0.01951609</v>
      </c>
      <c r="AN475" s="6">
        <v>-6.4762184</v>
      </c>
      <c r="AO475" s="6">
        <v>-6.4515561</v>
      </c>
      <c r="AP475" s="6">
        <v>-6.4739881</v>
      </c>
      <c r="AQ475" s="6">
        <v>-6.4253629</v>
      </c>
      <c r="AR475" s="6">
        <v>-6.4020076</v>
      </c>
      <c r="AS475" s="6">
        <v>-6.4618417</v>
      </c>
      <c r="AT475" s="6">
        <v>-6.4506396</v>
      </c>
      <c r="AU475" s="6">
        <v>0.97344833</v>
      </c>
      <c r="AV475" s="6">
        <v>0.96974131</v>
      </c>
      <c r="AW475" s="6">
        <v>0.97311308</v>
      </c>
      <c r="AX475" s="6">
        <v>0.96580418</v>
      </c>
      <c r="AY475" s="6">
        <v>0.96229362</v>
      </c>
      <c r="AZ475" s="6">
        <v>0.97128734</v>
      </c>
      <c r="BA475" s="6">
        <v>0.96960354</v>
      </c>
      <c r="BB475" s="6">
        <v>0.02655167</v>
      </c>
      <c r="BC475" s="6">
        <v>0.03025869</v>
      </c>
      <c r="BD475" s="6">
        <v>0.02688692</v>
      </c>
      <c r="BE475" s="6">
        <v>0.03419582</v>
      </c>
      <c r="BF475" s="6">
        <v>0.03770638</v>
      </c>
      <c r="BG475" s="6">
        <v>0.02871266</v>
      </c>
      <c r="BH475" s="6">
        <v>0.03039646</v>
      </c>
      <c r="BI475" s="6">
        <v>0.21470859</v>
      </c>
      <c r="BJ475" s="6">
        <v>0.12366373</v>
      </c>
      <c r="BK475" s="6">
        <v>0.1409291</v>
      </c>
      <c r="BL475" s="6">
        <v>0.12522516</v>
      </c>
      <c r="BM475" s="6">
        <v>0.1592662</v>
      </c>
      <c r="BN475" s="6">
        <v>0.17561655</v>
      </c>
      <c r="BO475" s="6">
        <v>0.1337285</v>
      </c>
      <c r="BP475" s="6">
        <v>0.14157076</v>
      </c>
      <c r="BQ475" s="6">
        <v>0.09210487</v>
      </c>
      <c r="BR475" s="6">
        <v>0.09666324</v>
      </c>
      <c r="BS475" s="6">
        <v>0.09193979</v>
      </c>
      <c r="BT475" s="6">
        <v>0.10757675</v>
      </c>
      <c r="BU475" s="6">
        <v>0.10443235</v>
      </c>
      <c r="BV475" s="6">
        <v>0.10697777</v>
      </c>
      <c r="BW475" s="6">
        <v>0.11878681</v>
      </c>
      <c r="BX475" s="12">
        <v>31863.36</v>
      </c>
      <c r="BY475" s="13">
        <v>6627</v>
      </c>
      <c r="BZ475" s="12">
        <v>82553.2</v>
      </c>
      <c r="CA475" s="6">
        <f t="shared" si="42"/>
        <v>4.80811226799457</v>
      </c>
      <c r="CB475" s="6">
        <f t="shared" si="43"/>
        <v>0.385973650930551</v>
      </c>
      <c r="CC475" s="7">
        <v>437605135.4</v>
      </c>
      <c r="CD475" s="7">
        <f t="shared" si="44"/>
        <v>0.530088640294986</v>
      </c>
      <c r="CE475" s="8">
        <v>428.1</v>
      </c>
      <c r="CF475" s="8">
        <v>2487.2</v>
      </c>
      <c r="CG475" s="8">
        <v>2399.6</v>
      </c>
      <c r="CH475" s="8">
        <v>72957</v>
      </c>
      <c r="CI475" s="14">
        <v>1</v>
      </c>
      <c r="CJ475" s="14">
        <v>1</v>
      </c>
      <c r="CK475" s="14">
        <f t="shared" si="45"/>
        <v>1</v>
      </c>
      <c r="CL475">
        <f t="shared" si="46"/>
        <v>1.2756783895882</v>
      </c>
      <c r="CM475">
        <f t="shared" si="47"/>
        <v>0.584465297349668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</row>
    <row r="476" spans="1:101">
      <c r="A476" s="6">
        <v>2024</v>
      </c>
      <c r="B476" s="6" t="s">
        <v>118</v>
      </c>
      <c r="C476" s="6">
        <v>0.84660993</v>
      </c>
      <c r="D476" s="6">
        <v>0.114951</v>
      </c>
      <c r="E476" s="6">
        <v>0.036312</v>
      </c>
      <c r="F476" s="6">
        <v>0.058501</v>
      </c>
      <c r="G476" s="6">
        <v>0.030756</v>
      </c>
      <c r="H476" s="6">
        <v>0.025943</v>
      </c>
      <c r="I476" s="6">
        <v>0.08441</v>
      </c>
      <c r="J476" s="6">
        <v>0.056448</v>
      </c>
      <c r="K476" s="6">
        <v>0.85011527</v>
      </c>
      <c r="L476" s="6">
        <v>0.8180138</v>
      </c>
      <c r="M476" s="6">
        <v>0.85621687</v>
      </c>
      <c r="N476" s="6">
        <v>0.88062904</v>
      </c>
      <c r="O476" s="6">
        <v>0.75268534</v>
      </c>
      <c r="P476" s="6">
        <v>0.85039232</v>
      </c>
      <c r="Q476" s="6">
        <v>0.93818474</v>
      </c>
      <c r="R476" s="6">
        <v>217.69486</v>
      </c>
      <c r="S476" s="6">
        <v>0.00390508</v>
      </c>
      <c r="T476" s="6">
        <v>169.97573</v>
      </c>
      <c r="U476" s="6">
        <v>0.00481253</v>
      </c>
      <c r="V476" s="6">
        <v>197.11803</v>
      </c>
      <c r="W476" s="6">
        <v>0.00434368</v>
      </c>
      <c r="X476" s="6">
        <v>134.47093</v>
      </c>
      <c r="Y476" s="6">
        <v>0.00654884</v>
      </c>
      <c r="Z476" s="6">
        <v>134.86767</v>
      </c>
      <c r="AA476" s="6">
        <v>0.00558092</v>
      </c>
      <c r="AB476" s="6">
        <v>294.9318</v>
      </c>
      <c r="AC476" s="6">
        <v>0.00288335</v>
      </c>
      <c r="AD476" s="6">
        <v>243.86163</v>
      </c>
      <c r="AE476" s="6">
        <v>0.0038472</v>
      </c>
      <c r="AF476" s="6">
        <v>775</v>
      </c>
      <c r="AG476" s="6">
        <v>-0.02165552</v>
      </c>
      <c r="AH476" s="6">
        <v>-0.02568223</v>
      </c>
      <c r="AI476" s="6">
        <v>-0.0236254</v>
      </c>
      <c r="AJ476" s="6">
        <v>-0.03293064</v>
      </c>
      <c r="AK476" s="6">
        <v>-0.02895604</v>
      </c>
      <c r="AL476" s="6">
        <v>-0.01686416</v>
      </c>
      <c r="AM476" s="6">
        <v>-0.02139201</v>
      </c>
      <c r="AN476" s="6">
        <v>-6.4762184</v>
      </c>
      <c r="AO476" s="6">
        <v>-6.4515561</v>
      </c>
      <c r="AP476" s="6">
        <v>-6.4739881</v>
      </c>
      <c r="AQ476" s="6">
        <v>-6.4253629</v>
      </c>
      <c r="AR476" s="6">
        <v>-6.4020076</v>
      </c>
      <c r="AS476" s="6">
        <v>-6.4618417</v>
      </c>
      <c r="AT476" s="6">
        <v>-6.4506396</v>
      </c>
      <c r="AU476" s="6">
        <v>0.97344833</v>
      </c>
      <c r="AV476" s="6">
        <v>0.96974131</v>
      </c>
      <c r="AW476" s="6">
        <v>0.97311308</v>
      </c>
      <c r="AX476" s="6">
        <v>0.96580418</v>
      </c>
      <c r="AY476" s="6">
        <v>0.96229362</v>
      </c>
      <c r="AZ476" s="6">
        <v>0.97128734</v>
      </c>
      <c r="BA476" s="6">
        <v>0.96960354</v>
      </c>
      <c r="BB476" s="6">
        <v>0.02655167</v>
      </c>
      <c r="BC476" s="6">
        <v>0.03025869</v>
      </c>
      <c r="BD476" s="6">
        <v>0.02688692</v>
      </c>
      <c r="BE476" s="6">
        <v>0.03419582</v>
      </c>
      <c r="BF476" s="6">
        <v>0.03770638</v>
      </c>
      <c r="BG476" s="6">
        <v>0.02871266</v>
      </c>
      <c r="BH476" s="6">
        <v>0.03039646</v>
      </c>
      <c r="BI476" s="6">
        <v>0.21470859</v>
      </c>
      <c r="BJ476" s="6">
        <v>0.12366373</v>
      </c>
      <c r="BK476" s="6">
        <v>0.1409291</v>
      </c>
      <c r="BL476" s="6">
        <v>0.12522516</v>
      </c>
      <c r="BM476" s="6">
        <v>0.1592662</v>
      </c>
      <c r="BN476" s="6">
        <v>0.17561655</v>
      </c>
      <c r="BO476" s="6">
        <v>0.1337285</v>
      </c>
      <c r="BP476" s="6">
        <v>0.14157076</v>
      </c>
      <c r="BQ476" s="6">
        <v>0.10512843</v>
      </c>
      <c r="BR476" s="6">
        <v>0.11528195</v>
      </c>
      <c r="BS476" s="6">
        <v>0.10721989</v>
      </c>
      <c r="BT476" s="6">
        <v>0.14025444</v>
      </c>
      <c r="BU476" s="6">
        <v>0.132184</v>
      </c>
      <c r="BV476" s="6">
        <v>0.11372169</v>
      </c>
      <c r="BW476" s="6">
        <v>0.13281953</v>
      </c>
      <c r="BX476" s="12">
        <v>34599.66</v>
      </c>
      <c r="BY476" s="13">
        <v>6670</v>
      </c>
      <c r="BZ476" s="12">
        <v>90130.6</v>
      </c>
      <c r="CA476" s="6">
        <f t="shared" si="42"/>
        <v>5.18735532233883</v>
      </c>
      <c r="CB476" s="6">
        <f t="shared" si="43"/>
        <v>0.383883608896424</v>
      </c>
      <c r="CC476" s="7">
        <v>448234163.8</v>
      </c>
      <c r="CD476" s="7">
        <f t="shared" si="44"/>
        <v>0.497316298571184</v>
      </c>
      <c r="CE476" s="8">
        <v>451.2</v>
      </c>
      <c r="CF476" s="8">
        <v>2335.4</v>
      </c>
      <c r="CG476" s="8">
        <v>2716.2</v>
      </c>
      <c r="CH476" s="8">
        <v>75484</v>
      </c>
      <c r="CI476" s="14">
        <v>1</v>
      </c>
      <c r="CJ476" s="14">
        <v>1</v>
      </c>
      <c r="CK476" s="14">
        <f t="shared" si="45"/>
        <v>1</v>
      </c>
      <c r="CL476">
        <f t="shared" si="46"/>
        <v>1.21200651315194</v>
      </c>
      <c r="CM476">
        <f t="shared" si="47"/>
        <v>0.589675226020143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</row>
    <row r="477" spans="1:101">
      <c r="A477" s="6">
        <v>2000</v>
      </c>
      <c r="B477" s="6" t="s">
        <v>119</v>
      </c>
      <c r="C477" s="6">
        <v>0.17429293</v>
      </c>
      <c r="D477" s="6">
        <v>0.029702</v>
      </c>
      <c r="E477" s="6">
        <v>0.006894</v>
      </c>
      <c r="F477" s="6">
        <v>0.01364</v>
      </c>
      <c r="G477" s="6">
        <v>0.004522</v>
      </c>
      <c r="H477" s="6">
        <v>0.004647</v>
      </c>
      <c r="I477" s="6">
        <v>0.034257</v>
      </c>
      <c r="J477" s="6">
        <v>0.019346</v>
      </c>
      <c r="K477" s="6">
        <v>0.18141849</v>
      </c>
      <c r="L477" s="6">
        <v>0.1224907</v>
      </c>
      <c r="M477" s="6">
        <v>0.16672428</v>
      </c>
      <c r="N477" s="6">
        <v>0.1051808</v>
      </c>
      <c r="O477" s="6">
        <v>0.10731703</v>
      </c>
      <c r="P477" s="6">
        <v>0.29177768</v>
      </c>
      <c r="Q477" s="6">
        <v>0.27618754</v>
      </c>
      <c r="R477" s="6">
        <v>217.69486</v>
      </c>
      <c r="S477" s="6">
        <v>0.00083336</v>
      </c>
      <c r="T477" s="6">
        <v>169.97573</v>
      </c>
      <c r="U477" s="6">
        <v>0.00072064</v>
      </c>
      <c r="V477" s="6">
        <v>197.11803</v>
      </c>
      <c r="W477" s="6">
        <v>0.00084581</v>
      </c>
      <c r="X477" s="6">
        <v>134.47093</v>
      </c>
      <c r="Y477" s="6">
        <v>0.00078218</v>
      </c>
      <c r="Z477" s="6">
        <v>134.86767</v>
      </c>
      <c r="AA477" s="6">
        <v>0.00079572</v>
      </c>
      <c r="AB477" s="6">
        <v>294.9318</v>
      </c>
      <c r="AC477" s="6">
        <v>0.00098931</v>
      </c>
      <c r="AD477" s="6">
        <v>243.86163</v>
      </c>
      <c r="AE477" s="6">
        <v>0.00113256</v>
      </c>
      <c r="AF477" s="6">
        <v>775</v>
      </c>
      <c r="AG477" s="6">
        <v>-0.00590857</v>
      </c>
      <c r="AH477" s="6">
        <v>-0.00521408</v>
      </c>
      <c r="AI477" s="6">
        <v>-0.00598428</v>
      </c>
      <c r="AJ477" s="6">
        <v>-0.00559528</v>
      </c>
      <c r="AK477" s="6">
        <v>-0.00567847</v>
      </c>
      <c r="AL477" s="6">
        <v>-0.00684452</v>
      </c>
      <c r="AM477" s="6">
        <v>-0.00768246</v>
      </c>
      <c r="AN477" s="6">
        <v>-6.4762184</v>
      </c>
      <c r="AO477" s="6">
        <v>-6.4515561</v>
      </c>
      <c r="AP477" s="6">
        <v>-6.4739881</v>
      </c>
      <c r="AQ477" s="6">
        <v>-6.4253629</v>
      </c>
      <c r="AR477" s="6">
        <v>-6.4020076</v>
      </c>
      <c r="AS477" s="6">
        <v>-6.4618417</v>
      </c>
      <c r="AT477" s="6">
        <v>-6.4506396</v>
      </c>
      <c r="AU477" s="6">
        <v>0.97344833</v>
      </c>
      <c r="AV477" s="6">
        <v>0.96974131</v>
      </c>
      <c r="AW477" s="6">
        <v>0.97311308</v>
      </c>
      <c r="AX477" s="6">
        <v>0.96580418</v>
      </c>
      <c r="AY477" s="6">
        <v>0.96229362</v>
      </c>
      <c r="AZ477" s="6">
        <v>0.97128734</v>
      </c>
      <c r="BA477" s="6">
        <v>0.96960354</v>
      </c>
      <c r="BB477" s="6">
        <v>0.02655167</v>
      </c>
      <c r="BC477" s="6">
        <v>0.03025869</v>
      </c>
      <c r="BD477" s="6">
        <v>0.02688692</v>
      </c>
      <c r="BE477" s="6">
        <v>0.03419582</v>
      </c>
      <c r="BF477" s="6">
        <v>0.03770638</v>
      </c>
      <c r="BG477" s="6">
        <v>0.02871266</v>
      </c>
      <c r="BH477" s="6">
        <v>0.03039646</v>
      </c>
      <c r="BI477" s="6">
        <v>0.21470859</v>
      </c>
      <c r="BJ477" s="6">
        <v>0.12366373</v>
      </c>
      <c r="BK477" s="6">
        <v>0.1409291</v>
      </c>
      <c r="BL477" s="6">
        <v>0.12522516</v>
      </c>
      <c r="BM477" s="6">
        <v>0.1592662</v>
      </c>
      <c r="BN477" s="6">
        <v>0.17561655</v>
      </c>
      <c r="BO477" s="6">
        <v>0.1337285</v>
      </c>
      <c r="BP477" s="6">
        <v>0.14157076</v>
      </c>
      <c r="BQ477" s="6">
        <v>0.02243489</v>
      </c>
      <c r="BR477" s="6">
        <v>0.0172625</v>
      </c>
      <c r="BS477" s="6">
        <v>0.02087807</v>
      </c>
      <c r="BT477" s="6">
        <v>0.01675175</v>
      </c>
      <c r="BU477" s="6">
        <v>0.01884665</v>
      </c>
      <c r="BV477" s="6">
        <v>0.03901899</v>
      </c>
      <c r="BW477" s="6">
        <v>0.03910008</v>
      </c>
      <c r="BX477" s="12">
        <v>480</v>
      </c>
      <c r="BY477" s="13">
        <v>789</v>
      </c>
      <c r="BZ477" s="12">
        <v>518.48</v>
      </c>
      <c r="CA477" s="6">
        <f t="shared" si="42"/>
        <v>0.608365019011407</v>
      </c>
      <c r="CB477" s="6">
        <f t="shared" si="43"/>
        <v>0.925783058170035</v>
      </c>
      <c r="CC477" s="7">
        <v>17759700.19</v>
      </c>
      <c r="CD477" s="7">
        <f t="shared" si="44"/>
        <v>3.42533949043358</v>
      </c>
      <c r="CE477" s="8">
        <v>375.5</v>
      </c>
      <c r="CF477" s="8">
        <v>1633.4</v>
      </c>
      <c r="CG477" s="8">
        <v>846.5</v>
      </c>
      <c r="CH477" s="8">
        <v>7515</v>
      </c>
      <c r="CI477" s="14">
        <v>0</v>
      </c>
      <c r="CJ477" s="14">
        <v>0</v>
      </c>
      <c r="CK477" s="14">
        <f t="shared" si="45"/>
        <v>0</v>
      </c>
      <c r="CL477">
        <f t="shared" si="46"/>
        <v>4.53658228674969</v>
      </c>
      <c r="CM477">
        <f t="shared" si="47"/>
        <v>0.244951535335707</v>
      </c>
      <c r="CN477" s="15">
        <v>479.95</v>
      </c>
      <c r="CO477" s="15">
        <v>191.63</v>
      </c>
      <c r="CP477" s="15">
        <v>3.47</v>
      </c>
      <c r="CQ477" s="15">
        <v>14.69</v>
      </c>
      <c r="CR477" s="15">
        <v>30.93</v>
      </c>
      <c r="CS477" s="15">
        <v>28.13</v>
      </c>
      <c r="CT477" s="15">
        <v>46.2</v>
      </c>
      <c r="CU477" s="15">
        <v>9.39</v>
      </c>
      <c r="CV477" s="15">
        <v>5.28</v>
      </c>
      <c r="CW477" s="15">
        <v>38.37</v>
      </c>
    </row>
    <row r="478" spans="1:101">
      <c r="A478" s="6">
        <v>2001</v>
      </c>
      <c r="B478" s="6" t="s">
        <v>119</v>
      </c>
      <c r="C478" s="6">
        <v>0.16515712</v>
      </c>
      <c r="D478" s="6">
        <v>0.027397</v>
      </c>
      <c r="E478" s="6">
        <v>0.006417</v>
      </c>
      <c r="F478" s="6">
        <v>0.012343</v>
      </c>
      <c r="G478" s="6">
        <v>0.002927</v>
      </c>
      <c r="H478" s="6">
        <v>0.00571</v>
      </c>
      <c r="I478" s="6">
        <v>0.033753</v>
      </c>
      <c r="J478" s="6">
        <v>0.019261</v>
      </c>
      <c r="K478" s="6">
        <v>0.16333429</v>
      </c>
      <c r="L478" s="6">
        <v>0.11121997</v>
      </c>
      <c r="M478" s="6">
        <v>0.14678804</v>
      </c>
      <c r="N478" s="6">
        <v>0.05802996</v>
      </c>
      <c r="O478" s="6">
        <v>0.13954573</v>
      </c>
      <c r="P478" s="6">
        <v>0.28616465</v>
      </c>
      <c r="Q478" s="6">
        <v>0.27467387</v>
      </c>
      <c r="R478" s="6">
        <v>217.69486</v>
      </c>
      <c r="S478" s="6">
        <v>0.00075029</v>
      </c>
      <c r="T478" s="6">
        <v>169.97573</v>
      </c>
      <c r="U478" s="6">
        <v>0.00065433</v>
      </c>
      <c r="V478" s="6">
        <v>197.11803</v>
      </c>
      <c r="W478" s="6">
        <v>0.00074467</v>
      </c>
      <c r="X478" s="6">
        <v>134.47093</v>
      </c>
      <c r="Y478" s="6">
        <v>0.00043154</v>
      </c>
      <c r="Z478" s="6">
        <v>134.86767</v>
      </c>
      <c r="AA478" s="6">
        <v>0.00103469</v>
      </c>
      <c r="AB478" s="6">
        <v>294.9318</v>
      </c>
      <c r="AC478" s="6">
        <v>0.00097027</v>
      </c>
      <c r="AD478" s="6">
        <v>243.86163</v>
      </c>
      <c r="AE478" s="6">
        <v>0.00112635</v>
      </c>
      <c r="AF478" s="6">
        <v>775</v>
      </c>
      <c r="AG478" s="6">
        <v>-0.00539837</v>
      </c>
      <c r="AH478" s="6">
        <v>-0.00479747</v>
      </c>
      <c r="AI478" s="6">
        <v>-0.00536354</v>
      </c>
      <c r="AJ478" s="6">
        <v>-0.00334366</v>
      </c>
      <c r="AK478" s="6">
        <v>-0.00711208</v>
      </c>
      <c r="AL478" s="6">
        <v>-0.0067317</v>
      </c>
      <c r="AM478" s="6">
        <v>-0.00764654</v>
      </c>
      <c r="AN478" s="6">
        <v>-6.4762184</v>
      </c>
      <c r="AO478" s="6">
        <v>-6.4515561</v>
      </c>
      <c r="AP478" s="6">
        <v>-6.4739881</v>
      </c>
      <c r="AQ478" s="6">
        <v>-6.4253629</v>
      </c>
      <c r="AR478" s="6">
        <v>-6.4020076</v>
      </c>
      <c r="AS478" s="6">
        <v>-6.4618417</v>
      </c>
      <c r="AT478" s="6">
        <v>-6.4506396</v>
      </c>
      <c r="AU478" s="6">
        <v>0.97344833</v>
      </c>
      <c r="AV478" s="6">
        <v>0.96974131</v>
      </c>
      <c r="AW478" s="6">
        <v>0.97311308</v>
      </c>
      <c r="AX478" s="6">
        <v>0.96580418</v>
      </c>
      <c r="AY478" s="6">
        <v>0.96229362</v>
      </c>
      <c r="AZ478" s="6">
        <v>0.97128734</v>
      </c>
      <c r="BA478" s="6">
        <v>0.96960354</v>
      </c>
      <c r="BB478" s="6">
        <v>0.02655167</v>
      </c>
      <c r="BC478" s="6">
        <v>0.03025869</v>
      </c>
      <c r="BD478" s="6">
        <v>0.02688692</v>
      </c>
      <c r="BE478" s="6">
        <v>0.03419582</v>
      </c>
      <c r="BF478" s="6">
        <v>0.03770638</v>
      </c>
      <c r="BG478" s="6">
        <v>0.02871266</v>
      </c>
      <c r="BH478" s="6">
        <v>0.03039646</v>
      </c>
      <c r="BI478" s="6">
        <v>0.21470859</v>
      </c>
      <c r="BJ478" s="6">
        <v>0.12366373</v>
      </c>
      <c r="BK478" s="6">
        <v>0.1409291</v>
      </c>
      <c r="BL478" s="6">
        <v>0.12522516</v>
      </c>
      <c r="BM478" s="6">
        <v>0.1592662</v>
      </c>
      <c r="BN478" s="6">
        <v>0.17561655</v>
      </c>
      <c r="BO478" s="6">
        <v>0.1337285</v>
      </c>
      <c r="BP478" s="6">
        <v>0.14157076</v>
      </c>
      <c r="BQ478" s="6">
        <v>0.02019853</v>
      </c>
      <c r="BR478" s="6">
        <v>0.01567413</v>
      </c>
      <c r="BS478" s="6">
        <v>0.01838156</v>
      </c>
      <c r="BT478" s="6">
        <v>0.00924221</v>
      </c>
      <c r="BU478" s="6">
        <v>0.02450654</v>
      </c>
      <c r="BV478" s="6">
        <v>0.03826837</v>
      </c>
      <c r="BW478" s="6">
        <v>0.03888579</v>
      </c>
      <c r="BX478" s="12">
        <v>520</v>
      </c>
      <c r="BY478" s="13">
        <v>795.55</v>
      </c>
      <c r="BZ478" s="12">
        <v>558.41366</v>
      </c>
      <c r="CA478" s="6">
        <f t="shared" si="42"/>
        <v>0.653635849412356</v>
      </c>
      <c r="CB478" s="6">
        <f t="shared" si="43"/>
        <v>0.931209311749286</v>
      </c>
      <c r="CC478" s="7">
        <v>18602539.86</v>
      </c>
      <c r="CD478" s="7">
        <f t="shared" si="44"/>
        <v>3.3313189115037</v>
      </c>
      <c r="CE478" s="8">
        <v>426.6</v>
      </c>
      <c r="CF478" s="8">
        <v>1665.9</v>
      </c>
      <c r="CG478" s="8">
        <v>951</v>
      </c>
      <c r="CH478" s="8">
        <v>7990</v>
      </c>
      <c r="CI478" s="14">
        <v>0</v>
      </c>
      <c r="CJ478" s="14">
        <v>0</v>
      </c>
      <c r="CK478" s="14">
        <f t="shared" si="45"/>
        <v>0</v>
      </c>
      <c r="CL478">
        <f t="shared" si="46"/>
        <v>4.16809156222866</v>
      </c>
      <c r="CM478">
        <f t="shared" si="47"/>
        <v>0.200756782386408</v>
      </c>
      <c r="CN478" s="15">
        <v>520</v>
      </c>
      <c r="CO478">
        <v>0</v>
      </c>
      <c r="CP478" s="15">
        <v>0.04</v>
      </c>
      <c r="CQ478" s="15">
        <v>13.49</v>
      </c>
      <c r="CR478" s="15">
        <v>31.37</v>
      </c>
      <c r="CS478" s="15">
        <v>30.49</v>
      </c>
      <c r="CT478" s="15">
        <v>48.24</v>
      </c>
      <c r="CU478" s="15">
        <v>9.99</v>
      </c>
      <c r="CV478" s="15">
        <v>6.56</v>
      </c>
      <c r="CW478" s="15">
        <v>44.86</v>
      </c>
    </row>
    <row r="479" spans="1:101">
      <c r="A479" s="6">
        <v>2002</v>
      </c>
      <c r="B479" s="6" t="s">
        <v>119</v>
      </c>
      <c r="C479" s="6">
        <v>0.1907409</v>
      </c>
      <c r="D479" s="6">
        <v>0.033622</v>
      </c>
      <c r="E479" s="6">
        <v>0.007338</v>
      </c>
      <c r="F479" s="6">
        <v>0.014613</v>
      </c>
      <c r="G479" s="6">
        <v>0.005422</v>
      </c>
      <c r="H479" s="6">
        <v>0.006248</v>
      </c>
      <c r="I479" s="6">
        <v>0.039435</v>
      </c>
      <c r="J479" s="6">
        <v>0.014918</v>
      </c>
      <c r="K479" s="6">
        <v>0.21216661</v>
      </c>
      <c r="L479" s="6">
        <v>0.13300395</v>
      </c>
      <c r="M479" s="6">
        <v>0.18168316</v>
      </c>
      <c r="N479" s="6">
        <v>0.13179659</v>
      </c>
      <c r="O479" s="6">
        <v>0.15585168</v>
      </c>
      <c r="P479" s="6">
        <v>0.34945236</v>
      </c>
      <c r="Q479" s="6">
        <v>0.19718435</v>
      </c>
      <c r="R479" s="6">
        <v>217.69486</v>
      </c>
      <c r="S479" s="6">
        <v>0.00097461</v>
      </c>
      <c r="T479" s="6">
        <v>169.97573</v>
      </c>
      <c r="U479" s="6">
        <v>0.00078249</v>
      </c>
      <c r="V479" s="6">
        <v>197.11803</v>
      </c>
      <c r="W479" s="6">
        <v>0.0009217</v>
      </c>
      <c r="X479" s="6">
        <v>134.47093</v>
      </c>
      <c r="Y479" s="6">
        <v>0.00098011</v>
      </c>
      <c r="Z479" s="6">
        <v>134.86767</v>
      </c>
      <c r="AA479" s="6">
        <v>0.00115559</v>
      </c>
      <c r="AB479" s="6">
        <v>294.9318</v>
      </c>
      <c r="AC479" s="6">
        <v>0.00118486</v>
      </c>
      <c r="AD479" s="6">
        <v>243.86163</v>
      </c>
      <c r="AE479" s="6">
        <v>0.00080859</v>
      </c>
      <c r="AF479" s="6">
        <v>775</v>
      </c>
      <c r="AG479" s="6">
        <v>-0.00675741</v>
      </c>
      <c r="AH479" s="6">
        <v>-0.00559716</v>
      </c>
      <c r="AI479" s="6">
        <v>-0.00644201</v>
      </c>
      <c r="AJ479" s="6">
        <v>-0.00679006</v>
      </c>
      <c r="AK479" s="6">
        <v>-0.00781542</v>
      </c>
      <c r="AL479" s="6">
        <v>-0.00798373</v>
      </c>
      <c r="AM479" s="6">
        <v>-0.00575734</v>
      </c>
      <c r="AN479" s="6">
        <v>-6.4762184</v>
      </c>
      <c r="AO479" s="6">
        <v>-6.4515561</v>
      </c>
      <c r="AP479" s="6">
        <v>-6.4739881</v>
      </c>
      <c r="AQ479" s="6">
        <v>-6.4253629</v>
      </c>
      <c r="AR479" s="6">
        <v>-6.4020076</v>
      </c>
      <c r="AS479" s="6">
        <v>-6.4618417</v>
      </c>
      <c r="AT479" s="6">
        <v>-6.4506396</v>
      </c>
      <c r="AU479" s="6">
        <v>0.97344833</v>
      </c>
      <c r="AV479" s="6">
        <v>0.96974131</v>
      </c>
      <c r="AW479" s="6">
        <v>0.97311308</v>
      </c>
      <c r="AX479" s="6">
        <v>0.96580418</v>
      </c>
      <c r="AY479" s="6">
        <v>0.96229362</v>
      </c>
      <c r="AZ479" s="6">
        <v>0.97128734</v>
      </c>
      <c r="BA479" s="6">
        <v>0.96960354</v>
      </c>
      <c r="BB479" s="6">
        <v>0.02655167</v>
      </c>
      <c r="BC479" s="6">
        <v>0.03025869</v>
      </c>
      <c r="BD479" s="6">
        <v>0.02688692</v>
      </c>
      <c r="BE479" s="6">
        <v>0.03419582</v>
      </c>
      <c r="BF479" s="6">
        <v>0.03770638</v>
      </c>
      <c r="BG479" s="6">
        <v>0.02871266</v>
      </c>
      <c r="BH479" s="6">
        <v>0.03039646</v>
      </c>
      <c r="BI479" s="6">
        <v>0.21470859</v>
      </c>
      <c r="BJ479" s="6">
        <v>0.12366373</v>
      </c>
      <c r="BK479" s="6">
        <v>0.1409291</v>
      </c>
      <c r="BL479" s="6">
        <v>0.12522516</v>
      </c>
      <c r="BM479" s="6">
        <v>0.1592662</v>
      </c>
      <c r="BN479" s="6">
        <v>0.17561655</v>
      </c>
      <c r="BO479" s="6">
        <v>0.1337285</v>
      </c>
      <c r="BP479" s="6">
        <v>0.14157076</v>
      </c>
      <c r="BQ479" s="6">
        <v>0.02623731</v>
      </c>
      <c r="BR479" s="6">
        <v>0.01874413</v>
      </c>
      <c r="BS479" s="6">
        <v>0.0227513</v>
      </c>
      <c r="BT479" s="6">
        <v>0.02099074</v>
      </c>
      <c r="BU479" s="6">
        <v>0.02737013</v>
      </c>
      <c r="BV479" s="6">
        <v>0.04673174</v>
      </c>
      <c r="BW479" s="6">
        <v>0.02791554</v>
      </c>
      <c r="BX479" s="12">
        <v>602</v>
      </c>
      <c r="BY479" s="13">
        <v>803.13</v>
      </c>
      <c r="BZ479" s="12">
        <v>621.97402</v>
      </c>
      <c r="CA479" s="6">
        <f t="shared" si="42"/>
        <v>0.749567317868838</v>
      </c>
      <c r="CB479" s="6">
        <f t="shared" si="43"/>
        <v>0.96788608630309</v>
      </c>
      <c r="CC479" s="7">
        <v>19763777.63</v>
      </c>
      <c r="CD479" s="7">
        <f t="shared" si="44"/>
        <v>3.17758893369855</v>
      </c>
      <c r="CE479" s="8">
        <v>464.2</v>
      </c>
      <c r="CF479" s="8">
        <v>1728.3</v>
      </c>
      <c r="CG479" s="8">
        <v>1050.2</v>
      </c>
      <c r="CH479" s="8">
        <v>8507</v>
      </c>
      <c r="CI479" s="14">
        <v>0</v>
      </c>
      <c r="CJ479" s="14">
        <v>0</v>
      </c>
      <c r="CK479" s="14">
        <f t="shared" si="45"/>
        <v>0</v>
      </c>
      <c r="CL479">
        <f t="shared" si="46"/>
        <v>4.06804884448575</v>
      </c>
      <c r="CM479">
        <f t="shared" si="47"/>
        <v>0.218891155152727</v>
      </c>
      <c r="CN479" s="15">
        <v>602</v>
      </c>
      <c r="CO479" s="15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 s="15">
        <v>49</v>
      </c>
    </row>
    <row r="480" spans="1:101">
      <c r="A480" s="6">
        <v>2003</v>
      </c>
      <c r="B480" s="6" t="s">
        <v>119</v>
      </c>
      <c r="C480" s="6">
        <v>0.25042959</v>
      </c>
      <c r="D480" s="6">
        <v>0.041157</v>
      </c>
      <c r="E480" s="6">
        <v>0.01117</v>
      </c>
      <c r="F480" s="6">
        <v>0.018963</v>
      </c>
      <c r="G480" s="6">
        <v>0.006706</v>
      </c>
      <c r="H480" s="6">
        <v>0.004318</v>
      </c>
      <c r="I480" s="6">
        <v>0.047208</v>
      </c>
      <c r="J480" s="6">
        <v>0.024377</v>
      </c>
      <c r="K480" s="6">
        <v>0.27127111</v>
      </c>
      <c r="L480" s="6">
        <v>0.22359439</v>
      </c>
      <c r="M480" s="6">
        <v>0.24853821</v>
      </c>
      <c r="N480" s="6">
        <v>0.16973583</v>
      </c>
      <c r="O480" s="6">
        <v>0.09736286</v>
      </c>
      <c r="P480" s="6">
        <v>0.43602874</v>
      </c>
      <c r="Q480" s="6">
        <v>0.36595</v>
      </c>
      <c r="R480" s="6">
        <v>217.69486</v>
      </c>
      <c r="S480" s="6">
        <v>0.00124611</v>
      </c>
      <c r="T480" s="6">
        <v>169.97573</v>
      </c>
      <c r="U480" s="6">
        <v>0.00131545</v>
      </c>
      <c r="V480" s="6">
        <v>197.11803</v>
      </c>
      <c r="W480" s="6">
        <v>0.00126086</v>
      </c>
      <c r="X480" s="6">
        <v>134.47093</v>
      </c>
      <c r="Y480" s="6">
        <v>0.00126225</v>
      </c>
      <c r="Z480" s="6">
        <v>134.86767</v>
      </c>
      <c r="AA480" s="6">
        <v>0.00072191</v>
      </c>
      <c r="AB480" s="6">
        <v>294.9318</v>
      </c>
      <c r="AC480" s="6">
        <v>0.00147841</v>
      </c>
      <c r="AD480" s="6">
        <v>243.86163</v>
      </c>
      <c r="AE480" s="6">
        <v>0.00150065</v>
      </c>
      <c r="AF480" s="6">
        <v>775</v>
      </c>
      <c r="AG480" s="6">
        <v>-0.00833363</v>
      </c>
      <c r="AH480" s="6">
        <v>-0.00872613</v>
      </c>
      <c r="AI480" s="6">
        <v>-0.00841745</v>
      </c>
      <c r="AJ480" s="6">
        <v>-0.00842534</v>
      </c>
      <c r="AK480" s="6">
        <v>-0.00522204</v>
      </c>
      <c r="AL480" s="6">
        <v>-0.00963446</v>
      </c>
      <c r="AM480" s="6">
        <v>-0.00975699</v>
      </c>
      <c r="AN480" s="6">
        <v>-6.4762184</v>
      </c>
      <c r="AO480" s="6">
        <v>-6.4515561</v>
      </c>
      <c r="AP480" s="6">
        <v>-6.4739881</v>
      </c>
      <c r="AQ480" s="6">
        <v>-6.4253629</v>
      </c>
      <c r="AR480" s="6">
        <v>-6.4020076</v>
      </c>
      <c r="AS480" s="6">
        <v>-6.4618417</v>
      </c>
      <c r="AT480" s="6">
        <v>-6.4506396</v>
      </c>
      <c r="AU480" s="6">
        <v>0.97344833</v>
      </c>
      <c r="AV480" s="6">
        <v>0.96974131</v>
      </c>
      <c r="AW480" s="6">
        <v>0.97311308</v>
      </c>
      <c r="AX480" s="6">
        <v>0.96580418</v>
      </c>
      <c r="AY480" s="6">
        <v>0.96229362</v>
      </c>
      <c r="AZ480" s="6">
        <v>0.97128734</v>
      </c>
      <c r="BA480" s="6">
        <v>0.96960354</v>
      </c>
      <c r="BB480" s="6">
        <v>0.02655167</v>
      </c>
      <c r="BC480" s="6">
        <v>0.03025869</v>
      </c>
      <c r="BD480" s="6">
        <v>0.02688692</v>
      </c>
      <c r="BE480" s="6">
        <v>0.03419582</v>
      </c>
      <c r="BF480" s="6">
        <v>0.03770638</v>
      </c>
      <c r="BG480" s="6">
        <v>0.02871266</v>
      </c>
      <c r="BH480" s="6">
        <v>0.03039646</v>
      </c>
      <c r="BI480" s="6">
        <v>0.21470859</v>
      </c>
      <c r="BJ480" s="6">
        <v>0.12366373</v>
      </c>
      <c r="BK480" s="6">
        <v>0.1409291</v>
      </c>
      <c r="BL480" s="6">
        <v>0.12522516</v>
      </c>
      <c r="BM480" s="6">
        <v>0.1592662</v>
      </c>
      <c r="BN480" s="6">
        <v>0.17561655</v>
      </c>
      <c r="BO480" s="6">
        <v>0.1337285</v>
      </c>
      <c r="BP480" s="6">
        <v>0.14157076</v>
      </c>
      <c r="BQ480" s="6">
        <v>0.0335464</v>
      </c>
      <c r="BR480" s="6">
        <v>0.03151096</v>
      </c>
      <c r="BS480" s="6">
        <v>0.03112324</v>
      </c>
      <c r="BT480" s="6">
        <v>0.02703318</v>
      </c>
      <c r="BU480" s="6">
        <v>0.01709853</v>
      </c>
      <c r="BV480" s="6">
        <v>0.05830947</v>
      </c>
      <c r="BW480" s="6">
        <v>0.05180782</v>
      </c>
      <c r="BX480" s="12">
        <v>684</v>
      </c>
      <c r="BY480" s="13">
        <v>810.52</v>
      </c>
      <c r="BZ480" s="12">
        <v>693.2</v>
      </c>
      <c r="CA480" s="6">
        <f t="shared" si="42"/>
        <v>0.843902679761141</v>
      </c>
      <c r="CB480" s="6">
        <f t="shared" si="43"/>
        <v>0.986728216964801</v>
      </c>
      <c r="CC480" s="7">
        <v>22022014.39</v>
      </c>
      <c r="CD480" s="7">
        <f t="shared" si="44"/>
        <v>3.17686301067513</v>
      </c>
      <c r="CE480" s="8">
        <v>493</v>
      </c>
      <c r="CF480" s="8">
        <v>1956.4</v>
      </c>
      <c r="CG480" s="8">
        <v>1160.3</v>
      </c>
      <c r="CH480" s="8">
        <v>9464</v>
      </c>
      <c r="CI480" s="14">
        <v>0</v>
      </c>
      <c r="CJ480" s="14">
        <v>0</v>
      </c>
      <c r="CK480" s="14">
        <f t="shared" si="45"/>
        <v>0</v>
      </c>
      <c r="CL480">
        <f t="shared" si="46"/>
        <v>4.08414499624993</v>
      </c>
      <c r="CM480">
        <f t="shared" si="47"/>
        <v>0.222147349422675</v>
      </c>
      <c r="CN480" s="15">
        <v>683.74</v>
      </c>
      <c r="CO480" s="15">
        <v>607.21</v>
      </c>
      <c r="CP480" s="15">
        <v>5.92</v>
      </c>
      <c r="CQ480" s="15">
        <v>31.6</v>
      </c>
      <c r="CR480" s="15">
        <v>19.79</v>
      </c>
      <c r="CS480" s="15">
        <v>52.2</v>
      </c>
      <c r="CT480" s="15">
        <v>50.73</v>
      </c>
      <c r="CU480" s="15">
        <v>5.24</v>
      </c>
      <c r="CV480" s="15">
        <v>24.08</v>
      </c>
      <c r="CW480" s="15">
        <v>59.3</v>
      </c>
    </row>
    <row r="481" spans="1:101">
      <c r="A481" s="6">
        <v>2004</v>
      </c>
      <c r="B481" s="6" t="s">
        <v>119</v>
      </c>
      <c r="C481" s="6">
        <v>0.21637184</v>
      </c>
      <c r="D481" s="6">
        <v>0.031804</v>
      </c>
      <c r="E481" s="6">
        <v>0.007704</v>
      </c>
      <c r="F481" s="6">
        <v>0.014306</v>
      </c>
      <c r="G481" s="6">
        <v>0.004882</v>
      </c>
      <c r="H481" s="6">
        <v>0.004913</v>
      </c>
      <c r="I481" s="6">
        <v>0.044182</v>
      </c>
      <c r="J481" s="6">
        <v>0.026537</v>
      </c>
      <c r="K481" s="6">
        <v>0.19790625</v>
      </c>
      <c r="L481" s="6">
        <v>0.14164724</v>
      </c>
      <c r="M481" s="6">
        <v>0.17695644</v>
      </c>
      <c r="N481" s="6">
        <v>0.11581535</v>
      </c>
      <c r="O481" s="6">
        <v>0.11538353</v>
      </c>
      <c r="P481" s="6">
        <v>0.40232765</v>
      </c>
      <c r="Q481" s="6">
        <v>0.40449733</v>
      </c>
      <c r="R481" s="6">
        <v>217.69486</v>
      </c>
      <c r="S481" s="6">
        <v>0.0009091</v>
      </c>
      <c r="T481" s="6">
        <v>169.97573</v>
      </c>
      <c r="U481" s="6">
        <v>0.00083334</v>
      </c>
      <c r="V481" s="6">
        <v>197.11803</v>
      </c>
      <c r="W481" s="6">
        <v>0.00089772</v>
      </c>
      <c r="X481" s="6">
        <v>134.47093</v>
      </c>
      <c r="Y481" s="6">
        <v>0.00086127</v>
      </c>
      <c r="Z481" s="6">
        <v>134.86767</v>
      </c>
      <c r="AA481" s="6">
        <v>0.00085553</v>
      </c>
      <c r="AB481" s="6">
        <v>294.9318</v>
      </c>
      <c r="AC481" s="6">
        <v>0.00136414</v>
      </c>
      <c r="AD481" s="6">
        <v>243.86163</v>
      </c>
      <c r="AE481" s="6">
        <v>0.00165872</v>
      </c>
      <c r="AF481" s="6">
        <v>775</v>
      </c>
      <c r="AG481" s="6">
        <v>-0.00636647</v>
      </c>
      <c r="AH481" s="6">
        <v>-0.00590843</v>
      </c>
      <c r="AI481" s="6">
        <v>-0.00629808</v>
      </c>
      <c r="AJ481" s="6">
        <v>-0.00607805</v>
      </c>
      <c r="AK481" s="6">
        <v>-0.00604329</v>
      </c>
      <c r="AL481" s="6">
        <v>-0.00899954</v>
      </c>
      <c r="AM481" s="6">
        <v>-0.01061862</v>
      </c>
      <c r="AN481" s="6">
        <v>-6.4762184</v>
      </c>
      <c r="AO481" s="6">
        <v>-6.4515561</v>
      </c>
      <c r="AP481" s="6">
        <v>-6.4739881</v>
      </c>
      <c r="AQ481" s="6">
        <v>-6.4253629</v>
      </c>
      <c r="AR481" s="6">
        <v>-6.4020076</v>
      </c>
      <c r="AS481" s="6">
        <v>-6.4618417</v>
      </c>
      <c r="AT481" s="6">
        <v>-6.4506396</v>
      </c>
      <c r="AU481" s="6">
        <v>0.97344833</v>
      </c>
      <c r="AV481" s="6">
        <v>0.96974131</v>
      </c>
      <c r="AW481" s="6">
        <v>0.97311308</v>
      </c>
      <c r="AX481" s="6">
        <v>0.96580418</v>
      </c>
      <c r="AY481" s="6">
        <v>0.96229362</v>
      </c>
      <c r="AZ481" s="6">
        <v>0.97128734</v>
      </c>
      <c r="BA481" s="6">
        <v>0.96960354</v>
      </c>
      <c r="BB481" s="6">
        <v>0.02655167</v>
      </c>
      <c r="BC481" s="6">
        <v>0.03025869</v>
      </c>
      <c r="BD481" s="6">
        <v>0.02688692</v>
      </c>
      <c r="BE481" s="6">
        <v>0.03419582</v>
      </c>
      <c r="BF481" s="6">
        <v>0.03770638</v>
      </c>
      <c r="BG481" s="6">
        <v>0.02871266</v>
      </c>
      <c r="BH481" s="6">
        <v>0.03039646</v>
      </c>
      <c r="BI481" s="6">
        <v>0.21470859</v>
      </c>
      <c r="BJ481" s="6">
        <v>0.12366373</v>
      </c>
      <c r="BK481" s="6">
        <v>0.1409291</v>
      </c>
      <c r="BL481" s="6">
        <v>0.12522516</v>
      </c>
      <c r="BM481" s="6">
        <v>0.1592662</v>
      </c>
      <c r="BN481" s="6">
        <v>0.17561655</v>
      </c>
      <c r="BO481" s="6">
        <v>0.1337285</v>
      </c>
      <c r="BP481" s="6">
        <v>0.14157076</v>
      </c>
      <c r="BQ481" s="6">
        <v>0.02447383</v>
      </c>
      <c r="BR481" s="6">
        <v>0.01996222</v>
      </c>
      <c r="BS481" s="6">
        <v>0.0221594</v>
      </c>
      <c r="BT481" s="6">
        <v>0.01844547</v>
      </c>
      <c r="BU481" s="6">
        <v>0.02026326</v>
      </c>
      <c r="BV481" s="6">
        <v>0.05380267</v>
      </c>
      <c r="BW481" s="6">
        <v>0.057265</v>
      </c>
      <c r="BX481" s="12">
        <v>742</v>
      </c>
      <c r="BY481" s="13">
        <v>817.83</v>
      </c>
      <c r="BZ481" s="12">
        <v>798.9</v>
      </c>
      <c r="CA481" s="6">
        <f t="shared" si="42"/>
        <v>0.907279018867002</v>
      </c>
      <c r="CB481" s="6">
        <f t="shared" si="43"/>
        <v>0.928777068469145</v>
      </c>
      <c r="CC481" s="7">
        <v>26523361.34</v>
      </c>
      <c r="CD481" s="7">
        <f t="shared" si="44"/>
        <v>3.31998514707723</v>
      </c>
      <c r="CE481" s="8">
        <v>580.9</v>
      </c>
      <c r="CF481" s="8">
        <v>2270.3</v>
      </c>
      <c r="CG481" s="8">
        <v>1283.5</v>
      </c>
      <c r="CH481" s="8">
        <v>10836</v>
      </c>
      <c r="CI481" s="14">
        <v>0</v>
      </c>
      <c r="CJ481" s="14">
        <v>0</v>
      </c>
      <c r="CK481" s="14">
        <f t="shared" si="45"/>
        <v>0</v>
      </c>
      <c r="CL481">
        <f t="shared" si="46"/>
        <v>3.89549779892895</v>
      </c>
      <c r="CM481">
        <f t="shared" si="47"/>
        <v>0.147737896812559</v>
      </c>
      <c r="CN481" s="15">
        <v>742.48</v>
      </c>
      <c r="CO481" s="15">
        <v>477.34</v>
      </c>
      <c r="CP481" s="15">
        <v>3.51</v>
      </c>
      <c r="CQ481" s="15">
        <v>13.87</v>
      </c>
      <c r="CR481" s="15">
        <v>34.21</v>
      </c>
      <c r="CS481" s="15">
        <v>54.26</v>
      </c>
      <c r="CT481" s="15">
        <v>53.98</v>
      </c>
      <c r="CU481" s="15">
        <v>5.88</v>
      </c>
      <c r="CV481" s="15">
        <v>23.89</v>
      </c>
      <c r="CW481" s="15">
        <v>68.66</v>
      </c>
    </row>
    <row r="482" spans="1:101">
      <c r="A482" s="6">
        <v>2005</v>
      </c>
      <c r="B482" s="6" t="s">
        <v>119</v>
      </c>
      <c r="C482" s="6">
        <v>0.24714064</v>
      </c>
      <c r="D482" s="6">
        <v>0.042681</v>
      </c>
      <c r="E482" s="6">
        <v>0.011077</v>
      </c>
      <c r="F482" s="6">
        <v>0.020133</v>
      </c>
      <c r="G482" s="6">
        <v>0.007688</v>
      </c>
      <c r="H482" s="6">
        <v>0.003783</v>
      </c>
      <c r="I482" s="6">
        <v>0.045982</v>
      </c>
      <c r="J482" s="6">
        <v>0.02174</v>
      </c>
      <c r="K482" s="6">
        <v>0.28322774</v>
      </c>
      <c r="L482" s="6">
        <v>0.22139823</v>
      </c>
      <c r="M482" s="6">
        <v>0.2665179</v>
      </c>
      <c r="N482" s="6">
        <v>0.19876561</v>
      </c>
      <c r="O482" s="6">
        <v>0.08115825</v>
      </c>
      <c r="P482" s="6">
        <v>0.42237263</v>
      </c>
      <c r="Q482" s="6">
        <v>0.31889924</v>
      </c>
      <c r="R482" s="6">
        <v>217.69486</v>
      </c>
      <c r="S482" s="6">
        <v>0.00130103</v>
      </c>
      <c r="T482" s="6">
        <v>169.97573</v>
      </c>
      <c r="U482" s="6">
        <v>0.00130253</v>
      </c>
      <c r="V482" s="6">
        <v>197.11803</v>
      </c>
      <c r="W482" s="6">
        <v>0.00135207</v>
      </c>
      <c r="X482" s="6">
        <v>134.47093</v>
      </c>
      <c r="Y482" s="6">
        <v>0.00147813</v>
      </c>
      <c r="Z482" s="6">
        <v>134.86767</v>
      </c>
      <c r="AA482" s="6">
        <v>0.00060176</v>
      </c>
      <c r="AB482" s="6">
        <v>294.9318</v>
      </c>
      <c r="AC482" s="6">
        <v>0.0014321</v>
      </c>
      <c r="AD482" s="6">
        <v>243.86163</v>
      </c>
      <c r="AE482" s="6">
        <v>0.00130771</v>
      </c>
      <c r="AF482" s="6">
        <v>775</v>
      </c>
      <c r="AG482" s="6">
        <v>-0.00864483</v>
      </c>
      <c r="AH482" s="6">
        <v>-0.00865328</v>
      </c>
      <c r="AI482" s="6">
        <v>-0.00893195</v>
      </c>
      <c r="AJ482" s="6">
        <v>-0.00963294</v>
      </c>
      <c r="AK482" s="6">
        <v>-0.00446246</v>
      </c>
      <c r="AL482" s="6">
        <v>-0.00937828</v>
      </c>
      <c r="AM482" s="6">
        <v>-0.00868249</v>
      </c>
      <c r="AN482" s="6">
        <v>-6.4762184</v>
      </c>
      <c r="AO482" s="6">
        <v>-6.4515561</v>
      </c>
      <c r="AP482" s="6">
        <v>-6.4739881</v>
      </c>
      <c r="AQ482" s="6">
        <v>-6.4253629</v>
      </c>
      <c r="AR482" s="6">
        <v>-6.4020076</v>
      </c>
      <c r="AS482" s="6">
        <v>-6.4618417</v>
      </c>
      <c r="AT482" s="6">
        <v>-6.4506396</v>
      </c>
      <c r="AU482" s="6">
        <v>0.97344833</v>
      </c>
      <c r="AV482" s="6">
        <v>0.96974131</v>
      </c>
      <c r="AW482" s="6">
        <v>0.97311308</v>
      </c>
      <c r="AX482" s="6">
        <v>0.96580418</v>
      </c>
      <c r="AY482" s="6">
        <v>0.96229362</v>
      </c>
      <c r="AZ482" s="6">
        <v>0.97128734</v>
      </c>
      <c r="BA482" s="6">
        <v>0.96960354</v>
      </c>
      <c r="BB482" s="6">
        <v>0.02655167</v>
      </c>
      <c r="BC482" s="6">
        <v>0.03025869</v>
      </c>
      <c r="BD482" s="6">
        <v>0.02688692</v>
      </c>
      <c r="BE482" s="6">
        <v>0.03419582</v>
      </c>
      <c r="BF482" s="6">
        <v>0.03770638</v>
      </c>
      <c r="BG482" s="6">
        <v>0.02871266</v>
      </c>
      <c r="BH482" s="6">
        <v>0.03039646</v>
      </c>
      <c r="BI482" s="6">
        <v>0.21470859</v>
      </c>
      <c r="BJ482" s="6">
        <v>0.12366373</v>
      </c>
      <c r="BK482" s="6">
        <v>0.1409291</v>
      </c>
      <c r="BL482" s="6">
        <v>0.12522516</v>
      </c>
      <c r="BM482" s="6">
        <v>0.1592662</v>
      </c>
      <c r="BN482" s="6">
        <v>0.17561655</v>
      </c>
      <c r="BO482" s="6">
        <v>0.1337285</v>
      </c>
      <c r="BP482" s="6">
        <v>0.14157076</v>
      </c>
      <c r="BQ482" s="6">
        <v>0.035025</v>
      </c>
      <c r="BR482" s="6">
        <v>0.03120145</v>
      </c>
      <c r="BS482" s="6">
        <v>0.03337475</v>
      </c>
      <c r="BT482" s="6">
        <v>0.03165664</v>
      </c>
      <c r="BU482" s="6">
        <v>0.01425273</v>
      </c>
      <c r="BV482" s="6">
        <v>0.05648326</v>
      </c>
      <c r="BW482" s="6">
        <v>0.04514681</v>
      </c>
      <c r="BX482" s="12">
        <v>822</v>
      </c>
      <c r="BY482" s="13">
        <v>828</v>
      </c>
      <c r="BZ482" s="12">
        <v>897.99</v>
      </c>
      <c r="CA482" s="6">
        <f t="shared" si="42"/>
        <v>0.992753623188406</v>
      </c>
      <c r="CB482" s="6">
        <f t="shared" si="43"/>
        <v>0.915377676811546</v>
      </c>
      <c r="CC482" s="7">
        <v>28450584.59</v>
      </c>
      <c r="CD482" s="7">
        <f t="shared" si="44"/>
        <v>3.16825182797136</v>
      </c>
      <c r="CE482" s="8">
        <v>674.6</v>
      </c>
      <c r="CF482" s="8">
        <v>2656.4</v>
      </c>
      <c r="CG482" s="8">
        <v>1425.4</v>
      </c>
      <c r="CH482" s="8">
        <v>12456</v>
      </c>
      <c r="CI482" s="14">
        <v>0</v>
      </c>
      <c r="CJ482" s="14">
        <v>0</v>
      </c>
      <c r="CK482" s="14">
        <f t="shared" si="45"/>
        <v>0</v>
      </c>
      <c r="CL482">
        <f t="shared" si="46"/>
        <v>3.71995059106252</v>
      </c>
      <c r="CM482">
        <f t="shared" si="47"/>
        <v>0.148308088934477</v>
      </c>
      <c r="CN482" s="15">
        <v>819.1</v>
      </c>
      <c r="CO482" s="15">
        <v>341.6</v>
      </c>
      <c r="CP482" s="15">
        <v>1.61</v>
      </c>
      <c r="CQ482" s="15">
        <v>11.46</v>
      </c>
      <c r="CR482" s="15">
        <v>39.48</v>
      </c>
      <c r="CS482" s="15">
        <v>62.5</v>
      </c>
      <c r="CT482" s="15">
        <v>43.09</v>
      </c>
      <c r="CU482" s="15">
        <v>5.24</v>
      </c>
      <c r="CV482" s="15">
        <v>20.97</v>
      </c>
      <c r="CW482" s="15">
        <v>81.61</v>
      </c>
    </row>
    <row r="483" spans="1:101">
      <c r="A483" s="6">
        <v>2006</v>
      </c>
      <c r="B483" s="6" t="s">
        <v>119</v>
      </c>
      <c r="C483" s="6">
        <v>0.2297992</v>
      </c>
      <c r="D483" s="6">
        <v>0.037643</v>
      </c>
      <c r="E483" s="6">
        <v>0.009924</v>
      </c>
      <c r="F483" s="6">
        <v>0.017102</v>
      </c>
      <c r="G483" s="6">
        <v>0.004769</v>
      </c>
      <c r="H483" s="6">
        <v>0.005848</v>
      </c>
      <c r="I483" s="6">
        <v>0.039184</v>
      </c>
      <c r="J483" s="6">
        <v>0.025739</v>
      </c>
      <c r="K483" s="6">
        <v>0.24370261</v>
      </c>
      <c r="L483" s="6">
        <v>0.19412474</v>
      </c>
      <c r="M483" s="6">
        <v>0.21993494</v>
      </c>
      <c r="N483" s="6">
        <v>0.11249425</v>
      </c>
      <c r="O483" s="6">
        <v>0.14371119</v>
      </c>
      <c r="P483" s="6">
        <v>0.34665888</v>
      </c>
      <c r="Q483" s="6">
        <v>0.39026453</v>
      </c>
      <c r="R483" s="6">
        <v>217.69486</v>
      </c>
      <c r="S483" s="6">
        <v>0.00111947</v>
      </c>
      <c r="T483" s="6">
        <v>169.97573</v>
      </c>
      <c r="U483" s="6">
        <v>0.00114207</v>
      </c>
      <c r="V483" s="6">
        <v>197.11803</v>
      </c>
      <c r="W483" s="6">
        <v>0.00111575</v>
      </c>
      <c r="X483" s="6">
        <v>134.47093</v>
      </c>
      <c r="Y483" s="6">
        <v>0.00083657</v>
      </c>
      <c r="Z483" s="6">
        <v>134.86767</v>
      </c>
      <c r="AA483" s="6">
        <v>0.00106557</v>
      </c>
      <c r="AB483" s="6">
        <v>294.9318</v>
      </c>
      <c r="AC483" s="6">
        <v>0.00117539</v>
      </c>
      <c r="AD483" s="6">
        <v>243.86163</v>
      </c>
      <c r="AE483" s="6">
        <v>0.00160035</v>
      </c>
      <c r="AF483" s="6">
        <v>775</v>
      </c>
      <c r="AG483" s="6">
        <v>-0.00760668</v>
      </c>
      <c r="AH483" s="6">
        <v>-0.00773744</v>
      </c>
      <c r="AI483" s="6">
        <v>-0.00758514</v>
      </c>
      <c r="AJ483" s="6">
        <v>-0.0059281</v>
      </c>
      <c r="AK483" s="6">
        <v>-0.00729303</v>
      </c>
      <c r="AL483" s="6">
        <v>-0.00792934</v>
      </c>
      <c r="AM483" s="6">
        <v>-0.01030232</v>
      </c>
      <c r="AN483" s="6">
        <v>-6.4762184</v>
      </c>
      <c r="AO483" s="6">
        <v>-6.4515561</v>
      </c>
      <c r="AP483" s="6">
        <v>-6.4739881</v>
      </c>
      <c r="AQ483" s="6">
        <v>-6.4253629</v>
      </c>
      <c r="AR483" s="6">
        <v>-6.4020076</v>
      </c>
      <c r="AS483" s="6">
        <v>-6.4618417</v>
      </c>
      <c r="AT483" s="6">
        <v>-6.4506396</v>
      </c>
      <c r="AU483" s="6">
        <v>0.97344833</v>
      </c>
      <c r="AV483" s="6">
        <v>0.96974131</v>
      </c>
      <c r="AW483" s="6">
        <v>0.97311308</v>
      </c>
      <c r="AX483" s="6">
        <v>0.96580418</v>
      </c>
      <c r="AY483" s="6">
        <v>0.96229362</v>
      </c>
      <c r="AZ483" s="6">
        <v>0.97128734</v>
      </c>
      <c r="BA483" s="6">
        <v>0.96960354</v>
      </c>
      <c r="BB483" s="6">
        <v>0.02655167</v>
      </c>
      <c r="BC483" s="6">
        <v>0.03025869</v>
      </c>
      <c r="BD483" s="6">
        <v>0.02688692</v>
      </c>
      <c r="BE483" s="6">
        <v>0.03419582</v>
      </c>
      <c r="BF483" s="6">
        <v>0.03770638</v>
      </c>
      <c r="BG483" s="6">
        <v>0.02871266</v>
      </c>
      <c r="BH483" s="6">
        <v>0.03039646</v>
      </c>
      <c r="BI483" s="6">
        <v>0.21470859</v>
      </c>
      <c r="BJ483" s="6">
        <v>0.12366373</v>
      </c>
      <c r="BK483" s="6">
        <v>0.1409291</v>
      </c>
      <c r="BL483" s="6">
        <v>0.12522516</v>
      </c>
      <c r="BM483" s="6">
        <v>0.1592662</v>
      </c>
      <c r="BN483" s="6">
        <v>0.17561655</v>
      </c>
      <c r="BO483" s="6">
        <v>0.1337285</v>
      </c>
      <c r="BP483" s="6">
        <v>0.14157076</v>
      </c>
      <c r="BQ483" s="6">
        <v>0.03013717</v>
      </c>
      <c r="BR483" s="6">
        <v>0.02735782</v>
      </c>
      <c r="BS483" s="6">
        <v>0.02754139</v>
      </c>
      <c r="BT483" s="6">
        <v>0.01791653</v>
      </c>
      <c r="BU483" s="6">
        <v>0.02523806</v>
      </c>
      <c r="BV483" s="6">
        <v>0.04635817</v>
      </c>
      <c r="BW483" s="6">
        <v>0.05525005</v>
      </c>
      <c r="BX483" s="12">
        <v>920</v>
      </c>
      <c r="BY483" s="13">
        <v>835.88</v>
      </c>
      <c r="BZ483" s="12">
        <v>1044.91</v>
      </c>
      <c r="CA483" s="6">
        <f t="shared" si="42"/>
        <v>1.10063645499354</v>
      </c>
      <c r="CB483" s="6">
        <f t="shared" si="43"/>
        <v>0.880458604090304</v>
      </c>
      <c r="CC483" s="7">
        <v>31813239.62</v>
      </c>
      <c r="CD483" s="7">
        <f t="shared" si="44"/>
        <v>3.04459136384952</v>
      </c>
      <c r="CE483" s="8">
        <v>731.8</v>
      </c>
      <c r="CF483" s="8">
        <v>2998</v>
      </c>
      <c r="CG483" s="8">
        <v>1599.9</v>
      </c>
      <c r="CH483" s="8">
        <v>13947</v>
      </c>
      <c r="CI483" s="14">
        <v>0</v>
      </c>
      <c r="CJ483" s="14">
        <v>0</v>
      </c>
      <c r="CK483" s="14">
        <f t="shared" si="45"/>
        <v>0</v>
      </c>
      <c r="CL483">
        <f t="shared" si="46"/>
        <v>3.57740717995078</v>
      </c>
      <c r="CM483">
        <f t="shared" si="47"/>
        <v>0.148939102903179</v>
      </c>
      <c r="CN483" s="15">
        <v>910.91</v>
      </c>
      <c r="CO483" s="15">
        <v>332.23</v>
      </c>
      <c r="CP483" s="15">
        <v>18.65</v>
      </c>
      <c r="CQ483" s="15">
        <v>230.1</v>
      </c>
      <c r="CR483" s="15">
        <v>33.24</v>
      </c>
      <c r="CS483" s="15">
        <v>65.92</v>
      </c>
      <c r="CT483" s="15">
        <v>62.91</v>
      </c>
      <c r="CU483" s="15">
        <v>11.28</v>
      </c>
      <c r="CV483" s="15">
        <v>23.97</v>
      </c>
      <c r="CW483" s="15">
        <v>97.66</v>
      </c>
    </row>
    <row r="484" spans="1:101">
      <c r="A484" s="6">
        <v>2007</v>
      </c>
      <c r="B484" s="6" t="s">
        <v>119</v>
      </c>
      <c r="C484" s="6">
        <v>0.24564541</v>
      </c>
      <c r="D484" s="6">
        <v>0.044996</v>
      </c>
      <c r="E484" s="6">
        <v>0.010902</v>
      </c>
      <c r="F484" s="6">
        <v>0.021572</v>
      </c>
      <c r="G484" s="6">
        <v>0.007884</v>
      </c>
      <c r="H484" s="6">
        <v>0.004638</v>
      </c>
      <c r="I484" s="6">
        <v>0.045143</v>
      </c>
      <c r="J484" s="6">
        <v>0.017723</v>
      </c>
      <c r="K484" s="6">
        <v>0.30138364</v>
      </c>
      <c r="L484" s="6">
        <v>0.21725905</v>
      </c>
      <c r="M484" s="6">
        <v>0.28864221</v>
      </c>
      <c r="N484" s="6">
        <v>0.20456319</v>
      </c>
      <c r="O484" s="6">
        <v>0.10704029</v>
      </c>
      <c r="P484" s="6">
        <v>0.41302828</v>
      </c>
      <c r="Q484" s="6">
        <v>0.24722684</v>
      </c>
      <c r="R484" s="6">
        <v>217.69486</v>
      </c>
      <c r="S484" s="6">
        <v>0.00138443</v>
      </c>
      <c r="T484" s="6">
        <v>169.97573</v>
      </c>
      <c r="U484" s="6">
        <v>0.00127818</v>
      </c>
      <c r="V484" s="6">
        <v>197.11803</v>
      </c>
      <c r="W484" s="6">
        <v>0.00146431</v>
      </c>
      <c r="X484" s="6">
        <v>134.47093</v>
      </c>
      <c r="Y484" s="6">
        <v>0.00152124</v>
      </c>
      <c r="Z484" s="6">
        <v>134.86767</v>
      </c>
      <c r="AA484" s="6">
        <v>0.00079367</v>
      </c>
      <c r="AB484" s="6">
        <v>294.9318</v>
      </c>
      <c r="AC484" s="6">
        <v>0.00140042</v>
      </c>
      <c r="AD484" s="6">
        <v>243.86163</v>
      </c>
      <c r="AE484" s="6">
        <v>0.0010138</v>
      </c>
      <c r="AF484" s="6">
        <v>775</v>
      </c>
      <c r="AG484" s="6">
        <v>-0.00911297</v>
      </c>
      <c r="AH484" s="6">
        <v>-0.00851562</v>
      </c>
      <c r="AI484" s="6">
        <v>-0.00955664</v>
      </c>
      <c r="AJ484" s="6">
        <v>-0.00987018</v>
      </c>
      <c r="AK484" s="6">
        <v>-0.00566588</v>
      </c>
      <c r="AL484" s="6">
        <v>-0.00920213</v>
      </c>
      <c r="AM484" s="6">
        <v>-0.00698919</v>
      </c>
      <c r="AN484" s="6">
        <v>-6.4762184</v>
      </c>
      <c r="AO484" s="6">
        <v>-6.4515561</v>
      </c>
      <c r="AP484" s="6">
        <v>-6.4739881</v>
      </c>
      <c r="AQ484" s="6">
        <v>-6.4253629</v>
      </c>
      <c r="AR484" s="6">
        <v>-6.4020076</v>
      </c>
      <c r="AS484" s="6">
        <v>-6.4618417</v>
      </c>
      <c r="AT484" s="6">
        <v>-6.4506396</v>
      </c>
      <c r="AU484" s="6">
        <v>0.97344833</v>
      </c>
      <c r="AV484" s="6">
        <v>0.96974131</v>
      </c>
      <c r="AW484" s="6">
        <v>0.97311308</v>
      </c>
      <c r="AX484" s="6">
        <v>0.96580418</v>
      </c>
      <c r="AY484" s="6">
        <v>0.96229362</v>
      </c>
      <c r="AZ484" s="6">
        <v>0.97128734</v>
      </c>
      <c r="BA484" s="6">
        <v>0.96960354</v>
      </c>
      <c r="BB484" s="6">
        <v>0.02655167</v>
      </c>
      <c r="BC484" s="6">
        <v>0.03025869</v>
      </c>
      <c r="BD484" s="6">
        <v>0.02688692</v>
      </c>
      <c r="BE484" s="6">
        <v>0.03419582</v>
      </c>
      <c r="BF484" s="6">
        <v>0.03770638</v>
      </c>
      <c r="BG484" s="6">
        <v>0.02871266</v>
      </c>
      <c r="BH484" s="6">
        <v>0.03039646</v>
      </c>
      <c r="BI484" s="6">
        <v>0.21470859</v>
      </c>
      <c r="BJ484" s="6">
        <v>0.12366373</v>
      </c>
      <c r="BK484" s="6">
        <v>0.1409291</v>
      </c>
      <c r="BL484" s="6">
        <v>0.12522516</v>
      </c>
      <c r="BM484" s="6">
        <v>0.1592662</v>
      </c>
      <c r="BN484" s="6">
        <v>0.17561655</v>
      </c>
      <c r="BO484" s="6">
        <v>0.1337285</v>
      </c>
      <c r="BP484" s="6">
        <v>0.14157076</v>
      </c>
      <c r="BQ484" s="6">
        <v>0.03727023</v>
      </c>
      <c r="BR484" s="6">
        <v>0.03061812</v>
      </c>
      <c r="BS484" s="6">
        <v>0.03614527</v>
      </c>
      <c r="BT484" s="6">
        <v>0.03258</v>
      </c>
      <c r="BU484" s="6">
        <v>0.01879805</v>
      </c>
      <c r="BV484" s="6">
        <v>0.05523365</v>
      </c>
      <c r="BW484" s="6">
        <v>0.03500009</v>
      </c>
      <c r="BX484" s="12">
        <v>1057</v>
      </c>
      <c r="BY484" s="13">
        <v>845.03</v>
      </c>
      <c r="BZ484" s="12">
        <v>1254.17</v>
      </c>
      <c r="CA484" s="6">
        <f t="shared" si="42"/>
        <v>1.25084316533141</v>
      </c>
      <c r="CB484" s="6">
        <f t="shared" si="43"/>
        <v>0.842788457705096</v>
      </c>
      <c r="CC484" s="7">
        <v>34929388.09</v>
      </c>
      <c r="CD484" s="7">
        <f t="shared" si="44"/>
        <v>2.7850600867506</v>
      </c>
      <c r="CE484" s="8">
        <v>892.4</v>
      </c>
      <c r="CF484" s="8">
        <v>3383</v>
      </c>
      <c r="CG484" s="8">
        <v>1850.9</v>
      </c>
      <c r="CH484" s="8">
        <v>16023</v>
      </c>
      <c r="CI484" s="14">
        <v>0</v>
      </c>
      <c r="CJ484" s="14">
        <v>0</v>
      </c>
      <c r="CK484" s="14">
        <f t="shared" si="45"/>
        <v>0</v>
      </c>
      <c r="CL484">
        <f t="shared" si="46"/>
        <v>3.23986794305777</v>
      </c>
      <c r="CM484">
        <f t="shared" si="47"/>
        <v>0.140378516748409</v>
      </c>
      <c r="CN484" s="15">
        <v>1016.17</v>
      </c>
      <c r="CO484" s="15">
        <v>414.08</v>
      </c>
      <c r="CP484" s="15">
        <v>22.99</v>
      </c>
      <c r="CQ484" s="15">
        <v>816.28</v>
      </c>
      <c r="CR484" s="15">
        <v>46.6</v>
      </c>
      <c r="CS484" s="15">
        <v>64.67</v>
      </c>
      <c r="CT484" s="15">
        <v>59.21</v>
      </c>
      <c r="CU484" s="15">
        <v>20.18</v>
      </c>
      <c r="CV484" s="15">
        <v>23.4</v>
      </c>
      <c r="CW484" s="15">
        <v>113.25</v>
      </c>
    </row>
    <row r="485" spans="1:101">
      <c r="A485" s="6">
        <v>2008</v>
      </c>
      <c r="B485" s="6" t="s">
        <v>119</v>
      </c>
      <c r="C485" s="6">
        <v>0.31452823</v>
      </c>
      <c r="D485" s="6">
        <v>0.057569</v>
      </c>
      <c r="E485" s="6">
        <v>0.01366</v>
      </c>
      <c r="F485" s="6">
        <v>0.024122</v>
      </c>
      <c r="G485" s="6">
        <v>0.010099</v>
      </c>
      <c r="H485" s="6">
        <v>0.009688</v>
      </c>
      <c r="I485" s="6">
        <v>0.047038</v>
      </c>
      <c r="J485" s="6">
        <v>0.018697</v>
      </c>
      <c r="K485" s="6">
        <v>0.4000063</v>
      </c>
      <c r="L485" s="6">
        <v>0.28245537</v>
      </c>
      <c r="M485" s="6">
        <v>0.32782981</v>
      </c>
      <c r="N485" s="6">
        <v>0.2700426</v>
      </c>
      <c r="O485" s="6">
        <v>0.26009323</v>
      </c>
      <c r="P485" s="6">
        <v>0.43413275</v>
      </c>
      <c r="Q485" s="6">
        <v>0.26461668</v>
      </c>
      <c r="R485" s="6">
        <v>217.69486</v>
      </c>
      <c r="S485" s="6">
        <v>0.00183746</v>
      </c>
      <c r="T485" s="6">
        <v>169.97573</v>
      </c>
      <c r="U485" s="6">
        <v>0.00166174</v>
      </c>
      <c r="V485" s="6">
        <v>197.11803</v>
      </c>
      <c r="W485" s="6">
        <v>0.00166311</v>
      </c>
      <c r="X485" s="6">
        <v>134.47093</v>
      </c>
      <c r="Y485" s="6">
        <v>0.00200819</v>
      </c>
      <c r="Z485" s="6">
        <v>134.86767</v>
      </c>
      <c r="AA485" s="6">
        <v>0.00192851</v>
      </c>
      <c r="AB485" s="6">
        <v>294.9318</v>
      </c>
      <c r="AC485" s="6">
        <v>0.00147198</v>
      </c>
      <c r="AD485" s="6">
        <v>243.86163</v>
      </c>
      <c r="AE485" s="6">
        <v>0.00108511</v>
      </c>
      <c r="AF485" s="6">
        <v>775</v>
      </c>
      <c r="AG485" s="6">
        <v>-0.01157486</v>
      </c>
      <c r="AH485" s="6">
        <v>-0.01063495</v>
      </c>
      <c r="AI485" s="6">
        <v>-0.01064237</v>
      </c>
      <c r="AJ485" s="6">
        <v>-0.01247188</v>
      </c>
      <c r="AK485" s="6">
        <v>-0.01205511</v>
      </c>
      <c r="AL485" s="6">
        <v>-0.00959898</v>
      </c>
      <c r="AM485" s="6">
        <v>-0.00740704</v>
      </c>
      <c r="AN485" s="6">
        <v>-6.4762184</v>
      </c>
      <c r="AO485" s="6">
        <v>-6.4515561</v>
      </c>
      <c r="AP485" s="6">
        <v>-6.4739881</v>
      </c>
      <c r="AQ485" s="6">
        <v>-6.4253629</v>
      </c>
      <c r="AR485" s="6">
        <v>-6.4020076</v>
      </c>
      <c r="AS485" s="6">
        <v>-6.4618417</v>
      </c>
      <c r="AT485" s="6">
        <v>-6.4506396</v>
      </c>
      <c r="AU485" s="6">
        <v>0.97344833</v>
      </c>
      <c r="AV485" s="6">
        <v>0.96974131</v>
      </c>
      <c r="AW485" s="6">
        <v>0.97311308</v>
      </c>
      <c r="AX485" s="6">
        <v>0.96580418</v>
      </c>
      <c r="AY485" s="6">
        <v>0.96229362</v>
      </c>
      <c r="AZ485" s="6">
        <v>0.97128734</v>
      </c>
      <c r="BA485" s="6">
        <v>0.96960354</v>
      </c>
      <c r="BB485" s="6">
        <v>0.02655167</v>
      </c>
      <c r="BC485" s="6">
        <v>0.03025869</v>
      </c>
      <c r="BD485" s="6">
        <v>0.02688692</v>
      </c>
      <c r="BE485" s="6">
        <v>0.03419582</v>
      </c>
      <c r="BF485" s="6">
        <v>0.03770638</v>
      </c>
      <c r="BG485" s="6">
        <v>0.02871266</v>
      </c>
      <c r="BH485" s="6">
        <v>0.03039646</v>
      </c>
      <c r="BI485" s="6">
        <v>0.21470859</v>
      </c>
      <c r="BJ485" s="6">
        <v>0.12366373</v>
      </c>
      <c r="BK485" s="6">
        <v>0.1409291</v>
      </c>
      <c r="BL485" s="6">
        <v>0.12522516</v>
      </c>
      <c r="BM485" s="6">
        <v>0.1592662</v>
      </c>
      <c r="BN485" s="6">
        <v>0.17561655</v>
      </c>
      <c r="BO485" s="6">
        <v>0.1337285</v>
      </c>
      <c r="BP485" s="6">
        <v>0.14157076</v>
      </c>
      <c r="BQ485" s="6">
        <v>0.04946627</v>
      </c>
      <c r="BR485" s="6">
        <v>0.03980618</v>
      </c>
      <c r="BS485" s="6">
        <v>0.04105254</v>
      </c>
      <c r="BT485" s="6">
        <v>0.04300866</v>
      </c>
      <c r="BU485" s="6">
        <v>0.04567667</v>
      </c>
      <c r="BV485" s="6">
        <v>0.05805592</v>
      </c>
      <c r="BW485" s="6">
        <v>0.03746199</v>
      </c>
      <c r="BX485" s="12">
        <v>1135</v>
      </c>
      <c r="BY485" s="13">
        <v>854.18</v>
      </c>
      <c r="BZ485" s="12">
        <v>1503.06</v>
      </c>
      <c r="CA485" s="6">
        <f t="shared" si="42"/>
        <v>1.32875974618933</v>
      </c>
      <c r="CB485" s="6">
        <f t="shared" si="43"/>
        <v>0.755126209199899</v>
      </c>
      <c r="CC485" s="7">
        <v>35256953.63</v>
      </c>
      <c r="CD485" s="7">
        <f t="shared" si="44"/>
        <v>2.34567839141485</v>
      </c>
      <c r="CE485" s="8">
        <v>1073.8</v>
      </c>
      <c r="CF485" s="8">
        <v>3935</v>
      </c>
      <c r="CG485" s="8">
        <v>2125.4</v>
      </c>
      <c r="CH485" s="8">
        <v>18654</v>
      </c>
      <c r="CI485" s="14">
        <v>0</v>
      </c>
      <c r="CJ485" s="14">
        <v>0</v>
      </c>
      <c r="CK485" s="14">
        <f t="shared" si="45"/>
        <v>0</v>
      </c>
      <c r="CL485">
        <f t="shared" si="46"/>
        <v>2.71728515287532</v>
      </c>
      <c r="CM485">
        <f t="shared" si="47"/>
        <v>0.136756630443164</v>
      </c>
      <c r="CN485" s="15">
        <v>1135</v>
      </c>
      <c r="CO485" s="15">
        <v>472</v>
      </c>
      <c r="CP485" s="15">
        <v>14.88</v>
      </c>
      <c r="CQ485" s="15">
        <v>796.83</v>
      </c>
      <c r="CR485" s="15">
        <v>38.85</v>
      </c>
      <c r="CS485" s="15">
        <v>80.16</v>
      </c>
      <c r="CT485" s="15">
        <v>93.8</v>
      </c>
      <c r="CU485" s="15">
        <v>29.55</v>
      </c>
      <c r="CV485" s="15">
        <v>26.78</v>
      </c>
      <c r="CW485" s="15">
        <v>122.97</v>
      </c>
    </row>
    <row r="486" spans="1:101">
      <c r="A486" s="6">
        <v>2009</v>
      </c>
      <c r="B486" s="6" t="s">
        <v>119</v>
      </c>
      <c r="C486" s="6">
        <v>0.32568632</v>
      </c>
      <c r="D486" s="6">
        <v>0.057501</v>
      </c>
      <c r="E486" s="6">
        <v>0.01193</v>
      </c>
      <c r="F486" s="6">
        <v>0.026345</v>
      </c>
      <c r="G486" s="6">
        <v>0.009403</v>
      </c>
      <c r="H486" s="6">
        <v>0.009824</v>
      </c>
      <c r="I486" s="6">
        <v>0.045814</v>
      </c>
      <c r="J486" s="6">
        <v>0.025462</v>
      </c>
      <c r="K486" s="6">
        <v>0.39947475</v>
      </c>
      <c r="L486" s="6">
        <v>0.2415599</v>
      </c>
      <c r="M486" s="6">
        <v>0.36199244</v>
      </c>
      <c r="N486" s="6">
        <v>0.24944577</v>
      </c>
      <c r="O486" s="6">
        <v>0.26421541</v>
      </c>
      <c r="P486" s="6">
        <v>0.42050646</v>
      </c>
      <c r="Q486" s="6">
        <v>0.38531846</v>
      </c>
      <c r="R486" s="6">
        <v>217.69486</v>
      </c>
      <c r="S486" s="6">
        <v>0.00183502</v>
      </c>
      <c r="T486" s="6">
        <v>169.97573</v>
      </c>
      <c r="U486" s="6">
        <v>0.00142114</v>
      </c>
      <c r="V486" s="6">
        <v>197.11803</v>
      </c>
      <c r="W486" s="6">
        <v>0.00183642</v>
      </c>
      <c r="X486" s="6">
        <v>134.47093</v>
      </c>
      <c r="Y486" s="6">
        <v>0.00185502</v>
      </c>
      <c r="Z486" s="6">
        <v>134.86767</v>
      </c>
      <c r="AA486" s="6">
        <v>0.00195907</v>
      </c>
      <c r="AB486" s="6">
        <v>294.9318</v>
      </c>
      <c r="AC486" s="6">
        <v>0.00142578</v>
      </c>
      <c r="AD486" s="6">
        <v>243.86163</v>
      </c>
      <c r="AE486" s="6">
        <v>0.00158007</v>
      </c>
      <c r="AF486" s="6">
        <v>775</v>
      </c>
      <c r="AG486" s="6">
        <v>-0.01156192</v>
      </c>
      <c r="AH486" s="6">
        <v>-0.00931743</v>
      </c>
      <c r="AI486" s="6">
        <v>-0.01156936</v>
      </c>
      <c r="AJ486" s="6">
        <v>-0.0116678</v>
      </c>
      <c r="AK486" s="6">
        <v>-0.01221537</v>
      </c>
      <c r="AL486" s="6">
        <v>-0.00934316</v>
      </c>
      <c r="AM486" s="6">
        <v>-0.0101919</v>
      </c>
      <c r="AN486" s="6">
        <v>-6.4762184</v>
      </c>
      <c r="AO486" s="6">
        <v>-6.4515561</v>
      </c>
      <c r="AP486" s="6">
        <v>-6.4739881</v>
      </c>
      <c r="AQ486" s="6">
        <v>-6.4253629</v>
      </c>
      <c r="AR486" s="6">
        <v>-6.4020076</v>
      </c>
      <c r="AS486" s="6">
        <v>-6.4618417</v>
      </c>
      <c r="AT486" s="6">
        <v>-6.4506396</v>
      </c>
      <c r="AU486" s="6">
        <v>0.97344833</v>
      </c>
      <c r="AV486" s="6">
        <v>0.96974131</v>
      </c>
      <c r="AW486" s="6">
        <v>0.97311308</v>
      </c>
      <c r="AX486" s="6">
        <v>0.96580418</v>
      </c>
      <c r="AY486" s="6">
        <v>0.96229362</v>
      </c>
      <c r="AZ486" s="6">
        <v>0.97128734</v>
      </c>
      <c r="BA486" s="6">
        <v>0.96960354</v>
      </c>
      <c r="BB486" s="6">
        <v>0.02655167</v>
      </c>
      <c r="BC486" s="6">
        <v>0.03025869</v>
      </c>
      <c r="BD486" s="6">
        <v>0.02688692</v>
      </c>
      <c r="BE486" s="6">
        <v>0.03419582</v>
      </c>
      <c r="BF486" s="6">
        <v>0.03770638</v>
      </c>
      <c r="BG486" s="6">
        <v>0.02871266</v>
      </c>
      <c r="BH486" s="6">
        <v>0.03039646</v>
      </c>
      <c r="BI486" s="6">
        <v>0.21470859</v>
      </c>
      <c r="BJ486" s="6">
        <v>0.12366373</v>
      </c>
      <c r="BK486" s="6">
        <v>0.1409291</v>
      </c>
      <c r="BL486" s="6">
        <v>0.12522516</v>
      </c>
      <c r="BM486" s="6">
        <v>0.1592662</v>
      </c>
      <c r="BN486" s="6">
        <v>0.17561655</v>
      </c>
      <c r="BO486" s="6">
        <v>0.1337285</v>
      </c>
      <c r="BP486" s="6">
        <v>0.14157076</v>
      </c>
      <c r="BQ486" s="6">
        <v>0.04940054</v>
      </c>
      <c r="BR486" s="6">
        <v>0.03404282</v>
      </c>
      <c r="BS486" s="6">
        <v>0.04533056</v>
      </c>
      <c r="BT486" s="6">
        <v>0.03972828</v>
      </c>
      <c r="BU486" s="6">
        <v>0.0464006</v>
      </c>
      <c r="BV486" s="6">
        <v>0.0562337</v>
      </c>
      <c r="BW486" s="6">
        <v>0.05454983</v>
      </c>
      <c r="BX486" s="12">
        <v>1233</v>
      </c>
      <c r="BY486" s="13">
        <v>864.07</v>
      </c>
      <c r="BZ486" s="12">
        <v>1654.21</v>
      </c>
      <c r="CA486" s="6">
        <f t="shared" si="42"/>
        <v>1.42696772252248</v>
      </c>
      <c r="CB486" s="6">
        <f t="shared" si="43"/>
        <v>0.745370902122463</v>
      </c>
      <c r="CC486" s="7">
        <v>39879003.82</v>
      </c>
      <c r="CD486" s="7">
        <f t="shared" si="44"/>
        <v>2.41075823625779</v>
      </c>
      <c r="CE486" s="8">
        <v>1141.9</v>
      </c>
      <c r="CF486" s="8">
        <v>3668.1</v>
      </c>
      <c r="CG486" s="8">
        <v>2409</v>
      </c>
      <c r="CH486" s="8">
        <v>18871</v>
      </c>
      <c r="CI486" s="14">
        <v>0</v>
      </c>
      <c r="CJ486" s="14">
        <v>0</v>
      </c>
      <c r="CK486" s="14">
        <f t="shared" si="45"/>
        <v>0</v>
      </c>
      <c r="CL486">
        <f t="shared" si="46"/>
        <v>2.66960201713366</v>
      </c>
      <c r="CM486">
        <f t="shared" si="47"/>
        <v>0.0969596888279944</v>
      </c>
      <c r="CN486" s="15">
        <v>1233</v>
      </c>
      <c r="CO486" s="15">
        <v>537</v>
      </c>
      <c r="CP486" s="15">
        <v>17.76</v>
      </c>
      <c r="CQ486" s="15">
        <v>835.68</v>
      </c>
      <c r="CR486" s="15">
        <v>47.62</v>
      </c>
      <c r="CS486" s="15">
        <v>90.03</v>
      </c>
      <c r="CT486" s="15">
        <v>106.24</v>
      </c>
      <c r="CU486" s="15">
        <v>26.82</v>
      </c>
      <c r="CV486" s="15">
        <v>24.94</v>
      </c>
      <c r="CW486" s="15">
        <v>133.76</v>
      </c>
    </row>
    <row r="487" spans="1:101">
      <c r="A487" s="6">
        <v>2010</v>
      </c>
      <c r="B487" s="6" t="s">
        <v>119</v>
      </c>
      <c r="C487" s="6">
        <v>0.31937167</v>
      </c>
      <c r="D487" s="6">
        <v>0.06313</v>
      </c>
      <c r="E487" s="6">
        <v>0.016663</v>
      </c>
      <c r="F487" s="6">
        <v>0.028251</v>
      </c>
      <c r="G487" s="6">
        <v>0.010257</v>
      </c>
      <c r="H487" s="6">
        <v>0.007959</v>
      </c>
      <c r="I487" s="6">
        <v>0.039148</v>
      </c>
      <c r="J487" s="6">
        <v>0.019372</v>
      </c>
      <c r="K487" s="6">
        <v>0.44362921</v>
      </c>
      <c r="L487" s="6">
        <v>0.35346326</v>
      </c>
      <c r="M487" s="6">
        <v>0.39128876</v>
      </c>
      <c r="N487" s="6">
        <v>0.27471052</v>
      </c>
      <c r="O487" s="6">
        <v>0.20769987</v>
      </c>
      <c r="P487" s="6">
        <v>0.34624946</v>
      </c>
      <c r="Q487" s="6">
        <v>0.27666245</v>
      </c>
      <c r="R487" s="6">
        <v>217.69486</v>
      </c>
      <c r="S487" s="6">
        <v>0.00203785</v>
      </c>
      <c r="T487" s="6">
        <v>169.97573</v>
      </c>
      <c r="U487" s="6">
        <v>0.00207949</v>
      </c>
      <c r="V487" s="6">
        <v>197.11803</v>
      </c>
      <c r="W487" s="6">
        <v>0.00198505</v>
      </c>
      <c r="X487" s="6">
        <v>134.47093</v>
      </c>
      <c r="Y487" s="6">
        <v>0.0020429</v>
      </c>
      <c r="Z487" s="6">
        <v>134.86767</v>
      </c>
      <c r="AA487" s="6">
        <v>0.00154003</v>
      </c>
      <c r="AB487" s="6">
        <v>294.9318</v>
      </c>
      <c r="AC487" s="6">
        <v>0.001174</v>
      </c>
      <c r="AD487" s="6">
        <v>243.86163</v>
      </c>
      <c r="AE487" s="6">
        <v>0.00113451</v>
      </c>
      <c r="AF487" s="6">
        <v>775</v>
      </c>
      <c r="AG487" s="6">
        <v>-0.01262623</v>
      </c>
      <c r="AH487" s="6">
        <v>-0.01284218</v>
      </c>
      <c r="AI487" s="6">
        <v>-0.01235119</v>
      </c>
      <c r="AJ487" s="6">
        <v>-0.01265246</v>
      </c>
      <c r="AK487" s="6">
        <v>-0.00997315</v>
      </c>
      <c r="AL487" s="6">
        <v>-0.00792137</v>
      </c>
      <c r="AM487" s="6">
        <v>-0.00769372</v>
      </c>
      <c r="AN487" s="6">
        <v>-6.4762184</v>
      </c>
      <c r="AO487" s="6">
        <v>-6.4515561</v>
      </c>
      <c r="AP487" s="6">
        <v>-6.4739881</v>
      </c>
      <c r="AQ487" s="6">
        <v>-6.4253629</v>
      </c>
      <c r="AR487" s="6">
        <v>-6.4020076</v>
      </c>
      <c r="AS487" s="6">
        <v>-6.4618417</v>
      </c>
      <c r="AT487" s="6">
        <v>-6.4506396</v>
      </c>
      <c r="AU487" s="6">
        <v>0.97344833</v>
      </c>
      <c r="AV487" s="6">
        <v>0.96974131</v>
      </c>
      <c r="AW487" s="6">
        <v>0.97311308</v>
      </c>
      <c r="AX487" s="6">
        <v>0.96580418</v>
      </c>
      <c r="AY487" s="6">
        <v>0.96229362</v>
      </c>
      <c r="AZ487" s="6">
        <v>0.97128734</v>
      </c>
      <c r="BA487" s="6">
        <v>0.96960354</v>
      </c>
      <c r="BB487" s="6">
        <v>0.02655167</v>
      </c>
      <c r="BC487" s="6">
        <v>0.03025869</v>
      </c>
      <c r="BD487" s="6">
        <v>0.02688692</v>
      </c>
      <c r="BE487" s="6">
        <v>0.03419582</v>
      </c>
      <c r="BF487" s="6">
        <v>0.03770638</v>
      </c>
      <c r="BG487" s="6">
        <v>0.02871266</v>
      </c>
      <c r="BH487" s="6">
        <v>0.03039646</v>
      </c>
      <c r="BI487" s="6">
        <v>0.21470859</v>
      </c>
      <c r="BJ487" s="6">
        <v>0.12366373</v>
      </c>
      <c r="BK487" s="6">
        <v>0.1409291</v>
      </c>
      <c r="BL487" s="6">
        <v>0.12522516</v>
      </c>
      <c r="BM487" s="6">
        <v>0.1592662</v>
      </c>
      <c r="BN487" s="6">
        <v>0.17561655</v>
      </c>
      <c r="BO487" s="6">
        <v>0.1337285</v>
      </c>
      <c r="BP487" s="6">
        <v>0.14157076</v>
      </c>
      <c r="BQ487" s="6">
        <v>0.05486084</v>
      </c>
      <c r="BR487" s="6">
        <v>0.04981326</v>
      </c>
      <c r="BS487" s="6">
        <v>0.0489992</v>
      </c>
      <c r="BT487" s="6">
        <v>0.0437521</v>
      </c>
      <c r="BU487" s="6">
        <v>0.03647553</v>
      </c>
      <c r="BV487" s="6">
        <v>0.04630342</v>
      </c>
      <c r="BW487" s="6">
        <v>0.03916731</v>
      </c>
      <c r="BX487" s="12">
        <v>1359</v>
      </c>
      <c r="BY487" s="13">
        <v>868.55</v>
      </c>
      <c r="BZ487" s="12">
        <v>2064.5</v>
      </c>
      <c r="CA487" s="6">
        <f t="shared" si="42"/>
        <v>1.56467676011744</v>
      </c>
      <c r="CB487" s="6">
        <f t="shared" si="43"/>
        <v>0.658270767740373</v>
      </c>
      <c r="CC487" s="7">
        <v>42064194.26</v>
      </c>
      <c r="CD487" s="7">
        <f t="shared" si="44"/>
        <v>2.03750032744006</v>
      </c>
      <c r="CE487" s="8">
        <v>1291.8</v>
      </c>
      <c r="CF487" s="8">
        <v>4146.1</v>
      </c>
      <c r="CG487" s="8">
        <v>2870.4</v>
      </c>
      <c r="CH487" s="8">
        <v>21694</v>
      </c>
      <c r="CI487" s="14">
        <v>0</v>
      </c>
      <c r="CJ487" s="14">
        <v>0</v>
      </c>
      <c r="CK487" s="14">
        <f t="shared" si="45"/>
        <v>0</v>
      </c>
      <c r="CL487">
        <f t="shared" si="46"/>
        <v>2.40850270516871</v>
      </c>
      <c r="CM487">
        <f t="shared" si="47"/>
        <v>0.154038597063839</v>
      </c>
      <c r="CN487" s="15">
        <v>1358.51</v>
      </c>
      <c r="CO487" s="15">
        <v>647.2</v>
      </c>
      <c r="CP487" s="15">
        <v>0.05</v>
      </c>
      <c r="CQ487" s="15">
        <v>859.17</v>
      </c>
      <c r="CR487" s="15">
        <v>52.63</v>
      </c>
      <c r="CS487" s="15">
        <v>87.43</v>
      </c>
      <c r="CT487" s="15">
        <v>139.98</v>
      </c>
      <c r="CU487" s="15">
        <v>30.49</v>
      </c>
      <c r="CV487" s="15">
        <v>29.72</v>
      </c>
      <c r="CW487" s="15">
        <v>159.02</v>
      </c>
    </row>
    <row r="488" spans="1:101">
      <c r="A488" s="6">
        <v>2011</v>
      </c>
      <c r="B488" s="6" t="s">
        <v>119</v>
      </c>
      <c r="C488" s="6">
        <v>0.30261352</v>
      </c>
      <c r="D488" s="6">
        <v>0.05388</v>
      </c>
      <c r="E488" s="6">
        <v>0.01268</v>
      </c>
      <c r="F488" s="6">
        <v>0.02412</v>
      </c>
      <c r="G488" s="6">
        <v>0.007506</v>
      </c>
      <c r="H488" s="6">
        <v>0.009574</v>
      </c>
      <c r="I488" s="6">
        <v>0.041557</v>
      </c>
      <c r="J488" s="6">
        <v>0.024997</v>
      </c>
      <c r="K488" s="6">
        <v>0.3710684</v>
      </c>
      <c r="L488" s="6">
        <v>0.25930152</v>
      </c>
      <c r="M488" s="6">
        <v>0.32779764</v>
      </c>
      <c r="N488" s="6">
        <v>0.19337872</v>
      </c>
      <c r="O488" s="6">
        <v>0.25663317</v>
      </c>
      <c r="P488" s="6">
        <v>0.37308108</v>
      </c>
      <c r="Q488" s="6">
        <v>0.37701909</v>
      </c>
      <c r="R488" s="6">
        <v>217.69486</v>
      </c>
      <c r="S488" s="6">
        <v>0.00170453</v>
      </c>
      <c r="T488" s="6">
        <v>169.97573</v>
      </c>
      <c r="U488" s="6">
        <v>0.00152552</v>
      </c>
      <c r="V488" s="6">
        <v>197.11803</v>
      </c>
      <c r="W488" s="6">
        <v>0.00166295</v>
      </c>
      <c r="X488" s="6">
        <v>134.47093</v>
      </c>
      <c r="Y488" s="6">
        <v>0.00143807</v>
      </c>
      <c r="Z488" s="6">
        <v>134.86767</v>
      </c>
      <c r="AA488" s="6">
        <v>0.00190285</v>
      </c>
      <c r="AB488" s="6">
        <v>294.9318</v>
      </c>
      <c r="AC488" s="6">
        <v>0.00126497</v>
      </c>
      <c r="AD488" s="6">
        <v>243.86163</v>
      </c>
      <c r="AE488" s="6">
        <v>0.00154604</v>
      </c>
      <c r="AF488" s="6">
        <v>775</v>
      </c>
      <c r="AG488" s="6">
        <v>-0.01086549</v>
      </c>
      <c r="AH488" s="6">
        <v>-0.00989364</v>
      </c>
      <c r="AI488" s="6">
        <v>-0.01064149</v>
      </c>
      <c r="AJ488" s="6">
        <v>-0.00941139</v>
      </c>
      <c r="AK488" s="6">
        <v>-0.01192023</v>
      </c>
      <c r="AL488" s="6">
        <v>-0.0084408</v>
      </c>
      <c r="AM488" s="6">
        <v>-0.01000604</v>
      </c>
      <c r="AN488" s="6">
        <v>-6.4762184</v>
      </c>
      <c r="AO488" s="6">
        <v>-6.4515561</v>
      </c>
      <c r="AP488" s="6">
        <v>-6.4739881</v>
      </c>
      <c r="AQ488" s="6">
        <v>-6.4253629</v>
      </c>
      <c r="AR488" s="6">
        <v>-6.4020076</v>
      </c>
      <c r="AS488" s="6">
        <v>-6.4618417</v>
      </c>
      <c r="AT488" s="6">
        <v>-6.4506396</v>
      </c>
      <c r="AU488" s="6">
        <v>0.97344833</v>
      </c>
      <c r="AV488" s="6">
        <v>0.96974131</v>
      </c>
      <c r="AW488" s="6">
        <v>0.97311308</v>
      </c>
      <c r="AX488" s="6">
        <v>0.96580418</v>
      </c>
      <c r="AY488" s="6">
        <v>0.96229362</v>
      </c>
      <c r="AZ488" s="6">
        <v>0.97128734</v>
      </c>
      <c r="BA488" s="6">
        <v>0.96960354</v>
      </c>
      <c r="BB488" s="6">
        <v>0.02655167</v>
      </c>
      <c r="BC488" s="6">
        <v>0.03025869</v>
      </c>
      <c r="BD488" s="6">
        <v>0.02688692</v>
      </c>
      <c r="BE488" s="6">
        <v>0.03419582</v>
      </c>
      <c r="BF488" s="6">
        <v>0.03770638</v>
      </c>
      <c r="BG488" s="6">
        <v>0.02871266</v>
      </c>
      <c r="BH488" s="6">
        <v>0.03039646</v>
      </c>
      <c r="BI488" s="6">
        <v>0.21470859</v>
      </c>
      <c r="BJ488" s="6">
        <v>0.12366373</v>
      </c>
      <c r="BK488" s="6">
        <v>0.1409291</v>
      </c>
      <c r="BL488" s="6">
        <v>0.12522516</v>
      </c>
      <c r="BM488" s="6">
        <v>0.1592662</v>
      </c>
      <c r="BN488" s="6">
        <v>0.17561655</v>
      </c>
      <c r="BO488" s="6">
        <v>0.1337285</v>
      </c>
      <c r="BP488" s="6">
        <v>0.14157076</v>
      </c>
      <c r="BQ488" s="6">
        <v>0.0458877</v>
      </c>
      <c r="BR488" s="6">
        <v>0.03654313</v>
      </c>
      <c r="BS488" s="6">
        <v>0.04104851</v>
      </c>
      <c r="BT488" s="6">
        <v>0.03079869</v>
      </c>
      <c r="BU488" s="6">
        <v>0.04506903</v>
      </c>
      <c r="BV488" s="6">
        <v>0.04989157</v>
      </c>
      <c r="BW488" s="6">
        <v>0.05337488</v>
      </c>
      <c r="BX488" s="12">
        <v>1601</v>
      </c>
      <c r="BY488" s="13">
        <v>890</v>
      </c>
      <c r="BZ488" s="12">
        <v>2522.66</v>
      </c>
      <c r="CA488" s="6">
        <f t="shared" si="42"/>
        <v>1.79887640449438</v>
      </c>
      <c r="CB488" s="6">
        <f t="shared" si="43"/>
        <v>0.634647554565419</v>
      </c>
      <c r="CC488" s="7">
        <v>44123337.17</v>
      </c>
      <c r="CD488" s="7">
        <f t="shared" si="44"/>
        <v>1.74907982724584</v>
      </c>
      <c r="CE488" s="8">
        <v>1695.5</v>
      </c>
      <c r="CF488" s="8">
        <v>4916.3</v>
      </c>
      <c r="CG488" s="8">
        <v>3323.2</v>
      </c>
      <c r="CH488" s="8">
        <v>26093</v>
      </c>
      <c r="CI488" s="14">
        <v>0</v>
      </c>
      <c r="CJ488" s="14">
        <v>0</v>
      </c>
      <c r="CK488" s="14">
        <f t="shared" si="45"/>
        <v>0</v>
      </c>
      <c r="CL488">
        <f t="shared" si="46"/>
        <v>2.18035126729488</v>
      </c>
      <c r="CM488">
        <f t="shared" si="47"/>
        <v>0.19779906408572</v>
      </c>
      <c r="CN488" s="15">
        <v>1601</v>
      </c>
      <c r="CO488" s="15">
        <v>815</v>
      </c>
      <c r="CP488" s="15">
        <v>0.02</v>
      </c>
      <c r="CQ488" s="15">
        <v>915.19</v>
      </c>
      <c r="CR488" s="15">
        <v>60.5</v>
      </c>
      <c r="CS488" s="15">
        <v>90.15</v>
      </c>
      <c r="CT488" s="15">
        <v>146.18</v>
      </c>
      <c r="CU488" s="15">
        <v>35.29</v>
      </c>
      <c r="CV488" s="15">
        <v>48.86</v>
      </c>
      <c r="CW488" s="15">
        <v>185</v>
      </c>
    </row>
    <row r="489" spans="1:101">
      <c r="A489" s="6">
        <v>2012</v>
      </c>
      <c r="B489" s="6" t="s">
        <v>119</v>
      </c>
      <c r="C489" s="6">
        <v>0.38394281</v>
      </c>
      <c r="D489" s="6">
        <v>0.061502</v>
      </c>
      <c r="E489" s="6">
        <v>0.012909</v>
      </c>
      <c r="F489" s="6">
        <v>0.027883</v>
      </c>
      <c r="G489" s="6">
        <v>0.010289</v>
      </c>
      <c r="H489" s="6">
        <v>0.010422</v>
      </c>
      <c r="I489" s="6">
        <v>0.067097</v>
      </c>
      <c r="J489" s="6">
        <v>0.029064</v>
      </c>
      <c r="K489" s="6">
        <v>0.43085968</v>
      </c>
      <c r="L489" s="6">
        <v>0.26470151</v>
      </c>
      <c r="M489" s="6">
        <v>0.38563336</v>
      </c>
      <c r="N489" s="6">
        <v>0.27564146</v>
      </c>
      <c r="O489" s="6">
        <v>0.2823356</v>
      </c>
      <c r="P489" s="6">
        <v>0.65755423</v>
      </c>
      <c r="Q489" s="6">
        <v>0.44959168</v>
      </c>
      <c r="R489" s="6">
        <v>217.69486</v>
      </c>
      <c r="S489" s="6">
        <v>0.00197919</v>
      </c>
      <c r="T489" s="6">
        <v>169.97573</v>
      </c>
      <c r="U489" s="6">
        <v>0.00155729</v>
      </c>
      <c r="V489" s="6">
        <v>197.11803</v>
      </c>
      <c r="W489" s="6">
        <v>0.00195636</v>
      </c>
      <c r="X489" s="6">
        <v>134.47093</v>
      </c>
      <c r="Y489" s="6">
        <v>0.00204982</v>
      </c>
      <c r="Z489" s="6">
        <v>134.86767</v>
      </c>
      <c r="AA489" s="6">
        <v>0.00209343</v>
      </c>
      <c r="AB489" s="6">
        <v>294.9318</v>
      </c>
      <c r="AC489" s="6">
        <v>0.00222951</v>
      </c>
      <c r="AD489" s="6">
        <v>243.86163</v>
      </c>
      <c r="AE489" s="6">
        <v>0.00184363</v>
      </c>
      <c r="AF489" s="6">
        <v>775</v>
      </c>
      <c r="AG489" s="6">
        <v>-0.0123206</v>
      </c>
      <c r="AH489" s="6">
        <v>-0.01006758</v>
      </c>
      <c r="AI489" s="6">
        <v>-0.01220116</v>
      </c>
      <c r="AJ489" s="6">
        <v>-0.0126884</v>
      </c>
      <c r="AK489" s="6">
        <v>-0.01291425</v>
      </c>
      <c r="AL489" s="6">
        <v>-0.01361334</v>
      </c>
      <c r="AM489" s="6">
        <v>-0.01160755</v>
      </c>
      <c r="AN489" s="6">
        <v>-6.4762184</v>
      </c>
      <c r="AO489" s="6">
        <v>-6.4515561</v>
      </c>
      <c r="AP489" s="6">
        <v>-6.4739881</v>
      </c>
      <c r="AQ489" s="6">
        <v>-6.4253629</v>
      </c>
      <c r="AR489" s="6">
        <v>-6.4020076</v>
      </c>
      <c r="AS489" s="6">
        <v>-6.4618417</v>
      </c>
      <c r="AT489" s="6">
        <v>-6.4506396</v>
      </c>
      <c r="AU489" s="6">
        <v>0.97344833</v>
      </c>
      <c r="AV489" s="6">
        <v>0.96974131</v>
      </c>
      <c r="AW489" s="6">
        <v>0.97311308</v>
      </c>
      <c r="AX489" s="6">
        <v>0.96580418</v>
      </c>
      <c r="AY489" s="6">
        <v>0.96229362</v>
      </c>
      <c r="AZ489" s="6">
        <v>0.97128734</v>
      </c>
      <c r="BA489" s="6">
        <v>0.96960354</v>
      </c>
      <c r="BB489" s="6">
        <v>0.02655167</v>
      </c>
      <c r="BC489" s="6">
        <v>0.03025869</v>
      </c>
      <c r="BD489" s="6">
        <v>0.02688692</v>
      </c>
      <c r="BE489" s="6">
        <v>0.03419582</v>
      </c>
      <c r="BF489" s="6">
        <v>0.03770638</v>
      </c>
      <c r="BG489" s="6">
        <v>0.02871266</v>
      </c>
      <c r="BH489" s="6">
        <v>0.03039646</v>
      </c>
      <c r="BI489" s="6">
        <v>0.21470859</v>
      </c>
      <c r="BJ489" s="6">
        <v>0.12366373</v>
      </c>
      <c r="BK489" s="6">
        <v>0.1409291</v>
      </c>
      <c r="BL489" s="6">
        <v>0.12522516</v>
      </c>
      <c r="BM489" s="6">
        <v>0.1592662</v>
      </c>
      <c r="BN489" s="6">
        <v>0.17561655</v>
      </c>
      <c r="BO489" s="6">
        <v>0.1337285</v>
      </c>
      <c r="BP489" s="6">
        <v>0.14157076</v>
      </c>
      <c r="BQ489" s="6">
        <v>0.05328172</v>
      </c>
      <c r="BR489" s="6">
        <v>0.03730414</v>
      </c>
      <c r="BS489" s="6">
        <v>0.048291</v>
      </c>
      <c r="BT489" s="6">
        <v>0.04390037</v>
      </c>
      <c r="BU489" s="6">
        <v>0.0495828</v>
      </c>
      <c r="BV489" s="6">
        <v>0.08793374</v>
      </c>
      <c r="BW489" s="6">
        <v>0.06364904</v>
      </c>
      <c r="BX489" s="12">
        <v>1688</v>
      </c>
      <c r="BY489" s="13">
        <v>910</v>
      </c>
      <c r="BZ489" s="12">
        <v>2855.54</v>
      </c>
      <c r="CA489" s="6">
        <f t="shared" si="42"/>
        <v>1.85494505494506</v>
      </c>
      <c r="CB489" s="6">
        <f t="shared" si="43"/>
        <v>0.591131624841536</v>
      </c>
      <c r="CC489" s="7">
        <v>47656471.52</v>
      </c>
      <c r="CD489" s="7">
        <f t="shared" si="44"/>
        <v>1.66891276326019</v>
      </c>
      <c r="CE489" s="8">
        <v>2119.6</v>
      </c>
      <c r="CF489" s="8">
        <v>5099.8</v>
      </c>
      <c r="CG489" s="8">
        <v>3796.5</v>
      </c>
      <c r="CH489" s="8">
        <v>29352</v>
      </c>
      <c r="CI489" s="14">
        <v>0</v>
      </c>
      <c r="CJ489" s="14">
        <v>0</v>
      </c>
      <c r="CK489" s="14">
        <f t="shared" si="45"/>
        <v>0</v>
      </c>
      <c r="CL489">
        <f t="shared" si="46"/>
        <v>2.01609935715007</v>
      </c>
      <c r="CM489">
        <f t="shared" si="47"/>
        <v>0.172207085260253</v>
      </c>
      <c r="CN489" s="15">
        <v>1687.98</v>
      </c>
      <c r="CO489" s="15">
        <v>931</v>
      </c>
      <c r="CP489" s="15">
        <v>0.05</v>
      </c>
      <c r="CQ489" s="15">
        <v>930.81</v>
      </c>
      <c r="CR489" s="15">
        <v>65.05</v>
      </c>
      <c r="CS489" s="15">
        <v>82.83</v>
      </c>
      <c r="CT489" s="15">
        <v>155.67</v>
      </c>
      <c r="CU489" s="15">
        <v>39.06</v>
      </c>
      <c r="CV489" s="15">
        <v>47.49</v>
      </c>
      <c r="CW489" s="15">
        <v>210.31</v>
      </c>
    </row>
    <row r="490" spans="1:101">
      <c r="A490" s="6">
        <v>2013</v>
      </c>
      <c r="B490" s="6" t="s">
        <v>119</v>
      </c>
      <c r="C490" s="6">
        <v>0.31877665</v>
      </c>
      <c r="D490" s="6">
        <v>0.051135</v>
      </c>
      <c r="E490" s="6">
        <v>0.01252</v>
      </c>
      <c r="F490" s="6">
        <v>0.024219</v>
      </c>
      <c r="G490" s="6">
        <v>0.007391</v>
      </c>
      <c r="H490" s="6">
        <v>0.007005</v>
      </c>
      <c r="I490" s="6">
        <v>0.056524</v>
      </c>
      <c r="J490" s="6">
        <v>0.029386</v>
      </c>
      <c r="K490" s="6">
        <v>0.34953892</v>
      </c>
      <c r="L490" s="6">
        <v>0.25552114</v>
      </c>
      <c r="M490" s="6">
        <v>0.32931837</v>
      </c>
      <c r="N490" s="6">
        <v>0.18997426</v>
      </c>
      <c r="O490" s="6">
        <v>0.17879385</v>
      </c>
      <c r="P490" s="6">
        <v>0.53979037</v>
      </c>
      <c r="Q490" s="6">
        <v>0.4553275</v>
      </c>
      <c r="R490" s="6">
        <v>217.69486</v>
      </c>
      <c r="S490" s="6">
        <v>0.00160564</v>
      </c>
      <c r="T490" s="6">
        <v>169.97573</v>
      </c>
      <c r="U490" s="6">
        <v>0.00150328</v>
      </c>
      <c r="V490" s="6">
        <v>197.11803</v>
      </c>
      <c r="W490" s="6">
        <v>0.00167067</v>
      </c>
      <c r="X490" s="6">
        <v>134.47093</v>
      </c>
      <c r="Y490" s="6">
        <v>0.00141275</v>
      </c>
      <c r="Z490" s="6">
        <v>134.86767</v>
      </c>
      <c r="AA490" s="6">
        <v>0.0013257</v>
      </c>
      <c r="AB490" s="6">
        <v>294.9318</v>
      </c>
      <c r="AC490" s="6">
        <v>0.00183022</v>
      </c>
      <c r="AD490" s="6">
        <v>243.86163</v>
      </c>
      <c r="AE490" s="6">
        <v>0.00186716</v>
      </c>
      <c r="AF490" s="6">
        <v>775</v>
      </c>
      <c r="AG490" s="6">
        <v>-0.01033105</v>
      </c>
      <c r="AH490" s="6">
        <v>-0.00977148</v>
      </c>
      <c r="AI490" s="6">
        <v>-0.01068313</v>
      </c>
      <c r="AJ490" s="6">
        <v>-0.00927079</v>
      </c>
      <c r="AK490" s="6">
        <v>-0.00878383</v>
      </c>
      <c r="AL490" s="6">
        <v>-0.01153647</v>
      </c>
      <c r="AM490" s="6">
        <v>-0.01173197</v>
      </c>
      <c r="AN490" s="6">
        <v>-6.4762184</v>
      </c>
      <c r="AO490" s="6">
        <v>-6.4515561</v>
      </c>
      <c r="AP490" s="6">
        <v>-6.4739881</v>
      </c>
      <c r="AQ490" s="6">
        <v>-6.4253629</v>
      </c>
      <c r="AR490" s="6">
        <v>-6.4020076</v>
      </c>
      <c r="AS490" s="6">
        <v>-6.4618417</v>
      </c>
      <c r="AT490" s="6">
        <v>-6.4506396</v>
      </c>
      <c r="AU490" s="6">
        <v>0.97344833</v>
      </c>
      <c r="AV490" s="6">
        <v>0.96974131</v>
      </c>
      <c r="AW490" s="6">
        <v>0.97311308</v>
      </c>
      <c r="AX490" s="6">
        <v>0.96580418</v>
      </c>
      <c r="AY490" s="6">
        <v>0.96229362</v>
      </c>
      <c r="AZ490" s="6">
        <v>0.97128734</v>
      </c>
      <c r="BA490" s="6">
        <v>0.96960354</v>
      </c>
      <c r="BB490" s="6">
        <v>0.02655167</v>
      </c>
      <c r="BC490" s="6">
        <v>0.03025869</v>
      </c>
      <c r="BD490" s="6">
        <v>0.02688692</v>
      </c>
      <c r="BE490" s="6">
        <v>0.03419582</v>
      </c>
      <c r="BF490" s="6">
        <v>0.03770638</v>
      </c>
      <c r="BG490" s="6">
        <v>0.02871266</v>
      </c>
      <c r="BH490" s="6">
        <v>0.03039646</v>
      </c>
      <c r="BI490" s="6">
        <v>0.21470859</v>
      </c>
      <c r="BJ490" s="6">
        <v>0.12366373</v>
      </c>
      <c r="BK490" s="6">
        <v>0.1409291</v>
      </c>
      <c r="BL490" s="6">
        <v>0.12522516</v>
      </c>
      <c r="BM490" s="6">
        <v>0.1592662</v>
      </c>
      <c r="BN490" s="6">
        <v>0.17561655</v>
      </c>
      <c r="BO490" s="6">
        <v>0.1337285</v>
      </c>
      <c r="BP490" s="6">
        <v>0.14157076</v>
      </c>
      <c r="BQ490" s="6">
        <v>0.04322529</v>
      </c>
      <c r="BR490" s="6">
        <v>0.03601036</v>
      </c>
      <c r="BS490" s="6">
        <v>0.04123895</v>
      </c>
      <c r="BT490" s="6">
        <v>0.03025648</v>
      </c>
      <c r="BU490" s="6">
        <v>0.03139916</v>
      </c>
      <c r="BV490" s="6">
        <v>0.07218535</v>
      </c>
      <c r="BW490" s="6">
        <v>0.06446106</v>
      </c>
      <c r="BX490" s="12">
        <v>1720</v>
      </c>
      <c r="BY490" s="13">
        <v>920</v>
      </c>
      <c r="BZ490" s="12">
        <v>3177.56</v>
      </c>
      <c r="CA490" s="6">
        <f t="shared" si="42"/>
        <v>1.8695652173913</v>
      </c>
      <c r="CB490" s="6">
        <f t="shared" si="43"/>
        <v>0.541295837057365</v>
      </c>
      <c r="CC490" s="7">
        <v>48481324.6</v>
      </c>
      <c r="CD490" s="7">
        <f t="shared" si="44"/>
        <v>1.52574065005854</v>
      </c>
      <c r="CE490" s="8">
        <v>2539.6</v>
      </c>
      <c r="CF490" s="8">
        <v>5202.7</v>
      </c>
      <c r="CG490" s="8">
        <v>4106.9</v>
      </c>
      <c r="CH490" s="8">
        <v>32068</v>
      </c>
      <c r="CI490" s="14">
        <v>0</v>
      </c>
      <c r="CJ490" s="14">
        <v>0</v>
      </c>
      <c r="CK490" s="14">
        <f t="shared" si="45"/>
        <v>0</v>
      </c>
      <c r="CL490">
        <f t="shared" si="46"/>
        <v>1.91398219724656</v>
      </c>
      <c r="CM490">
        <f t="shared" si="47"/>
        <v>0.202844910337484</v>
      </c>
      <c r="CN490" s="15">
        <v>1720</v>
      </c>
      <c r="CO490" s="15">
        <v>1008.78</v>
      </c>
      <c r="CP490" s="15">
        <v>0.04</v>
      </c>
      <c r="CQ490" s="15">
        <v>737.65</v>
      </c>
      <c r="CR490" s="15">
        <v>72.13</v>
      </c>
      <c r="CS490" s="15">
        <v>85.74</v>
      </c>
      <c r="CT490" s="15">
        <v>130.25</v>
      </c>
      <c r="CU490" s="15">
        <v>36.77</v>
      </c>
      <c r="CV490" s="15">
        <v>46.02</v>
      </c>
      <c r="CW490" s="15">
        <v>232.02</v>
      </c>
    </row>
    <row r="491" spans="1:101">
      <c r="A491" s="6">
        <v>2014</v>
      </c>
      <c r="B491" s="6" t="s">
        <v>119</v>
      </c>
      <c r="C491" s="6">
        <v>0.31181117</v>
      </c>
      <c r="D491" s="6">
        <v>0.049793</v>
      </c>
      <c r="E491" s="6">
        <v>0.011588</v>
      </c>
      <c r="F491" s="6">
        <v>0.0227</v>
      </c>
      <c r="G491" s="6">
        <v>0.007247</v>
      </c>
      <c r="H491" s="6">
        <v>0.008258</v>
      </c>
      <c r="I491" s="6">
        <v>0.053362</v>
      </c>
      <c r="J491" s="6">
        <v>0.029023</v>
      </c>
      <c r="K491" s="6">
        <v>0.33901151</v>
      </c>
      <c r="L491" s="6">
        <v>0.23346664</v>
      </c>
      <c r="M491" s="6">
        <v>0.30597771</v>
      </c>
      <c r="N491" s="6">
        <v>0.18573362</v>
      </c>
      <c r="O491" s="6">
        <v>0.2167603</v>
      </c>
      <c r="P491" s="6">
        <v>0.50457823</v>
      </c>
      <c r="Q491" s="6">
        <v>0.44885767</v>
      </c>
      <c r="R491" s="6">
        <v>217.69486</v>
      </c>
      <c r="S491" s="6">
        <v>0.00155728</v>
      </c>
      <c r="T491" s="6">
        <v>169.97573</v>
      </c>
      <c r="U491" s="6">
        <v>0.00137353</v>
      </c>
      <c r="V491" s="6">
        <v>197.11803</v>
      </c>
      <c r="W491" s="6">
        <v>0.00155226</v>
      </c>
      <c r="X491" s="6">
        <v>134.47093</v>
      </c>
      <c r="Y491" s="6">
        <v>0.00138122</v>
      </c>
      <c r="Z491" s="6">
        <v>134.86767</v>
      </c>
      <c r="AA491" s="6">
        <v>0.00160721</v>
      </c>
      <c r="AB491" s="6">
        <v>294.9318</v>
      </c>
      <c r="AC491" s="6">
        <v>0.00171083</v>
      </c>
      <c r="AD491" s="6">
        <v>243.86163</v>
      </c>
      <c r="AE491" s="6">
        <v>0.00184062</v>
      </c>
      <c r="AF491" s="6">
        <v>775</v>
      </c>
      <c r="AG491" s="6">
        <v>-0.01006752</v>
      </c>
      <c r="AH491" s="6">
        <v>-0.00905207</v>
      </c>
      <c r="AI491" s="6">
        <v>-0.01004007</v>
      </c>
      <c r="AJ491" s="6">
        <v>-0.00909503</v>
      </c>
      <c r="AK491" s="6">
        <v>-0.01033958</v>
      </c>
      <c r="AL491" s="6">
        <v>-0.01089932</v>
      </c>
      <c r="AM491" s="6">
        <v>-0.01159161</v>
      </c>
      <c r="AN491" s="6">
        <v>-6.4762184</v>
      </c>
      <c r="AO491" s="6">
        <v>-6.4515561</v>
      </c>
      <c r="AP491" s="6">
        <v>-6.4739881</v>
      </c>
      <c r="AQ491" s="6">
        <v>-6.4253629</v>
      </c>
      <c r="AR491" s="6">
        <v>-6.4020076</v>
      </c>
      <c r="AS491" s="6">
        <v>-6.4618417</v>
      </c>
      <c r="AT491" s="6">
        <v>-6.4506396</v>
      </c>
      <c r="AU491" s="6">
        <v>0.97344833</v>
      </c>
      <c r="AV491" s="6">
        <v>0.96974131</v>
      </c>
      <c r="AW491" s="6">
        <v>0.97311308</v>
      </c>
      <c r="AX491" s="6">
        <v>0.96580418</v>
      </c>
      <c r="AY491" s="6">
        <v>0.96229362</v>
      </c>
      <c r="AZ491" s="6">
        <v>0.97128734</v>
      </c>
      <c r="BA491" s="6">
        <v>0.96960354</v>
      </c>
      <c r="BB491" s="6">
        <v>0.02655167</v>
      </c>
      <c r="BC491" s="6">
        <v>0.03025869</v>
      </c>
      <c r="BD491" s="6">
        <v>0.02688692</v>
      </c>
      <c r="BE491" s="6">
        <v>0.03419582</v>
      </c>
      <c r="BF491" s="6">
        <v>0.03770638</v>
      </c>
      <c r="BG491" s="6">
        <v>0.02871266</v>
      </c>
      <c r="BH491" s="6">
        <v>0.03039646</v>
      </c>
      <c r="BI491" s="6">
        <v>0.21470859</v>
      </c>
      <c r="BJ491" s="6">
        <v>0.12366373</v>
      </c>
      <c r="BK491" s="6">
        <v>0.1409291</v>
      </c>
      <c r="BL491" s="6">
        <v>0.12522516</v>
      </c>
      <c r="BM491" s="6">
        <v>0.1592662</v>
      </c>
      <c r="BN491" s="6">
        <v>0.17561655</v>
      </c>
      <c r="BO491" s="6">
        <v>0.1337285</v>
      </c>
      <c r="BP491" s="6">
        <v>0.14157076</v>
      </c>
      <c r="BQ491" s="6">
        <v>0.04192343</v>
      </c>
      <c r="BR491" s="6">
        <v>0.03290224</v>
      </c>
      <c r="BS491" s="6">
        <v>0.03831611</v>
      </c>
      <c r="BT491" s="6">
        <v>0.02958109</v>
      </c>
      <c r="BU491" s="6">
        <v>0.03806669</v>
      </c>
      <c r="BV491" s="6">
        <v>0.06747649</v>
      </c>
      <c r="BW491" s="6">
        <v>0.06354512</v>
      </c>
      <c r="BX491" s="12">
        <v>1820</v>
      </c>
      <c r="BY491" s="13">
        <v>936</v>
      </c>
      <c r="BZ491" s="12">
        <v>3500.72</v>
      </c>
      <c r="CA491" s="6">
        <f t="shared" si="42"/>
        <v>1.94444444444444</v>
      </c>
      <c r="CB491" s="6">
        <f t="shared" si="43"/>
        <v>0.519893050572454</v>
      </c>
      <c r="CC491" s="7">
        <v>47128015.37</v>
      </c>
      <c r="CD491" s="7">
        <f t="shared" si="44"/>
        <v>1.3462377845129</v>
      </c>
      <c r="CE491" s="8">
        <v>2691</v>
      </c>
      <c r="CF491" s="8">
        <v>4872.4</v>
      </c>
      <c r="CG491" s="8">
        <v>4607.4</v>
      </c>
      <c r="CH491" s="8">
        <v>33464</v>
      </c>
      <c r="CI491" s="14">
        <v>0</v>
      </c>
      <c r="CJ491" s="14">
        <v>0</v>
      </c>
      <c r="CK491" s="14">
        <f t="shared" si="45"/>
        <v>0</v>
      </c>
      <c r="CL491">
        <f t="shared" si="46"/>
        <v>1.79640226266579</v>
      </c>
      <c r="CM491">
        <f t="shared" si="47"/>
        <v>0.250592246240472</v>
      </c>
      <c r="CN491" s="15">
        <v>1819.93</v>
      </c>
      <c r="CO491" s="15">
        <v>1018.3</v>
      </c>
      <c r="CP491" s="15">
        <v>0.04</v>
      </c>
      <c r="CQ491" s="15">
        <v>942.52</v>
      </c>
      <c r="CR491" s="15">
        <v>80.16</v>
      </c>
      <c r="CS491" s="15">
        <v>84.59</v>
      </c>
      <c r="CT491" s="15">
        <v>112.15</v>
      </c>
      <c r="CU491" s="15">
        <v>41.48</v>
      </c>
      <c r="CV491" s="15">
        <v>46</v>
      </c>
      <c r="CW491" s="15">
        <v>251.88</v>
      </c>
    </row>
    <row r="492" spans="1:101">
      <c r="A492" s="6">
        <v>2015</v>
      </c>
      <c r="B492" s="6" t="s">
        <v>119</v>
      </c>
      <c r="C492" s="6">
        <v>0.45024645</v>
      </c>
      <c r="D492" s="6">
        <v>0.073856</v>
      </c>
      <c r="E492" s="6">
        <v>0.018021</v>
      </c>
      <c r="F492" s="6">
        <v>0.034158</v>
      </c>
      <c r="G492" s="6">
        <v>0.01072</v>
      </c>
      <c r="H492" s="6">
        <v>0.010956</v>
      </c>
      <c r="I492" s="6">
        <v>0.068286</v>
      </c>
      <c r="J492" s="6">
        <v>0.036413</v>
      </c>
      <c r="K492" s="6">
        <v>0.52776123</v>
      </c>
      <c r="L492" s="6">
        <v>0.38557823</v>
      </c>
      <c r="M492" s="6">
        <v>0.48208277</v>
      </c>
      <c r="N492" s="6">
        <v>0.28840203</v>
      </c>
      <c r="O492" s="6">
        <v>0.2985127</v>
      </c>
      <c r="P492" s="6">
        <v>0.67080108</v>
      </c>
      <c r="Q492" s="6">
        <v>0.58071141</v>
      </c>
      <c r="R492" s="6">
        <v>217.69486</v>
      </c>
      <c r="S492" s="6">
        <v>0.00242432</v>
      </c>
      <c r="T492" s="6">
        <v>169.97573</v>
      </c>
      <c r="U492" s="6">
        <v>0.00226843</v>
      </c>
      <c r="V492" s="6">
        <v>197.11803</v>
      </c>
      <c r="W492" s="6">
        <v>0.00244566</v>
      </c>
      <c r="X492" s="6">
        <v>134.47093</v>
      </c>
      <c r="Y492" s="6">
        <v>0.00214472</v>
      </c>
      <c r="Z492" s="6">
        <v>134.86767</v>
      </c>
      <c r="AA492" s="6">
        <v>0.00221337</v>
      </c>
      <c r="AB492" s="6">
        <v>294.9318</v>
      </c>
      <c r="AC492" s="6">
        <v>0.00227443</v>
      </c>
      <c r="AD492" s="6">
        <v>243.86163</v>
      </c>
      <c r="AE492" s="6">
        <v>0.00238132</v>
      </c>
      <c r="AF492" s="6">
        <v>775</v>
      </c>
      <c r="AG492" s="6">
        <v>-0.01459973</v>
      </c>
      <c r="AH492" s="6">
        <v>-0.01381172</v>
      </c>
      <c r="AI492" s="6">
        <v>-0.01470681</v>
      </c>
      <c r="AJ492" s="6">
        <v>-0.01317874</v>
      </c>
      <c r="AK492" s="6">
        <v>-0.01353088</v>
      </c>
      <c r="AL492" s="6">
        <v>-0.01384223</v>
      </c>
      <c r="AM492" s="6">
        <v>-0.01438339</v>
      </c>
      <c r="AN492" s="6">
        <v>-6.4762184</v>
      </c>
      <c r="AO492" s="6">
        <v>-6.4515561</v>
      </c>
      <c r="AP492" s="6">
        <v>-6.4739881</v>
      </c>
      <c r="AQ492" s="6">
        <v>-6.4253629</v>
      </c>
      <c r="AR492" s="6">
        <v>-6.4020076</v>
      </c>
      <c r="AS492" s="6">
        <v>-6.4618417</v>
      </c>
      <c r="AT492" s="6">
        <v>-6.4506396</v>
      </c>
      <c r="AU492" s="6">
        <v>0.97344833</v>
      </c>
      <c r="AV492" s="6">
        <v>0.96974131</v>
      </c>
      <c r="AW492" s="6">
        <v>0.97311308</v>
      </c>
      <c r="AX492" s="6">
        <v>0.96580418</v>
      </c>
      <c r="AY492" s="6">
        <v>0.96229362</v>
      </c>
      <c r="AZ492" s="6">
        <v>0.97128734</v>
      </c>
      <c r="BA492" s="6">
        <v>0.96960354</v>
      </c>
      <c r="BB492" s="6">
        <v>0.02655167</v>
      </c>
      <c r="BC492" s="6">
        <v>0.03025869</v>
      </c>
      <c r="BD492" s="6">
        <v>0.02688692</v>
      </c>
      <c r="BE492" s="6">
        <v>0.03419582</v>
      </c>
      <c r="BF492" s="6">
        <v>0.03770638</v>
      </c>
      <c r="BG492" s="6">
        <v>0.02871266</v>
      </c>
      <c r="BH492" s="6">
        <v>0.03039646</v>
      </c>
      <c r="BI492" s="6">
        <v>0.21470859</v>
      </c>
      <c r="BJ492" s="6">
        <v>0.12366373</v>
      </c>
      <c r="BK492" s="6">
        <v>0.1409291</v>
      </c>
      <c r="BL492" s="6">
        <v>0.12522516</v>
      </c>
      <c r="BM492" s="6">
        <v>0.1592662</v>
      </c>
      <c r="BN492" s="6">
        <v>0.17561655</v>
      </c>
      <c r="BO492" s="6">
        <v>0.1337285</v>
      </c>
      <c r="BP492" s="6">
        <v>0.14157076</v>
      </c>
      <c r="BQ492" s="6">
        <v>0.06526492</v>
      </c>
      <c r="BR492" s="6">
        <v>0.05433919</v>
      </c>
      <c r="BS492" s="6">
        <v>0.06036889</v>
      </c>
      <c r="BT492" s="6">
        <v>0.0459327</v>
      </c>
      <c r="BU492" s="6">
        <v>0.05242377</v>
      </c>
      <c r="BV492" s="6">
        <v>0.08970522</v>
      </c>
      <c r="BW492" s="6">
        <v>0.08221176</v>
      </c>
      <c r="BX492" s="12">
        <v>1916</v>
      </c>
      <c r="BY492" s="13">
        <v>945</v>
      </c>
      <c r="BZ492" s="12">
        <v>3702.76</v>
      </c>
      <c r="CA492" s="6">
        <f t="shared" si="42"/>
        <v>2.02751322751323</v>
      </c>
      <c r="CB492" s="6">
        <f t="shared" si="43"/>
        <v>0.517451846730547</v>
      </c>
      <c r="CC492" s="7">
        <v>47929337.94</v>
      </c>
      <c r="CD492" s="7">
        <f t="shared" si="44"/>
        <v>1.2944219430911</v>
      </c>
      <c r="CE492" s="8">
        <v>2712.2</v>
      </c>
      <c r="CF492" s="8">
        <v>3926.9</v>
      </c>
      <c r="CG492" s="8">
        <v>5050.9</v>
      </c>
      <c r="CH492" s="8">
        <v>32759</v>
      </c>
      <c r="CI492" s="14">
        <v>0</v>
      </c>
      <c r="CJ492" s="14">
        <v>0</v>
      </c>
      <c r="CK492" s="14">
        <f t="shared" si="45"/>
        <v>0</v>
      </c>
      <c r="CL492">
        <f t="shared" si="46"/>
        <v>1.71577514742415</v>
      </c>
      <c r="CM492">
        <f t="shared" si="47"/>
        <v>0.245576003921967</v>
      </c>
      <c r="CN492" s="15">
        <v>1916</v>
      </c>
      <c r="CO492" s="15">
        <v>1071.92</v>
      </c>
      <c r="CP492">
        <v>0</v>
      </c>
      <c r="CQ492" s="15">
        <v>1116.11</v>
      </c>
      <c r="CR492" s="15">
        <v>89.32</v>
      </c>
      <c r="CS492" s="15">
        <v>85.69</v>
      </c>
      <c r="CT492" s="15">
        <v>93.14</v>
      </c>
      <c r="CU492" s="15">
        <v>31.93</v>
      </c>
      <c r="CV492" s="15">
        <v>45.65</v>
      </c>
      <c r="CW492" s="15">
        <v>272</v>
      </c>
    </row>
    <row r="493" spans="1:101">
      <c r="A493" s="6">
        <v>2016</v>
      </c>
      <c r="B493" s="6" t="s">
        <v>119</v>
      </c>
      <c r="C493" s="6">
        <v>0.35590252</v>
      </c>
      <c r="D493" s="6">
        <v>0.057377</v>
      </c>
      <c r="E493" s="6">
        <v>0.013553</v>
      </c>
      <c r="F493" s="6">
        <v>0.025355</v>
      </c>
      <c r="G493" s="6">
        <v>0.007254</v>
      </c>
      <c r="H493" s="6">
        <v>0.011215</v>
      </c>
      <c r="I493" s="6">
        <v>0.056758</v>
      </c>
      <c r="J493" s="6">
        <v>0.030707</v>
      </c>
      <c r="K493" s="6">
        <v>0.39849787</v>
      </c>
      <c r="L493" s="6">
        <v>0.27993616</v>
      </c>
      <c r="M493" s="6">
        <v>0.34677655</v>
      </c>
      <c r="N493" s="6">
        <v>0.18594462</v>
      </c>
      <c r="O493" s="6">
        <v>0.30635519</v>
      </c>
      <c r="P493" s="6">
        <v>0.5423944</v>
      </c>
      <c r="Q493" s="6">
        <v>0.47889241</v>
      </c>
      <c r="R493" s="6">
        <v>217.69486</v>
      </c>
      <c r="S493" s="6">
        <v>0.00183053</v>
      </c>
      <c r="T493" s="6">
        <v>169.97573</v>
      </c>
      <c r="U493" s="6">
        <v>0.00164692</v>
      </c>
      <c r="V493" s="6">
        <v>197.11803</v>
      </c>
      <c r="W493" s="6">
        <v>0.00175923</v>
      </c>
      <c r="X493" s="6">
        <v>134.47093</v>
      </c>
      <c r="Y493" s="6">
        <v>0.00138279</v>
      </c>
      <c r="Z493" s="6">
        <v>134.86767</v>
      </c>
      <c r="AA493" s="6">
        <v>0.00227152</v>
      </c>
      <c r="AB493" s="6">
        <v>294.9318</v>
      </c>
      <c r="AC493" s="6">
        <v>0.00183905</v>
      </c>
      <c r="AD493" s="6">
        <v>243.86163</v>
      </c>
      <c r="AE493" s="6">
        <v>0.00196379</v>
      </c>
      <c r="AF493" s="6">
        <v>775</v>
      </c>
      <c r="AG493" s="6">
        <v>-0.01153813</v>
      </c>
      <c r="AH493" s="6">
        <v>-0.01055485</v>
      </c>
      <c r="AI493" s="6">
        <v>-0.0111586</v>
      </c>
      <c r="AJ493" s="6">
        <v>-0.00910379</v>
      </c>
      <c r="AK493" s="6">
        <v>-0.01382746</v>
      </c>
      <c r="AL493" s="6">
        <v>-0.01158327</v>
      </c>
      <c r="AM493" s="6">
        <v>-0.01224005</v>
      </c>
      <c r="AN493" s="6">
        <v>-6.4762184</v>
      </c>
      <c r="AO493" s="6">
        <v>-6.4515561</v>
      </c>
      <c r="AP493" s="6">
        <v>-6.4739881</v>
      </c>
      <c r="AQ493" s="6">
        <v>-6.4253629</v>
      </c>
      <c r="AR493" s="6">
        <v>-6.4020076</v>
      </c>
      <c r="AS493" s="6">
        <v>-6.4618417</v>
      </c>
      <c r="AT493" s="6">
        <v>-6.4506396</v>
      </c>
      <c r="AU493" s="6">
        <v>0.97344833</v>
      </c>
      <c r="AV493" s="6">
        <v>0.96974131</v>
      </c>
      <c r="AW493" s="6">
        <v>0.97311308</v>
      </c>
      <c r="AX493" s="6">
        <v>0.96580418</v>
      </c>
      <c r="AY493" s="6">
        <v>0.96229362</v>
      </c>
      <c r="AZ493" s="6">
        <v>0.97128734</v>
      </c>
      <c r="BA493" s="6">
        <v>0.96960354</v>
      </c>
      <c r="BB493" s="6">
        <v>0.02655167</v>
      </c>
      <c r="BC493" s="6">
        <v>0.03025869</v>
      </c>
      <c r="BD493" s="6">
        <v>0.02688692</v>
      </c>
      <c r="BE493" s="6">
        <v>0.03419582</v>
      </c>
      <c r="BF493" s="6">
        <v>0.03770638</v>
      </c>
      <c r="BG493" s="6">
        <v>0.02871266</v>
      </c>
      <c r="BH493" s="6">
        <v>0.03039646</v>
      </c>
      <c r="BI493" s="6">
        <v>0.21470859</v>
      </c>
      <c r="BJ493" s="6">
        <v>0.12366373</v>
      </c>
      <c r="BK493" s="6">
        <v>0.1409291</v>
      </c>
      <c r="BL493" s="6">
        <v>0.12522516</v>
      </c>
      <c r="BM493" s="6">
        <v>0.1592662</v>
      </c>
      <c r="BN493" s="6">
        <v>0.17561655</v>
      </c>
      <c r="BO493" s="6">
        <v>0.1337285</v>
      </c>
      <c r="BP493" s="6">
        <v>0.14157076</v>
      </c>
      <c r="BQ493" s="6">
        <v>0.04927973</v>
      </c>
      <c r="BR493" s="6">
        <v>0.03945115</v>
      </c>
      <c r="BS493" s="6">
        <v>0.04342515</v>
      </c>
      <c r="BT493" s="6">
        <v>0.02961469</v>
      </c>
      <c r="BU493" s="6">
        <v>0.05380104</v>
      </c>
      <c r="BV493" s="6">
        <v>0.07253359</v>
      </c>
      <c r="BW493" s="6">
        <v>0.06779716</v>
      </c>
      <c r="BX493" s="12">
        <v>1984</v>
      </c>
      <c r="BY493" s="13">
        <v>957</v>
      </c>
      <c r="BZ493" s="12">
        <v>4053.2</v>
      </c>
      <c r="CA493" s="6">
        <f t="shared" si="42"/>
        <v>2.07314524555904</v>
      </c>
      <c r="CB493" s="6">
        <f t="shared" si="43"/>
        <v>0.489489785848219</v>
      </c>
      <c r="CC493" s="7">
        <v>48218966.24</v>
      </c>
      <c r="CD493" s="7">
        <f t="shared" si="44"/>
        <v>1.18965178722984</v>
      </c>
      <c r="CE493" s="8">
        <v>2751.2</v>
      </c>
      <c r="CF493" s="8">
        <v>3689.7</v>
      </c>
      <c r="CG493" s="8">
        <v>5454</v>
      </c>
      <c r="CH493" s="8">
        <v>34025</v>
      </c>
      <c r="CI493" s="14">
        <v>0</v>
      </c>
      <c r="CJ493" s="14">
        <v>0</v>
      </c>
      <c r="CK493" s="14">
        <f t="shared" si="45"/>
        <v>0</v>
      </c>
      <c r="CL493">
        <f t="shared" si="46"/>
        <v>1.62438398605541</v>
      </c>
      <c r="CM493">
        <f t="shared" si="47"/>
        <v>0.26762896122933</v>
      </c>
      <c r="CN493" s="15">
        <v>1984</v>
      </c>
      <c r="CO493" s="15">
        <v>1015.31</v>
      </c>
      <c r="CP493">
        <v>0</v>
      </c>
      <c r="CQ493" s="15">
        <v>1118.66</v>
      </c>
      <c r="CR493" s="15">
        <v>97.09</v>
      </c>
      <c r="CS493" s="15">
        <v>105.76</v>
      </c>
      <c r="CT493" s="15">
        <v>83.1</v>
      </c>
      <c r="CU493" s="15">
        <v>13.32</v>
      </c>
      <c r="CV493" s="15">
        <v>40.85</v>
      </c>
      <c r="CW493" s="15">
        <v>287.31</v>
      </c>
    </row>
    <row r="494" spans="1:101">
      <c r="A494" s="6">
        <v>2017</v>
      </c>
      <c r="B494" s="6" t="s">
        <v>119</v>
      </c>
      <c r="C494" s="6">
        <v>0.35831425</v>
      </c>
      <c r="D494" s="6">
        <v>0.057965</v>
      </c>
      <c r="E494" s="6">
        <v>0.014978</v>
      </c>
      <c r="F494" s="6">
        <v>0.025567</v>
      </c>
      <c r="G494" s="6">
        <v>0.007113</v>
      </c>
      <c r="H494" s="6">
        <v>0.010308</v>
      </c>
      <c r="I494" s="6">
        <v>0.056677</v>
      </c>
      <c r="J494" s="6">
        <v>0.031616</v>
      </c>
      <c r="K494" s="6">
        <v>0.40311621</v>
      </c>
      <c r="L494" s="6">
        <v>0.31361166</v>
      </c>
      <c r="M494" s="6">
        <v>0.35004558</v>
      </c>
      <c r="N494" s="6">
        <v>0.18175929</v>
      </c>
      <c r="O494" s="6">
        <v>0.27887833</v>
      </c>
      <c r="P494" s="6">
        <v>0.54149896</v>
      </c>
      <c r="Q494" s="6">
        <v>0.49511829</v>
      </c>
      <c r="R494" s="6">
        <v>217.69486</v>
      </c>
      <c r="S494" s="6">
        <v>0.00185175</v>
      </c>
      <c r="T494" s="6">
        <v>169.97573</v>
      </c>
      <c r="U494" s="6">
        <v>0.00184504</v>
      </c>
      <c r="V494" s="6">
        <v>197.11803</v>
      </c>
      <c r="W494" s="6">
        <v>0.00177582</v>
      </c>
      <c r="X494" s="6">
        <v>134.47093</v>
      </c>
      <c r="Y494" s="6">
        <v>0.00135166</v>
      </c>
      <c r="Z494" s="6">
        <v>134.86767</v>
      </c>
      <c r="AA494" s="6">
        <v>0.00206779</v>
      </c>
      <c r="AB494" s="6">
        <v>294.9318</v>
      </c>
      <c r="AC494" s="6">
        <v>0.00183601</v>
      </c>
      <c r="AD494" s="6">
        <v>243.86163</v>
      </c>
      <c r="AE494" s="6">
        <v>0.00203032</v>
      </c>
      <c r="AF494" s="6">
        <v>775</v>
      </c>
      <c r="AG494" s="6">
        <v>-0.01165051</v>
      </c>
      <c r="AH494" s="6">
        <v>-0.01161498</v>
      </c>
      <c r="AI494" s="6">
        <v>-0.01124713</v>
      </c>
      <c r="AJ494" s="6">
        <v>-0.00892965</v>
      </c>
      <c r="AK494" s="6">
        <v>-0.01278159</v>
      </c>
      <c r="AL494" s="6">
        <v>-0.01156718</v>
      </c>
      <c r="AM494" s="6">
        <v>-0.01258712</v>
      </c>
      <c r="AN494" s="6">
        <v>-6.4762184</v>
      </c>
      <c r="AO494" s="6">
        <v>-6.4515561</v>
      </c>
      <c r="AP494" s="6">
        <v>-6.4739881</v>
      </c>
      <c r="AQ494" s="6">
        <v>-6.4253629</v>
      </c>
      <c r="AR494" s="6">
        <v>-6.4020076</v>
      </c>
      <c r="AS494" s="6">
        <v>-6.4618417</v>
      </c>
      <c r="AT494" s="6">
        <v>-6.4506396</v>
      </c>
      <c r="AU494" s="6">
        <v>0.97344833</v>
      </c>
      <c r="AV494" s="6">
        <v>0.96974131</v>
      </c>
      <c r="AW494" s="6">
        <v>0.97311308</v>
      </c>
      <c r="AX494" s="6">
        <v>0.96580418</v>
      </c>
      <c r="AY494" s="6">
        <v>0.96229362</v>
      </c>
      <c r="AZ494" s="6">
        <v>0.97128734</v>
      </c>
      <c r="BA494" s="6">
        <v>0.96960354</v>
      </c>
      <c r="BB494" s="6">
        <v>0.02655167</v>
      </c>
      <c r="BC494" s="6">
        <v>0.03025869</v>
      </c>
      <c r="BD494" s="6">
        <v>0.02688692</v>
      </c>
      <c r="BE494" s="6">
        <v>0.03419582</v>
      </c>
      <c r="BF494" s="6">
        <v>0.03770638</v>
      </c>
      <c r="BG494" s="6">
        <v>0.02871266</v>
      </c>
      <c r="BH494" s="6">
        <v>0.03039646</v>
      </c>
      <c r="BI494" s="6">
        <v>0.21470859</v>
      </c>
      <c r="BJ494" s="6">
        <v>0.12366373</v>
      </c>
      <c r="BK494" s="6">
        <v>0.1409291</v>
      </c>
      <c r="BL494" s="6">
        <v>0.12522516</v>
      </c>
      <c r="BM494" s="6">
        <v>0.1592662</v>
      </c>
      <c r="BN494" s="6">
        <v>0.17561655</v>
      </c>
      <c r="BO494" s="6">
        <v>0.1337285</v>
      </c>
      <c r="BP494" s="6">
        <v>0.14157076</v>
      </c>
      <c r="BQ494" s="6">
        <v>0.04985086</v>
      </c>
      <c r="BR494" s="6">
        <v>0.04419701</v>
      </c>
      <c r="BS494" s="6">
        <v>0.04383451</v>
      </c>
      <c r="BT494" s="6">
        <v>0.02894811</v>
      </c>
      <c r="BU494" s="6">
        <v>0.04897565</v>
      </c>
      <c r="BV494" s="6">
        <v>0.07241384</v>
      </c>
      <c r="BW494" s="6">
        <v>0.07009427</v>
      </c>
      <c r="BX494" s="12">
        <v>2080</v>
      </c>
      <c r="BY494" s="13">
        <v>972</v>
      </c>
      <c r="BZ494" s="12">
        <v>4462.54</v>
      </c>
      <c r="CA494" s="6">
        <f t="shared" ref="CA494:CA557" si="48">BX494/BY494</f>
        <v>2.13991769547325</v>
      </c>
      <c r="CB494" s="6">
        <f t="shared" ref="CB494:CB557" si="49">BX494/BZ494</f>
        <v>0.466102264629561</v>
      </c>
      <c r="CC494" s="7">
        <v>47850728.93</v>
      </c>
      <c r="CD494" s="7">
        <f t="shared" si="44"/>
        <v>1.07227563069463</v>
      </c>
      <c r="CE494" s="8">
        <v>2965.3</v>
      </c>
      <c r="CF494" s="8">
        <v>3519.5</v>
      </c>
      <c r="CG494" s="8">
        <v>5828.2</v>
      </c>
      <c r="CH494" s="8">
        <v>35887</v>
      </c>
      <c r="CI494" s="14">
        <v>1</v>
      </c>
      <c r="CJ494" s="14">
        <v>0</v>
      </c>
      <c r="CK494" s="14">
        <f t="shared" si="45"/>
        <v>0</v>
      </c>
      <c r="CL494">
        <f t="shared" si="46"/>
        <v>1.56738551218677</v>
      </c>
      <c r="CM494">
        <f t="shared" si="47"/>
        <v>0.315882645107123</v>
      </c>
      <c r="CN494" s="15">
        <v>2080</v>
      </c>
      <c r="CO494" s="15">
        <v>1099.34</v>
      </c>
      <c r="CP494" s="15">
        <v>0.02</v>
      </c>
      <c r="CQ494" s="15">
        <v>979.99</v>
      </c>
      <c r="CR494" s="15">
        <v>104.5</v>
      </c>
      <c r="CS494" s="15">
        <v>114.68</v>
      </c>
      <c r="CT494" s="15">
        <v>84.67</v>
      </c>
      <c r="CU494" s="15">
        <v>13.99</v>
      </c>
      <c r="CV494" s="15">
        <v>42.98</v>
      </c>
      <c r="CW494" s="15">
        <v>304.95</v>
      </c>
    </row>
    <row r="495" spans="1:101">
      <c r="A495" s="6">
        <v>2018</v>
      </c>
      <c r="B495" s="6" t="s">
        <v>119</v>
      </c>
      <c r="C495" s="6">
        <v>0.458935</v>
      </c>
      <c r="D495" s="6">
        <v>0.075697</v>
      </c>
      <c r="E495" s="6">
        <v>0.016964</v>
      </c>
      <c r="F495" s="6">
        <v>0.033471</v>
      </c>
      <c r="G495" s="6">
        <v>0.011125</v>
      </c>
      <c r="H495" s="6">
        <v>0.014137</v>
      </c>
      <c r="I495" s="6">
        <v>0.064767</v>
      </c>
      <c r="J495" s="6">
        <v>0.035683</v>
      </c>
      <c r="K495" s="6">
        <v>0.54220185</v>
      </c>
      <c r="L495" s="6">
        <v>0.36058053</v>
      </c>
      <c r="M495" s="6">
        <v>0.47151418</v>
      </c>
      <c r="N495" s="6">
        <v>0.30035759</v>
      </c>
      <c r="O495" s="6">
        <v>0.39492536</v>
      </c>
      <c r="P495" s="6">
        <v>0.63160556</v>
      </c>
      <c r="Q495" s="6">
        <v>0.56767838</v>
      </c>
      <c r="R495" s="6">
        <v>217.69486</v>
      </c>
      <c r="S495" s="6">
        <v>0.00249065</v>
      </c>
      <c r="T495" s="6">
        <v>169.97573</v>
      </c>
      <c r="U495" s="6">
        <v>0.00212136</v>
      </c>
      <c r="V495" s="6">
        <v>197.11803</v>
      </c>
      <c r="W495" s="6">
        <v>0.00239204</v>
      </c>
      <c r="X495" s="6">
        <v>134.47093</v>
      </c>
      <c r="Y495" s="6">
        <v>0.00223362</v>
      </c>
      <c r="Z495" s="6">
        <v>134.86767</v>
      </c>
      <c r="AA495" s="6">
        <v>0.00292824</v>
      </c>
      <c r="AB495" s="6">
        <v>294.9318</v>
      </c>
      <c r="AC495" s="6">
        <v>0.00214153</v>
      </c>
      <c r="AD495" s="6">
        <v>243.86163</v>
      </c>
      <c r="AE495" s="6">
        <v>0.00232787</v>
      </c>
      <c r="AF495" s="6">
        <v>775</v>
      </c>
      <c r="AG495" s="6">
        <v>-0.01493198</v>
      </c>
      <c r="AH495" s="6">
        <v>-0.01305848</v>
      </c>
      <c r="AI495" s="6">
        <v>-0.01443742</v>
      </c>
      <c r="AJ495" s="6">
        <v>-0.01363433</v>
      </c>
      <c r="AK495" s="6">
        <v>-0.01708148</v>
      </c>
      <c r="AL495" s="6">
        <v>-0.01316235</v>
      </c>
      <c r="AM495" s="6">
        <v>-0.01411342</v>
      </c>
      <c r="AN495" s="6">
        <v>-6.4762184</v>
      </c>
      <c r="AO495" s="6">
        <v>-6.4515561</v>
      </c>
      <c r="AP495" s="6">
        <v>-6.4739881</v>
      </c>
      <c r="AQ495" s="6">
        <v>-6.4253629</v>
      </c>
      <c r="AR495" s="6">
        <v>-6.4020076</v>
      </c>
      <c r="AS495" s="6">
        <v>-6.4618417</v>
      </c>
      <c r="AT495" s="6">
        <v>-6.4506396</v>
      </c>
      <c r="AU495" s="6">
        <v>0.97344833</v>
      </c>
      <c r="AV495" s="6">
        <v>0.96974131</v>
      </c>
      <c r="AW495" s="6">
        <v>0.97311308</v>
      </c>
      <c r="AX495" s="6">
        <v>0.96580418</v>
      </c>
      <c r="AY495" s="6">
        <v>0.96229362</v>
      </c>
      <c r="AZ495" s="6">
        <v>0.97128734</v>
      </c>
      <c r="BA495" s="6">
        <v>0.96960354</v>
      </c>
      <c r="BB495" s="6">
        <v>0.02655167</v>
      </c>
      <c r="BC495" s="6">
        <v>0.03025869</v>
      </c>
      <c r="BD495" s="6">
        <v>0.02688692</v>
      </c>
      <c r="BE495" s="6">
        <v>0.03419582</v>
      </c>
      <c r="BF495" s="6">
        <v>0.03770638</v>
      </c>
      <c r="BG495" s="6">
        <v>0.02871266</v>
      </c>
      <c r="BH495" s="6">
        <v>0.03039646</v>
      </c>
      <c r="BI495" s="6">
        <v>0.21470859</v>
      </c>
      <c r="BJ495" s="6">
        <v>0.12366373</v>
      </c>
      <c r="BK495" s="6">
        <v>0.1409291</v>
      </c>
      <c r="BL495" s="6">
        <v>0.12522516</v>
      </c>
      <c r="BM495" s="6">
        <v>0.1592662</v>
      </c>
      <c r="BN495" s="6">
        <v>0.17561655</v>
      </c>
      <c r="BO495" s="6">
        <v>0.1337285</v>
      </c>
      <c r="BP495" s="6">
        <v>0.14157076</v>
      </c>
      <c r="BQ495" s="6">
        <v>0.0670507</v>
      </c>
      <c r="BR495" s="6">
        <v>0.05081629</v>
      </c>
      <c r="BS495" s="6">
        <v>0.05904544</v>
      </c>
      <c r="BT495" s="6">
        <v>0.04783681</v>
      </c>
      <c r="BU495" s="6">
        <v>0.06935543</v>
      </c>
      <c r="BV495" s="6">
        <v>0.08446366</v>
      </c>
      <c r="BW495" s="6">
        <v>0.08036666</v>
      </c>
      <c r="BX495" s="12">
        <v>2170</v>
      </c>
      <c r="BY495" s="13">
        <v>982</v>
      </c>
      <c r="BZ495" s="12">
        <v>4832.05</v>
      </c>
      <c r="CA495" s="6">
        <f t="shared" si="48"/>
        <v>2.20977596741344</v>
      </c>
      <c r="CB495" s="6">
        <f t="shared" si="49"/>
        <v>0.4490847569872</v>
      </c>
      <c r="CC495" s="7">
        <v>48446699.58</v>
      </c>
      <c r="CD495" s="7">
        <f t="shared" si="44"/>
        <v>1.00261171924959</v>
      </c>
      <c r="CE495" s="8">
        <v>3001.2</v>
      </c>
      <c r="CF495" s="8">
        <v>3536</v>
      </c>
      <c r="CG495" s="8">
        <v>6309.3</v>
      </c>
      <c r="CH495" s="8">
        <v>38199</v>
      </c>
      <c r="CI495" s="14">
        <v>1</v>
      </c>
      <c r="CJ495" s="14">
        <v>0</v>
      </c>
      <c r="CK495" s="14">
        <f t="shared" si="45"/>
        <v>0</v>
      </c>
      <c r="CL495">
        <f t="shared" si="46"/>
        <v>1.51591455826218</v>
      </c>
      <c r="CM495">
        <f t="shared" si="47"/>
        <v>0.33860934721877</v>
      </c>
      <c r="CN495" s="15">
        <v>2170</v>
      </c>
      <c r="CO495" s="15">
        <v>1162.67</v>
      </c>
      <c r="CP495" s="15">
        <v>0.03</v>
      </c>
      <c r="CQ495" s="15">
        <v>1060.85</v>
      </c>
      <c r="CR495" s="15">
        <v>107.58</v>
      </c>
      <c r="CS495" s="15">
        <v>128.16</v>
      </c>
      <c r="CT495" s="15">
        <v>90.04</v>
      </c>
      <c r="CU495" s="15">
        <v>6.01</v>
      </c>
      <c r="CV495" s="15">
        <v>44.27</v>
      </c>
      <c r="CW495" s="15">
        <v>326.82</v>
      </c>
    </row>
    <row r="496" spans="1:101">
      <c r="A496" s="6">
        <v>2019</v>
      </c>
      <c r="B496" s="6" t="s">
        <v>119</v>
      </c>
      <c r="C496" s="6">
        <v>0.36913327</v>
      </c>
      <c r="D496" s="6">
        <v>0.066363</v>
      </c>
      <c r="E496" s="6">
        <v>0.014141</v>
      </c>
      <c r="F496" s="6">
        <v>0.029484</v>
      </c>
      <c r="G496" s="6">
        <v>0.011292</v>
      </c>
      <c r="H496" s="6">
        <v>0.011446</v>
      </c>
      <c r="I496" s="6">
        <v>0.050908</v>
      </c>
      <c r="J496" s="6">
        <v>0.024008</v>
      </c>
      <c r="K496" s="6">
        <v>0.46898758</v>
      </c>
      <c r="L496" s="6">
        <v>0.29384087</v>
      </c>
      <c r="M496" s="6">
        <v>0.41024612</v>
      </c>
      <c r="N496" s="6">
        <v>0.30528713</v>
      </c>
      <c r="O496" s="6">
        <v>0.31336557</v>
      </c>
      <c r="P496" s="6">
        <v>0.47724364</v>
      </c>
      <c r="Q496" s="6">
        <v>0.35937842</v>
      </c>
      <c r="R496" s="6">
        <v>217.69486</v>
      </c>
      <c r="S496" s="6">
        <v>0.00215433</v>
      </c>
      <c r="T496" s="6">
        <v>169.97573</v>
      </c>
      <c r="U496" s="6">
        <v>0.00172872</v>
      </c>
      <c r="V496" s="6">
        <v>197.11803</v>
      </c>
      <c r="W496" s="6">
        <v>0.00208122</v>
      </c>
      <c r="X496" s="6">
        <v>134.47093</v>
      </c>
      <c r="Y496" s="6">
        <v>0.00227028</v>
      </c>
      <c r="Z496" s="6">
        <v>134.86767</v>
      </c>
      <c r="AA496" s="6">
        <v>0.0023235</v>
      </c>
      <c r="AB496" s="6">
        <v>294.9318</v>
      </c>
      <c r="AC496" s="6">
        <v>0.00161815</v>
      </c>
      <c r="AD496" s="6">
        <v>243.86163</v>
      </c>
      <c r="AE496" s="6">
        <v>0.0014737</v>
      </c>
      <c r="AF496" s="6">
        <v>775</v>
      </c>
      <c r="AG496" s="6">
        <v>-0.0132282</v>
      </c>
      <c r="AH496" s="6">
        <v>-0.01099532</v>
      </c>
      <c r="AI496" s="6">
        <v>-0.01285112</v>
      </c>
      <c r="AJ496" s="6">
        <v>-0.01382115</v>
      </c>
      <c r="AK496" s="6">
        <v>-0.01409131</v>
      </c>
      <c r="AL496" s="6">
        <v>-0.01039899</v>
      </c>
      <c r="AM496" s="6">
        <v>-0.00960848</v>
      </c>
      <c r="AN496" s="6">
        <v>-6.4762184</v>
      </c>
      <c r="AO496" s="6">
        <v>-6.4515561</v>
      </c>
      <c r="AP496" s="6">
        <v>-6.4739881</v>
      </c>
      <c r="AQ496" s="6">
        <v>-6.4253629</v>
      </c>
      <c r="AR496" s="6">
        <v>-6.4020076</v>
      </c>
      <c r="AS496" s="6">
        <v>-6.4618417</v>
      </c>
      <c r="AT496" s="6">
        <v>-6.4506396</v>
      </c>
      <c r="AU496" s="6">
        <v>0.97344833</v>
      </c>
      <c r="AV496" s="6">
        <v>0.96974131</v>
      </c>
      <c r="AW496" s="6">
        <v>0.97311308</v>
      </c>
      <c r="AX496" s="6">
        <v>0.96580418</v>
      </c>
      <c r="AY496" s="6">
        <v>0.96229362</v>
      </c>
      <c r="AZ496" s="6">
        <v>0.97128734</v>
      </c>
      <c r="BA496" s="6">
        <v>0.96960354</v>
      </c>
      <c r="BB496" s="6">
        <v>0.02655167</v>
      </c>
      <c r="BC496" s="6">
        <v>0.03025869</v>
      </c>
      <c r="BD496" s="6">
        <v>0.02688692</v>
      </c>
      <c r="BE496" s="6">
        <v>0.03419582</v>
      </c>
      <c r="BF496" s="6">
        <v>0.03770638</v>
      </c>
      <c r="BG496" s="6">
        <v>0.02871266</v>
      </c>
      <c r="BH496" s="6">
        <v>0.03039646</v>
      </c>
      <c r="BI496" s="6">
        <v>0.21470859</v>
      </c>
      <c r="BJ496" s="6">
        <v>0.12366373</v>
      </c>
      <c r="BK496" s="6">
        <v>0.1409291</v>
      </c>
      <c r="BL496" s="6">
        <v>0.12522516</v>
      </c>
      <c r="BM496" s="6">
        <v>0.1592662</v>
      </c>
      <c r="BN496" s="6">
        <v>0.17561655</v>
      </c>
      <c r="BO496" s="6">
        <v>0.1337285</v>
      </c>
      <c r="BP496" s="6">
        <v>0.14157076</v>
      </c>
      <c r="BQ496" s="6">
        <v>0.05799675</v>
      </c>
      <c r="BR496" s="6">
        <v>0.04141073</v>
      </c>
      <c r="BS496" s="6">
        <v>0.05137314</v>
      </c>
      <c r="BT496" s="6">
        <v>0.04862192</v>
      </c>
      <c r="BU496" s="6">
        <v>0.05503218</v>
      </c>
      <c r="BV496" s="6">
        <v>0.06382107</v>
      </c>
      <c r="BW496" s="6">
        <v>0.05087748</v>
      </c>
      <c r="BX496" s="12">
        <v>2264</v>
      </c>
      <c r="BY496" s="13">
        <v>995</v>
      </c>
      <c r="BZ496" s="12">
        <v>5308.93</v>
      </c>
      <c r="CA496" s="6">
        <f t="shared" si="48"/>
        <v>2.27537688442211</v>
      </c>
      <c r="CB496" s="6">
        <f t="shared" si="49"/>
        <v>0.426451281143281</v>
      </c>
      <c r="CC496" s="7">
        <v>48373503.13</v>
      </c>
      <c r="CD496" s="7">
        <f t="shared" si="44"/>
        <v>0.911172366748102</v>
      </c>
      <c r="CE496" s="8">
        <v>3183.2</v>
      </c>
      <c r="CF496" s="8">
        <v>3640.1</v>
      </c>
      <c r="CG496" s="8">
        <v>6721.1</v>
      </c>
      <c r="CH496" s="8">
        <v>41156</v>
      </c>
      <c r="CI496" s="14">
        <v>1</v>
      </c>
      <c r="CJ496" s="14">
        <v>0</v>
      </c>
      <c r="CK496" s="14">
        <f t="shared" si="45"/>
        <v>0</v>
      </c>
      <c r="CL496">
        <f t="shared" si="46"/>
        <v>1.5000536746505</v>
      </c>
      <c r="CM496">
        <f t="shared" si="47"/>
        <v>0.392573491104978</v>
      </c>
      <c r="CN496" s="15">
        <v>2264</v>
      </c>
      <c r="CO496" s="15">
        <v>1130.39</v>
      </c>
      <c r="CP496" s="15">
        <v>0.03</v>
      </c>
      <c r="CQ496" s="15">
        <v>1138.16</v>
      </c>
      <c r="CR496" s="15">
        <v>107.6</v>
      </c>
      <c r="CS496" s="15">
        <v>131.04</v>
      </c>
      <c r="CT496" s="15">
        <v>87.76</v>
      </c>
      <c r="CU496" s="15">
        <v>6.25</v>
      </c>
      <c r="CV496" s="15">
        <v>46.15</v>
      </c>
      <c r="CW496" s="15">
        <v>354.89</v>
      </c>
    </row>
    <row r="497" spans="1:101">
      <c r="A497" s="6">
        <v>2020</v>
      </c>
      <c r="B497" s="6" t="s">
        <v>119</v>
      </c>
      <c r="C497" s="6">
        <v>0.44599347</v>
      </c>
      <c r="D497" s="6">
        <v>0.074745</v>
      </c>
      <c r="E497" s="6">
        <v>0.02066</v>
      </c>
      <c r="F497" s="6">
        <v>0.032118</v>
      </c>
      <c r="G497" s="6">
        <v>0.012537</v>
      </c>
      <c r="H497" s="6">
        <v>0.00943</v>
      </c>
      <c r="I497" s="6">
        <v>0.068336</v>
      </c>
      <c r="J497" s="6">
        <v>0.032261</v>
      </c>
      <c r="K497" s="6">
        <v>0.53473626</v>
      </c>
      <c r="L497" s="6">
        <v>0.44796709</v>
      </c>
      <c r="M497" s="6">
        <v>0.4507188</v>
      </c>
      <c r="N497" s="6">
        <v>0.34210188</v>
      </c>
      <c r="O497" s="6">
        <v>0.25227865</v>
      </c>
      <c r="P497" s="6">
        <v>0.67136184</v>
      </c>
      <c r="Q497" s="6">
        <v>0.50662488</v>
      </c>
      <c r="R497" s="6">
        <v>217.69486</v>
      </c>
      <c r="S497" s="6">
        <v>0.00245636</v>
      </c>
      <c r="T497" s="6">
        <v>169.97573</v>
      </c>
      <c r="U497" s="6">
        <v>0.00263548</v>
      </c>
      <c r="V497" s="6">
        <v>197.11803</v>
      </c>
      <c r="W497" s="6">
        <v>0.00228654</v>
      </c>
      <c r="X497" s="6">
        <v>134.47093</v>
      </c>
      <c r="Y497" s="6">
        <v>0.00254406</v>
      </c>
      <c r="Z497" s="6">
        <v>134.86767</v>
      </c>
      <c r="AA497" s="6">
        <v>0.00187056</v>
      </c>
      <c r="AB497" s="6">
        <v>294.9318</v>
      </c>
      <c r="AC497" s="6">
        <v>0.00227633</v>
      </c>
      <c r="AD497" s="6">
        <v>243.86163</v>
      </c>
      <c r="AE497" s="6">
        <v>0.00207751</v>
      </c>
      <c r="AF497" s="6">
        <v>775</v>
      </c>
      <c r="AG497" s="6">
        <v>-0.01476043</v>
      </c>
      <c r="AH497" s="6">
        <v>-0.01565128</v>
      </c>
      <c r="AI497" s="6">
        <v>-0.01390381</v>
      </c>
      <c r="AJ497" s="6">
        <v>-0.01519819</v>
      </c>
      <c r="AK497" s="6">
        <v>-0.01174998</v>
      </c>
      <c r="AL497" s="6">
        <v>-0.0138519</v>
      </c>
      <c r="AM497" s="6">
        <v>-0.01283192</v>
      </c>
      <c r="AN497" s="6">
        <v>-6.4762184</v>
      </c>
      <c r="AO497" s="6">
        <v>-6.4515561</v>
      </c>
      <c r="AP497" s="6">
        <v>-6.4739881</v>
      </c>
      <c r="AQ497" s="6">
        <v>-6.4253629</v>
      </c>
      <c r="AR497" s="6">
        <v>-6.4020076</v>
      </c>
      <c r="AS497" s="6">
        <v>-6.4618417</v>
      </c>
      <c r="AT497" s="6">
        <v>-6.4506396</v>
      </c>
      <c r="AU497" s="6">
        <v>0.97344833</v>
      </c>
      <c r="AV497" s="6">
        <v>0.96974131</v>
      </c>
      <c r="AW497" s="6">
        <v>0.97311308</v>
      </c>
      <c r="AX497" s="6">
        <v>0.96580418</v>
      </c>
      <c r="AY497" s="6">
        <v>0.96229362</v>
      </c>
      <c r="AZ497" s="6">
        <v>0.97128734</v>
      </c>
      <c r="BA497" s="6">
        <v>0.96960354</v>
      </c>
      <c r="BB497" s="6">
        <v>0.02655167</v>
      </c>
      <c r="BC497" s="6">
        <v>0.03025869</v>
      </c>
      <c r="BD497" s="6">
        <v>0.02688692</v>
      </c>
      <c r="BE497" s="6">
        <v>0.03419582</v>
      </c>
      <c r="BF497" s="6">
        <v>0.03770638</v>
      </c>
      <c r="BG497" s="6">
        <v>0.02871266</v>
      </c>
      <c r="BH497" s="6">
        <v>0.03039646</v>
      </c>
      <c r="BI497" s="6">
        <v>0.21470859</v>
      </c>
      <c r="BJ497" s="6">
        <v>0.12366373</v>
      </c>
      <c r="BK497" s="6">
        <v>0.1409291</v>
      </c>
      <c r="BL497" s="6">
        <v>0.12522516</v>
      </c>
      <c r="BM497" s="6">
        <v>0.1592662</v>
      </c>
      <c r="BN497" s="6">
        <v>0.17561655</v>
      </c>
      <c r="BO497" s="6">
        <v>0.1337285</v>
      </c>
      <c r="BP497" s="6">
        <v>0.14157076</v>
      </c>
      <c r="BQ497" s="6">
        <v>0.06612748</v>
      </c>
      <c r="BR497" s="6">
        <v>0.0631316</v>
      </c>
      <c r="BS497" s="6">
        <v>0.05644133</v>
      </c>
      <c r="BT497" s="6">
        <v>0.05448527</v>
      </c>
      <c r="BU497" s="6">
        <v>0.04430431</v>
      </c>
      <c r="BV497" s="6">
        <v>0.08978021</v>
      </c>
      <c r="BW497" s="6">
        <v>0.07172327</v>
      </c>
      <c r="BX497" s="12">
        <v>2270.64</v>
      </c>
      <c r="BY497" s="13">
        <v>1011.66</v>
      </c>
      <c r="BZ497" s="12">
        <v>5532.39</v>
      </c>
      <c r="CA497" s="6">
        <f t="shared" si="48"/>
        <v>2.24446948579562</v>
      </c>
      <c r="CB497" s="6">
        <f t="shared" si="49"/>
        <v>0.410426596823434</v>
      </c>
      <c r="CC497" s="7">
        <v>49952007.03</v>
      </c>
      <c r="CD497" s="7">
        <f t="shared" si="44"/>
        <v>0.902901043310396</v>
      </c>
      <c r="CE497" s="8">
        <v>3445.1</v>
      </c>
      <c r="CF497" s="8">
        <v>3449.9</v>
      </c>
      <c r="CG497" s="8">
        <v>6738.5</v>
      </c>
      <c r="CH497" s="8">
        <v>42432</v>
      </c>
      <c r="CI497" s="14">
        <v>1</v>
      </c>
      <c r="CJ497" s="14">
        <v>0</v>
      </c>
      <c r="CK497" s="14">
        <f t="shared" si="45"/>
        <v>0</v>
      </c>
      <c r="CL497">
        <f t="shared" si="46"/>
        <v>1.47141701078949</v>
      </c>
      <c r="CM497">
        <f t="shared" si="47"/>
        <v>0.3863731106208</v>
      </c>
      <c r="CN497" s="15">
        <v>2270.64</v>
      </c>
      <c r="CO497" s="15">
        <v>1023.84</v>
      </c>
      <c r="CP497" s="15">
        <v>0.03</v>
      </c>
      <c r="CQ497" s="15">
        <v>1135.06</v>
      </c>
      <c r="CR497" s="15">
        <v>112.31</v>
      </c>
      <c r="CS497" s="15">
        <v>106.05</v>
      </c>
      <c r="CT497" s="15">
        <v>88.17</v>
      </c>
      <c r="CU497" s="15">
        <v>35.15</v>
      </c>
      <c r="CV497" s="15">
        <v>48.64</v>
      </c>
      <c r="CW497" s="15">
        <v>363</v>
      </c>
    </row>
    <row r="498" spans="1:101">
      <c r="A498" s="6">
        <v>2021</v>
      </c>
      <c r="B498" s="6" t="s">
        <v>119</v>
      </c>
      <c r="C498" s="6">
        <v>0.39254734</v>
      </c>
      <c r="D498" s="6">
        <v>0.065129</v>
      </c>
      <c r="E498" s="6">
        <v>0.015951</v>
      </c>
      <c r="F498" s="6">
        <v>0.030125</v>
      </c>
      <c r="G498" s="6">
        <v>0.007084</v>
      </c>
      <c r="H498" s="6">
        <v>0.011969</v>
      </c>
      <c r="I498" s="6">
        <v>0.066392</v>
      </c>
      <c r="J498" s="6">
        <v>0.028486</v>
      </c>
      <c r="K498" s="6">
        <v>0.45930822</v>
      </c>
      <c r="L498" s="6">
        <v>0.33662935</v>
      </c>
      <c r="M498" s="6">
        <v>0.42009453</v>
      </c>
      <c r="N498" s="6">
        <v>0.1809143</v>
      </c>
      <c r="O498" s="6">
        <v>0.32921532</v>
      </c>
      <c r="P498" s="6">
        <v>0.64969983</v>
      </c>
      <c r="Q498" s="6">
        <v>0.43926954</v>
      </c>
      <c r="R498" s="6">
        <v>217.69486</v>
      </c>
      <c r="S498" s="6">
        <v>0.00210987</v>
      </c>
      <c r="T498" s="6">
        <v>169.97573</v>
      </c>
      <c r="U498" s="6">
        <v>0.00198046</v>
      </c>
      <c r="V498" s="6">
        <v>197.11803</v>
      </c>
      <c r="W498" s="6">
        <v>0.00213118</v>
      </c>
      <c r="X498" s="6">
        <v>134.47093</v>
      </c>
      <c r="Y498" s="6">
        <v>0.00134538</v>
      </c>
      <c r="Z498" s="6">
        <v>134.86767</v>
      </c>
      <c r="AA498" s="6">
        <v>0.00244102</v>
      </c>
      <c r="AB498" s="6">
        <v>294.9318</v>
      </c>
      <c r="AC498" s="6">
        <v>0.00220288</v>
      </c>
      <c r="AD498" s="6">
        <v>243.86163</v>
      </c>
      <c r="AE498" s="6">
        <v>0.00180131</v>
      </c>
      <c r="AF498" s="6">
        <v>775</v>
      </c>
      <c r="AG498" s="6">
        <v>-0.01299919</v>
      </c>
      <c r="AH498" s="6">
        <v>-0.0123272</v>
      </c>
      <c r="AI498" s="6">
        <v>-0.01310907</v>
      </c>
      <c r="AJ498" s="6">
        <v>-0.00889441</v>
      </c>
      <c r="AK498" s="6">
        <v>-0.01468359</v>
      </c>
      <c r="AL498" s="6">
        <v>-0.01347721</v>
      </c>
      <c r="AM498" s="6">
        <v>-0.01138289</v>
      </c>
      <c r="AN498" s="6">
        <v>-6.4762184</v>
      </c>
      <c r="AO498" s="6">
        <v>-6.4515561</v>
      </c>
      <c r="AP498" s="6">
        <v>-6.4739881</v>
      </c>
      <c r="AQ498" s="6">
        <v>-6.4253629</v>
      </c>
      <c r="AR498" s="6">
        <v>-6.4020076</v>
      </c>
      <c r="AS498" s="6">
        <v>-6.4618417</v>
      </c>
      <c r="AT498" s="6">
        <v>-6.4506396</v>
      </c>
      <c r="AU498" s="6">
        <v>0.97344833</v>
      </c>
      <c r="AV498" s="6">
        <v>0.96974131</v>
      </c>
      <c r="AW498" s="6">
        <v>0.97311308</v>
      </c>
      <c r="AX498" s="6">
        <v>0.96580418</v>
      </c>
      <c r="AY498" s="6">
        <v>0.96229362</v>
      </c>
      <c r="AZ498" s="6">
        <v>0.97128734</v>
      </c>
      <c r="BA498" s="6">
        <v>0.96960354</v>
      </c>
      <c r="BB498" s="6">
        <v>0.02655167</v>
      </c>
      <c r="BC498" s="6">
        <v>0.03025869</v>
      </c>
      <c r="BD498" s="6">
        <v>0.02688692</v>
      </c>
      <c r="BE498" s="6">
        <v>0.03419582</v>
      </c>
      <c r="BF498" s="6">
        <v>0.03770638</v>
      </c>
      <c r="BG498" s="6">
        <v>0.02871266</v>
      </c>
      <c r="BH498" s="6">
        <v>0.03039646</v>
      </c>
      <c r="BI498" s="6">
        <v>0.21470859</v>
      </c>
      <c r="BJ498" s="6">
        <v>0.12366373</v>
      </c>
      <c r="BK498" s="6">
        <v>0.1409291</v>
      </c>
      <c r="BL498" s="6">
        <v>0.12522516</v>
      </c>
      <c r="BM498" s="6">
        <v>0.1592662</v>
      </c>
      <c r="BN498" s="6">
        <v>0.17561655</v>
      </c>
      <c r="BO498" s="6">
        <v>0.1337285</v>
      </c>
      <c r="BP498" s="6">
        <v>0.14157076</v>
      </c>
      <c r="BQ498" s="6">
        <v>0.05679977</v>
      </c>
      <c r="BR498" s="6">
        <v>0.04744087</v>
      </c>
      <c r="BS498" s="6">
        <v>0.0526064</v>
      </c>
      <c r="BT498" s="6">
        <v>0.02881353</v>
      </c>
      <c r="BU498" s="6">
        <v>0.05781566</v>
      </c>
      <c r="BV498" s="6">
        <v>0.08688338</v>
      </c>
      <c r="BW498" s="6">
        <v>0.06218773</v>
      </c>
      <c r="BX498" s="12">
        <v>2446.19</v>
      </c>
      <c r="BY498" s="13">
        <v>1020</v>
      </c>
      <c r="BZ498" s="12">
        <v>6475.2</v>
      </c>
      <c r="CA498" s="6">
        <f t="shared" si="48"/>
        <v>2.39822549019608</v>
      </c>
      <c r="CB498" s="6">
        <f t="shared" si="49"/>
        <v>0.377778292562392</v>
      </c>
      <c r="CC498" s="7">
        <v>50812681.57</v>
      </c>
      <c r="CD498" s="7">
        <f t="shared" si="44"/>
        <v>0.784727600228564</v>
      </c>
      <c r="CE498" s="8">
        <v>3463.4</v>
      </c>
      <c r="CF498" s="8">
        <v>4086.5</v>
      </c>
      <c r="CG498" s="8">
        <v>7308.3</v>
      </c>
      <c r="CH498" s="8">
        <v>47199</v>
      </c>
      <c r="CI498" s="14">
        <v>1</v>
      </c>
      <c r="CJ498" s="14">
        <v>0</v>
      </c>
      <c r="CK498" s="14">
        <f t="shared" si="45"/>
        <v>0</v>
      </c>
      <c r="CL498">
        <f t="shared" si="46"/>
        <v>1.36781889095748</v>
      </c>
      <c r="CM498">
        <f t="shared" si="47"/>
        <v>0.426292760382003</v>
      </c>
      <c r="CN498" s="15">
        <v>2446.19</v>
      </c>
      <c r="CO498" s="15">
        <v>1133.02</v>
      </c>
      <c r="CP498" s="15">
        <v>0.03</v>
      </c>
      <c r="CQ498" s="15">
        <v>1137.51</v>
      </c>
      <c r="CR498" s="15">
        <v>123.99</v>
      </c>
      <c r="CS498" s="15">
        <v>112.14</v>
      </c>
      <c r="CT498" s="15">
        <v>92.72</v>
      </c>
      <c r="CU498" s="15">
        <v>40.42</v>
      </c>
      <c r="CV498" s="15">
        <v>54.9</v>
      </c>
      <c r="CW498" s="15">
        <v>405</v>
      </c>
    </row>
    <row r="499" spans="1:101">
      <c r="A499" s="6">
        <v>2022</v>
      </c>
      <c r="B499" s="6" t="s">
        <v>119</v>
      </c>
      <c r="C499" s="6">
        <v>0.3775541</v>
      </c>
      <c r="D499" s="6">
        <v>0.064594</v>
      </c>
      <c r="E499" s="6">
        <v>0.016457</v>
      </c>
      <c r="F499" s="6">
        <v>0.029565</v>
      </c>
      <c r="G499" s="6">
        <v>0.010213</v>
      </c>
      <c r="H499" s="6">
        <v>0.00836</v>
      </c>
      <c r="I499" s="6">
        <v>0.058846</v>
      </c>
      <c r="J499" s="6">
        <v>0.028737</v>
      </c>
      <c r="K499" s="6">
        <v>0.45511364</v>
      </c>
      <c r="L499" s="6">
        <v>0.34858965</v>
      </c>
      <c r="M499" s="6">
        <v>0.41148122</v>
      </c>
      <c r="N499" s="6">
        <v>0.27340917</v>
      </c>
      <c r="O499" s="6">
        <v>0.21983573</v>
      </c>
      <c r="P499" s="6">
        <v>0.56565934</v>
      </c>
      <c r="Q499" s="6">
        <v>0.44375275</v>
      </c>
      <c r="R499" s="6">
        <v>217.69486</v>
      </c>
      <c r="S499" s="6">
        <v>0.0020906</v>
      </c>
      <c r="T499" s="6">
        <v>169.97573</v>
      </c>
      <c r="U499" s="6">
        <v>0.00205082</v>
      </c>
      <c r="V499" s="6">
        <v>197.11803</v>
      </c>
      <c r="W499" s="6">
        <v>0.00208749</v>
      </c>
      <c r="X499" s="6">
        <v>134.47093</v>
      </c>
      <c r="Y499" s="6">
        <v>0.00203322</v>
      </c>
      <c r="Z499" s="6">
        <v>134.86767</v>
      </c>
      <c r="AA499" s="6">
        <v>0.00163001</v>
      </c>
      <c r="AB499" s="6">
        <v>294.9318</v>
      </c>
      <c r="AC499" s="6">
        <v>0.00191793</v>
      </c>
      <c r="AD499" s="6">
        <v>243.86163</v>
      </c>
      <c r="AE499" s="6">
        <v>0.00181969</v>
      </c>
      <c r="AF499" s="6">
        <v>775</v>
      </c>
      <c r="AG499" s="6">
        <v>-0.01289966</v>
      </c>
      <c r="AH499" s="6">
        <v>-0.01269358</v>
      </c>
      <c r="AI499" s="6">
        <v>-0.01288354</v>
      </c>
      <c r="AJ499" s="6">
        <v>-0.01260218</v>
      </c>
      <c r="AK499" s="6">
        <v>-0.01046331</v>
      </c>
      <c r="AL499" s="6">
        <v>-0.01199956</v>
      </c>
      <c r="AM499" s="6">
        <v>-0.01148059</v>
      </c>
      <c r="AN499" s="6">
        <v>-6.4762184</v>
      </c>
      <c r="AO499" s="6">
        <v>-6.4515561</v>
      </c>
      <c r="AP499" s="6">
        <v>-6.4739881</v>
      </c>
      <c r="AQ499" s="6">
        <v>-6.4253629</v>
      </c>
      <c r="AR499" s="6">
        <v>-6.4020076</v>
      </c>
      <c r="AS499" s="6">
        <v>-6.4618417</v>
      </c>
      <c r="AT499" s="6">
        <v>-6.4506396</v>
      </c>
      <c r="AU499" s="6">
        <v>0.97344833</v>
      </c>
      <c r="AV499" s="6">
        <v>0.96974131</v>
      </c>
      <c r="AW499" s="6">
        <v>0.97311308</v>
      </c>
      <c r="AX499" s="6">
        <v>0.96580418</v>
      </c>
      <c r="AY499" s="6">
        <v>0.96229362</v>
      </c>
      <c r="AZ499" s="6">
        <v>0.97128734</v>
      </c>
      <c r="BA499" s="6">
        <v>0.96960354</v>
      </c>
      <c r="BB499" s="6">
        <v>0.02655167</v>
      </c>
      <c r="BC499" s="6">
        <v>0.03025869</v>
      </c>
      <c r="BD499" s="6">
        <v>0.02688692</v>
      </c>
      <c r="BE499" s="6">
        <v>0.03419582</v>
      </c>
      <c r="BF499" s="6">
        <v>0.03770638</v>
      </c>
      <c r="BG499" s="6">
        <v>0.02871266</v>
      </c>
      <c r="BH499" s="6">
        <v>0.03039646</v>
      </c>
      <c r="BI499" s="6">
        <v>0.21470859</v>
      </c>
      <c r="BJ499" s="6">
        <v>0.12366373</v>
      </c>
      <c r="BK499" s="6">
        <v>0.1409291</v>
      </c>
      <c r="BL499" s="6">
        <v>0.12522516</v>
      </c>
      <c r="BM499" s="6">
        <v>0.1592662</v>
      </c>
      <c r="BN499" s="6">
        <v>0.17561655</v>
      </c>
      <c r="BO499" s="6">
        <v>0.1337285</v>
      </c>
      <c r="BP499" s="6">
        <v>0.14157076</v>
      </c>
      <c r="BQ499" s="6">
        <v>0.05628105</v>
      </c>
      <c r="BR499" s="6">
        <v>0.04912642</v>
      </c>
      <c r="BS499" s="6">
        <v>0.0515278</v>
      </c>
      <c r="BT499" s="6">
        <v>0.04354484</v>
      </c>
      <c r="BU499" s="6">
        <v>0.03860679</v>
      </c>
      <c r="BV499" s="6">
        <v>0.07564477</v>
      </c>
      <c r="BW499" s="6">
        <v>0.06282242</v>
      </c>
      <c r="BX499" s="12">
        <v>2424</v>
      </c>
      <c r="BY499" s="13">
        <v>1027</v>
      </c>
      <c r="BZ499" s="12">
        <v>6818.2</v>
      </c>
      <c r="CA499" s="6">
        <f t="shared" si="48"/>
        <v>2.36027263875365</v>
      </c>
      <c r="CB499" s="6">
        <f t="shared" si="49"/>
        <v>0.355519051949195</v>
      </c>
      <c r="CC499" s="7">
        <v>50643052.32</v>
      </c>
      <c r="CD499" s="7">
        <f t="shared" si="44"/>
        <v>0.742762786659236</v>
      </c>
      <c r="CE499" s="8">
        <v>3635.3</v>
      </c>
      <c r="CF499" s="8">
        <v>4576.7</v>
      </c>
      <c r="CG499" s="8">
        <v>7619.4</v>
      </c>
      <c r="CH499" s="8">
        <v>50873</v>
      </c>
      <c r="CI499" s="14">
        <v>1</v>
      </c>
      <c r="CJ499" s="14">
        <v>0</v>
      </c>
      <c r="CK499" s="14">
        <f t="shared" si="45"/>
        <v>0</v>
      </c>
      <c r="CL499">
        <f t="shared" si="46"/>
        <v>1.27047633725244</v>
      </c>
      <c r="CM499">
        <f t="shared" si="47"/>
        <v>0.415366689736581</v>
      </c>
      <c r="CN499" s="15">
        <v>2424</v>
      </c>
      <c r="CO499" s="15">
        <v>1138.74</v>
      </c>
      <c r="CP499" s="15">
        <v>0.03</v>
      </c>
      <c r="CQ499" s="15">
        <v>905.87</v>
      </c>
      <c r="CR499" s="15">
        <v>123.65</v>
      </c>
      <c r="CS499" s="15">
        <v>66.08</v>
      </c>
      <c r="CT499" s="15">
        <v>92.66</v>
      </c>
      <c r="CU499" s="15">
        <v>64.14</v>
      </c>
      <c r="CV499" s="15">
        <v>58.18</v>
      </c>
      <c r="CW499" s="15">
        <v>412.82</v>
      </c>
    </row>
    <row r="500" spans="1:101">
      <c r="A500" s="6">
        <v>2023</v>
      </c>
      <c r="B500" s="6" t="s">
        <v>119</v>
      </c>
      <c r="C500" s="6">
        <v>0.38966435</v>
      </c>
      <c r="D500" s="6">
        <v>0.065397</v>
      </c>
      <c r="E500" s="6">
        <v>0.0183</v>
      </c>
      <c r="F500" s="6">
        <v>0.030341</v>
      </c>
      <c r="G500" s="6">
        <v>0.014679</v>
      </c>
      <c r="H500" s="6">
        <v>0.006087</v>
      </c>
      <c r="I500" s="6">
        <v>0.052638</v>
      </c>
      <c r="J500" s="6">
        <v>0.030325</v>
      </c>
      <c r="K500" s="6">
        <v>0.46140653</v>
      </c>
      <c r="L500" s="6">
        <v>0.39216009</v>
      </c>
      <c r="M500" s="6">
        <v>0.42341703</v>
      </c>
      <c r="N500" s="6">
        <v>0.40542482</v>
      </c>
      <c r="O500" s="6">
        <v>0.15097334</v>
      </c>
      <c r="P500" s="6">
        <v>0.4965107</v>
      </c>
      <c r="Q500" s="6">
        <v>0.47209146</v>
      </c>
      <c r="R500" s="6">
        <v>217.69486</v>
      </c>
      <c r="S500" s="6">
        <v>0.00211951</v>
      </c>
      <c r="T500" s="6">
        <v>169.97573</v>
      </c>
      <c r="U500" s="6">
        <v>0.00230715</v>
      </c>
      <c r="V500" s="6">
        <v>197.11803</v>
      </c>
      <c r="W500" s="6">
        <v>0.00214804</v>
      </c>
      <c r="X500" s="6">
        <v>134.47093</v>
      </c>
      <c r="Y500" s="6">
        <v>0.00301496</v>
      </c>
      <c r="Z500" s="6">
        <v>134.86767</v>
      </c>
      <c r="AA500" s="6">
        <v>0.00111942</v>
      </c>
      <c r="AB500" s="6">
        <v>294.9318</v>
      </c>
      <c r="AC500" s="6">
        <v>0.00168348</v>
      </c>
      <c r="AD500" s="6">
        <v>243.86163</v>
      </c>
      <c r="AE500" s="6">
        <v>0.0019359</v>
      </c>
      <c r="AF500" s="6">
        <v>775</v>
      </c>
      <c r="AG500" s="6">
        <v>-0.01304891</v>
      </c>
      <c r="AH500" s="6">
        <v>-0.01400844</v>
      </c>
      <c r="AI500" s="6">
        <v>-0.01319583</v>
      </c>
      <c r="AJ500" s="6">
        <v>-0.01749935</v>
      </c>
      <c r="AK500" s="6">
        <v>-0.00760639</v>
      </c>
      <c r="AL500" s="6">
        <v>-0.01075219</v>
      </c>
      <c r="AM500" s="6">
        <v>-0.01209392</v>
      </c>
      <c r="AN500" s="6">
        <v>-6.4762184</v>
      </c>
      <c r="AO500" s="6">
        <v>-6.4515561</v>
      </c>
      <c r="AP500" s="6">
        <v>-6.4739881</v>
      </c>
      <c r="AQ500" s="6">
        <v>-6.4253629</v>
      </c>
      <c r="AR500" s="6">
        <v>-6.4020076</v>
      </c>
      <c r="AS500" s="6">
        <v>-6.4618417</v>
      </c>
      <c r="AT500" s="6">
        <v>-6.4506396</v>
      </c>
      <c r="AU500" s="6">
        <v>0.97344833</v>
      </c>
      <c r="AV500" s="6">
        <v>0.96974131</v>
      </c>
      <c r="AW500" s="6">
        <v>0.97311308</v>
      </c>
      <c r="AX500" s="6">
        <v>0.96580418</v>
      </c>
      <c r="AY500" s="6">
        <v>0.96229362</v>
      </c>
      <c r="AZ500" s="6">
        <v>0.97128734</v>
      </c>
      <c r="BA500" s="6">
        <v>0.96960354</v>
      </c>
      <c r="BB500" s="6">
        <v>0.02655167</v>
      </c>
      <c r="BC500" s="6">
        <v>0.03025869</v>
      </c>
      <c r="BD500" s="6">
        <v>0.02688692</v>
      </c>
      <c r="BE500" s="6">
        <v>0.03419582</v>
      </c>
      <c r="BF500" s="6">
        <v>0.03770638</v>
      </c>
      <c r="BG500" s="6">
        <v>0.02871266</v>
      </c>
      <c r="BH500" s="6">
        <v>0.03039646</v>
      </c>
      <c r="BI500" s="6">
        <v>0.21470859</v>
      </c>
      <c r="BJ500" s="6">
        <v>0.12366373</v>
      </c>
      <c r="BK500" s="6">
        <v>0.1409291</v>
      </c>
      <c r="BL500" s="6">
        <v>0.12522516</v>
      </c>
      <c r="BM500" s="6">
        <v>0.1592662</v>
      </c>
      <c r="BN500" s="6">
        <v>0.17561655</v>
      </c>
      <c r="BO500" s="6">
        <v>0.1337285</v>
      </c>
      <c r="BP500" s="6">
        <v>0.14157076</v>
      </c>
      <c r="BQ500" s="6">
        <v>0.05705925</v>
      </c>
      <c r="BR500" s="6">
        <v>0.05526677</v>
      </c>
      <c r="BS500" s="6">
        <v>0.05302246</v>
      </c>
      <c r="BT500" s="6">
        <v>0.06457047</v>
      </c>
      <c r="BU500" s="6">
        <v>0.02651342</v>
      </c>
      <c r="BV500" s="6">
        <v>0.06639763</v>
      </c>
      <c r="BW500" s="6">
        <v>0.06683435</v>
      </c>
      <c r="BX500" s="12">
        <v>3027.77</v>
      </c>
      <c r="BY500" s="13">
        <v>1043</v>
      </c>
      <c r="BZ500" s="12">
        <v>7551.2</v>
      </c>
      <c r="CA500" s="6">
        <f t="shared" si="48"/>
        <v>2.90294343240652</v>
      </c>
      <c r="CB500" s="6">
        <f t="shared" si="49"/>
        <v>0.400965409471342</v>
      </c>
      <c r="CC500" s="7">
        <v>51469969.77</v>
      </c>
      <c r="CD500" s="7">
        <f t="shared" si="44"/>
        <v>0.681613118047463</v>
      </c>
      <c r="CE500" s="8">
        <v>3518.3</v>
      </c>
      <c r="CF500" s="8">
        <v>4291.3</v>
      </c>
      <c r="CG500" s="8">
        <v>8074.3</v>
      </c>
      <c r="CH500" s="8">
        <v>51563</v>
      </c>
      <c r="CI500" s="14">
        <v>1</v>
      </c>
      <c r="CJ500" s="14">
        <v>0</v>
      </c>
      <c r="CK500" s="14">
        <f t="shared" si="45"/>
        <v>0</v>
      </c>
      <c r="CL500">
        <f t="shared" si="46"/>
        <v>1.2756783895882</v>
      </c>
      <c r="CM500">
        <f t="shared" si="47"/>
        <v>0.465685768755951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</row>
    <row r="501" spans="1:101">
      <c r="A501" s="6">
        <v>2024</v>
      </c>
      <c r="B501" s="6" t="s">
        <v>119</v>
      </c>
      <c r="C501" s="6">
        <v>0.39080284</v>
      </c>
      <c r="D501" s="6">
        <v>0.063808</v>
      </c>
      <c r="E501" s="6">
        <v>0.01907</v>
      </c>
      <c r="F501" s="6">
        <v>0.029831</v>
      </c>
      <c r="G501" s="6">
        <v>0.016351</v>
      </c>
      <c r="H501" s="6">
        <v>0.005271</v>
      </c>
      <c r="I501" s="6">
        <v>0.051383</v>
      </c>
      <c r="J501" s="6">
        <v>0.030105</v>
      </c>
      <c r="K501" s="6">
        <v>0.44894741</v>
      </c>
      <c r="L501" s="6">
        <v>0.410362</v>
      </c>
      <c r="M501" s="6">
        <v>0.41556762</v>
      </c>
      <c r="N501" s="6">
        <v>0.45483351</v>
      </c>
      <c r="O501" s="6">
        <v>0.1262303</v>
      </c>
      <c r="P501" s="6">
        <v>0.48252854</v>
      </c>
      <c r="Q501" s="6">
        <v>0.46815678</v>
      </c>
      <c r="R501" s="6">
        <v>217.69486</v>
      </c>
      <c r="S501" s="6">
        <v>0.00206228</v>
      </c>
      <c r="T501" s="6">
        <v>169.97573</v>
      </c>
      <c r="U501" s="6">
        <v>0.00241424</v>
      </c>
      <c r="V501" s="6">
        <v>197.11803</v>
      </c>
      <c r="W501" s="6">
        <v>0.00210822</v>
      </c>
      <c r="X501" s="6">
        <v>134.47093</v>
      </c>
      <c r="Y501" s="6">
        <v>0.00338239</v>
      </c>
      <c r="Z501" s="6">
        <v>134.86767</v>
      </c>
      <c r="AA501" s="6">
        <v>0.00093596</v>
      </c>
      <c r="AB501" s="6">
        <v>294.9318</v>
      </c>
      <c r="AC501" s="6">
        <v>0.00163607</v>
      </c>
      <c r="AD501" s="6">
        <v>243.86163</v>
      </c>
      <c r="AE501" s="6">
        <v>0.00191976</v>
      </c>
      <c r="AF501" s="6">
        <v>775</v>
      </c>
      <c r="AG501" s="6">
        <v>-0.01275301</v>
      </c>
      <c r="AH501" s="6">
        <v>-0.0145491</v>
      </c>
      <c r="AI501" s="6">
        <v>-0.01299065</v>
      </c>
      <c r="AJ501" s="6">
        <v>-0.01924301</v>
      </c>
      <c r="AK501" s="6">
        <v>-0.00652731</v>
      </c>
      <c r="AL501" s="6">
        <v>-0.01049613</v>
      </c>
      <c r="AM501" s="6">
        <v>-0.01200919</v>
      </c>
      <c r="AN501" s="6">
        <v>-6.4762184</v>
      </c>
      <c r="AO501" s="6">
        <v>-6.4515561</v>
      </c>
      <c r="AP501" s="6">
        <v>-6.4739881</v>
      </c>
      <c r="AQ501" s="6">
        <v>-6.4253629</v>
      </c>
      <c r="AR501" s="6">
        <v>-6.4020076</v>
      </c>
      <c r="AS501" s="6">
        <v>-6.4618417</v>
      </c>
      <c r="AT501" s="6">
        <v>-6.4506396</v>
      </c>
      <c r="AU501" s="6">
        <v>0.97344833</v>
      </c>
      <c r="AV501" s="6">
        <v>0.96974131</v>
      </c>
      <c r="AW501" s="6">
        <v>0.97311308</v>
      </c>
      <c r="AX501" s="6">
        <v>0.96580418</v>
      </c>
      <c r="AY501" s="6">
        <v>0.96229362</v>
      </c>
      <c r="AZ501" s="6">
        <v>0.97128734</v>
      </c>
      <c r="BA501" s="6">
        <v>0.96960354</v>
      </c>
      <c r="BB501" s="6">
        <v>0.02655167</v>
      </c>
      <c r="BC501" s="6">
        <v>0.03025869</v>
      </c>
      <c r="BD501" s="6">
        <v>0.02688692</v>
      </c>
      <c r="BE501" s="6">
        <v>0.03419582</v>
      </c>
      <c r="BF501" s="6">
        <v>0.03770638</v>
      </c>
      <c r="BG501" s="6">
        <v>0.02871266</v>
      </c>
      <c r="BH501" s="6">
        <v>0.03039646</v>
      </c>
      <c r="BI501" s="6">
        <v>0.21470859</v>
      </c>
      <c r="BJ501" s="6">
        <v>0.12366373</v>
      </c>
      <c r="BK501" s="6">
        <v>0.1409291</v>
      </c>
      <c r="BL501" s="6">
        <v>0.12522516</v>
      </c>
      <c r="BM501" s="6">
        <v>0.1592662</v>
      </c>
      <c r="BN501" s="6">
        <v>0.17561655</v>
      </c>
      <c r="BO501" s="6">
        <v>0.1337285</v>
      </c>
      <c r="BP501" s="6">
        <v>0.14157076</v>
      </c>
      <c r="BQ501" s="6">
        <v>0.05551851</v>
      </c>
      <c r="BR501" s="6">
        <v>0.05783195</v>
      </c>
      <c r="BS501" s="6">
        <v>0.05203952</v>
      </c>
      <c r="BT501" s="6">
        <v>0.07243961</v>
      </c>
      <c r="BU501" s="6">
        <v>0.02216813</v>
      </c>
      <c r="BV501" s="6">
        <v>0.06452782</v>
      </c>
      <c r="BW501" s="6">
        <v>0.06627731</v>
      </c>
      <c r="BX501" s="12">
        <v>3631.54</v>
      </c>
      <c r="BY501" s="13">
        <v>1048</v>
      </c>
      <c r="BZ501" s="12">
        <v>7935.7</v>
      </c>
      <c r="CA501" s="6">
        <f t="shared" si="48"/>
        <v>3.46520992366412</v>
      </c>
      <c r="CB501" s="6">
        <f t="shared" si="49"/>
        <v>0.457620625779704</v>
      </c>
      <c r="CC501" s="7">
        <v>51114410.18</v>
      </c>
      <c r="CD501" s="7">
        <f t="shared" si="44"/>
        <v>0.644107138374686</v>
      </c>
      <c r="CE501" s="8">
        <v>3203.3</v>
      </c>
      <c r="CF501" s="8">
        <v>4147.3</v>
      </c>
      <c r="CG501" s="8">
        <v>9126.2</v>
      </c>
      <c r="CH501" s="8">
        <v>54102</v>
      </c>
      <c r="CI501" s="14">
        <v>1</v>
      </c>
      <c r="CJ501" s="14">
        <v>0</v>
      </c>
      <c r="CK501" s="14">
        <f t="shared" si="45"/>
        <v>0</v>
      </c>
      <c r="CL501">
        <f t="shared" si="46"/>
        <v>1.21200651315194</v>
      </c>
      <c r="CM501">
        <f t="shared" si="47"/>
        <v>0.468561322579346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</row>
    <row r="502" spans="1:101">
      <c r="A502" s="6">
        <v>2000</v>
      </c>
      <c r="B502" s="6" t="s">
        <v>120</v>
      </c>
      <c r="C502" s="6">
        <v>0.178715</v>
      </c>
      <c r="D502" s="6">
        <v>0.032696</v>
      </c>
      <c r="E502" s="6">
        <v>0.008049</v>
      </c>
      <c r="F502" s="6">
        <v>0.015049</v>
      </c>
      <c r="G502" s="6">
        <v>0.005083</v>
      </c>
      <c r="H502" s="6">
        <v>0.004515</v>
      </c>
      <c r="I502" s="6">
        <v>0.035025</v>
      </c>
      <c r="J502" s="6">
        <v>0.016128</v>
      </c>
      <c r="K502" s="6">
        <v>0.204901</v>
      </c>
      <c r="L502" s="6">
        <v>0.14980086</v>
      </c>
      <c r="M502" s="6">
        <v>0.18838114</v>
      </c>
      <c r="N502" s="6">
        <v>0.12176316</v>
      </c>
      <c r="O502" s="6">
        <v>0.10333171</v>
      </c>
      <c r="P502" s="6">
        <v>0.30033568</v>
      </c>
      <c r="Q502" s="6">
        <v>0.21877302</v>
      </c>
      <c r="R502" s="6">
        <v>217.69486</v>
      </c>
      <c r="S502" s="6">
        <v>0.00094123</v>
      </c>
      <c r="T502" s="6">
        <v>169.97573</v>
      </c>
      <c r="U502" s="6">
        <v>0.00088131</v>
      </c>
      <c r="V502" s="6">
        <v>197.11803</v>
      </c>
      <c r="W502" s="6">
        <v>0.00095568</v>
      </c>
      <c r="X502" s="6">
        <v>134.47093</v>
      </c>
      <c r="Y502" s="6">
        <v>0.0009055</v>
      </c>
      <c r="Z502" s="6">
        <v>134.86767</v>
      </c>
      <c r="AA502" s="6">
        <v>0.00076617</v>
      </c>
      <c r="AB502" s="6">
        <v>294.9318</v>
      </c>
      <c r="AC502" s="6">
        <v>0.00101832</v>
      </c>
      <c r="AD502" s="6">
        <v>243.86163</v>
      </c>
      <c r="AE502" s="6">
        <v>0.00089712</v>
      </c>
      <c r="AF502" s="6">
        <v>775</v>
      </c>
      <c r="AG502" s="6">
        <v>-0.0065588</v>
      </c>
      <c r="AH502" s="6">
        <v>-0.00619921</v>
      </c>
      <c r="AI502" s="6">
        <v>-0.00664491</v>
      </c>
      <c r="AJ502" s="6">
        <v>-0.00634485</v>
      </c>
      <c r="AK502" s="6">
        <v>-0.00549659</v>
      </c>
      <c r="AL502" s="6">
        <v>-0.00701583</v>
      </c>
      <c r="AM502" s="6">
        <v>-0.00629448</v>
      </c>
      <c r="AN502" s="6">
        <v>-6.4762184</v>
      </c>
      <c r="AO502" s="6">
        <v>-6.4515561</v>
      </c>
      <c r="AP502" s="6">
        <v>-6.4739881</v>
      </c>
      <c r="AQ502" s="6">
        <v>-6.4253629</v>
      </c>
      <c r="AR502" s="6">
        <v>-6.4020076</v>
      </c>
      <c r="AS502" s="6">
        <v>-6.4618417</v>
      </c>
      <c r="AT502" s="6">
        <v>-6.4506396</v>
      </c>
      <c r="AU502" s="6">
        <v>0.97344833</v>
      </c>
      <c r="AV502" s="6">
        <v>0.96974131</v>
      </c>
      <c r="AW502" s="6">
        <v>0.97311308</v>
      </c>
      <c r="AX502" s="6">
        <v>0.96580418</v>
      </c>
      <c r="AY502" s="6">
        <v>0.96229362</v>
      </c>
      <c r="AZ502" s="6">
        <v>0.97128734</v>
      </c>
      <c r="BA502" s="6">
        <v>0.96960354</v>
      </c>
      <c r="BB502" s="6">
        <v>0.02655167</v>
      </c>
      <c r="BC502" s="6">
        <v>0.03025869</v>
      </c>
      <c r="BD502" s="6">
        <v>0.02688692</v>
      </c>
      <c r="BE502" s="6">
        <v>0.03419582</v>
      </c>
      <c r="BF502" s="6">
        <v>0.03770638</v>
      </c>
      <c r="BG502" s="6">
        <v>0.02871266</v>
      </c>
      <c r="BH502" s="6">
        <v>0.03039646</v>
      </c>
      <c r="BI502" s="6">
        <v>0.21470859</v>
      </c>
      <c r="BJ502" s="6">
        <v>0.12366373</v>
      </c>
      <c r="BK502" s="6">
        <v>0.1409291</v>
      </c>
      <c r="BL502" s="6">
        <v>0.12522516</v>
      </c>
      <c r="BM502" s="6">
        <v>0.1592662</v>
      </c>
      <c r="BN502" s="6">
        <v>0.17561655</v>
      </c>
      <c r="BO502" s="6">
        <v>0.1337285</v>
      </c>
      <c r="BP502" s="6">
        <v>0.14157076</v>
      </c>
      <c r="BQ502" s="6">
        <v>0.02533882</v>
      </c>
      <c r="BR502" s="6">
        <v>0.0211113</v>
      </c>
      <c r="BS502" s="6">
        <v>0.02359006</v>
      </c>
      <c r="BT502" s="6">
        <v>0.01939276</v>
      </c>
      <c r="BU502" s="6">
        <v>0.01814676</v>
      </c>
      <c r="BV502" s="6">
        <v>0.04016344</v>
      </c>
      <c r="BW502" s="6">
        <v>0.03097186</v>
      </c>
      <c r="BX502" s="12">
        <v>6269</v>
      </c>
      <c r="BY502" s="13">
        <v>5646</v>
      </c>
      <c r="BZ502" s="12">
        <v>4276.32</v>
      </c>
      <c r="CA502" s="6">
        <f t="shared" si="48"/>
        <v>1.11034360609281</v>
      </c>
      <c r="CB502" s="6">
        <f t="shared" si="49"/>
        <v>1.46598009503498</v>
      </c>
      <c r="CC502" s="7">
        <v>169164074</v>
      </c>
      <c r="CD502" s="7">
        <f t="shared" si="44"/>
        <v>3.95583291241067</v>
      </c>
      <c r="CE502" s="8">
        <v>741.8</v>
      </c>
      <c r="CF502" s="8">
        <v>1062.2</v>
      </c>
      <c r="CG502" s="8">
        <v>1321.3</v>
      </c>
      <c r="CH502" s="8">
        <v>5147</v>
      </c>
      <c r="CI502" s="14">
        <v>0</v>
      </c>
      <c r="CJ502" s="14">
        <v>0</v>
      </c>
      <c r="CK502" s="14">
        <f t="shared" si="45"/>
        <v>0</v>
      </c>
      <c r="CL502">
        <f t="shared" si="46"/>
        <v>4.53658228674969</v>
      </c>
      <c r="CM502">
        <f t="shared" si="47"/>
        <v>0.128014733918804</v>
      </c>
      <c r="CN502" s="15">
        <v>6269.09</v>
      </c>
      <c r="CO502" s="15">
        <v>6050.62</v>
      </c>
      <c r="CP502" s="15">
        <v>556.83</v>
      </c>
      <c r="CQ502" s="15">
        <v>669.77</v>
      </c>
      <c r="CR502" s="15">
        <v>169.17</v>
      </c>
      <c r="CS502" s="15">
        <v>18.29</v>
      </c>
      <c r="CT502" s="15">
        <v>261.3</v>
      </c>
      <c r="CU502" s="15">
        <v>106.69</v>
      </c>
      <c r="CV502" s="15">
        <v>0.91</v>
      </c>
      <c r="CW502" s="15">
        <v>503.02</v>
      </c>
    </row>
    <row r="503" spans="1:101">
      <c r="A503" s="6">
        <v>2001</v>
      </c>
      <c r="B503" s="6" t="s">
        <v>120</v>
      </c>
      <c r="C503" s="6">
        <v>0.19845933</v>
      </c>
      <c r="D503" s="6">
        <v>0.034925</v>
      </c>
      <c r="E503" s="6">
        <v>0.008891</v>
      </c>
      <c r="F503" s="6">
        <v>0.015165</v>
      </c>
      <c r="G503" s="6">
        <v>0.00541</v>
      </c>
      <c r="H503" s="6">
        <v>0.005459</v>
      </c>
      <c r="I503" s="6">
        <v>0.036838</v>
      </c>
      <c r="J503" s="6">
        <v>0.018222</v>
      </c>
      <c r="K503" s="6">
        <v>0.22238523</v>
      </c>
      <c r="L503" s="6">
        <v>0.16970556</v>
      </c>
      <c r="M503" s="6">
        <v>0.19016355</v>
      </c>
      <c r="N503" s="6">
        <v>0.13143676</v>
      </c>
      <c r="O503" s="6">
        <v>0.13193474</v>
      </c>
      <c r="P503" s="6">
        <v>0.32052791</v>
      </c>
      <c r="Q503" s="6">
        <v>0.25613736</v>
      </c>
      <c r="R503" s="6">
        <v>217.69486</v>
      </c>
      <c r="S503" s="6">
        <v>0.00102155</v>
      </c>
      <c r="T503" s="6">
        <v>169.97573</v>
      </c>
      <c r="U503" s="6">
        <v>0.00099841</v>
      </c>
      <c r="V503" s="6">
        <v>197.11803</v>
      </c>
      <c r="W503" s="6">
        <v>0.00096472</v>
      </c>
      <c r="X503" s="6">
        <v>134.47093</v>
      </c>
      <c r="Y503" s="6">
        <v>0.00097744</v>
      </c>
      <c r="Z503" s="6">
        <v>134.86767</v>
      </c>
      <c r="AA503" s="6">
        <v>0.00097825</v>
      </c>
      <c r="AB503" s="6">
        <v>294.9318</v>
      </c>
      <c r="AC503" s="6">
        <v>0.00108679</v>
      </c>
      <c r="AD503" s="6">
        <v>243.86163</v>
      </c>
      <c r="AE503" s="6">
        <v>0.00105034</v>
      </c>
      <c r="AF503" s="6">
        <v>775</v>
      </c>
      <c r="AG503" s="6">
        <v>-0.00703481</v>
      </c>
      <c r="AH503" s="6">
        <v>-0.00689836</v>
      </c>
      <c r="AI503" s="6">
        <v>-0.0066987</v>
      </c>
      <c r="AJ503" s="6">
        <v>-0.0067742</v>
      </c>
      <c r="AK503" s="6">
        <v>-0.00677904</v>
      </c>
      <c r="AL503" s="6">
        <v>-0.00741681</v>
      </c>
      <c r="AM503" s="6">
        <v>-0.0072039</v>
      </c>
      <c r="AN503" s="6">
        <v>-6.4762184</v>
      </c>
      <c r="AO503" s="6">
        <v>-6.4515561</v>
      </c>
      <c r="AP503" s="6">
        <v>-6.4739881</v>
      </c>
      <c r="AQ503" s="6">
        <v>-6.4253629</v>
      </c>
      <c r="AR503" s="6">
        <v>-6.4020076</v>
      </c>
      <c r="AS503" s="6">
        <v>-6.4618417</v>
      </c>
      <c r="AT503" s="6">
        <v>-6.4506396</v>
      </c>
      <c r="AU503" s="6">
        <v>0.97344833</v>
      </c>
      <c r="AV503" s="6">
        <v>0.96974131</v>
      </c>
      <c r="AW503" s="6">
        <v>0.97311308</v>
      </c>
      <c r="AX503" s="6">
        <v>0.96580418</v>
      </c>
      <c r="AY503" s="6">
        <v>0.96229362</v>
      </c>
      <c r="AZ503" s="6">
        <v>0.97128734</v>
      </c>
      <c r="BA503" s="6">
        <v>0.96960354</v>
      </c>
      <c r="BB503" s="6">
        <v>0.02655167</v>
      </c>
      <c r="BC503" s="6">
        <v>0.03025869</v>
      </c>
      <c r="BD503" s="6">
        <v>0.02688692</v>
      </c>
      <c r="BE503" s="6">
        <v>0.03419582</v>
      </c>
      <c r="BF503" s="6">
        <v>0.03770638</v>
      </c>
      <c r="BG503" s="6">
        <v>0.02871266</v>
      </c>
      <c r="BH503" s="6">
        <v>0.03039646</v>
      </c>
      <c r="BI503" s="6">
        <v>0.21470859</v>
      </c>
      <c r="BJ503" s="6">
        <v>0.12366373</v>
      </c>
      <c r="BK503" s="6">
        <v>0.1409291</v>
      </c>
      <c r="BL503" s="6">
        <v>0.12522516</v>
      </c>
      <c r="BM503" s="6">
        <v>0.1592662</v>
      </c>
      <c r="BN503" s="6">
        <v>0.17561655</v>
      </c>
      <c r="BO503" s="6">
        <v>0.1337285</v>
      </c>
      <c r="BP503" s="6">
        <v>0.14157076</v>
      </c>
      <c r="BQ503" s="6">
        <v>0.02750099</v>
      </c>
      <c r="BR503" s="6">
        <v>0.02391645</v>
      </c>
      <c r="BS503" s="6">
        <v>0.02381326</v>
      </c>
      <c r="BT503" s="6">
        <v>0.02093343</v>
      </c>
      <c r="BU503" s="6">
        <v>0.02316992</v>
      </c>
      <c r="BV503" s="6">
        <v>0.04286371</v>
      </c>
      <c r="BW503" s="6">
        <v>0.03626156</v>
      </c>
      <c r="BX503" s="12">
        <v>6052</v>
      </c>
      <c r="BY503" s="13">
        <v>5658</v>
      </c>
      <c r="BZ503" s="12">
        <v>3880.53</v>
      </c>
      <c r="CA503" s="6">
        <f t="shared" si="48"/>
        <v>1.06963591375044</v>
      </c>
      <c r="CB503" s="6">
        <f t="shared" si="49"/>
        <v>1.55958077891422</v>
      </c>
      <c r="CC503" s="7">
        <v>170764317.6</v>
      </c>
      <c r="CD503" s="7">
        <f t="shared" si="44"/>
        <v>4.4005411013444</v>
      </c>
      <c r="CE503" s="8">
        <v>760.8</v>
      </c>
      <c r="CF503" s="8">
        <v>1258.2</v>
      </c>
      <c r="CG503" s="8">
        <v>1483.8</v>
      </c>
      <c r="CH503" s="8">
        <v>5732</v>
      </c>
      <c r="CI503" s="14">
        <v>0</v>
      </c>
      <c r="CJ503" s="14">
        <v>0</v>
      </c>
      <c r="CK503" s="14">
        <f t="shared" si="45"/>
        <v>0</v>
      </c>
      <c r="CL503">
        <f t="shared" si="46"/>
        <v>4.16809156222866</v>
      </c>
      <c r="CM503">
        <f t="shared" si="47"/>
        <v>0</v>
      </c>
      <c r="CN503" s="15">
        <v>6052</v>
      </c>
      <c r="CO503" s="15">
        <v>6096</v>
      </c>
      <c r="CP503" s="15">
        <v>521.52</v>
      </c>
      <c r="CQ503" s="15">
        <v>570.06</v>
      </c>
      <c r="CR503" s="15">
        <v>185.55</v>
      </c>
      <c r="CS503" s="15">
        <v>14.51</v>
      </c>
      <c r="CT503" s="15">
        <v>263.88</v>
      </c>
      <c r="CU503" s="15">
        <v>58.45</v>
      </c>
      <c r="CV503" s="15">
        <v>0.76</v>
      </c>
      <c r="CW503" s="15">
        <v>526.03</v>
      </c>
    </row>
    <row r="504" spans="1:101">
      <c r="A504" s="6">
        <v>2002</v>
      </c>
      <c r="B504" s="6" t="s">
        <v>120</v>
      </c>
      <c r="C504" s="6">
        <v>0.21656577</v>
      </c>
      <c r="D504" s="6">
        <v>0.038848</v>
      </c>
      <c r="E504" s="6">
        <v>0.009514</v>
      </c>
      <c r="F504" s="6">
        <v>0.017367</v>
      </c>
      <c r="G504" s="6">
        <v>0.006053</v>
      </c>
      <c r="H504" s="6">
        <v>0.005913</v>
      </c>
      <c r="I504" s="6">
        <v>0.037344</v>
      </c>
      <c r="J504" s="6">
        <v>0.01893</v>
      </c>
      <c r="K504" s="6">
        <v>0.25315743</v>
      </c>
      <c r="L504" s="6">
        <v>0.18444409</v>
      </c>
      <c r="M504" s="6">
        <v>0.22401503</v>
      </c>
      <c r="N504" s="6">
        <v>0.15043257</v>
      </c>
      <c r="O504" s="6">
        <v>0.14570762</v>
      </c>
      <c r="P504" s="6">
        <v>0.32616411</v>
      </c>
      <c r="Q504" s="6">
        <v>0.26876022</v>
      </c>
      <c r="R504" s="6">
        <v>217.69486</v>
      </c>
      <c r="S504" s="6">
        <v>0.0011629</v>
      </c>
      <c r="T504" s="6">
        <v>169.97573</v>
      </c>
      <c r="U504" s="6">
        <v>0.00108512</v>
      </c>
      <c r="V504" s="6">
        <v>197.11803</v>
      </c>
      <c r="W504" s="6">
        <v>0.00113645</v>
      </c>
      <c r="X504" s="6">
        <v>134.47093</v>
      </c>
      <c r="Y504" s="6">
        <v>0.0011187</v>
      </c>
      <c r="Z504" s="6">
        <v>134.86767</v>
      </c>
      <c r="AA504" s="6">
        <v>0.00108037</v>
      </c>
      <c r="AB504" s="6">
        <v>294.9318</v>
      </c>
      <c r="AC504" s="6">
        <v>0.0011059</v>
      </c>
      <c r="AD504" s="6">
        <v>243.86163</v>
      </c>
      <c r="AE504" s="6">
        <v>0.0011021</v>
      </c>
      <c r="AF504" s="6">
        <v>775</v>
      </c>
      <c r="AG504" s="6">
        <v>-0.00785753</v>
      </c>
      <c r="AH504" s="6">
        <v>-0.0074071</v>
      </c>
      <c r="AI504" s="6">
        <v>-0.00770496</v>
      </c>
      <c r="AJ504" s="6">
        <v>-0.00760222</v>
      </c>
      <c r="AK504" s="6">
        <v>-0.00737944</v>
      </c>
      <c r="AL504" s="6">
        <v>-0.00752795</v>
      </c>
      <c r="AM504" s="6">
        <v>-0.0075059</v>
      </c>
      <c r="AN504" s="6">
        <v>-6.4762184</v>
      </c>
      <c r="AO504" s="6">
        <v>-6.4515561</v>
      </c>
      <c r="AP504" s="6">
        <v>-6.4739881</v>
      </c>
      <c r="AQ504" s="6">
        <v>-6.4253629</v>
      </c>
      <c r="AR504" s="6">
        <v>-6.4020076</v>
      </c>
      <c r="AS504" s="6">
        <v>-6.4618417</v>
      </c>
      <c r="AT504" s="6">
        <v>-6.4506396</v>
      </c>
      <c r="AU504" s="6">
        <v>0.97344833</v>
      </c>
      <c r="AV504" s="6">
        <v>0.96974131</v>
      </c>
      <c r="AW504" s="6">
        <v>0.97311308</v>
      </c>
      <c r="AX504" s="6">
        <v>0.96580418</v>
      </c>
      <c r="AY504" s="6">
        <v>0.96229362</v>
      </c>
      <c r="AZ504" s="6">
        <v>0.97128734</v>
      </c>
      <c r="BA504" s="6">
        <v>0.96960354</v>
      </c>
      <c r="BB504" s="6">
        <v>0.02655167</v>
      </c>
      <c r="BC504" s="6">
        <v>0.03025869</v>
      </c>
      <c r="BD504" s="6">
        <v>0.02688692</v>
      </c>
      <c r="BE504" s="6">
        <v>0.03419582</v>
      </c>
      <c r="BF504" s="6">
        <v>0.03770638</v>
      </c>
      <c r="BG504" s="6">
        <v>0.02871266</v>
      </c>
      <c r="BH504" s="6">
        <v>0.03039646</v>
      </c>
      <c r="BI504" s="6">
        <v>0.21470859</v>
      </c>
      <c r="BJ504" s="6">
        <v>0.12366373</v>
      </c>
      <c r="BK504" s="6">
        <v>0.1409291</v>
      </c>
      <c r="BL504" s="6">
        <v>0.12522516</v>
      </c>
      <c r="BM504" s="6">
        <v>0.1592662</v>
      </c>
      <c r="BN504" s="6">
        <v>0.17561655</v>
      </c>
      <c r="BO504" s="6">
        <v>0.1337285</v>
      </c>
      <c r="BP504" s="6">
        <v>0.14157076</v>
      </c>
      <c r="BQ504" s="6">
        <v>0.03130639</v>
      </c>
      <c r="BR504" s="6">
        <v>0.02599354</v>
      </c>
      <c r="BS504" s="6">
        <v>0.02805232</v>
      </c>
      <c r="BT504" s="6">
        <v>0.02395882</v>
      </c>
      <c r="BU504" s="6">
        <v>0.02558867</v>
      </c>
      <c r="BV504" s="6">
        <v>0.04361744</v>
      </c>
      <c r="BW504" s="6">
        <v>0.03804859</v>
      </c>
      <c r="BX504" s="12">
        <v>6713</v>
      </c>
      <c r="BY504" s="13">
        <v>5672</v>
      </c>
      <c r="BZ504" s="12">
        <v>4212.82</v>
      </c>
      <c r="CA504" s="6">
        <f t="shared" si="48"/>
        <v>1.18353314527504</v>
      </c>
      <c r="CB504" s="6">
        <f t="shared" si="49"/>
        <v>1.59346945751302</v>
      </c>
      <c r="CC504" s="7">
        <v>180451980.5</v>
      </c>
      <c r="CD504" s="7">
        <f t="shared" si="44"/>
        <v>4.28340115409631</v>
      </c>
      <c r="CE504" s="8">
        <v>783.7</v>
      </c>
      <c r="CF504" s="8">
        <v>1347.3</v>
      </c>
      <c r="CG504" s="8">
        <v>1696.7</v>
      </c>
      <c r="CH504" s="8">
        <v>6238</v>
      </c>
      <c r="CI504" s="14">
        <v>0</v>
      </c>
      <c r="CJ504" s="14">
        <v>0</v>
      </c>
      <c r="CK504" s="14">
        <f t="shared" si="45"/>
        <v>0</v>
      </c>
      <c r="CL504">
        <f t="shared" si="46"/>
        <v>4.06804884448575</v>
      </c>
      <c r="CM504">
        <f t="shared" si="47"/>
        <v>0</v>
      </c>
      <c r="CN504" s="15">
        <v>6713</v>
      </c>
      <c r="CO504" s="15">
        <v>6483</v>
      </c>
      <c r="CP504" s="15">
        <v>536.16</v>
      </c>
      <c r="CQ504" s="15">
        <v>595.43</v>
      </c>
      <c r="CR504" s="15">
        <v>232.78</v>
      </c>
      <c r="CS504" s="15">
        <v>17.47</v>
      </c>
      <c r="CT504" s="15">
        <v>308.28</v>
      </c>
      <c r="CU504" s="15">
        <v>57</v>
      </c>
      <c r="CV504" s="15">
        <v>0.91</v>
      </c>
      <c r="CW504" s="15">
        <v>567.43</v>
      </c>
    </row>
    <row r="505" spans="1:101">
      <c r="A505" s="6">
        <v>2003</v>
      </c>
      <c r="B505" s="6" t="s">
        <v>120</v>
      </c>
      <c r="C505" s="6">
        <v>0.20950204</v>
      </c>
      <c r="D505" s="6">
        <v>0.038114</v>
      </c>
      <c r="E505" s="6">
        <v>0.00915</v>
      </c>
      <c r="F505" s="6">
        <v>0.016835</v>
      </c>
      <c r="G505" s="6">
        <v>0.006065</v>
      </c>
      <c r="H505" s="6">
        <v>0.006065</v>
      </c>
      <c r="I505" s="6">
        <v>0.036332</v>
      </c>
      <c r="J505" s="6">
        <v>0.017558</v>
      </c>
      <c r="K505" s="6">
        <v>0.24739806</v>
      </c>
      <c r="L505" s="6">
        <v>0.17582403</v>
      </c>
      <c r="M505" s="6">
        <v>0.21582451</v>
      </c>
      <c r="N505" s="6">
        <v>0.1507887</v>
      </c>
      <c r="O505" s="6">
        <v>0.15029028</v>
      </c>
      <c r="P505" s="6">
        <v>0.31489296</v>
      </c>
      <c r="Q505" s="6">
        <v>0.24428293</v>
      </c>
      <c r="R505" s="6">
        <v>217.69486</v>
      </c>
      <c r="S505" s="6">
        <v>0.00113644</v>
      </c>
      <c r="T505" s="6">
        <v>169.97573</v>
      </c>
      <c r="U505" s="6">
        <v>0.00103441</v>
      </c>
      <c r="V505" s="6">
        <v>197.11803</v>
      </c>
      <c r="W505" s="6">
        <v>0.0010949</v>
      </c>
      <c r="X505" s="6">
        <v>134.47093</v>
      </c>
      <c r="Y505" s="6">
        <v>0.00112135</v>
      </c>
      <c r="Z505" s="6">
        <v>134.86767</v>
      </c>
      <c r="AA505" s="6">
        <v>0.00111435</v>
      </c>
      <c r="AB505" s="6">
        <v>294.9318</v>
      </c>
      <c r="AC505" s="6">
        <v>0.00106768</v>
      </c>
      <c r="AD505" s="6">
        <v>243.86163</v>
      </c>
      <c r="AE505" s="6">
        <v>0.00100173</v>
      </c>
      <c r="AF505" s="6">
        <v>775</v>
      </c>
      <c r="AG505" s="6">
        <v>-0.00770492</v>
      </c>
      <c r="AH505" s="6">
        <v>-0.00711044</v>
      </c>
      <c r="AI505" s="6">
        <v>-0.00746403</v>
      </c>
      <c r="AJ505" s="6">
        <v>-0.00761757</v>
      </c>
      <c r="AK505" s="6">
        <v>-0.00757703</v>
      </c>
      <c r="AL505" s="6">
        <v>-0.00730536</v>
      </c>
      <c r="AM505" s="6">
        <v>-0.00691796</v>
      </c>
      <c r="AN505" s="6">
        <v>-6.4762184</v>
      </c>
      <c r="AO505" s="6">
        <v>-6.4515561</v>
      </c>
      <c r="AP505" s="6">
        <v>-6.4739881</v>
      </c>
      <c r="AQ505" s="6">
        <v>-6.4253629</v>
      </c>
      <c r="AR505" s="6">
        <v>-6.4020076</v>
      </c>
      <c r="AS505" s="6">
        <v>-6.4618417</v>
      </c>
      <c r="AT505" s="6">
        <v>-6.4506396</v>
      </c>
      <c r="AU505" s="6">
        <v>0.97344833</v>
      </c>
      <c r="AV505" s="6">
        <v>0.96974131</v>
      </c>
      <c r="AW505" s="6">
        <v>0.97311308</v>
      </c>
      <c r="AX505" s="6">
        <v>0.96580418</v>
      </c>
      <c r="AY505" s="6">
        <v>0.96229362</v>
      </c>
      <c r="AZ505" s="6">
        <v>0.97128734</v>
      </c>
      <c r="BA505" s="6">
        <v>0.96960354</v>
      </c>
      <c r="BB505" s="6">
        <v>0.02655167</v>
      </c>
      <c r="BC505" s="6">
        <v>0.03025869</v>
      </c>
      <c r="BD505" s="6">
        <v>0.02688692</v>
      </c>
      <c r="BE505" s="6">
        <v>0.03419582</v>
      </c>
      <c r="BF505" s="6">
        <v>0.03770638</v>
      </c>
      <c r="BG505" s="6">
        <v>0.02871266</v>
      </c>
      <c r="BH505" s="6">
        <v>0.03039646</v>
      </c>
      <c r="BI505" s="6">
        <v>0.21470859</v>
      </c>
      <c r="BJ505" s="6">
        <v>0.12366373</v>
      </c>
      <c r="BK505" s="6">
        <v>0.1409291</v>
      </c>
      <c r="BL505" s="6">
        <v>0.12522516</v>
      </c>
      <c r="BM505" s="6">
        <v>0.1592662</v>
      </c>
      <c r="BN505" s="6">
        <v>0.17561655</v>
      </c>
      <c r="BO505" s="6">
        <v>0.1337285</v>
      </c>
      <c r="BP505" s="6">
        <v>0.14157076</v>
      </c>
      <c r="BQ505" s="6">
        <v>0.03059417</v>
      </c>
      <c r="BR505" s="6">
        <v>0.02477872</v>
      </c>
      <c r="BS505" s="6">
        <v>0.02702666</v>
      </c>
      <c r="BT505" s="6">
        <v>0.02401554</v>
      </c>
      <c r="BU505" s="6">
        <v>0.02639346</v>
      </c>
      <c r="BV505" s="6">
        <v>0.04211016</v>
      </c>
      <c r="BW505" s="6">
        <v>0.03458332</v>
      </c>
      <c r="BX505" s="12">
        <v>7708</v>
      </c>
      <c r="BY505" s="13">
        <v>5685</v>
      </c>
      <c r="BZ505" s="12">
        <v>4757.45</v>
      </c>
      <c r="CA505" s="6">
        <f t="shared" si="48"/>
        <v>1.35584872471416</v>
      </c>
      <c r="CB505" s="6">
        <f t="shared" si="49"/>
        <v>1.62019569307087</v>
      </c>
      <c r="CC505" s="7">
        <v>207166128.4</v>
      </c>
      <c r="CD505" s="7">
        <f t="shared" si="44"/>
        <v>4.35456238951539</v>
      </c>
      <c r="CE505" s="8">
        <v>749.4</v>
      </c>
      <c r="CF505" s="8">
        <v>1557.6</v>
      </c>
      <c r="CG505" s="8">
        <v>2000.8</v>
      </c>
      <c r="CH505" s="8">
        <v>7001</v>
      </c>
      <c r="CI505" s="14">
        <v>0</v>
      </c>
      <c r="CJ505" s="14">
        <v>0</v>
      </c>
      <c r="CK505" s="14">
        <f t="shared" si="45"/>
        <v>0</v>
      </c>
      <c r="CL505">
        <f t="shared" si="46"/>
        <v>4.08414499624993</v>
      </c>
      <c r="CM505">
        <f t="shared" si="47"/>
        <v>0</v>
      </c>
      <c r="CN505" s="15">
        <v>7707.7</v>
      </c>
      <c r="CO505" s="15">
        <v>7238.46</v>
      </c>
      <c r="CP505" s="15">
        <v>552.49</v>
      </c>
      <c r="CQ505" s="15">
        <v>637.14</v>
      </c>
      <c r="CR505" s="15">
        <v>292.86</v>
      </c>
      <c r="CS505" s="15">
        <v>12.93</v>
      </c>
      <c r="CT505" s="15">
        <v>370.96</v>
      </c>
      <c r="CU505" s="15">
        <v>90.77</v>
      </c>
      <c r="CV505" s="15">
        <v>0.94</v>
      </c>
      <c r="CW505" s="15">
        <v>629.2</v>
      </c>
    </row>
    <row r="506" spans="1:101">
      <c r="A506" s="6">
        <v>2004</v>
      </c>
      <c r="B506" s="6" t="s">
        <v>120</v>
      </c>
      <c r="C506" s="6">
        <v>0.21740181</v>
      </c>
      <c r="D506" s="6">
        <v>0.040322</v>
      </c>
      <c r="E506" s="6">
        <v>0.010303</v>
      </c>
      <c r="F506" s="6">
        <v>0.018552</v>
      </c>
      <c r="G506" s="6">
        <v>0.00594</v>
      </c>
      <c r="H506" s="6">
        <v>0.005527</v>
      </c>
      <c r="I506" s="6">
        <v>0.035634</v>
      </c>
      <c r="J506" s="6">
        <v>0.018785</v>
      </c>
      <c r="K506" s="6">
        <v>0.26471711</v>
      </c>
      <c r="L506" s="6">
        <v>0.20309058</v>
      </c>
      <c r="M506" s="6">
        <v>0.24221981</v>
      </c>
      <c r="N506" s="6">
        <v>0.14709087</v>
      </c>
      <c r="O506" s="6">
        <v>0.13399763</v>
      </c>
      <c r="P506" s="6">
        <v>0.30711467</v>
      </c>
      <c r="Q506" s="6">
        <v>0.26618297</v>
      </c>
      <c r="R506" s="6">
        <v>217.69486</v>
      </c>
      <c r="S506" s="6">
        <v>0.001216</v>
      </c>
      <c r="T506" s="6">
        <v>169.97573</v>
      </c>
      <c r="U506" s="6">
        <v>0.00119482</v>
      </c>
      <c r="V506" s="6">
        <v>197.11803</v>
      </c>
      <c r="W506" s="6">
        <v>0.00122881</v>
      </c>
      <c r="X506" s="6">
        <v>134.47093</v>
      </c>
      <c r="Y506" s="6">
        <v>0.00109385</v>
      </c>
      <c r="Z506" s="6">
        <v>134.86767</v>
      </c>
      <c r="AA506" s="6">
        <v>0.00099355</v>
      </c>
      <c r="AB506" s="6">
        <v>294.9318</v>
      </c>
      <c r="AC506" s="6">
        <v>0.00104131</v>
      </c>
      <c r="AD506" s="6">
        <v>243.86163</v>
      </c>
      <c r="AE506" s="6">
        <v>0.00109153</v>
      </c>
      <c r="AF506" s="6">
        <v>775</v>
      </c>
      <c r="AG506" s="6">
        <v>-0.00816203</v>
      </c>
      <c r="AH506" s="6">
        <v>-0.00804086</v>
      </c>
      <c r="AI506" s="6">
        <v>-0.0082351</v>
      </c>
      <c r="AJ506" s="6">
        <v>-0.00745792</v>
      </c>
      <c r="AK506" s="6">
        <v>-0.00686962</v>
      </c>
      <c r="AL506" s="6">
        <v>-0.00715095</v>
      </c>
      <c r="AM506" s="6">
        <v>-0.00744444</v>
      </c>
      <c r="AN506" s="6">
        <v>-6.4762184</v>
      </c>
      <c r="AO506" s="6">
        <v>-6.4515561</v>
      </c>
      <c r="AP506" s="6">
        <v>-6.4739881</v>
      </c>
      <c r="AQ506" s="6">
        <v>-6.4253629</v>
      </c>
      <c r="AR506" s="6">
        <v>-6.4020076</v>
      </c>
      <c r="AS506" s="6">
        <v>-6.4618417</v>
      </c>
      <c r="AT506" s="6">
        <v>-6.4506396</v>
      </c>
      <c r="AU506" s="6">
        <v>0.97344833</v>
      </c>
      <c r="AV506" s="6">
        <v>0.96974131</v>
      </c>
      <c r="AW506" s="6">
        <v>0.97311308</v>
      </c>
      <c r="AX506" s="6">
        <v>0.96580418</v>
      </c>
      <c r="AY506" s="6">
        <v>0.96229362</v>
      </c>
      <c r="AZ506" s="6">
        <v>0.97128734</v>
      </c>
      <c r="BA506" s="6">
        <v>0.96960354</v>
      </c>
      <c r="BB506" s="6">
        <v>0.02655167</v>
      </c>
      <c r="BC506" s="6">
        <v>0.03025869</v>
      </c>
      <c r="BD506" s="6">
        <v>0.02688692</v>
      </c>
      <c r="BE506" s="6">
        <v>0.03419582</v>
      </c>
      <c r="BF506" s="6">
        <v>0.03770638</v>
      </c>
      <c r="BG506" s="6">
        <v>0.02871266</v>
      </c>
      <c r="BH506" s="6">
        <v>0.03039646</v>
      </c>
      <c r="BI506" s="6">
        <v>0.21470859</v>
      </c>
      <c r="BJ506" s="6">
        <v>0.12366373</v>
      </c>
      <c r="BK506" s="6">
        <v>0.1409291</v>
      </c>
      <c r="BL506" s="6">
        <v>0.12522516</v>
      </c>
      <c r="BM506" s="6">
        <v>0.1592662</v>
      </c>
      <c r="BN506" s="6">
        <v>0.17561655</v>
      </c>
      <c r="BO506" s="6">
        <v>0.1337285</v>
      </c>
      <c r="BP506" s="6">
        <v>0.14157076</v>
      </c>
      <c r="BQ506" s="6">
        <v>0.03273591</v>
      </c>
      <c r="BR506" s="6">
        <v>0.02862137</v>
      </c>
      <c r="BS506" s="6">
        <v>0.03033201</v>
      </c>
      <c r="BT506" s="6">
        <v>0.0234266</v>
      </c>
      <c r="BU506" s="6">
        <v>0.0235322</v>
      </c>
      <c r="BV506" s="6">
        <v>0.04106998</v>
      </c>
      <c r="BW506" s="6">
        <v>0.03768373</v>
      </c>
      <c r="BX506" s="12">
        <v>9120</v>
      </c>
      <c r="BY506" s="13">
        <v>5698</v>
      </c>
      <c r="BZ506" s="12">
        <v>5633.24</v>
      </c>
      <c r="CA506" s="6">
        <f t="shared" si="48"/>
        <v>1.6005616005616</v>
      </c>
      <c r="CB506" s="6">
        <f t="shared" si="49"/>
        <v>1.61896173427725</v>
      </c>
      <c r="CC506" s="7">
        <v>241350369.7</v>
      </c>
      <c r="CD506" s="7">
        <f t="shared" si="44"/>
        <v>4.28439707344264</v>
      </c>
      <c r="CE506" s="8">
        <v>950.5</v>
      </c>
      <c r="CF506" s="8">
        <v>1846.2</v>
      </c>
      <c r="CG506" s="8">
        <v>2332.4</v>
      </c>
      <c r="CH506" s="8">
        <v>8279</v>
      </c>
      <c r="CI506" s="14">
        <v>0</v>
      </c>
      <c r="CJ506" s="14">
        <v>0</v>
      </c>
      <c r="CK506" s="14">
        <f t="shared" si="45"/>
        <v>0</v>
      </c>
      <c r="CL506">
        <f t="shared" si="46"/>
        <v>3.89549779892895</v>
      </c>
      <c r="CM506">
        <f t="shared" si="47"/>
        <v>0</v>
      </c>
      <c r="CN506" s="15">
        <v>9120</v>
      </c>
      <c r="CO506" s="15">
        <v>8053.71</v>
      </c>
      <c r="CP506" s="15">
        <v>560.36</v>
      </c>
      <c r="CQ506" s="15">
        <v>754.01</v>
      </c>
      <c r="CR506" s="15">
        <v>304.55</v>
      </c>
      <c r="CS506" s="15">
        <v>14.55</v>
      </c>
      <c r="CT506" s="15">
        <v>380.55</v>
      </c>
      <c r="CU506" s="15">
        <v>87.2</v>
      </c>
      <c r="CV506" s="15">
        <v>0.94</v>
      </c>
      <c r="CW506" s="15">
        <v>699.41</v>
      </c>
    </row>
    <row r="507" spans="1:101">
      <c r="A507" s="6">
        <v>2005</v>
      </c>
      <c r="B507" s="6" t="s">
        <v>120</v>
      </c>
      <c r="C507" s="6">
        <v>0.24276403</v>
      </c>
      <c r="D507" s="6">
        <v>0.043175</v>
      </c>
      <c r="E507" s="6">
        <v>0.011034</v>
      </c>
      <c r="F507" s="6">
        <v>0.019619</v>
      </c>
      <c r="G507" s="6">
        <v>0.006512</v>
      </c>
      <c r="H507" s="6">
        <v>0.00601</v>
      </c>
      <c r="I507" s="6">
        <v>0.042053</v>
      </c>
      <c r="J507" s="6">
        <v>0.020083</v>
      </c>
      <c r="K507" s="6">
        <v>0.2870997</v>
      </c>
      <c r="L507" s="6">
        <v>0.22037453</v>
      </c>
      <c r="M507" s="6">
        <v>0.25861571</v>
      </c>
      <c r="N507" s="6">
        <v>0.16400907</v>
      </c>
      <c r="O507" s="6">
        <v>0.14864307</v>
      </c>
      <c r="P507" s="6">
        <v>0.37860575</v>
      </c>
      <c r="Q507" s="6">
        <v>0.28934059</v>
      </c>
      <c r="R507" s="6">
        <v>217.69486</v>
      </c>
      <c r="S507" s="6">
        <v>0.00131882</v>
      </c>
      <c r="T507" s="6">
        <v>169.97573</v>
      </c>
      <c r="U507" s="6">
        <v>0.00129651</v>
      </c>
      <c r="V507" s="6">
        <v>197.11803</v>
      </c>
      <c r="W507" s="6">
        <v>0.00131198</v>
      </c>
      <c r="X507" s="6">
        <v>134.47093</v>
      </c>
      <c r="Y507" s="6">
        <v>0.00121966</v>
      </c>
      <c r="Z507" s="6">
        <v>134.86767</v>
      </c>
      <c r="AA507" s="6">
        <v>0.00110214</v>
      </c>
      <c r="AB507" s="6">
        <v>294.9318</v>
      </c>
      <c r="AC507" s="6">
        <v>0.00128371</v>
      </c>
      <c r="AD507" s="6">
        <v>243.86163</v>
      </c>
      <c r="AE507" s="6">
        <v>0.00118649</v>
      </c>
      <c r="AF507" s="6">
        <v>775</v>
      </c>
      <c r="AG507" s="6">
        <v>-0.0087451</v>
      </c>
      <c r="AH507" s="6">
        <v>-0.00861928</v>
      </c>
      <c r="AI507" s="6">
        <v>-0.00870661</v>
      </c>
      <c r="AJ507" s="6">
        <v>-0.00818293</v>
      </c>
      <c r="AK507" s="6">
        <v>-0.00750613</v>
      </c>
      <c r="AL507" s="6">
        <v>-0.00854692</v>
      </c>
      <c r="AM507" s="6">
        <v>-0.00799312</v>
      </c>
      <c r="AN507" s="6">
        <v>-6.4762184</v>
      </c>
      <c r="AO507" s="6">
        <v>-6.4515561</v>
      </c>
      <c r="AP507" s="6">
        <v>-6.4739881</v>
      </c>
      <c r="AQ507" s="6">
        <v>-6.4253629</v>
      </c>
      <c r="AR507" s="6">
        <v>-6.4020076</v>
      </c>
      <c r="AS507" s="6">
        <v>-6.4618417</v>
      </c>
      <c r="AT507" s="6">
        <v>-6.4506396</v>
      </c>
      <c r="AU507" s="6">
        <v>0.97344833</v>
      </c>
      <c r="AV507" s="6">
        <v>0.96974131</v>
      </c>
      <c r="AW507" s="6">
        <v>0.97311308</v>
      </c>
      <c r="AX507" s="6">
        <v>0.96580418</v>
      </c>
      <c r="AY507" s="6">
        <v>0.96229362</v>
      </c>
      <c r="AZ507" s="6">
        <v>0.97128734</v>
      </c>
      <c r="BA507" s="6">
        <v>0.96960354</v>
      </c>
      <c r="BB507" s="6">
        <v>0.02655167</v>
      </c>
      <c r="BC507" s="6">
        <v>0.03025869</v>
      </c>
      <c r="BD507" s="6">
        <v>0.02688692</v>
      </c>
      <c r="BE507" s="6">
        <v>0.03419582</v>
      </c>
      <c r="BF507" s="6">
        <v>0.03770638</v>
      </c>
      <c r="BG507" s="6">
        <v>0.02871266</v>
      </c>
      <c r="BH507" s="6">
        <v>0.03039646</v>
      </c>
      <c r="BI507" s="6">
        <v>0.21470859</v>
      </c>
      <c r="BJ507" s="6">
        <v>0.12366373</v>
      </c>
      <c r="BK507" s="6">
        <v>0.1409291</v>
      </c>
      <c r="BL507" s="6">
        <v>0.12522516</v>
      </c>
      <c r="BM507" s="6">
        <v>0.1592662</v>
      </c>
      <c r="BN507" s="6">
        <v>0.17561655</v>
      </c>
      <c r="BO507" s="6">
        <v>0.1337285</v>
      </c>
      <c r="BP507" s="6">
        <v>0.14157076</v>
      </c>
      <c r="BQ507" s="6">
        <v>0.03550382</v>
      </c>
      <c r="BR507" s="6">
        <v>0.03105718</v>
      </c>
      <c r="BS507" s="6">
        <v>0.03238519</v>
      </c>
      <c r="BT507" s="6">
        <v>0.0261211</v>
      </c>
      <c r="BU507" s="6">
        <v>0.02610418</v>
      </c>
      <c r="BV507" s="6">
        <v>0.05063038</v>
      </c>
      <c r="BW507" s="6">
        <v>0.04096217</v>
      </c>
      <c r="BX507" s="12">
        <v>10082</v>
      </c>
      <c r="BY507" s="13">
        <v>5710</v>
      </c>
      <c r="BZ507" s="12">
        <v>6590.19</v>
      </c>
      <c r="CA507" s="6">
        <f t="shared" si="48"/>
        <v>1.76567425569177</v>
      </c>
      <c r="CB507" s="6">
        <f t="shared" si="49"/>
        <v>1.52984967049508</v>
      </c>
      <c r="CC507" s="7">
        <v>259600809.7</v>
      </c>
      <c r="CD507" s="7">
        <f t="shared" si="44"/>
        <v>3.93920068617142</v>
      </c>
      <c r="CE507" s="8">
        <v>966.5</v>
      </c>
      <c r="CF507" s="8">
        <v>2197.4</v>
      </c>
      <c r="CG507" s="8">
        <v>2512</v>
      </c>
      <c r="CH507" s="8">
        <v>9193</v>
      </c>
      <c r="CI507" s="14">
        <v>0</v>
      </c>
      <c r="CJ507" s="14">
        <v>0</v>
      </c>
      <c r="CK507" s="14">
        <f t="shared" si="45"/>
        <v>0</v>
      </c>
      <c r="CL507">
        <f t="shared" si="46"/>
        <v>3.71995059106252</v>
      </c>
      <c r="CM507">
        <f t="shared" si="47"/>
        <v>0</v>
      </c>
      <c r="CN507" s="15">
        <v>9850.5</v>
      </c>
      <c r="CO507" s="15">
        <v>8652.64</v>
      </c>
      <c r="CP507" s="15">
        <v>685.47</v>
      </c>
      <c r="CQ507" s="15">
        <v>822.13</v>
      </c>
      <c r="CR507" s="15">
        <v>367.43</v>
      </c>
      <c r="CS507" s="15">
        <v>26.08</v>
      </c>
      <c r="CT507" s="15">
        <v>451.49</v>
      </c>
      <c r="CU507" s="15">
        <v>110.87</v>
      </c>
      <c r="CV507" s="15">
        <v>6.11</v>
      </c>
      <c r="CW507" s="15">
        <v>788.91</v>
      </c>
    </row>
    <row r="508" spans="1:101">
      <c r="A508" s="6">
        <v>2006</v>
      </c>
      <c r="B508" s="6" t="s">
        <v>120</v>
      </c>
      <c r="C508" s="6">
        <v>0.24487956</v>
      </c>
      <c r="D508" s="6">
        <v>0.04393</v>
      </c>
      <c r="E508" s="6">
        <v>0.01091</v>
      </c>
      <c r="F508" s="6">
        <v>0.019665</v>
      </c>
      <c r="G508" s="6">
        <v>0.006747</v>
      </c>
      <c r="H508" s="6">
        <v>0.006608</v>
      </c>
      <c r="I508" s="6">
        <v>0.040712</v>
      </c>
      <c r="J508" s="6">
        <v>0.019851</v>
      </c>
      <c r="K508" s="6">
        <v>0.29302427</v>
      </c>
      <c r="L508" s="6">
        <v>0.21745211</v>
      </c>
      <c r="M508" s="6">
        <v>0.25932539</v>
      </c>
      <c r="N508" s="6">
        <v>0.17094389</v>
      </c>
      <c r="O508" s="6">
        <v>0.166769</v>
      </c>
      <c r="P508" s="6">
        <v>0.36367741</v>
      </c>
      <c r="Q508" s="6">
        <v>0.28520493</v>
      </c>
      <c r="R508" s="6">
        <v>217.69486</v>
      </c>
      <c r="S508" s="6">
        <v>0.00134603</v>
      </c>
      <c r="T508" s="6">
        <v>169.97573</v>
      </c>
      <c r="U508" s="6">
        <v>0.00127931</v>
      </c>
      <c r="V508" s="6">
        <v>197.11803</v>
      </c>
      <c r="W508" s="6">
        <v>0.00131558</v>
      </c>
      <c r="X508" s="6">
        <v>134.47093</v>
      </c>
      <c r="Y508" s="6">
        <v>0.00127123</v>
      </c>
      <c r="Z508" s="6">
        <v>134.86767</v>
      </c>
      <c r="AA508" s="6">
        <v>0.00123654</v>
      </c>
      <c r="AB508" s="6">
        <v>294.9318</v>
      </c>
      <c r="AC508" s="6">
        <v>0.00123309</v>
      </c>
      <c r="AD508" s="6">
        <v>243.86163</v>
      </c>
      <c r="AE508" s="6">
        <v>0.00116954</v>
      </c>
      <c r="AF508" s="6">
        <v>775</v>
      </c>
      <c r="AG508" s="6">
        <v>-0.00889807</v>
      </c>
      <c r="AH508" s="6">
        <v>-0.00852205</v>
      </c>
      <c r="AI508" s="6">
        <v>-0.00872689</v>
      </c>
      <c r="AJ508" s="6">
        <v>-0.00847629</v>
      </c>
      <c r="AK508" s="6">
        <v>-0.00827917</v>
      </c>
      <c r="AL508" s="6">
        <v>-0.00825952</v>
      </c>
      <c r="AM508" s="6">
        <v>-0.00789571</v>
      </c>
      <c r="AN508" s="6">
        <v>-6.4762184</v>
      </c>
      <c r="AO508" s="6">
        <v>-6.4515561</v>
      </c>
      <c r="AP508" s="6">
        <v>-6.4739881</v>
      </c>
      <c r="AQ508" s="6">
        <v>-6.4253629</v>
      </c>
      <c r="AR508" s="6">
        <v>-6.4020076</v>
      </c>
      <c r="AS508" s="6">
        <v>-6.4618417</v>
      </c>
      <c r="AT508" s="6">
        <v>-6.4506396</v>
      </c>
      <c r="AU508" s="6">
        <v>0.97344833</v>
      </c>
      <c r="AV508" s="6">
        <v>0.96974131</v>
      </c>
      <c r="AW508" s="6">
        <v>0.97311308</v>
      </c>
      <c r="AX508" s="6">
        <v>0.96580418</v>
      </c>
      <c r="AY508" s="6">
        <v>0.96229362</v>
      </c>
      <c r="AZ508" s="6">
        <v>0.97128734</v>
      </c>
      <c r="BA508" s="6">
        <v>0.96960354</v>
      </c>
      <c r="BB508" s="6">
        <v>0.02655167</v>
      </c>
      <c r="BC508" s="6">
        <v>0.03025869</v>
      </c>
      <c r="BD508" s="6">
        <v>0.02688692</v>
      </c>
      <c r="BE508" s="6">
        <v>0.03419582</v>
      </c>
      <c r="BF508" s="6">
        <v>0.03770638</v>
      </c>
      <c r="BG508" s="6">
        <v>0.02871266</v>
      </c>
      <c r="BH508" s="6">
        <v>0.03039646</v>
      </c>
      <c r="BI508" s="6">
        <v>0.21470859</v>
      </c>
      <c r="BJ508" s="6">
        <v>0.12366373</v>
      </c>
      <c r="BK508" s="6">
        <v>0.1409291</v>
      </c>
      <c r="BL508" s="6">
        <v>0.12522516</v>
      </c>
      <c r="BM508" s="6">
        <v>0.1592662</v>
      </c>
      <c r="BN508" s="6">
        <v>0.17561655</v>
      </c>
      <c r="BO508" s="6">
        <v>0.1337285</v>
      </c>
      <c r="BP508" s="6">
        <v>0.14157076</v>
      </c>
      <c r="BQ508" s="6">
        <v>0.03623648</v>
      </c>
      <c r="BR508" s="6">
        <v>0.03064533</v>
      </c>
      <c r="BS508" s="6">
        <v>0.03247406</v>
      </c>
      <c r="BT508" s="6">
        <v>0.02722558</v>
      </c>
      <c r="BU508" s="6">
        <v>0.0292874</v>
      </c>
      <c r="BV508" s="6">
        <v>0.04863403</v>
      </c>
      <c r="BW508" s="6">
        <v>0.04037668</v>
      </c>
      <c r="BX508" s="12">
        <v>11049</v>
      </c>
      <c r="BY508" s="13">
        <v>5693</v>
      </c>
      <c r="BZ508" s="12">
        <v>7617.47</v>
      </c>
      <c r="CA508" s="6">
        <f t="shared" si="48"/>
        <v>1.9408044967504</v>
      </c>
      <c r="CB508" s="6">
        <f t="shared" si="49"/>
        <v>1.4504815903443</v>
      </c>
      <c r="CC508" s="7">
        <v>300391881.6</v>
      </c>
      <c r="CD508" s="7">
        <f t="shared" si="44"/>
        <v>3.94345998868391</v>
      </c>
      <c r="CE508" s="8">
        <v>1011</v>
      </c>
      <c r="CF508" s="8">
        <v>2653.2</v>
      </c>
      <c r="CG508" s="8">
        <v>2836.1</v>
      </c>
      <c r="CH508" s="8">
        <v>10630</v>
      </c>
      <c r="CI508" s="14">
        <v>0</v>
      </c>
      <c r="CJ508" s="14">
        <v>0</v>
      </c>
      <c r="CK508" s="14">
        <f t="shared" si="45"/>
        <v>0</v>
      </c>
      <c r="CL508">
        <f t="shared" si="46"/>
        <v>3.57740717995078</v>
      </c>
      <c r="CM508">
        <f t="shared" si="47"/>
        <v>0</v>
      </c>
      <c r="CN508" s="15">
        <v>10796.76</v>
      </c>
      <c r="CO508" s="15">
        <v>9651.64</v>
      </c>
      <c r="CP508" s="15">
        <v>752.13</v>
      </c>
      <c r="CQ508" s="15">
        <v>851.1</v>
      </c>
      <c r="CR508" s="15">
        <v>421.49</v>
      </c>
      <c r="CS508" s="15">
        <v>34.61</v>
      </c>
      <c r="CT508" s="15">
        <v>496.62</v>
      </c>
      <c r="CU508" s="15">
        <v>125.99</v>
      </c>
      <c r="CV508" s="15">
        <v>6.64</v>
      </c>
      <c r="CW508" s="15">
        <v>894.76</v>
      </c>
    </row>
    <row r="509" spans="1:101">
      <c r="A509" s="6">
        <v>2007</v>
      </c>
      <c r="B509" s="6" t="s">
        <v>120</v>
      </c>
      <c r="C509" s="6">
        <v>0.26065055</v>
      </c>
      <c r="D509" s="6">
        <v>0.043394</v>
      </c>
      <c r="E509" s="6">
        <v>0.010907</v>
      </c>
      <c r="F509" s="6">
        <v>0.019619</v>
      </c>
      <c r="G509" s="6">
        <v>0.006532</v>
      </c>
      <c r="H509" s="6">
        <v>0.006335</v>
      </c>
      <c r="I509" s="6">
        <v>0.046177</v>
      </c>
      <c r="J509" s="6">
        <v>0.024093</v>
      </c>
      <c r="K509" s="6">
        <v>0.28881561</v>
      </c>
      <c r="L509" s="6">
        <v>0.21738431</v>
      </c>
      <c r="M509" s="6">
        <v>0.25862057</v>
      </c>
      <c r="N509" s="6">
        <v>0.16460593</v>
      </c>
      <c r="O509" s="6">
        <v>0.1584837</v>
      </c>
      <c r="P509" s="6">
        <v>0.4245468</v>
      </c>
      <c r="Q509" s="6">
        <v>0.36088262</v>
      </c>
      <c r="R509" s="6">
        <v>217.69486</v>
      </c>
      <c r="S509" s="6">
        <v>0.0013267</v>
      </c>
      <c r="T509" s="6">
        <v>169.97573</v>
      </c>
      <c r="U509" s="6">
        <v>0.00127891</v>
      </c>
      <c r="V509" s="6">
        <v>197.11803</v>
      </c>
      <c r="W509" s="6">
        <v>0.00131201</v>
      </c>
      <c r="X509" s="6">
        <v>134.47093</v>
      </c>
      <c r="Y509" s="6">
        <v>0.0012241</v>
      </c>
      <c r="Z509" s="6">
        <v>134.86767</v>
      </c>
      <c r="AA509" s="6">
        <v>0.00117511</v>
      </c>
      <c r="AB509" s="6">
        <v>294.9318</v>
      </c>
      <c r="AC509" s="6">
        <v>0.00143947</v>
      </c>
      <c r="AD509" s="6">
        <v>243.86163</v>
      </c>
      <c r="AE509" s="6">
        <v>0.00147987</v>
      </c>
      <c r="AF509" s="6">
        <v>775</v>
      </c>
      <c r="AG509" s="6">
        <v>-0.00878946</v>
      </c>
      <c r="AH509" s="6">
        <v>-0.0085198</v>
      </c>
      <c r="AI509" s="6">
        <v>-0.00870675</v>
      </c>
      <c r="AJ509" s="6">
        <v>-0.00820827</v>
      </c>
      <c r="AK509" s="6">
        <v>-0.00792773</v>
      </c>
      <c r="AL509" s="6">
        <v>-0.00941917</v>
      </c>
      <c r="AM509" s="6">
        <v>-0.00964252</v>
      </c>
      <c r="AN509" s="6">
        <v>-6.4762184</v>
      </c>
      <c r="AO509" s="6">
        <v>-6.4515561</v>
      </c>
      <c r="AP509" s="6">
        <v>-6.4739881</v>
      </c>
      <c r="AQ509" s="6">
        <v>-6.4253629</v>
      </c>
      <c r="AR509" s="6">
        <v>-6.4020076</v>
      </c>
      <c r="AS509" s="6">
        <v>-6.4618417</v>
      </c>
      <c r="AT509" s="6">
        <v>-6.4506396</v>
      </c>
      <c r="AU509" s="6">
        <v>0.97344833</v>
      </c>
      <c r="AV509" s="6">
        <v>0.96974131</v>
      </c>
      <c r="AW509" s="6">
        <v>0.97311308</v>
      </c>
      <c r="AX509" s="6">
        <v>0.96580418</v>
      </c>
      <c r="AY509" s="6">
        <v>0.96229362</v>
      </c>
      <c r="AZ509" s="6">
        <v>0.97128734</v>
      </c>
      <c r="BA509" s="6">
        <v>0.96960354</v>
      </c>
      <c r="BB509" s="6">
        <v>0.02655167</v>
      </c>
      <c r="BC509" s="6">
        <v>0.03025869</v>
      </c>
      <c r="BD509" s="6">
        <v>0.02688692</v>
      </c>
      <c r="BE509" s="6">
        <v>0.03419582</v>
      </c>
      <c r="BF509" s="6">
        <v>0.03770638</v>
      </c>
      <c r="BG509" s="6">
        <v>0.02871266</v>
      </c>
      <c r="BH509" s="6">
        <v>0.03039646</v>
      </c>
      <c r="BI509" s="6">
        <v>0.21470859</v>
      </c>
      <c r="BJ509" s="6">
        <v>0.12366373</v>
      </c>
      <c r="BK509" s="6">
        <v>0.1409291</v>
      </c>
      <c r="BL509" s="6">
        <v>0.12522516</v>
      </c>
      <c r="BM509" s="6">
        <v>0.1592662</v>
      </c>
      <c r="BN509" s="6">
        <v>0.17561655</v>
      </c>
      <c r="BO509" s="6">
        <v>0.1337285</v>
      </c>
      <c r="BP509" s="6">
        <v>0.14157076</v>
      </c>
      <c r="BQ509" s="6">
        <v>0.03571602</v>
      </c>
      <c r="BR509" s="6">
        <v>0.03063577</v>
      </c>
      <c r="BS509" s="6">
        <v>0.0323858</v>
      </c>
      <c r="BT509" s="6">
        <v>0.02621616</v>
      </c>
      <c r="BU509" s="6">
        <v>0.02783236</v>
      </c>
      <c r="BV509" s="6">
        <v>0.05677401</v>
      </c>
      <c r="BW509" s="6">
        <v>0.05109043</v>
      </c>
      <c r="BX509" s="12">
        <v>12143</v>
      </c>
      <c r="BY509" s="13">
        <v>5699</v>
      </c>
      <c r="BZ509" s="12">
        <v>9333.4</v>
      </c>
      <c r="CA509" s="6">
        <f t="shared" si="48"/>
        <v>2.13072468854185</v>
      </c>
      <c r="CB509" s="6">
        <f t="shared" si="49"/>
        <v>1.30102642123985</v>
      </c>
      <c r="CC509" s="7">
        <v>312424913.7</v>
      </c>
      <c r="CD509" s="7">
        <f t="shared" si="44"/>
        <v>3.34738587974372</v>
      </c>
      <c r="CE509" s="8">
        <v>1116.3</v>
      </c>
      <c r="CF509" s="8">
        <v>3371.8</v>
      </c>
      <c r="CG509" s="8">
        <v>3453.5</v>
      </c>
      <c r="CH509" s="8">
        <v>12989</v>
      </c>
      <c r="CI509" s="14">
        <v>0</v>
      </c>
      <c r="CJ509" s="14">
        <v>0</v>
      </c>
      <c r="CK509" s="14">
        <f t="shared" si="45"/>
        <v>0</v>
      </c>
      <c r="CL509">
        <f t="shared" si="46"/>
        <v>3.23986794305777</v>
      </c>
      <c r="CM509">
        <f t="shared" si="47"/>
        <v>0</v>
      </c>
      <c r="CN509" s="15">
        <v>11860.59</v>
      </c>
      <c r="CO509" s="15">
        <v>10534.62</v>
      </c>
      <c r="CP509" s="15">
        <v>820</v>
      </c>
      <c r="CQ509" s="15">
        <v>910</v>
      </c>
      <c r="CR509" s="15">
        <v>551.91</v>
      </c>
      <c r="CS509" s="15">
        <v>35.98</v>
      </c>
      <c r="CT509" s="15">
        <v>609.42</v>
      </c>
      <c r="CU509" s="15">
        <v>123.54</v>
      </c>
      <c r="CV509" s="15">
        <v>8.63</v>
      </c>
      <c r="CW509" s="15">
        <v>1009.23</v>
      </c>
    </row>
    <row r="510" spans="1:101">
      <c r="A510" s="6">
        <v>2008</v>
      </c>
      <c r="B510" s="6" t="s">
        <v>120</v>
      </c>
      <c r="C510" s="6">
        <v>0.26590884</v>
      </c>
      <c r="D510" s="6">
        <v>0.046116</v>
      </c>
      <c r="E510" s="6">
        <v>0.012156</v>
      </c>
      <c r="F510" s="6">
        <v>0.021014</v>
      </c>
      <c r="G510" s="6">
        <v>0.007127</v>
      </c>
      <c r="H510" s="6">
        <v>0.005818</v>
      </c>
      <c r="I510" s="6">
        <v>0.047044</v>
      </c>
      <c r="J510" s="6">
        <v>0.021887</v>
      </c>
      <c r="K510" s="6">
        <v>0.31017017</v>
      </c>
      <c r="L510" s="6">
        <v>0.24691488</v>
      </c>
      <c r="M510" s="6">
        <v>0.28006287</v>
      </c>
      <c r="N510" s="6">
        <v>0.18219106</v>
      </c>
      <c r="O510" s="6">
        <v>0.14282617</v>
      </c>
      <c r="P510" s="6">
        <v>0.43420367</v>
      </c>
      <c r="Q510" s="6">
        <v>0.32152623</v>
      </c>
      <c r="R510" s="6">
        <v>217.69486</v>
      </c>
      <c r="S510" s="6">
        <v>0.00142479</v>
      </c>
      <c r="T510" s="6">
        <v>169.97573</v>
      </c>
      <c r="U510" s="6">
        <v>0.00145265</v>
      </c>
      <c r="V510" s="6">
        <v>197.11803</v>
      </c>
      <c r="W510" s="6">
        <v>0.00142079</v>
      </c>
      <c r="X510" s="6">
        <v>134.47093</v>
      </c>
      <c r="Y510" s="6">
        <v>0.00135487</v>
      </c>
      <c r="Z510" s="6">
        <v>134.86767</v>
      </c>
      <c r="AA510" s="6">
        <v>0.00105901</v>
      </c>
      <c r="AB510" s="6">
        <v>294.9318</v>
      </c>
      <c r="AC510" s="6">
        <v>0.00147222</v>
      </c>
      <c r="AD510" s="6">
        <v>243.86163</v>
      </c>
      <c r="AE510" s="6">
        <v>0.00131848</v>
      </c>
      <c r="AF510" s="6">
        <v>775</v>
      </c>
      <c r="AG510" s="6">
        <v>-0.00933771</v>
      </c>
      <c r="AH510" s="6">
        <v>-0.00949213</v>
      </c>
      <c r="AI510" s="6">
        <v>-0.00931546</v>
      </c>
      <c r="AJ510" s="6">
        <v>-0.00894765</v>
      </c>
      <c r="AK510" s="6">
        <v>-0.00725466</v>
      </c>
      <c r="AL510" s="6">
        <v>-0.00960031</v>
      </c>
      <c r="AM510" s="6">
        <v>-0.00874319</v>
      </c>
      <c r="AN510" s="6">
        <v>-6.4762184</v>
      </c>
      <c r="AO510" s="6">
        <v>-6.4515561</v>
      </c>
      <c r="AP510" s="6">
        <v>-6.4739881</v>
      </c>
      <c r="AQ510" s="6">
        <v>-6.4253629</v>
      </c>
      <c r="AR510" s="6">
        <v>-6.4020076</v>
      </c>
      <c r="AS510" s="6">
        <v>-6.4618417</v>
      </c>
      <c r="AT510" s="6">
        <v>-6.4506396</v>
      </c>
      <c r="AU510" s="6">
        <v>0.97344833</v>
      </c>
      <c r="AV510" s="6">
        <v>0.96974131</v>
      </c>
      <c r="AW510" s="6">
        <v>0.97311308</v>
      </c>
      <c r="AX510" s="6">
        <v>0.96580418</v>
      </c>
      <c r="AY510" s="6">
        <v>0.96229362</v>
      </c>
      <c r="AZ510" s="6">
        <v>0.97128734</v>
      </c>
      <c r="BA510" s="6">
        <v>0.96960354</v>
      </c>
      <c r="BB510" s="6">
        <v>0.02655167</v>
      </c>
      <c r="BC510" s="6">
        <v>0.03025869</v>
      </c>
      <c r="BD510" s="6">
        <v>0.02688692</v>
      </c>
      <c r="BE510" s="6">
        <v>0.03419582</v>
      </c>
      <c r="BF510" s="6">
        <v>0.03770638</v>
      </c>
      <c r="BG510" s="6">
        <v>0.02871266</v>
      </c>
      <c r="BH510" s="6">
        <v>0.03039646</v>
      </c>
      <c r="BI510" s="6">
        <v>0.21470859</v>
      </c>
      <c r="BJ510" s="6">
        <v>0.12366373</v>
      </c>
      <c r="BK510" s="6">
        <v>0.1409291</v>
      </c>
      <c r="BL510" s="6">
        <v>0.12522516</v>
      </c>
      <c r="BM510" s="6">
        <v>0.1592662</v>
      </c>
      <c r="BN510" s="6">
        <v>0.17561655</v>
      </c>
      <c r="BO510" s="6">
        <v>0.1337285</v>
      </c>
      <c r="BP510" s="6">
        <v>0.14157076</v>
      </c>
      <c r="BQ510" s="6">
        <v>0.0383568</v>
      </c>
      <c r="BR510" s="6">
        <v>0.03479749</v>
      </c>
      <c r="BS510" s="6">
        <v>0.03507092</v>
      </c>
      <c r="BT510" s="6">
        <v>0.02901688</v>
      </c>
      <c r="BU510" s="6">
        <v>0.02508264</v>
      </c>
      <c r="BV510" s="6">
        <v>0.0580654</v>
      </c>
      <c r="BW510" s="6">
        <v>0.04551871</v>
      </c>
      <c r="BX510" s="12">
        <v>12845</v>
      </c>
      <c r="BY510" s="13">
        <v>5711</v>
      </c>
      <c r="BZ510" s="12">
        <v>11328.92</v>
      </c>
      <c r="CA510" s="6">
        <f t="shared" si="48"/>
        <v>2.24916827175626</v>
      </c>
      <c r="CB510" s="6">
        <f t="shared" si="49"/>
        <v>1.1338238772981</v>
      </c>
      <c r="CC510" s="7">
        <v>321411994.1</v>
      </c>
      <c r="CD510" s="7">
        <f t="shared" si="44"/>
        <v>2.83709298061951</v>
      </c>
      <c r="CE510" s="8">
        <v>1313.1</v>
      </c>
      <c r="CF510" s="8">
        <v>4194.5</v>
      </c>
      <c r="CG510" s="8">
        <v>4010.1</v>
      </c>
      <c r="CH510" s="8">
        <v>15535</v>
      </c>
      <c r="CI510" s="14">
        <v>0</v>
      </c>
      <c r="CJ510" s="14">
        <v>0</v>
      </c>
      <c r="CK510" s="14">
        <f t="shared" si="45"/>
        <v>0</v>
      </c>
      <c r="CL510">
        <f t="shared" si="46"/>
        <v>2.71728515287532</v>
      </c>
      <c r="CM510">
        <f t="shared" si="47"/>
        <v>0</v>
      </c>
      <c r="CN510" s="15">
        <v>12845</v>
      </c>
      <c r="CO510" s="15">
        <v>10196</v>
      </c>
      <c r="CP510" s="15">
        <v>952.27</v>
      </c>
      <c r="CQ510" s="15">
        <v>884.26</v>
      </c>
      <c r="CR510" s="15">
        <v>624.23</v>
      </c>
      <c r="CS510" s="15">
        <v>49.7</v>
      </c>
      <c r="CT510" s="15">
        <v>613.49</v>
      </c>
      <c r="CU510" s="15">
        <v>106.97</v>
      </c>
      <c r="CV510" s="15">
        <v>15.6</v>
      </c>
      <c r="CW510" s="15">
        <v>1076.24</v>
      </c>
    </row>
    <row r="511" spans="1:101">
      <c r="A511" s="6">
        <v>2009</v>
      </c>
      <c r="B511" s="6" t="s">
        <v>120</v>
      </c>
      <c r="C511" s="6">
        <v>0.33225734</v>
      </c>
      <c r="D511" s="6">
        <v>0.059183</v>
      </c>
      <c r="E511" s="6">
        <v>0.014108</v>
      </c>
      <c r="F511" s="6">
        <v>0.026757</v>
      </c>
      <c r="G511" s="6">
        <v>0.008383</v>
      </c>
      <c r="H511" s="6">
        <v>0.009936</v>
      </c>
      <c r="I511" s="6">
        <v>0.049602</v>
      </c>
      <c r="J511" s="6">
        <v>0.023662</v>
      </c>
      <c r="K511" s="6">
        <v>0.41267035</v>
      </c>
      <c r="L511" s="6">
        <v>0.29305763</v>
      </c>
      <c r="M511" s="6">
        <v>0.36832496</v>
      </c>
      <c r="N511" s="6">
        <v>0.21929652</v>
      </c>
      <c r="O511" s="6">
        <v>0.26760979</v>
      </c>
      <c r="P511" s="6">
        <v>0.46268974</v>
      </c>
      <c r="Q511" s="6">
        <v>0.3532018</v>
      </c>
      <c r="R511" s="6">
        <v>217.69486</v>
      </c>
      <c r="S511" s="6">
        <v>0.00189564</v>
      </c>
      <c r="T511" s="6">
        <v>169.97573</v>
      </c>
      <c r="U511" s="6">
        <v>0.00172411</v>
      </c>
      <c r="V511" s="6">
        <v>197.11803</v>
      </c>
      <c r="W511" s="6">
        <v>0.00186855</v>
      </c>
      <c r="X511" s="6">
        <v>134.47093</v>
      </c>
      <c r="Y511" s="6">
        <v>0.00163081</v>
      </c>
      <c r="Z511" s="6">
        <v>134.86767</v>
      </c>
      <c r="AA511" s="6">
        <v>0.00198424</v>
      </c>
      <c r="AB511" s="6">
        <v>294.9318</v>
      </c>
      <c r="AC511" s="6">
        <v>0.0015688</v>
      </c>
      <c r="AD511" s="6">
        <v>243.86163</v>
      </c>
      <c r="AE511" s="6">
        <v>0.00144837</v>
      </c>
      <c r="AF511" s="6">
        <v>775</v>
      </c>
      <c r="AG511" s="6">
        <v>-0.01188223</v>
      </c>
      <c r="AH511" s="6">
        <v>-0.01097061</v>
      </c>
      <c r="AI511" s="6">
        <v>-0.01173934</v>
      </c>
      <c r="AJ511" s="6">
        <v>-0.01046764</v>
      </c>
      <c r="AK511" s="6">
        <v>-0.01234697</v>
      </c>
      <c r="AL511" s="6">
        <v>-0.01013045</v>
      </c>
      <c r="AM511" s="6">
        <v>-0.00946845</v>
      </c>
      <c r="AN511" s="6">
        <v>-6.4762184</v>
      </c>
      <c r="AO511" s="6">
        <v>-6.4515561</v>
      </c>
      <c r="AP511" s="6">
        <v>-6.4739881</v>
      </c>
      <c r="AQ511" s="6">
        <v>-6.4253629</v>
      </c>
      <c r="AR511" s="6">
        <v>-6.4020076</v>
      </c>
      <c r="AS511" s="6">
        <v>-6.4618417</v>
      </c>
      <c r="AT511" s="6">
        <v>-6.4506396</v>
      </c>
      <c r="AU511" s="6">
        <v>0.97344833</v>
      </c>
      <c r="AV511" s="6">
        <v>0.96974131</v>
      </c>
      <c r="AW511" s="6">
        <v>0.97311308</v>
      </c>
      <c r="AX511" s="6">
        <v>0.96580418</v>
      </c>
      <c r="AY511" s="6">
        <v>0.96229362</v>
      </c>
      <c r="AZ511" s="6">
        <v>0.97128734</v>
      </c>
      <c r="BA511" s="6">
        <v>0.96960354</v>
      </c>
      <c r="BB511" s="6">
        <v>0.02655167</v>
      </c>
      <c r="BC511" s="6">
        <v>0.03025869</v>
      </c>
      <c r="BD511" s="6">
        <v>0.02688692</v>
      </c>
      <c r="BE511" s="6">
        <v>0.03419582</v>
      </c>
      <c r="BF511" s="6">
        <v>0.03770638</v>
      </c>
      <c r="BG511" s="6">
        <v>0.02871266</v>
      </c>
      <c r="BH511" s="6">
        <v>0.03039646</v>
      </c>
      <c r="BI511" s="6">
        <v>0.21470859</v>
      </c>
      <c r="BJ511" s="6">
        <v>0.12366373</v>
      </c>
      <c r="BK511" s="6">
        <v>0.1409291</v>
      </c>
      <c r="BL511" s="6">
        <v>0.12522516</v>
      </c>
      <c r="BM511" s="6">
        <v>0.1592662</v>
      </c>
      <c r="BN511" s="6">
        <v>0.17561655</v>
      </c>
      <c r="BO511" s="6">
        <v>0.1337285</v>
      </c>
      <c r="BP511" s="6">
        <v>0.14157076</v>
      </c>
      <c r="BQ511" s="6">
        <v>0.05103236</v>
      </c>
      <c r="BR511" s="6">
        <v>0.04130035</v>
      </c>
      <c r="BS511" s="6">
        <v>0.04612355</v>
      </c>
      <c r="BT511" s="6">
        <v>0.03492652</v>
      </c>
      <c r="BU511" s="6">
        <v>0.04699671</v>
      </c>
      <c r="BV511" s="6">
        <v>0.0618748</v>
      </c>
      <c r="BW511" s="6">
        <v>0.05000305</v>
      </c>
      <c r="BX511" s="12">
        <v>13708</v>
      </c>
      <c r="BY511" s="13">
        <v>5720</v>
      </c>
      <c r="BZ511" s="12">
        <v>12961.1</v>
      </c>
      <c r="CA511" s="6">
        <f t="shared" si="48"/>
        <v>2.3965034965035</v>
      </c>
      <c r="CB511" s="6">
        <f t="shared" si="49"/>
        <v>1.05762628171992</v>
      </c>
      <c r="CC511" s="7">
        <v>352339746.3</v>
      </c>
      <c r="CD511" s="7">
        <f t="shared" si="44"/>
        <v>2.71844015014158</v>
      </c>
      <c r="CE511" s="8">
        <v>1382.7</v>
      </c>
      <c r="CF511" s="8">
        <v>4918.7</v>
      </c>
      <c r="CG511" s="8">
        <v>4563.4</v>
      </c>
      <c r="CH511" s="8">
        <v>17715</v>
      </c>
      <c r="CI511" s="14">
        <v>0</v>
      </c>
      <c r="CJ511" s="14">
        <v>0</v>
      </c>
      <c r="CK511" s="14">
        <f t="shared" si="45"/>
        <v>0</v>
      </c>
      <c r="CL511">
        <f t="shared" si="46"/>
        <v>2.66960201713366</v>
      </c>
      <c r="CM511">
        <f t="shared" si="47"/>
        <v>0</v>
      </c>
      <c r="CN511" s="15">
        <v>13708</v>
      </c>
      <c r="CO511" s="15">
        <v>11100</v>
      </c>
      <c r="CP511" s="15">
        <v>910.76</v>
      </c>
      <c r="CQ511" s="15">
        <v>946.6</v>
      </c>
      <c r="CR511" s="15">
        <v>559.5</v>
      </c>
      <c r="CS511" s="15">
        <v>47.43</v>
      </c>
      <c r="CT511" s="15">
        <v>790.67</v>
      </c>
      <c r="CU511" s="15">
        <v>108.88</v>
      </c>
      <c r="CV511" s="15">
        <v>16.52</v>
      </c>
      <c r="CW511" s="15">
        <v>1183.04</v>
      </c>
    </row>
    <row r="512" spans="1:101">
      <c r="A512" s="6">
        <v>2010</v>
      </c>
      <c r="B512" s="6" t="s">
        <v>120</v>
      </c>
      <c r="C512" s="6">
        <v>0.30356829</v>
      </c>
      <c r="D512" s="6">
        <v>0.051125</v>
      </c>
      <c r="E512" s="6">
        <v>0.01355</v>
      </c>
      <c r="F512" s="6">
        <v>0.022633</v>
      </c>
      <c r="G512" s="6">
        <v>0.007603</v>
      </c>
      <c r="H512" s="6">
        <v>0.00734</v>
      </c>
      <c r="I512" s="6">
        <v>0.047812</v>
      </c>
      <c r="J512" s="6">
        <v>0.027256</v>
      </c>
      <c r="K512" s="6">
        <v>0.34946285</v>
      </c>
      <c r="L512" s="6">
        <v>0.27986648</v>
      </c>
      <c r="M512" s="6">
        <v>0.30494004</v>
      </c>
      <c r="N512" s="6">
        <v>0.19624875</v>
      </c>
      <c r="O512" s="6">
        <v>0.18892937</v>
      </c>
      <c r="P512" s="6">
        <v>0.44276147</v>
      </c>
      <c r="Q512" s="6">
        <v>0.41731899</v>
      </c>
      <c r="R512" s="6">
        <v>217.69486</v>
      </c>
      <c r="S512" s="6">
        <v>0.00160529</v>
      </c>
      <c r="T512" s="6">
        <v>169.97573</v>
      </c>
      <c r="U512" s="6">
        <v>0.00164651</v>
      </c>
      <c r="V512" s="6">
        <v>197.11803</v>
      </c>
      <c r="W512" s="6">
        <v>0.00154699</v>
      </c>
      <c r="X512" s="6">
        <v>134.47093</v>
      </c>
      <c r="Y512" s="6">
        <v>0.00145941</v>
      </c>
      <c r="Z512" s="6">
        <v>134.86767</v>
      </c>
      <c r="AA512" s="6">
        <v>0.00140085</v>
      </c>
      <c r="AB512" s="6">
        <v>294.9318</v>
      </c>
      <c r="AC512" s="6">
        <v>0.00150123</v>
      </c>
      <c r="AD512" s="6">
        <v>243.86163</v>
      </c>
      <c r="AE512" s="6">
        <v>0.00171129</v>
      </c>
      <c r="AF512" s="6">
        <v>775</v>
      </c>
      <c r="AG512" s="6">
        <v>-0.01032915</v>
      </c>
      <c r="AH512" s="6">
        <v>-0.01055263</v>
      </c>
      <c r="AI512" s="6">
        <v>-0.01001127</v>
      </c>
      <c r="AJ512" s="6">
        <v>-0.00952957</v>
      </c>
      <c r="AK512" s="6">
        <v>-0.00920453</v>
      </c>
      <c r="AL512" s="6">
        <v>-0.00976022</v>
      </c>
      <c r="AM512" s="6">
        <v>-0.01090181</v>
      </c>
      <c r="AN512" s="6">
        <v>-6.4762184</v>
      </c>
      <c r="AO512" s="6">
        <v>-6.4515561</v>
      </c>
      <c r="AP512" s="6">
        <v>-6.4739881</v>
      </c>
      <c r="AQ512" s="6">
        <v>-6.4253629</v>
      </c>
      <c r="AR512" s="6">
        <v>-6.4020076</v>
      </c>
      <c r="AS512" s="6">
        <v>-6.4618417</v>
      </c>
      <c r="AT512" s="6">
        <v>-6.4506396</v>
      </c>
      <c r="AU512" s="6">
        <v>0.97344833</v>
      </c>
      <c r="AV512" s="6">
        <v>0.96974131</v>
      </c>
      <c r="AW512" s="6">
        <v>0.97311308</v>
      </c>
      <c r="AX512" s="6">
        <v>0.96580418</v>
      </c>
      <c r="AY512" s="6">
        <v>0.96229362</v>
      </c>
      <c r="AZ512" s="6">
        <v>0.97128734</v>
      </c>
      <c r="BA512" s="6">
        <v>0.96960354</v>
      </c>
      <c r="BB512" s="6">
        <v>0.02655167</v>
      </c>
      <c r="BC512" s="6">
        <v>0.03025869</v>
      </c>
      <c r="BD512" s="6">
        <v>0.02688692</v>
      </c>
      <c r="BE512" s="6">
        <v>0.03419582</v>
      </c>
      <c r="BF512" s="6">
        <v>0.03770638</v>
      </c>
      <c r="BG512" s="6">
        <v>0.02871266</v>
      </c>
      <c r="BH512" s="6">
        <v>0.03039646</v>
      </c>
      <c r="BI512" s="6">
        <v>0.21470859</v>
      </c>
      <c r="BJ512" s="6">
        <v>0.12366373</v>
      </c>
      <c r="BK512" s="6">
        <v>0.1409291</v>
      </c>
      <c r="BL512" s="6">
        <v>0.12522516</v>
      </c>
      <c r="BM512" s="6">
        <v>0.1592662</v>
      </c>
      <c r="BN512" s="6">
        <v>0.17561655</v>
      </c>
      <c r="BO512" s="6">
        <v>0.1337285</v>
      </c>
      <c r="BP512" s="6">
        <v>0.14157076</v>
      </c>
      <c r="BQ512" s="6">
        <v>0.04321588</v>
      </c>
      <c r="BR512" s="6">
        <v>0.03944133</v>
      </c>
      <c r="BS512" s="6">
        <v>0.03818616</v>
      </c>
      <c r="BT512" s="6">
        <v>0.03125579</v>
      </c>
      <c r="BU512" s="6">
        <v>0.03317912</v>
      </c>
      <c r="BV512" s="6">
        <v>0.05920983</v>
      </c>
      <c r="BW512" s="6">
        <v>0.05908017</v>
      </c>
      <c r="BX512" s="12">
        <v>15138</v>
      </c>
      <c r="BY512" s="13">
        <v>5727.91</v>
      </c>
      <c r="BZ512" s="12">
        <v>15967.61</v>
      </c>
      <c r="CA512" s="6">
        <f t="shared" si="48"/>
        <v>2.64284878777774</v>
      </c>
      <c r="CB512" s="6">
        <f t="shared" si="49"/>
        <v>0.948044196971244</v>
      </c>
      <c r="CC512" s="7">
        <v>380422112.3</v>
      </c>
      <c r="CD512" s="7">
        <f t="shared" si="44"/>
        <v>2.38246119676019</v>
      </c>
      <c r="CE512" s="8">
        <v>1600.6</v>
      </c>
      <c r="CF512" s="8">
        <v>6396</v>
      </c>
      <c r="CG512" s="8">
        <v>5253.2</v>
      </c>
      <c r="CH512" s="8">
        <v>21923</v>
      </c>
      <c r="CI512" s="14">
        <v>0</v>
      </c>
      <c r="CJ512" s="14">
        <v>0</v>
      </c>
      <c r="CK512" s="14">
        <f t="shared" si="45"/>
        <v>0</v>
      </c>
      <c r="CL512">
        <f t="shared" si="46"/>
        <v>2.40850270516871</v>
      </c>
      <c r="CM512">
        <f t="shared" si="47"/>
        <v>0.0108123226735982</v>
      </c>
      <c r="CN512" s="15">
        <v>15137.59</v>
      </c>
      <c r="CO512" s="15">
        <v>13470.06</v>
      </c>
      <c r="CP512" s="15">
        <v>1120.83</v>
      </c>
      <c r="CQ512" s="15">
        <v>1033.86</v>
      </c>
      <c r="CR512" s="15">
        <v>457.8</v>
      </c>
      <c r="CS512" s="15">
        <v>40.41</v>
      </c>
      <c r="CT512" s="15">
        <v>648.96</v>
      </c>
      <c r="CU512" s="15">
        <v>92.01</v>
      </c>
      <c r="CV512" s="15">
        <v>19.56</v>
      </c>
      <c r="CW512" s="15">
        <v>1330.44</v>
      </c>
    </row>
    <row r="513" spans="1:101">
      <c r="A513" s="6">
        <v>2011</v>
      </c>
      <c r="B513" s="6" t="s">
        <v>120</v>
      </c>
      <c r="C513" s="6">
        <v>0.32494486</v>
      </c>
      <c r="D513" s="6">
        <v>0.05633</v>
      </c>
      <c r="E513" s="6">
        <v>0.01343</v>
      </c>
      <c r="F513" s="6">
        <v>0.025752</v>
      </c>
      <c r="G513" s="6">
        <v>0.00858</v>
      </c>
      <c r="H513" s="6">
        <v>0.008568</v>
      </c>
      <c r="I513" s="6">
        <v>0.048689</v>
      </c>
      <c r="J513" s="6">
        <v>0.026576</v>
      </c>
      <c r="K513" s="6">
        <v>0.39028598</v>
      </c>
      <c r="L513" s="6">
        <v>0.27702535</v>
      </c>
      <c r="M513" s="6">
        <v>0.35287819</v>
      </c>
      <c r="N513" s="6">
        <v>0.22512213</v>
      </c>
      <c r="O513" s="6">
        <v>0.22616441</v>
      </c>
      <c r="P513" s="6">
        <v>0.45252163</v>
      </c>
      <c r="Q513" s="6">
        <v>0.40518872</v>
      </c>
      <c r="R513" s="6">
        <v>217.69486</v>
      </c>
      <c r="S513" s="6">
        <v>0.00179281</v>
      </c>
      <c r="T513" s="6">
        <v>169.97573</v>
      </c>
      <c r="U513" s="6">
        <v>0.00162979</v>
      </c>
      <c r="V513" s="6">
        <v>197.11803</v>
      </c>
      <c r="W513" s="6">
        <v>0.00179019</v>
      </c>
      <c r="X513" s="6">
        <v>134.47093</v>
      </c>
      <c r="Y513" s="6">
        <v>0.00167413</v>
      </c>
      <c r="Z513" s="6">
        <v>134.86767</v>
      </c>
      <c r="AA513" s="6">
        <v>0.00167694</v>
      </c>
      <c r="AB513" s="6">
        <v>294.9318</v>
      </c>
      <c r="AC513" s="6">
        <v>0.00153433</v>
      </c>
      <c r="AD513" s="6">
        <v>243.86163</v>
      </c>
      <c r="AE513" s="6">
        <v>0.00166155</v>
      </c>
      <c r="AF513" s="6">
        <v>775</v>
      </c>
      <c r="AG513" s="6">
        <v>-0.01133769</v>
      </c>
      <c r="AH513" s="6">
        <v>-0.01046214</v>
      </c>
      <c r="AI513" s="6">
        <v>-0.01132371</v>
      </c>
      <c r="AJ513" s="6">
        <v>-0.01070182</v>
      </c>
      <c r="AK513" s="6">
        <v>-0.01071694</v>
      </c>
      <c r="AL513" s="6">
        <v>-0.00994192</v>
      </c>
      <c r="AM513" s="6">
        <v>-0.01063394</v>
      </c>
      <c r="AN513" s="6">
        <v>-6.4762184</v>
      </c>
      <c r="AO513" s="6">
        <v>-6.4515561</v>
      </c>
      <c r="AP513" s="6">
        <v>-6.4739881</v>
      </c>
      <c r="AQ513" s="6">
        <v>-6.4253629</v>
      </c>
      <c r="AR513" s="6">
        <v>-6.4020076</v>
      </c>
      <c r="AS513" s="6">
        <v>-6.4618417</v>
      </c>
      <c r="AT513" s="6">
        <v>-6.4506396</v>
      </c>
      <c r="AU513" s="6">
        <v>0.97344833</v>
      </c>
      <c r="AV513" s="6">
        <v>0.96974131</v>
      </c>
      <c r="AW513" s="6">
        <v>0.97311308</v>
      </c>
      <c r="AX513" s="6">
        <v>0.96580418</v>
      </c>
      <c r="AY513" s="6">
        <v>0.96229362</v>
      </c>
      <c r="AZ513" s="6">
        <v>0.97128734</v>
      </c>
      <c r="BA513" s="6">
        <v>0.96960354</v>
      </c>
      <c r="BB513" s="6">
        <v>0.02655167</v>
      </c>
      <c r="BC513" s="6">
        <v>0.03025869</v>
      </c>
      <c r="BD513" s="6">
        <v>0.02688692</v>
      </c>
      <c r="BE513" s="6">
        <v>0.03419582</v>
      </c>
      <c r="BF513" s="6">
        <v>0.03770638</v>
      </c>
      <c r="BG513" s="6">
        <v>0.02871266</v>
      </c>
      <c r="BH513" s="6">
        <v>0.03039646</v>
      </c>
      <c r="BI513" s="6">
        <v>0.21470859</v>
      </c>
      <c r="BJ513" s="6">
        <v>0.12366373</v>
      </c>
      <c r="BK513" s="6">
        <v>0.1409291</v>
      </c>
      <c r="BL513" s="6">
        <v>0.12522516</v>
      </c>
      <c r="BM513" s="6">
        <v>0.1592662</v>
      </c>
      <c r="BN513" s="6">
        <v>0.17561655</v>
      </c>
      <c r="BO513" s="6">
        <v>0.1337285</v>
      </c>
      <c r="BP513" s="6">
        <v>0.14157076</v>
      </c>
      <c r="BQ513" s="6">
        <v>0.04826422</v>
      </c>
      <c r="BR513" s="6">
        <v>0.03904093</v>
      </c>
      <c r="BS513" s="6">
        <v>0.04418923</v>
      </c>
      <c r="BT513" s="6">
        <v>0.03585435</v>
      </c>
      <c r="BU513" s="6">
        <v>0.03971821</v>
      </c>
      <c r="BV513" s="6">
        <v>0.06051504</v>
      </c>
      <c r="BW513" s="6">
        <v>0.05736288</v>
      </c>
      <c r="BX513" s="12">
        <v>16579</v>
      </c>
      <c r="BY513" s="13">
        <v>5760</v>
      </c>
      <c r="BZ513" s="12">
        <v>19632.26</v>
      </c>
      <c r="CA513" s="6">
        <f t="shared" si="48"/>
        <v>2.87829861111111</v>
      </c>
      <c r="CB513" s="6">
        <f t="shared" si="49"/>
        <v>0.844477406065323</v>
      </c>
      <c r="CC513" s="7">
        <v>404913468.8</v>
      </c>
      <c r="CD513" s="7">
        <f t="shared" si="44"/>
        <v>2.0624903541416</v>
      </c>
      <c r="CE513" s="8">
        <v>1868</v>
      </c>
      <c r="CF513" s="8">
        <v>8189.1</v>
      </c>
      <c r="CG513" s="8">
        <v>6227.8</v>
      </c>
      <c r="CH513" s="8">
        <v>27303</v>
      </c>
      <c r="CI513" s="14">
        <v>0</v>
      </c>
      <c r="CJ513" s="14">
        <v>0</v>
      </c>
      <c r="CK513" s="14">
        <f t="shared" si="45"/>
        <v>0</v>
      </c>
      <c r="CL513">
        <f t="shared" si="46"/>
        <v>2.18035126729488</v>
      </c>
      <c r="CM513">
        <f t="shared" si="47"/>
        <v>0.0540559289327303</v>
      </c>
      <c r="CN513" s="15">
        <v>16579</v>
      </c>
      <c r="CO513" s="15">
        <v>15805</v>
      </c>
      <c r="CP513" s="15">
        <v>1172.72</v>
      </c>
      <c r="CQ513" s="15">
        <v>1026.23</v>
      </c>
      <c r="CR513" s="15">
        <v>497.81</v>
      </c>
      <c r="CS513" s="15">
        <v>46.75</v>
      </c>
      <c r="CT513" s="15">
        <v>698.07</v>
      </c>
      <c r="CU513" s="15">
        <v>97.34</v>
      </c>
      <c r="CV513" s="15">
        <v>24.92</v>
      </c>
      <c r="CW513" s="15">
        <v>1573</v>
      </c>
    </row>
    <row r="514" spans="1:101">
      <c r="A514" s="6">
        <v>2012</v>
      </c>
      <c r="B514" s="6" t="s">
        <v>120</v>
      </c>
      <c r="C514" s="6">
        <v>0.3070252</v>
      </c>
      <c r="D514" s="6">
        <v>0.052893</v>
      </c>
      <c r="E514" s="6">
        <v>0.013955</v>
      </c>
      <c r="F514" s="6">
        <v>0.02431</v>
      </c>
      <c r="G514" s="6">
        <v>0.007025</v>
      </c>
      <c r="H514" s="6">
        <v>0.007603</v>
      </c>
      <c r="I514" s="6">
        <v>0.049378</v>
      </c>
      <c r="J514" s="6">
        <v>0.025733</v>
      </c>
      <c r="K514" s="6">
        <v>0.36332452</v>
      </c>
      <c r="L514" s="6">
        <v>0.28943422</v>
      </c>
      <c r="M514" s="6">
        <v>0.33071957</v>
      </c>
      <c r="N514" s="6">
        <v>0.17917101</v>
      </c>
      <c r="O514" s="6">
        <v>0.19689677</v>
      </c>
      <c r="P514" s="6">
        <v>0.4602005</v>
      </c>
      <c r="Q514" s="6">
        <v>0.39015742</v>
      </c>
      <c r="R514" s="6">
        <v>217.69486</v>
      </c>
      <c r="S514" s="6">
        <v>0.00166896</v>
      </c>
      <c r="T514" s="6">
        <v>169.97573</v>
      </c>
      <c r="U514" s="6">
        <v>0.0017028</v>
      </c>
      <c r="V514" s="6">
        <v>197.11803</v>
      </c>
      <c r="W514" s="6">
        <v>0.00167777</v>
      </c>
      <c r="X514" s="6">
        <v>134.47093</v>
      </c>
      <c r="Y514" s="6">
        <v>0.00133241</v>
      </c>
      <c r="Z514" s="6">
        <v>134.86767</v>
      </c>
      <c r="AA514" s="6">
        <v>0.00145993</v>
      </c>
      <c r="AB514" s="6">
        <v>294.9318</v>
      </c>
      <c r="AC514" s="6">
        <v>0.00156036</v>
      </c>
      <c r="AD514" s="6">
        <v>243.86163</v>
      </c>
      <c r="AE514" s="6">
        <v>0.00159991</v>
      </c>
      <c r="AF514" s="6">
        <v>775</v>
      </c>
      <c r="AG514" s="6">
        <v>-0.01067394</v>
      </c>
      <c r="AH514" s="6">
        <v>-0.01085615</v>
      </c>
      <c r="AI514" s="6">
        <v>-0.01072146</v>
      </c>
      <c r="AJ514" s="6">
        <v>-0.0088216</v>
      </c>
      <c r="AK514" s="6">
        <v>-0.00953239</v>
      </c>
      <c r="AL514" s="6">
        <v>-0.01008437</v>
      </c>
      <c r="AM514" s="6">
        <v>-0.01029993</v>
      </c>
      <c r="AN514" s="6">
        <v>-6.4762184</v>
      </c>
      <c r="AO514" s="6">
        <v>-6.4515561</v>
      </c>
      <c r="AP514" s="6">
        <v>-6.4739881</v>
      </c>
      <c r="AQ514" s="6">
        <v>-6.4253629</v>
      </c>
      <c r="AR514" s="6">
        <v>-6.4020076</v>
      </c>
      <c r="AS514" s="6">
        <v>-6.4618417</v>
      </c>
      <c r="AT514" s="6">
        <v>-6.4506396</v>
      </c>
      <c r="AU514" s="6">
        <v>0.97344833</v>
      </c>
      <c r="AV514" s="6">
        <v>0.96974131</v>
      </c>
      <c r="AW514" s="6">
        <v>0.97311308</v>
      </c>
      <c r="AX514" s="6">
        <v>0.96580418</v>
      </c>
      <c r="AY514" s="6">
        <v>0.96229362</v>
      </c>
      <c r="AZ514" s="6">
        <v>0.97128734</v>
      </c>
      <c r="BA514" s="6">
        <v>0.96960354</v>
      </c>
      <c r="BB514" s="6">
        <v>0.02655167</v>
      </c>
      <c r="BC514" s="6">
        <v>0.03025869</v>
      </c>
      <c r="BD514" s="6">
        <v>0.02688692</v>
      </c>
      <c r="BE514" s="6">
        <v>0.03419582</v>
      </c>
      <c r="BF514" s="6">
        <v>0.03770638</v>
      </c>
      <c r="BG514" s="6">
        <v>0.02871266</v>
      </c>
      <c r="BH514" s="6">
        <v>0.03039646</v>
      </c>
      <c r="BI514" s="6">
        <v>0.21470859</v>
      </c>
      <c r="BJ514" s="6">
        <v>0.12366373</v>
      </c>
      <c r="BK514" s="6">
        <v>0.1409291</v>
      </c>
      <c r="BL514" s="6">
        <v>0.12522516</v>
      </c>
      <c r="BM514" s="6">
        <v>0.1592662</v>
      </c>
      <c r="BN514" s="6">
        <v>0.17561655</v>
      </c>
      <c r="BO514" s="6">
        <v>0.1337285</v>
      </c>
      <c r="BP514" s="6">
        <v>0.14157076</v>
      </c>
      <c r="BQ514" s="6">
        <v>0.04493007</v>
      </c>
      <c r="BR514" s="6">
        <v>0.0407897</v>
      </c>
      <c r="BS514" s="6">
        <v>0.04141441</v>
      </c>
      <c r="BT514" s="6">
        <v>0.02853589</v>
      </c>
      <c r="BU514" s="6">
        <v>0.03457833</v>
      </c>
      <c r="BV514" s="6">
        <v>0.06154192</v>
      </c>
      <c r="BW514" s="6">
        <v>0.05523488</v>
      </c>
      <c r="BX514" s="12">
        <v>17675</v>
      </c>
      <c r="BY514" s="13">
        <v>5781</v>
      </c>
      <c r="BZ514" s="12">
        <v>22250.45</v>
      </c>
      <c r="CA514" s="6">
        <f t="shared" si="48"/>
        <v>3.05742951046532</v>
      </c>
      <c r="CB514" s="6">
        <f t="shared" si="49"/>
        <v>0.794365956643573</v>
      </c>
      <c r="CC514" s="7">
        <v>426470797.9</v>
      </c>
      <c r="CD514" s="7">
        <f t="shared" si="44"/>
        <v>1.91668392279707</v>
      </c>
      <c r="CE514" s="8">
        <v>2018.6</v>
      </c>
      <c r="CF514" s="8">
        <v>9247.9</v>
      </c>
      <c r="CG514" s="8">
        <v>7075.2</v>
      </c>
      <c r="CH514" s="8">
        <v>30697</v>
      </c>
      <c r="CI514" s="14">
        <v>0</v>
      </c>
      <c r="CJ514" s="14">
        <v>0</v>
      </c>
      <c r="CK514" s="14">
        <f t="shared" si="45"/>
        <v>0</v>
      </c>
      <c r="CL514">
        <f t="shared" si="46"/>
        <v>2.01609935715007</v>
      </c>
      <c r="CM514">
        <f t="shared" si="47"/>
        <v>0.049310781237258</v>
      </c>
      <c r="CN514" s="15">
        <v>17674.66</v>
      </c>
      <c r="CO514" s="15">
        <v>15799</v>
      </c>
      <c r="CP514" s="15">
        <v>1113.85</v>
      </c>
      <c r="CQ514" s="15">
        <v>947.74</v>
      </c>
      <c r="CR514" s="15">
        <v>566.71</v>
      </c>
      <c r="CS514" s="15">
        <v>53.26</v>
      </c>
      <c r="CT514" s="15">
        <v>732.07</v>
      </c>
      <c r="CU514" s="15">
        <v>104.29</v>
      </c>
      <c r="CV514" s="15">
        <v>29.28</v>
      </c>
      <c r="CW514" s="15">
        <v>1642.74</v>
      </c>
    </row>
    <row r="515" spans="1:101">
      <c r="A515" s="6">
        <v>2013</v>
      </c>
      <c r="B515" s="6" t="s">
        <v>120</v>
      </c>
      <c r="C515" s="6">
        <v>0.3234873</v>
      </c>
      <c r="D515" s="6">
        <v>0.054478</v>
      </c>
      <c r="E515" s="6">
        <v>0.013805</v>
      </c>
      <c r="F515" s="6">
        <v>0.024556</v>
      </c>
      <c r="G515" s="6">
        <v>0.008291</v>
      </c>
      <c r="H515" s="6">
        <v>0.007825</v>
      </c>
      <c r="I515" s="6">
        <v>0.054084</v>
      </c>
      <c r="J515" s="6">
        <v>0.026048</v>
      </c>
      <c r="K515" s="6">
        <v>0.37575738</v>
      </c>
      <c r="L515" s="6">
        <v>0.28589669</v>
      </c>
      <c r="M515" s="6">
        <v>0.33450134</v>
      </c>
      <c r="N515" s="6">
        <v>0.21658611</v>
      </c>
      <c r="O515" s="6">
        <v>0.20364902</v>
      </c>
      <c r="P515" s="6">
        <v>0.51261578</v>
      </c>
      <c r="Q515" s="6">
        <v>0.39577572</v>
      </c>
      <c r="R515" s="6">
        <v>217.69486</v>
      </c>
      <c r="S515" s="6">
        <v>0.00172607</v>
      </c>
      <c r="T515" s="6">
        <v>169.97573</v>
      </c>
      <c r="U515" s="6">
        <v>0.00168199</v>
      </c>
      <c r="V515" s="6">
        <v>197.11803</v>
      </c>
      <c r="W515" s="6">
        <v>0.00169696</v>
      </c>
      <c r="X515" s="6">
        <v>134.47093</v>
      </c>
      <c r="Y515" s="6">
        <v>0.00161065</v>
      </c>
      <c r="Z515" s="6">
        <v>134.86767</v>
      </c>
      <c r="AA515" s="6">
        <v>0.00150999</v>
      </c>
      <c r="AB515" s="6">
        <v>294.9318</v>
      </c>
      <c r="AC515" s="6">
        <v>0.00173808</v>
      </c>
      <c r="AD515" s="6">
        <v>243.86163</v>
      </c>
      <c r="AE515" s="6">
        <v>0.00162295</v>
      </c>
      <c r="AF515" s="6">
        <v>775</v>
      </c>
      <c r="AG515" s="6">
        <v>-0.01098112</v>
      </c>
      <c r="AH515" s="6">
        <v>-0.01074415</v>
      </c>
      <c r="AI515" s="6">
        <v>-0.01082476</v>
      </c>
      <c r="AJ515" s="6">
        <v>-0.0103583</v>
      </c>
      <c r="AK515" s="6">
        <v>-0.00980838</v>
      </c>
      <c r="AL515" s="6">
        <v>-0.01104547</v>
      </c>
      <c r="AM515" s="6">
        <v>-0.01042505</v>
      </c>
      <c r="AN515" s="6">
        <v>-6.4762184</v>
      </c>
      <c r="AO515" s="6">
        <v>-6.4515561</v>
      </c>
      <c r="AP515" s="6">
        <v>-6.4739881</v>
      </c>
      <c r="AQ515" s="6">
        <v>-6.4253629</v>
      </c>
      <c r="AR515" s="6">
        <v>-6.4020076</v>
      </c>
      <c r="AS515" s="6">
        <v>-6.4618417</v>
      </c>
      <c r="AT515" s="6">
        <v>-6.4506396</v>
      </c>
      <c r="AU515" s="6">
        <v>0.97344833</v>
      </c>
      <c r="AV515" s="6">
        <v>0.96974131</v>
      </c>
      <c r="AW515" s="6">
        <v>0.97311308</v>
      </c>
      <c r="AX515" s="6">
        <v>0.96580418</v>
      </c>
      <c r="AY515" s="6">
        <v>0.96229362</v>
      </c>
      <c r="AZ515" s="6">
        <v>0.97128734</v>
      </c>
      <c r="BA515" s="6">
        <v>0.96960354</v>
      </c>
      <c r="BB515" s="6">
        <v>0.02655167</v>
      </c>
      <c r="BC515" s="6">
        <v>0.03025869</v>
      </c>
      <c r="BD515" s="6">
        <v>0.02688692</v>
      </c>
      <c r="BE515" s="6">
        <v>0.03419582</v>
      </c>
      <c r="BF515" s="6">
        <v>0.03770638</v>
      </c>
      <c r="BG515" s="6">
        <v>0.02871266</v>
      </c>
      <c r="BH515" s="6">
        <v>0.03039646</v>
      </c>
      <c r="BI515" s="6">
        <v>0.21470859</v>
      </c>
      <c r="BJ515" s="6">
        <v>0.12366373</v>
      </c>
      <c r="BK515" s="6">
        <v>0.1409291</v>
      </c>
      <c r="BL515" s="6">
        <v>0.12522516</v>
      </c>
      <c r="BM515" s="6">
        <v>0.1592662</v>
      </c>
      <c r="BN515" s="6">
        <v>0.17561655</v>
      </c>
      <c r="BO515" s="6">
        <v>0.1337285</v>
      </c>
      <c r="BP515" s="6">
        <v>0.14157076</v>
      </c>
      <c r="BQ515" s="6">
        <v>0.04646756</v>
      </c>
      <c r="BR515" s="6">
        <v>0.04029116</v>
      </c>
      <c r="BS515" s="6">
        <v>0.04188798</v>
      </c>
      <c r="BT515" s="6">
        <v>0.03449485</v>
      </c>
      <c r="BU515" s="6">
        <v>0.03576414</v>
      </c>
      <c r="BV515" s="6">
        <v>0.06855134</v>
      </c>
      <c r="BW515" s="6">
        <v>0.05603027</v>
      </c>
      <c r="BX515" s="12">
        <v>15703</v>
      </c>
      <c r="BY515" s="13">
        <v>5798</v>
      </c>
      <c r="BZ515" s="12">
        <v>24791.83</v>
      </c>
      <c r="CA515" s="6">
        <f t="shared" si="48"/>
        <v>2.70834770610555</v>
      </c>
      <c r="CB515" s="6">
        <f t="shared" si="49"/>
        <v>0.633394146378061</v>
      </c>
      <c r="CC515" s="7">
        <v>440038367</v>
      </c>
      <c r="CD515" s="7">
        <f t="shared" ref="CD515:CD578" si="50">CC515/10000/BZ515</f>
        <v>1.77493297993734</v>
      </c>
      <c r="CE515" s="8">
        <v>2173.2</v>
      </c>
      <c r="CF515" s="8">
        <v>10233.4</v>
      </c>
      <c r="CG515" s="8">
        <v>8177.4</v>
      </c>
      <c r="CH515" s="8">
        <v>34404</v>
      </c>
      <c r="CI515" s="14">
        <v>0</v>
      </c>
      <c r="CJ515" s="14">
        <v>0</v>
      </c>
      <c r="CK515" s="14">
        <f t="shared" ref="CK515:CK578" si="51">CI515*CJ515</f>
        <v>0</v>
      </c>
      <c r="CL515">
        <f t="shared" ref="CL515:CL578" si="52">AVERAGEIF($A:$A,$A515,$CD:$CD)</f>
        <v>1.91398219724656</v>
      </c>
      <c r="CM515">
        <f t="shared" ref="CM515:CM578" si="53">MAX(0,1-CD515/CL515)</f>
        <v>0.0726491696261622</v>
      </c>
      <c r="CN515" s="15">
        <v>15703</v>
      </c>
      <c r="CO515" s="15">
        <v>12166.72</v>
      </c>
      <c r="CP515" s="15">
        <v>1114.39</v>
      </c>
      <c r="CQ515" s="15">
        <v>1176.72</v>
      </c>
      <c r="CR515" s="15">
        <v>616.05</v>
      </c>
      <c r="CS515" s="15">
        <v>63.77</v>
      </c>
      <c r="CT515" s="15">
        <v>805.41</v>
      </c>
      <c r="CU515" s="15">
        <v>118.84</v>
      </c>
      <c r="CV515" s="15">
        <v>31.97</v>
      </c>
      <c r="CW515" s="15">
        <v>1629.75</v>
      </c>
    </row>
    <row r="516" spans="1:101">
      <c r="A516" s="6">
        <v>2014</v>
      </c>
      <c r="B516" s="6" t="s">
        <v>120</v>
      </c>
      <c r="C516" s="6">
        <v>0.34342274</v>
      </c>
      <c r="D516" s="6">
        <v>0.057604</v>
      </c>
      <c r="E516" s="6">
        <v>0.013814</v>
      </c>
      <c r="F516" s="6">
        <v>0.026482</v>
      </c>
      <c r="G516" s="6">
        <v>0.008938</v>
      </c>
      <c r="H516" s="6">
        <v>0.008369</v>
      </c>
      <c r="I516" s="6">
        <v>0.05547</v>
      </c>
      <c r="J516" s="6">
        <v>0.028092</v>
      </c>
      <c r="K516" s="6">
        <v>0.40027776</v>
      </c>
      <c r="L516" s="6">
        <v>0.28610775</v>
      </c>
      <c r="M516" s="6">
        <v>0.36410383</v>
      </c>
      <c r="N516" s="6">
        <v>0.23571024</v>
      </c>
      <c r="O516" s="6">
        <v>0.22013598</v>
      </c>
      <c r="P516" s="6">
        <v>0.52804761</v>
      </c>
      <c r="Q516" s="6">
        <v>0.4322349</v>
      </c>
      <c r="R516" s="6">
        <v>217.69486</v>
      </c>
      <c r="S516" s="6">
        <v>0.00183871</v>
      </c>
      <c r="T516" s="6">
        <v>169.97573</v>
      </c>
      <c r="U516" s="6">
        <v>0.00168323</v>
      </c>
      <c r="V516" s="6">
        <v>197.11803</v>
      </c>
      <c r="W516" s="6">
        <v>0.00184714</v>
      </c>
      <c r="X516" s="6">
        <v>134.47093</v>
      </c>
      <c r="Y516" s="6">
        <v>0.00175287</v>
      </c>
      <c r="Z516" s="6">
        <v>134.86767</v>
      </c>
      <c r="AA516" s="6">
        <v>0.00163224</v>
      </c>
      <c r="AB516" s="6">
        <v>294.9318</v>
      </c>
      <c r="AC516" s="6">
        <v>0.00179041</v>
      </c>
      <c r="AD516" s="6">
        <v>243.86163</v>
      </c>
      <c r="AE516" s="6">
        <v>0.00177246</v>
      </c>
      <c r="AF516" s="6">
        <v>775</v>
      </c>
      <c r="AG516" s="6">
        <v>-0.01158147</v>
      </c>
      <c r="AH516" s="6">
        <v>-0.01075084</v>
      </c>
      <c r="AI516" s="6">
        <v>-0.01162609</v>
      </c>
      <c r="AJ516" s="6">
        <v>-0.0111246</v>
      </c>
      <c r="AK516" s="6">
        <v>-0.01047538</v>
      </c>
      <c r="AL516" s="6">
        <v>-0.01132488</v>
      </c>
      <c r="AM516" s="6">
        <v>-0.01122922</v>
      </c>
      <c r="AN516" s="6">
        <v>-6.4762184</v>
      </c>
      <c r="AO516" s="6">
        <v>-6.4515561</v>
      </c>
      <c r="AP516" s="6">
        <v>-6.4739881</v>
      </c>
      <c r="AQ516" s="6">
        <v>-6.4253629</v>
      </c>
      <c r="AR516" s="6">
        <v>-6.4020076</v>
      </c>
      <c r="AS516" s="6">
        <v>-6.4618417</v>
      </c>
      <c r="AT516" s="6">
        <v>-6.4506396</v>
      </c>
      <c r="AU516" s="6">
        <v>0.97344833</v>
      </c>
      <c r="AV516" s="6">
        <v>0.96974131</v>
      </c>
      <c r="AW516" s="6">
        <v>0.97311308</v>
      </c>
      <c r="AX516" s="6">
        <v>0.96580418</v>
      </c>
      <c r="AY516" s="6">
        <v>0.96229362</v>
      </c>
      <c r="AZ516" s="6">
        <v>0.97128734</v>
      </c>
      <c r="BA516" s="6">
        <v>0.96960354</v>
      </c>
      <c r="BB516" s="6">
        <v>0.02655167</v>
      </c>
      <c r="BC516" s="6">
        <v>0.03025869</v>
      </c>
      <c r="BD516" s="6">
        <v>0.02688692</v>
      </c>
      <c r="BE516" s="6">
        <v>0.03419582</v>
      </c>
      <c r="BF516" s="6">
        <v>0.03770638</v>
      </c>
      <c r="BG516" s="6">
        <v>0.02871266</v>
      </c>
      <c r="BH516" s="6">
        <v>0.03039646</v>
      </c>
      <c r="BI516" s="6">
        <v>0.21470859</v>
      </c>
      <c r="BJ516" s="6">
        <v>0.12366373</v>
      </c>
      <c r="BK516" s="6">
        <v>0.1409291</v>
      </c>
      <c r="BL516" s="6">
        <v>0.12522516</v>
      </c>
      <c r="BM516" s="6">
        <v>0.1592662</v>
      </c>
      <c r="BN516" s="6">
        <v>0.17561655</v>
      </c>
      <c r="BO516" s="6">
        <v>0.1337285</v>
      </c>
      <c r="BP516" s="6">
        <v>0.14157076</v>
      </c>
      <c r="BQ516" s="6">
        <v>0.04949984</v>
      </c>
      <c r="BR516" s="6">
        <v>0.04032091</v>
      </c>
      <c r="BS516" s="6">
        <v>0.04559496</v>
      </c>
      <c r="BT516" s="6">
        <v>0.03754067</v>
      </c>
      <c r="BU516" s="6">
        <v>0.03865952</v>
      </c>
      <c r="BV516" s="6">
        <v>0.07061501</v>
      </c>
      <c r="BW516" s="6">
        <v>0.06119183</v>
      </c>
      <c r="BX516" s="12">
        <v>16320</v>
      </c>
      <c r="BY516" s="13">
        <v>5816</v>
      </c>
      <c r="BZ516" s="12">
        <v>27379.22</v>
      </c>
      <c r="CA516" s="6">
        <f t="shared" si="48"/>
        <v>2.8060522696011</v>
      </c>
      <c r="CB516" s="6">
        <f t="shared" si="49"/>
        <v>0.596072495856346</v>
      </c>
      <c r="CC516" s="7">
        <v>453862104.4</v>
      </c>
      <c r="CD516" s="7">
        <f t="shared" si="50"/>
        <v>1.65768821902158</v>
      </c>
      <c r="CE516" s="8">
        <v>2295</v>
      </c>
      <c r="CF516" s="8">
        <v>10982.6</v>
      </c>
      <c r="CG516" s="8">
        <v>9242.1</v>
      </c>
      <c r="CH516" s="8">
        <v>37580</v>
      </c>
      <c r="CI516" s="14">
        <v>0</v>
      </c>
      <c r="CJ516" s="14">
        <v>0</v>
      </c>
      <c r="CK516" s="14">
        <f t="shared" si="51"/>
        <v>0</v>
      </c>
      <c r="CL516">
        <f t="shared" si="52"/>
        <v>1.79640226266579</v>
      </c>
      <c r="CM516">
        <f t="shared" si="53"/>
        <v>0.0772176959064619</v>
      </c>
      <c r="CN516" s="15">
        <v>16320.26</v>
      </c>
      <c r="CO516" s="15">
        <v>11887.83</v>
      </c>
      <c r="CP516" s="15">
        <v>1124.4</v>
      </c>
      <c r="CQ516" s="15">
        <v>1290.87</v>
      </c>
      <c r="CR516" s="15">
        <v>660.05</v>
      </c>
      <c r="CS516" s="15">
        <v>66.04</v>
      </c>
      <c r="CT516" s="15">
        <v>863.69</v>
      </c>
      <c r="CU516" s="15">
        <v>135.51</v>
      </c>
      <c r="CV516" s="15">
        <v>40.24</v>
      </c>
      <c r="CW516" s="15">
        <v>1656.54</v>
      </c>
    </row>
    <row r="517" spans="1:101">
      <c r="A517" s="6">
        <v>2015</v>
      </c>
      <c r="B517" s="6" t="s">
        <v>120</v>
      </c>
      <c r="C517" s="6">
        <v>0.3250295</v>
      </c>
      <c r="D517" s="6">
        <v>0.053026</v>
      </c>
      <c r="E517" s="6">
        <v>0.012796</v>
      </c>
      <c r="F517" s="6">
        <v>0.023955</v>
      </c>
      <c r="G517" s="6">
        <v>0.008218</v>
      </c>
      <c r="H517" s="6">
        <v>0.008057</v>
      </c>
      <c r="I517" s="6">
        <v>0.055943</v>
      </c>
      <c r="J517" s="6">
        <v>0.027558</v>
      </c>
      <c r="K517" s="6">
        <v>0.36436962</v>
      </c>
      <c r="L517" s="6">
        <v>0.26202959</v>
      </c>
      <c r="M517" s="6">
        <v>0.32526879</v>
      </c>
      <c r="N517" s="6">
        <v>0.21442193</v>
      </c>
      <c r="O517" s="6">
        <v>0.21066883</v>
      </c>
      <c r="P517" s="6">
        <v>0.53332438</v>
      </c>
      <c r="Q517" s="6">
        <v>0.42270734</v>
      </c>
      <c r="R517" s="6">
        <v>217.69486</v>
      </c>
      <c r="S517" s="6">
        <v>0.00167376</v>
      </c>
      <c r="T517" s="6">
        <v>169.97573</v>
      </c>
      <c r="U517" s="6">
        <v>0.00154157</v>
      </c>
      <c r="V517" s="6">
        <v>197.11803</v>
      </c>
      <c r="W517" s="6">
        <v>0.00165012</v>
      </c>
      <c r="X517" s="6">
        <v>134.47093</v>
      </c>
      <c r="Y517" s="6">
        <v>0.00159456</v>
      </c>
      <c r="Z517" s="6">
        <v>134.86767</v>
      </c>
      <c r="AA517" s="6">
        <v>0.00156204</v>
      </c>
      <c r="AB517" s="6">
        <v>294.9318</v>
      </c>
      <c r="AC517" s="6">
        <v>0.0018083</v>
      </c>
      <c r="AD517" s="6">
        <v>243.86163</v>
      </c>
      <c r="AE517" s="6">
        <v>0.00173339</v>
      </c>
      <c r="AF517" s="6">
        <v>775</v>
      </c>
      <c r="AG517" s="6">
        <v>-0.01069983</v>
      </c>
      <c r="AH517" s="6">
        <v>-0.0099816</v>
      </c>
      <c r="AI517" s="6">
        <v>-0.01057218</v>
      </c>
      <c r="AJ517" s="6">
        <v>-0.01027081</v>
      </c>
      <c r="AK517" s="6">
        <v>-0.01009354</v>
      </c>
      <c r="AL517" s="6">
        <v>-0.01142007</v>
      </c>
      <c r="AM517" s="6">
        <v>-0.01102033</v>
      </c>
      <c r="AN517" s="6">
        <v>-6.4762184</v>
      </c>
      <c r="AO517" s="6">
        <v>-6.4515561</v>
      </c>
      <c r="AP517" s="6">
        <v>-6.4739881</v>
      </c>
      <c r="AQ517" s="6">
        <v>-6.4253629</v>
      </c>
      <c r="AR517" s="6">
        <v>-6.4020076</v>
      </c>
      <c r="AS517" s="6">
        <v>-6.4618417</v>
      </c>
      <c r="AT517" s="6">
        <v>-6.4506396</v>
      </c>
      <c r="AU517" s="6">
        <v>0.97344833</v>
      </c>
      <c r="AV517" s="6">
        <v>0.96974131</v>
      </c>
      <c r="AW517" s="6">
        <v>0.97311308</v>
      </c>
      <c r="AX517" s="6">
        <v>0.96580418</v>
      </c>
      <c r="AY517" s="6">
        <v>0.96229362</v>
      </c>
      <c r="AZ517" s="6">
        <v>0.97128734</v>
      </c>
      <c r="BA517" s="6">
        <v>0.96960354</v>
      </c>
      <c r="BB517" s="6">
        <v>0.02655167</v>
      </c>
      <c r="BC517" s="6">
        <v>0.03025869</v>
      </c>
      <c r="BD517" s="6">
        <v>0.02688692</v>
      </c>
      <c r="BE517" s="6">
        <v>0.03419582</v>
      </c>
      <c r="BF517" s="6">
        <v>0.03770638</v>
      </c>
      <c r="BG517" s="6">
        <v>0.02871266</v>
      </c>
      <c r="BH517" s="6">
        <v>0.03039646</v>
      </c>
      <c r="BI517" s="6">
        <v>0.21470859</v>
      </c>
      <c r="BJ517" s="6">
        <v>0.12366373</v>
      </c>
      <c r="BK517" s="6">
        <v>0.1409291</v>
      </c>
      <c r="BL517" s="6">
        <v>0.12522516</v>
      </c>
      <c r="BM517" s="6">
        <v>0.1592662</v>
      </c>
      <c r="BN517" s="6">
        <v>0.17561655</v>
      </c>
      <c r="BO517" s="6">
        <v>0.1337285</v>
      </c>
      <c r="BP517" s="6">
        <v>0.14157076</v>
      </c>
      <c r="BQ517" s="6">
        <v>0.04505931</v>
      </c>
      <c r="BR517" s="6">
        <v>0.03692759</v>
      </c>
      <c r="BS517" s="6">
        <v>0.04073184</v>
      </c>
      <c r="BT517" s="6">
        <v>0.03415017</v>
      </c>
      <c r="BU517" s="6">
        <v>0.03699693</v>
      </c>
      <c r="BV517" s="6">
        <v>0.07132067</v>
      </c>
      <c r="BW517" s="6">
        <v>0.059843</v>
      </c>
      <c r="BX517" s="12">
        <v>15477</v>
      </c>
      <c r="BY517" s="13">
        <v>5850</v>
      </c>
      <c r="BZ517" s="12">
        <v>29550.18814</v>
      </c>
      <c r="CA517" s="6">
        <f t="shared" si="48"/>
        <v>2.64564102564103</v>
      </c>
      <c r="CB517" s="6">
        <f t="shared" si="49"/>
        <v>0.52375301052821</v>
      </c>
      <c r="CC517" s="7">
        <v>452850917.6</v>
      </c>
      <c r="CD517" s="7">
        <f t="shared" si="50"/>
        <v>1.53248065783719</v>
      </c>
      <c r="CE517" s="8">
        <v>2376.1</v>
      </c>
      <c r="CF517" s="8">
        <v>10838.3</v>
      </c>
      <c r="CG517" s="8">
        <v>10616.8</v>
      </c>
      <c r="CH517" s="8">
        <v>39692</v>
      </c>
      <c r="CI517" s="14">
        <v>0</v>
      </c>
      <c r="CJ517" s="14">
        <v>0</v>
      </c>
      <c r="CK517" s="14">
        <f t="shared" si="51"/>
        <v>0</v>
      </c>
      <c r="CL517">
        <f t="shared" si="52"/>
        <v>1.71577514742415</v>
      </c>
      <c r="CM517">
        <f t="shared" si="53"/>
        <v>0.106828968738783</v>
      </c>
      <c r="CN517" s="15">
        <v>15477</v>
      </c>
      <c r="CO517" s="15">
        <v>11035.08</v>
      </c>
      <c r="CP517" s="15">
        <v>1030.01</v>
      </c>
      <c r="CQ517" s="15">
        <v>1299.01</v>
      </c>
      <c r="CR517" s="15">
        <v>716.92</v>
      </c>
      <c r="CS517" s="15">
        <v>79.87</v>
      </c>
      <c r="CT517" s="15">
        <v>817.31</v>
      </c>
      <c r="CU517" s="15">
        <v>109.27</v>
      </c>
      <c r="CV517" s="15">
        <v>40.26</v>
      </c>
      <c r="CW517" s="15">
        <v>1665</v>
      </c>
    </row>
    <row r="518" spans="1:101">
      <c r="A518" s="6">
        <v>2016</v>
      </c>
      <c r="B518" s="6" t="s">
        <v>120</v>
      </c>
      <c r="C518" s="6">
        <v>0.36666921</v>
      </c>
      <c r="D518" s="6">
        <v>0.059846</v>
      </c>
      <c r="E518" s="6">
        <v>0.015143</v>
      </c>
      <c r="F518" s="6">
        <v>0.026434</v>
      </c>
      <c r="G518" s="6">
        <v>0.008428</v>
      </c>
      <c r="H518" s="6">
        <v>0.009842</v>
      </c>
      <c r="I518" s="6">
        <v>0.059294</v>
      </c>
      <c r="J518" s="6">
        <v>0.030311</v>
      </c>
      <c r="K518" s="6">
        <v>0.41787036</v>
      </c>
      <c r="L518" s="6">
        <v>0.31753486</v>
      </c>
      <c r="M518" s="6">
        <v>0.36335663</v>
      </c>
      <c r="N518" s="6">
        <v>0.22063707</v>
      </c>
      <c r="O518" s="6">
        <v>0.26474698</v>
      </c>
      <c r="P518" s="6">
        <v>0.57064313</v>
      </c>
      <c r="Q518" s="6">
        <v>0.47182965</v>
      </c>
      <c r="R518" s="6">
        <v>217.69486</v>
      </c>
      <c r="S518" s="6">
        <v>0.00191952</v>
      </c>
      <c r="T518" s="6">
        <v>169.97573</v>
      </c>
      <c r="U518" s="6">
        <v>0.00186812</v>
      </c>
      <c r="V518" s="6">
        <v>197.11803</v>
      </c>
      <c r="W518" s="6">
        <v>0.00184335</v>
      </c>
      <c r="X518" s="6">
        <v>134.47093</v>
      </c>
      <c r="Y518" s="6">
        <v>0.00164078</v>
      </c>
      <c r="Z518" s="6">
        <v>134.86767</v>
      </c>
      <c r="AA518" s="6">
        <v>0.00196301</v>
      </c>
      <c r="AB518" s="6">
        <v>294.9318</v>
      </c>
      <c r="AC518" s="6">
        <v>0.00193483</v>
      </c>
      <c r="AD518" s="6">
        <v>243.86163</v>
      </c>
      <c r="AE518" s="6">
        <v>0.00193483</v>
      </c>
      <c r="AF518" s="6">
        <v>775</v>
      </c>
      <c r="AG518" s="6">
        <v>-0.01200792</v>
      </c>
      <c r="AH518" s="6">
        <v>-0.01173706</v>
      </c>
      <c r="AI518" s="6">
        <v>-0.01160602</v>
      </c>
      <c r="AJ518" s="6">
        <v>-0.01052163</v>
      </c>
      <c r="AK518" s="6">
        <v>-0.012236</v>
      </c>
      <c r="AL518" s="6">
        <v>-0.01208831</v>
      </c>
      <c r="AM518" s="6">
        <v>-0.01208828</v>
      </c>
      <c r="AN518" s="6">
        <v>-6.4762184</v>
      </c>
      <c r="AO518" s="6">
        <v>-6.4515561</v>
      </c>
      <c r="AP518" s="6">
        <v>-6.4739881</v>
      </c>
      <c r="AQ518" s="6">
        <v>-6.4253629</v>
      </c>
      <c r="AR518" s="6">
        <v>-6.4020076</v>
      </c>
      <c r="AS518" s="6">
        <v>-6.4618417</v>
      </c>
      <c r="AT518" s="6">
        <v>-6.4506396</v>
      </c>
      <c r="AU518" s="6">
        <v>0.97344833</v>
      </c>
      <c r="AV518" s="6">
        <v>0.96974131</v>
      </c>
      <c r="AW518" s="6">
        <v>0.97311308</v>
      </c>
      <c r="AX518" s="6">
        <v>0.96580418</v>
      </c>
      <c r="AY518" s="6">
        <v>0.96229362</v>
      </c>
      <c r="AZ518" s="6">
        <v>0.97128734</v>
      </c>
      <c r="BA518" s="6">
        <v>0.96960354</v>
      </c>
      <c r="BB518" s="6">
        <v>0.02655167</v>
      </c>
      <c r="BC518" s="6">
        <v>0.03025869</v>
      </c>
      <c r="BD518" s="6">
        <v>0.02688692</v>
      </c>
      <c r="BE518" s="6">
        <v>0.03419582</v>
      </c>
      <c r="BF518" s="6">
        <v>0.03770638</v>
      </c>
      <c r="BG518" s="6">
        <v>0.02871266</v>
      </c>
      <c r="BH518" s="6">
        <v>0.03039646</v>
      </c>
      <c r="BI518" s="6">
        <v>0.21470859</v>
      </c>
      <c r="BJ518" s="6">
        <v>0.12366373</v>
      </c>
      <c r="BK518" s="6">
        <v>0.1409291</v>
      </c>
      <c r="BL518" s="6">
        <v>0.12522516</v>
      </c>
      <c r="BM518" s="6">
        <v>0.1592662</v>
      </c>
      <c r="BN518" s="6">
        <v>0.17561655</v>
      </c>
      <c r="BO518" s="6">
        <v>0.1337285</v>
      </c>
      <c r="BP518" s="6">
        <v>0.14157076</v>
      </c>
      <c r="BQ518" s="6">
        <v>0.05167541</v>
      </c>
      <c r="BR518" s="6">
        <v>0.0447499</v>
      </c>
      <c r="BS518" s="6">
        <v>0.04550139</v>
      </c>
      <c r="BT518" s="6">
        <v>0.03514003</v>
      </c>
      <c r="BU518" s="6">
        <v>0.04649395</v>
      </c>
      <c r="BV518" s="6">
        <v>0.07631125</v>
      </c>
      <c r="BW518" s="6">
        <v>0.06679728</v>
      </c>
      <c r="BX518" s="12">
        <v>15897</v>
      </c>
      <c r="BY518" s="13">
        <v>5885</v>
      </c>
      <c r="BZ518" s="12">
        <v>32665.38</v>
      </c>
      <c r="CA518" s="6">
        <f t="shared" si="48"/>
        <v>2.70127442650807</v>
      </c>
      <c r="CB518" s="6">
        <f t="shared" si="49"/>
        <v>0.486662025667542</v>
      </c>
      <c r="CC518" s="7">
        <v>446787934.5</v>
      </c>
      <c r="CD518" s="7">
        <f t="shared" si="50"/>
        <v>1.36777204030689</v>
      </c>
      <c r="CE518" s="8">
        <v>2489.8</v>
      </c>
      <c r="CF518" s="8">
        <v>11517.5</v>
      </c>
      <c r="CG518" s="8">
        <v>12300.5</v>
      </c>
      <c r="CH518" s="8">
        <v>43686</v>
      </c>
      <c r="CI518" s="14">
        <v>0</v>
      </c>
      <c r="CJ518" s="14">
        <v>0</v>
      </c>
      <c r="CK518" s="14">
        <f t="shared" si="51"/>
        <v>0</v>
      </c>
      <c r="CL518">
        <f t="shared" si="52"/>
        <v>1.62438398605541</v>
      </c>
      <c r="CM518">
        <f t="shared" si="53"/>
        <v>0.157974929543392</v>
      </c>
      <c r="CN518" s="15">
        <v>15897</v>
      </c>
      <c r="CO518" s="15">
        <v>10739.77</v>
      </c>
      <c r="CP518" s="15">
        <v>1095.31</v>
      </c>
      <c r="CQ518" s="15">
        <v>1239.61</v>
      </c>
      <c r="CR518" s="15">
        <v>743.19</v>
      </c>
      <c r="CS518" s="15">
        <v>96.97</v>
      </c>
      <c r="CT518" s="15">
        <v>865.85</v>
      </c>
      <c r="CU518" s="15">
        <v>117.83</v>
      </c>
      <c r="CV518" s="15">
        <v>41.5</v>
      </c>
      <c r="CW518" s="15">
        <v>1763.11</v>
      </c>
    </row>
    <row r="519" spans="1:101">
      <c r="A519" s="6">
        <v>2017</v>
      </c>
      <c r="B519" s="6" t="s">
        <v>120</v>
      </c>
      <c r="C519" s="6">
        <v>0.36300724</v>
      </c>
      <c r="D519" s="6">
        <v>0.0618</v>
      </c>
      <c r="E519" s="6">
        <v>0.015062</v>
      </c>
      <c r="F519" s="6">
        <v>0.027115</v>
      </c>
      <c r="G519" s="6">
        <v>0.008756</v>
      </c>
      <c r="H519" s="6">
        <v>0.010868</v>
      </c>
      <c r="I519" s="6">
        <v>0.053984</v>
      </c>
      <c r="J519" s="6">
        <v>0.028057</v>
      </c>
      <c r="K519" s="6">
        <v>0.43319624</v>
      </c>
      <c r="L519" s="6">
        <v>0.31560005</v>
      </c>
      <c r="M519" s="6">
        <v>0.3738309</v>
      </c>
      <c r="N519" s="6">
        <v>0.23033713</v>
      </c>
      <c r="O519" s="6">
        <v>0.2958398</v>
      </c>
      <c r="P519" s="6">
        <v>0.51150319</v>
      </c>
      <c r="Q519" s="6">
        <v>0.43161791</v>
      </c>
      <c r="R519" s="6">
        <v>217.69486</v>
      </c>
      <c r="S519" s="6">
        <v>0.00198992</v>
      </c>
      <c r="T519" s="6">
        <v>169.97573</v>
      </c>
      <c r="U519" s="6">
        <v>0.00185674</v>
      </c>
      <c r="V519" s="6">
        <v>197.11803</v>
      </c>
      <c r="W519" s="6">
        <v>0.00189648</v>
      </c>
      <c r="X519" s="6">
        <v>134.47093</v>
      </c>
      <c r="Y519" s="6">
        <v>0.00171291</v>
      </c>
      <c r="Z519" s="6">
        <v>134.86767</v>
      </c>
      <c r="AA519" s="6">
        <v>0.00219356</v>
      </c>
      <c r="AB519" s="6">
        <v>294.9318</v>
      </c>
      <c r="AC519" s="6">
        <v>0.00173431</v>
      </c>
      <c r="AD519" s="6">
        <v>243.86163</v>
      </c>
      <c r="AE519" s="6">
        <v>0.00176993</v>
      </c>
      <c r="AF519" s="6">
        <v>775</v>
      </c>
      <c r="AG519" s="6">
        <v>-0.01237665</v>
      </c>
      <c r="AH519" s="6">
        <v>-0.01167689</v>
      </c>
      <c r="AI519" s="6">
        <v>-0.01188669</v>
      </c>
      <c r="AJ519" s="6">
        <v>-0.01091051</v>
      </c>
      <c r="AK519" s="6">
        <v>-0.01342946</v>
      </c>
      <c r="AL519" s="6">
        <v>-0.01102526</v>
      </c>
      <c r="AM519" s="6">
        <v>-0.01121572</v>
      </c>
      <c r="AN519" s="6">
        <v>-6.4762184</v>
      </c>
      <c r="AO519" s="6">
        <v>-6.4515561</v>
      </c>
      <c r="AP519" s="6">
        <v>-6.4739881</v>
      </c>
      <c r="AQ519" s="6">
        <v>-6.4253629</v>
      </c>
      <c r="AR519" s="6">
        <v>-6.4020076</v>
      </c>
      <c r="AS519" s="6">
        <v>-6.4618417</v>
      </c>
      <c r="AT519" s="6">
        <v>-6.4506396</v>
      </c>
      <c r="AU519" s="6">
        <v>0.97344833</v>
      </c>
      <c r="AV519" s="6">
        <v>0.96974131</v>
      </c>
      <c r="AW519" s="6">
        <v>0.97311308</v>
      </c>
      <c r="AX519" s="6">
        <v>0.96580418</v>
      </c>
      <c r="AY519" s="6">
        <v>0.96229362</v>
      </c>
      <c r="AZ519" s="6">
        <v>0.97128734</v>
      </c>
      <c r="BA519" s="6">
        <v>0.96960354</v>
      </c>
      <c r="BB519" s="6">
        <v>0.02655167</v>
      </c>
      <c r="BC519" s="6">
        <v>0.03025869</v>
      </c>
      <c r="BD519" s="6">
        <v>0.02688692</v>
      </c>
      <c r="BE519" s="6">
        <v>0.03419582</v>
      </c>
      <c r="BF519" s="6">
        <v>0.03770638</v>
      </c>
      <c r="BG519" s="6">
        <v>0.02871266</v>
      </c>
      <c r="BH519" s="6">
        <v>0.03039646</v>
      </c>
      <c r="BI519" s="6">
        <v>0.21470859</v>
      </c>
      <c r="BJ519" s="6">
        <v>0.12366373</v>
      </c>
      <c r="BK519" s="6">
        <v>0.1409291</v>
      </c>
      <c r="BL519" s="6">
        <v>0.12522516</v>
      </c>
      <c r="BM519" s="6">
        <v>0.1592662</v>
      </c>
      <c r="BN519" s="6">
        <v>0.17561655</v>
      </c>
      <c r="BO519" s="6">
        <v>0.1337285</v>
      </c>
      <c r="BP519" s="6">
        <v>0.14157076</v>
      </c>
      <c r="BQ519" s="6">
        <v>0.05357066</v>
      </c>
      <c r="BR519" s="6">
        <v>0.04447723</v>
      </c>
      <c r="BS519" s="6">
        <v>0.04681303</v>
      </c>
      <c r="BT519" s="6">
        <v>0.03668492</v>
      </c>
      <c r="BU519" s="6">
        <v>0.05195436</v>
      </c>
      <c r="BV519" s="6">
        <v>0.06840255</v>
      </c>
      <c r="BW519" s="6">
        <v>0.06110448</v>
      </c>
      <c r="BX519" s="12">
        <v>16180</v>
      </c>
      <c r="BY519" s="13">
        <v>5904</v>
      </c>
      <c r="BZ519" s="12">
        <v>35478.09</v>
      </c>
      <c r="CA519" s="6">
        <f t="shared" si="48"/>
        <v>2.74051490514905</v>
      </c>
      <c r="CB519" s="6">
        <f t="shared" si="49"/>
        <v>0.456056118015372</v>
      </c>
      <c r="CC519" s="7">
        <v>450142464.4</v>
      </c>
      <c r="CD519" s="7">
        <f t="shared" si="50"/>
        <v>1.26879001772643</v>
      </c>
      <c r="CE519" s="8">
        <v>2582.3</v>
      </c>
      <c r="CF519" s="8">
        <v>12681.2</v>
      </c>
      <c r="CG519" s="8">
        <v>14412.7</v>
      </c>
      <c r="CH519" s="8">
        <v>49092</v>
      </c>
      <c r="CI519" s="14">
        <v>1</v>
      </c>
      <c r="CJ519" s="14">
        <v>0</v>
      </c>
      <c r="CK519" s="14">
        <f t="shared" si="51"/>
        <v>0</v>
      </c>
      <c r="CL519">
        <f t="shared" si="52"/>
        <v>1.56738551218677</v>
      </c>
      <c r="CM519">
        <f t="shared" si="53"/>
        <v>0.190505457743927</v>
      </c>
      <c r="CN519" s="15">
        <v>16180</v>
      </c>
      <c r="CO519" s="15">
        <v>10721.23</v>
      </c>
      <c r="CP519" s="15">
        <v>1062.32</v>
      </c>
      <c r="CQ519" s="15">
        <v>1428.91</v>
      </c>
      <c r="CR519" s="15">
        <v>749.17</v>
      </c>
      <c r="CS519" s="15">
        <v>112</v>
      </c>
      <c r="CT519" s="15">
        <v>868.27</v>
      </c>
      <c r="CU519" s="15">
        <v>123.02</v>
      </c>
      <c r="CV519" s="15">
        <v>52.5</v>
      </c>
      <c r="CW519" s="15">
        <v>1869</v>
      </c>
    </row>
    <row r="520" spans="1:101">
      <c r="A520" s="6">
        <v>2018</v>
      </c>
      <c r="B520" s="6" t="s">
        <v>120</v>
      </c>
      <c r="C520" s="6">
        <v>0.39859149</v>
      </c>
      <c r="D520" s="6">
        <v>0.064811</v>
      </c>
      <c r="E520" s="6">
        <v>0.016278</v>
      </c>
      <c r="F520" s="6">
        <v>0.028528</v>
      </c>
      <c r="G520" s="6">
        <v>0.009983</v>
      </c>
      <c r="H520" s="6">
        <v>0.010023</v>
      </c>
      <c r="I520" s="6">
        <v>0.063307</v>
      </c>
      <c r="J520" s="6">
        <v>0.032303</v>
      </c>
      <c r="K520" s="6">
        <v>0.45681335</v>
      </c>
      <c r="L520" s="6">
        <v>0.34435041</v>
      </c>
      <c r="M520" s="6">
        <v>0.39554055</v>
      </c>
      <c r="N520" s="6">
        <v>0.26660642</v>
      </c>
      <c r="O520" s="6">
        <v>0.27024102</v>
      </c>
      <c r="P520" s="6">
        <v>0.61534586</v>
      </c>
      <c r="Q520" s="6">
        <v>0.50737992</v>
      </c>
      <c r="R520" s="6">
        <v>217.69486</v>
      </c>
      <c r="S520" s="6">
        <v>0.00209841</v>
      </c>
      <c r="T520" s="6">
        <v>169.97573</v>
      </c>
      <c r="U520" s="6">
        <v>0.00202588</v>
      </c>
      <c r="V520" s="6">
        <v>197.11803</v>
      </c>
      <c r="W520" s="6">
        <v>0.00200662</v>
      </c>
      <c r="X520" s="6">
        <v>134.47093</v>
      </c>
      <c r="Y520" s="6">
        <v>0.00198263</v>
      </c>
      <c r="Z520" s="6">
        <v>134.86767</v>
      </c>
      <c r="AA520" s="6">
        <v>0.00200375</v>
      </c>
      <c r="AB520" s="6">
        <v>294.9318</v>
      </c>
      <c r="AC520" s="6">
        <v>0.0020864</v>
      </c>
      <c r="AD520" s="6">
        <v>243.86163</v>
      </c>
      <c r="AE520" s="6">
        <v>0.00208061</v>
      </c>
      <c r="AF520" s="6">
        <v>775</v>
      </c>
      <c r="AG520" s="6">
        <v>-0.01294001</v>
      </c>
      <c r="AH520" s="6">
        <v>-0.012564</v>
      </c>
      <c r="AI520" s="6">
        <v>-0.01246371</v>
      </c>
      <c r="AJ520" s="6">
        <v>-0.01233858</v>
      </c>
      <c r="AK520" s="6">
        <v>-0.01244876</v>
      </c>
      <c r="AL520" s="6">
        <v>-0.01287792</v>
      </c>
      <c r="AM520" s="6">
        <v>-0.01284794</v>
      </c>
      <c r="AN520" s="6">
        <v>-6.4762184</v>
      </c>
      <c r="AO520" s="6">
        <v>-6.4515561</v>
      </c>
      <c r="AP520" s="6">
        <v>-6.4739881</v>
      </c>
      <c r="AQ520" s="6">
        <v>-6.4253629</v>
      </c>
      <c r="AR520" s="6">
        <v>-6.4020076</v>
      </c>
      <c r="AS520" s="6">
        <v>-6.4618417</v>
      </c>
      <c r="AT520" s="6">
        <v>-6.4506396</v>
      </c>
      <c r="AU520" s="6">
        <v>0.97344833</v>
      </c>
      <c r="AV520" s="6">
        <v>0.96974131</v>
      </c>
      <c r="AW520" s="6">
        <v>0.97311308</v>
      </c>
      <c r="AX520" s="6">
        <v>0.96580418</v>
      </c>
      <c r="AY520" s="6">
        <v>0.96229362</v>
      </c>
      <c r="AZ520" s="6">
        <v>0.97128734</v>
      </c>
      <c r="BA520" s="6">
        <v>0.96960354</v>
      </c>
      <c r="BB520" s="6">
        <v>0.02655167</v>
      </c>
      <c r="BC520" s="6">
        <v>0.03025869</v>
      </c>
      <c r="BD520" s="6">
        <v>0.02688692</v>
      </c>
      <c r="BE520" s="6">
        <v>0.03419582</v>
      </c>
      <c r="BF520" s="6">
        <v>0.03770638</v>
      </c>
      <c r="BG520" s="6">
        <v>0.02871266</v>
      </c>
      <c r="BH520" s="6">
        <v>0.03039646</v>
      </c>
      <c r="BI520" s="6">
        <v>0.21470859</v>
      </c>
      <c r="BJ520" s="6">
        <v>0.12366373</v>
      </c>
      <c r="BK520" s="6">
        <v>0.1409291</v>
      </c>
      <c r="BL520" s="6">
        <v>0.12522516</v>
      </c>
      <c r="BM520" s="6">
        <v>0.1592662</v>
      </c>
      <c r="BN520" s="6">
        <v>0.17561655</v>
      </c>
      <c r="BO520" s="6">
        <v>0.1337285</v>
      </c>
      <c r="BP520" s="6">
        <v>0.14157076</v>
      </c>
      <c r="BQ520" s="6">
        <v>0.05649124</v>
      </c>
      <c r="BR520" s="6">
        <v>0.04852899</v>
      </c>
      <c r="BS520" s="6">
        <v>0.04953163</v>
      </c>
      <c r="BT520" s="6">
        <v>0.04246139</v>
      </c>
      <c r="BU520" s="6">
        <v>0.04745879</v>
      </c>
      <c r="BV520" s="6">
        <v>0.08228928</v>
      </c>
      <c r="BW520" s="6">
        <v>0.07183016</v>
      </c>
      <c r="BX520" s="12">
        <v>16682</v>
      </c>
      <c r="BY520" s="13">
        <v>5917</v>
      </c>
      <c r="BZ520" s="12">
        <v>39366.55</v>
      </c>
      <c r="CA520" s="6">
        <f t="shared" si="48"/>
        <v>2.81933412202129</v>
      </c>
      <c r="CB520" s="6">
        <f t="shared" si="49"/>
        <v>0.423760781678862</v>
      </c>
      <c r="CC520" s="7">
        <v>467036476.4</v>
      </c>
      <c r="CD520" s="7">
        <f t="shared" si="50"/>
        <v>1.18637898520444</v>
      </c>
      <c r="CE520" s="8">
        <v>2638</v>
      </c>
      <c r="CF520" s="8">
        <v>14094.4</v>
      </c>
      <c r="CG520" s="8">
        <v>17278.5</v>
      </c>
      <c r="CH520" s="8">
        <v>56063</v>
      </c>
      <c r="CI520" s="14">
        <v>1</v>
      </c>
      <c r="CJ520" s="14">
        <v>0</v>
      </c>
      <c r="CK520" s="14">
        <f t="shared" si="51"/>
        <v>0</v>
      </c>
      <c r="CL520">
        <f t="shared" si="52"/>
        <v>1.51591455826218</v>
      </c>
      <c r="CM520">
        <f t="shared" si="53"/>
        <v>0.217384001797246</v>
      </c>
      <c r="CN520" s="15">
        <v>16682</v>
      </c>
      <c r="CO520" s="15">
        <v>11100.11</v>
      </c>
      <c r="CP520" s="15">
        <v>1131.7</v>
      </c>
      <c r="CQ520" s="15">
        <v>1420.68</v>
      </c>
      <c r="CR520" s="15">
        <v>784.54</v>
      </c>
      <c r="CS520" s="15">
        <v>116.26</v>
      </c>
      <c r="CT520" s="15">
        <v>895.35</v>
      </c>
      <c r="CU520" s="15">
        <v>129.43</v>
      </c>
      <c r="CV520" s="15">
        <v>62.7</v>
      </c>
      <c r="CW520" s="15">
        <v>2071.43</v>
      </c>
    </row>
    <row r="521" spans="1:101">
      <c r="A521" s="6">
        <v>2019</v>
      </c>
      <c r="B521" s="6" t="s">
        <v>120</v>
      </c>
      <c r="C521" s="6">
        <v>0.42392339</v>
      </c>
      <c r="D521" s="6">
        <v>0.06677</v>
      </c>
      <c r="E521" s="6">
        <v>0.016658</v>
      </c>
      <c r="F521" s="6">
        <v>0.028798</v>
      </c>
      <c r="G521" s="6">
        <v>0.009004</v>
      </c>
      <c r="H521" s="6">
        <v>0.012309</v>
      </c>
      <c r="I521" s="6">
        <v>0.070405</v>
      </c>
      <c r="J521" s="6">
        <v>0.033693</v>
      </c>
      <c r="K521" s="6">
        <v>0.47217726</v>
      </c>
      <c r="L521" s="6">
        <v>0.3533346</v>
      </c>
      <c r="M521" s="6">
        <v>0.39970546</v>
      </c>
      <c r="N521" s="6">
        <v>0.23767236</v>
      </c>
      <c r="O521" s="6">
        <v>0.33953354</v>
      </c>
      <c r="P521" s="6">
        <v>0.6943989</v>
      </c>
      <c r="Q521" s="6">
        <v>0.53218673</v>
      </c>
      <c r="R521" s="6">
        <v>217.69486</v>
      </c>
      <c r="S521" s="6">
        <v>0.00216899</v>
      </c>
      <c r="T521" s="6">
        <v>169.97573</v>
      </c>
      <c r="U521" s="6">
        <v>0.00207874</v>
      </c>
      <c r="V521" s="6">
        <v>197.11803</v>
      </c>
      <c r="W521" s="6">
        <v>0.00202775</v>
      </c>
      <c r="X521" s="6">
        <v>134.47093</v>
      </c>
      <c r="Y521" s="6">
        <v>0.00176746</v>
      </c>
      <c r="Z521" s="6">
        <v>134.86767</v>
      </c>
      <c r="AA521" s="6">
        <v>0.00251753</v>
      </c>
      <c r="AB521" s="6">
        <v>294.9318</v>
      </c>
      <c r="AC521" s="6">
        <v>0.00235444</v>
      </c>
      <c r="AD521" s="6">
        <v>243.86163</v>
      </c>
      <c r="AE521" s="6">
        <v>0.00218233</v>
      </c>
      <c r="AF521" s="6">
        <v>775</v>
      </c>
      <c r="AG521" s="6">
        <v>-0.01330347</v>
      </c>
      <c r="AH521" s="6">
        <v>-0.01283826</v>
      </c>
      <c r="AI521" s="6">
        <v>-0.01257371</v>
      </c>
      <c r="AJ521" s="6">
        <v>-0.01120255</v>
      </c>
      <c r="AK521" s="6">
        <v>-0.01506611</v>
      </c>
      <c r="AL521" s="6">
        <v>-0.01424778</v>
      </c>
      <c r="AM521" s="6">
        <v>-0.01337193</v>
      </c>
      <c r="AN521" s="6">
        <v>-6.4762184</v>
      </c>
      <c r="AO521" s="6">
        <v>-6.4515561</v>
      </c>
      <c r="AP521" s="6">
        <v>-6.4739881</v>
      </c>
      <c r="AQ521" s="6">
        <v>-6.4253629</v>
      </c>
      <c r="AR521" s="6">
        <v>-6.4020076</v>
      </c>
      <c r="AS521" s="6">
        <v>-6.4618417</v>
      </c>
      <c r="AT521" s="6">
        <v>-6.4506396</v>
      </c>
      <c r="AU521" s="6">
        <v>0.97344833</v>
      </c>
      <c r="AV521" s="6">
        <v>0.96974131</v>
      </c>
      <c r="AW521" s="6">
        <v>0.97311308</v>
      </c>
      <c r="AX521" s="6">
        <v>0.96580418</v>
      </c>
      <c r="AY521" s="6">
        <v>0.96229362</v>
      </c>
      <c r="AZ521" s="6">
        <v>0.97128734</v>
      </c>
      <c r="BA521" s="6">
        <v>0.96960354</v>
      </c>
      <c r="BB521" s="6">
        <v>0.02655167</v>
      </c>
      <c r="BC521" s="6">
        <v>0.03025869</v>
      </c>
      <c r="BD521" s="6">
        <v>0.02688692</v>
      </c>
      <c r="BE521" s="6">
        <v>0.03419582</v>
      </c>
      <c r="BF521" s="6">
        <v>0.03770638</v>
      </c>
      <c r="BG521" s="6">
        <v>0.02871266</v>
      </c>
      <c r="BH521" s="6">
        <v>0.03039646</v>
      </c>
      <c r="BI521" s="6">
        <v>0.21470859</v>
      </c>
      <c r="BJ521" s="6">
        <v>0.12366373</v>
      </c>
      <c r="BK521" s="6">
        <v>0.1409291</v>
      </c>
      <c r="BL521" s="6">
        <v>0.12522516</v>
      </c>
      <c r="BM521" s="6">
        <v>0.1592662</v>
      </c>
      <c r="BN521" s="6">
        <v>0.17561655</v>
      </c>
      <c r="BO521" s="6">
        <v>0.1337285</v>
      </c>
      <c r="BP521" s="6">
        <v>0.14157076</v>
      </c>
      <c r="BQ521" s="6">
        <v>0.0583912</v>
      </c>
      <c r="BR521" s="6">
        <v>0.04979513</v>
      </c>
      <c r="BS521" s="6">
        <v>0.05005318</v>
      </c>
      <c r="BT521" s="6">
        <v>0.03785317</v>
      </c>
      <c r="BU521" s="6">
        <v>0.05962771</v>
      </c>
      <c r="BV521" s="6">
        <v>0.09286092</v>
      </c>
      <c r="BW521" s="6">
        <v>0.07534208</v>
      </c>
      <c r="BX521" s="12">
        <v>17316</v>
      </c>
      <c r="BY521" s="13">
        <v>5927</v>
      </c>
      <c r="BZ521" s="12">
        <v>45828.31</v>
      </c>
      <c r="CA521" s="6">
        <f t="shared" si="48"/>
        <v>2.92154546988358</v>
      </c>
      <c r="CB521" s="6">
        <f t="shared" si="49"/>
        <v>0.377845048180917</v>
      </c>
      <c r="CC521" s="7">
        <v>487078290</v>
      </c>
      <c r="CD521" s="7">
        <f t="shared" si="50"/>
        <v>1.06283275556092</v>
      </c>
      <c r="CE521" s="8">
        <v>2916</v>
      </c>
      <c r="CF521" s="8">
        <v>14970</v>
      </c>
      <c r="CG521" s="8">
        <v>18959.5</v>
      </c>
      <c r="CH521" s="8">
        <v>60561</v>
      </c>
      <c r="CI521" s="14">
        <v>1</v>
      </c>
      <c r="CJ521" s="14">
        <v>0</v>
      </c>
      <c r="CK521" s="14">
        <f t="shared" si="51"/>
        <v>0</v>
      </c>
      <c r="CL521">
        <f t="shared" si="52"/>
        <v>1.5000536746505</v>
      </c>
      <c r="CM521">
        <f t="shared" si="53"/>
        <v>0.291470183019583</v>
      </c>
      <c r="CN521" s="15">
        <v>17316</v>
      </c>
      <c r="CO521" s="15">
        <v>11768.33</v>
      </c>
      <c r="CP521" s="15">
        <v>1115.52</v>
      </c>
      <c r="CQ521" s="15">
        <v>1516.49</v>
      </c>
      <c r="CR521" s="15">
        <v>864.59</v>
      </c>
      <c r="CS521" s="15">
        <v>128.47</v>
      </c>
      <c r="CT521" s="15">
        <v>976.32</v>
      </c>
      <c r="CU521" s="15">
        <v>148.83</v>
      </c>
      <c r="CV521" s="15">
        <v>68.46</v>
      </c>
      <c r="CW521" s="15">
        <v>2214.3</v>
      </c>
    </row>
    <row r="522" spans="1:101">
      <c r="A522" s="6">
        <v>2020</v>
      </c>
      <c r="B522" s="6" t="s">
        <v>120</v>
      </c>
      <c r="C522" s="6">
        <v>0.40009122</v>
      </c>
      <c r="D522" s="6">
        <v>0.064797</v>
      </c>
      <c r="E522" s="6">
        <v>0.017351</v>
      </c>
      <c r="F522" s="6">
        <v>0.02948</v>
      </c>
      <c r="G522" s="6">
        <v>0.010345</v>
      </c>
      <c r="H522" s="6">
        <v>0.007622</v>
      </c>
      <c r="I522" s="6">
        <v>0.068449</v>
      </c>
      <c r="J522" s="6">
        <v>0.032114</v>
      </c>
      <c r="K522" s="6">
        <v>0.45670346</v>
      </c>
      <c r="L522" s="6">
        <v>0.36971681</v>
      </c>
      <c r="M522" s="6">
        <v>0.41017616</v>
      </c>
      <c r="N522" s="6">
        <v>0.27729441</v>
      </c>
      <c r="O522" s="6">
        <v>0.19748753</v>
      </c>
      <c r="P522" s="6">
        <v>0.67261343</v>
      </c>
      <c r="Q522" s="6">
        <v>0.50400268</v>
      </c>
      <c r="R522" s="6">
        <v>217.69486</v>
      </c>
      <c r="S522" s="6">
        <v>0.00209791</v>
      </c>
      <c r="T522" s="6">
        <v>169.97573</v>
      </c>
      <c r="U522" s="6">
        <v>0.00217512</v>
      </c>
      <c r="V522" s="6">
        <v>197.11803</v>
      </c>
      <c r="W522" s="6">
        <v>0.00208087</v>
      </c>
      <c r="X522" s="6">
        <v>134.47093</v>
      </c>
      <c r="Y522" s="6">
        <v>0.00206211</v>
      </c>
      <c r="Z522" s="6">
        <v>134.86767</v>
      </c>
      <c r="AA522" s="6">
        <v>0.00146431</v>
      </c>
      <c r="AB522" s="6">
        <v>294.9318</v>
      </c>
      <c r="AC522" s="6">
        <v>0.00228057</v>
      </c>
      <c r="AD522" s="6">
        <v>243.86163</v>
      </c>
      <c r="AE522" s="6">
        <v>0.00206676</v>
      </c>
      <c r="AF522" s="6">
        <v>775</v>
      </c>
      <c r="AG522" s="6">
        <v>-0.0129374</v>
      </c>
      <c r="AH522" s="6">
        <v>-0.01333492</v>
      </c>
      <c r="AI522" s="6">
        <v>-0.01284929</v>
      </c>
      <c r="AJ522" s="6">
        <v>-0.01275216</v>
      </c>
      <c r="AK522" s="6">
        <v>-0.00955661</v>
      </c>
      <c r="AL522" s="6">
        <v>-0.01387347</v>
      </c>
      <c r="AM522" s="6">
        <v>-0.01277623</v>
      </c>
      <c r="AN522" s="6">
        <v>-6.4762184</v>
      </c>
      <c r="AO522" s="6">
        <v>-6.4515561</v>
      </c>
      <c r="AP522" s="6">
        <v>-6.4739881</v>
      </c>
      <c r="AQ522" s="6">
        <v>-6.4253629</v>
      </c>
      <c r="AR522" s="6">
        <v>-6.4020076</v>
      </c>
      <c r="AS522" s="6">
        <v>-6.4618417</v>
      </c>
      <c r="AT522" s="6">
        <v>-6.4506396</v>
      </c>
      <c r="AU522" s="6">
        <v>0.97344833</v>
      </c>
      <c r="AV522" s="6">
        <v>0.96974131</v>
      </c>
      <c r="AW522" s="6">
        <v>0.97311308</v>
      </c>
      <c r="AX522" s="6">
        <v>0.96580418</v>
      </c>
      <c r="AY522" s="6">
        <v>0.96229362</v>
      </c>
      <c r="AZ522" s="6">
        <v>0.97128734</v>
      </c>
      <c r="BA522" s="6">
        <v>0.96960354</v>
      </c>
      <c r="BB522" s="6">
        <v>0.02655167</v>
      </c>
      <c r="BC522" s="6">
        <v>0.03025869</v>
      </c>
      <c r="BD522" s="6">
        <v>0.02688692</v>
      </c>
      <c r="BE522" s="6">
        <v>0.03419582</v>
      </c>
      <c r="BF522" s="6">
        <v>0.03770638</v>
      </c>
      <c r="BG522" s="6">
        <v>0.02871266</v>
      </c>
      <c r="BH522" s="6">
        <v>0.03039646</v>
      </c>
      <c r="BI522" s="6">
        <v>0.21470859</v>
      </c>
      <c r="BJ522" s="6">
        <v>0.12366373</v>
      </c>
      <c r="BK522" s="6">
        <v>0.1409291</v>
      </c>
      <c r="BL522" s="6">
        <v>0.12522516</v>
      </c>
      <c r="BM522" s="6">
        <v>0.1592662</v>
      </c>
      <c r="BN522" s="6">
        <v>0.17561655</v>
      </c>
      <c r="BO522" s="6">
        <v>0.1337285</v>
      </c>
      <c r="BP522" s="6">
        <v>0.14157076</v>
      </c>
      <c r="BQ522" s="6">
        <v>0.05647765</v>
      </c>
      <c r="BR522" s="6">
        <v>0.05210386</v>
      </c>
      <c r="BS522" s="6">
        <v>0.05136437</v>
      </c>
      <c r="BT522" s="6">
        <v>0.04416363</v>
      </c>
      <c r="BU522" s="6">
        <v>0.03468208</v>
      </c>
      <c r="BV522" s="6">
        <v>0.08994758</v>
      </c>
      <c r="BW522" s="6">
        <v>0.07135205</v>
      </c>
      <c r="BX522" s="12">
        <v>16251.46</v>
      </c>
      <c r="BY522" s="13">
        <v>5744.83</v>
      </c>
      <c r="BZ522" s="12">
        <v>43443.46</v>
      </c>
      <c r="CA522" s="6">
        <f t="shared" si="48"/>
        <v>2.8288844056308</v>
      </c>
      <c r="CB522" s="6">
        <f t="shared" si="49"/>
        <v>0.374083003517676</v>
      </c>
      <c r="CC522" s="7">
        <v>490190150.5</v>
      </c>
      <c r="CD522" s="7">
        <f t="shared" si="50"/>
        <v>1.12834049244696</v>
      </c>
      <c r="CE522" s="8">
        <v>3185</v>
      </c>
      <c r="CF522" s="8">
        <v>15216.5</v>
      </c>
      <c r="CG522" s="8">
        <v>19660.1</v>
      </c>
      <c r="CH522" s="8">
        <v>62411</v>
      </c>
      <c r="CI522" s="14">
        <v>1</v>
      </c>
      <c r="CJ522" s="14">
        <v>0</v>
      </c>
      <c r="CK522" s="14">
        <f t="shared" si="51"/>
        <v>0</v>
      </c>
      <c r="CL522">
        <f t="shared" si="52"/>
        <v>1.47141701078949</v>
      </c>
      <c r="CM522">
        <f t="shared" si="53"/>
        <v>0.233160630757186</v>
      </c>
      <c r="CN522" s="15">
        <v>16251.46</v>
      </c>
      <c r="CO522" s="15">
        <v>10371.44</v>
      </c>
      <c r="CP522" s="15">
        <v>1114.11</v>
      </c>
      <c r="CQ522" s="15">
        <v>2091.04</v>
      </c>
      <c r="CR522" s="15">
        <v>420.13</v>
      </c>
      <c r="CS522" s="15">
        <v>13.64</v>
      </c>
      <c r="CT522" s="15">
        <v>452.51</v>
      </c>
      <c r="CU522" s="15">
        <v>93.5</v>
      </c>
      <c r="CV522" s="15">
        <v>61</v>
      </c>
      <c r="CW522" s="15">
        <v>2144</v>
      </c>
    </row>
    <row r="523" spans="1:101">
      <c r="A523" s="6">
        <v>2021</v>
      </c>
      <c r="B523" s="6" t="s">
        <v>120</v>
      </c>
      <c r="C523" s="6">
        <v>0.39229518</v>
      </c>
      <c r="D523" s="6">
        <v>0.062246</v>
      </c>
      <c r="E523" s="6">
        <v>0.015287</v>
      </c>
      <c r="F523" s="6">
        <v>0.02841</v>
      </c>
      <c r="G523" s="6">
        <v>0.009076</v>
      </c>
      <c r="H523" s="6">
        <v>0.009473</v>
      </c>
      <c r="I523" s="6">
        <v>0.067528</v>
      </c>
      <c r="J523" s="6">
        <v>0.032551</v>
      </c>
      <c r="K523" s="6">
        <v>0.43669482</v>
      </c>
      <c r="L523" s="6">
        <v>0.3209323</v>
      </c>
      <c r="M523" s="6">
        <v>0.39373865</v>
      </c>
      <c r="N523" s="6">
        <v>0.23978611</v>
      </c>
      <c r="O523" s="6">
        <v>0.25358147</v>
      </c>
      <c r="P523" s="6">
        <v>0.66236329</v>
      </c>
      <c r="Q523" s="6">
        <v>0.51181057</v>
      </c>
      <c r="R523" s="6">
        <v>217.69486</v>
      </c>
      <c r="S523" s="6">
        <v>0.002006</v>
      </c>
      <c r="T523" s="6">
        <v>169.97573</v>
      </c>
      <c r="U523" s="6">
        <v>0.00188811</v>
      </c>
      <c r="V523" s="6">
        <v>197.11803</v>
      </c>
      <c r="W523" s="6">
        <v>0.00199748</v>
      </c>
      <c r="X523" s="6">
        <v>134.47093</v>
      </c>
      <c r="Y523" s="6">
        <v>0.00178318</v>
      </c>
      <c r="Z523" s="6">
        <v>134.86767</v>
      </c>
      <c r="AA523" s="6">
        <v>0.00188022</v>
      </c>
      <c r="AB523" s="6">
        <v>294.9318</v>
      </c>
      <c r="AC523" s="6">
        <v>0.00224582</v>
      </c>
      <c r="AD523" s="6">
        <v>243.86163</v>
      </c>
      <c r="AE523" s="6">
        <v>0.00209877</v>
      </c>
      <c r="AF523" s="6">
        <v>775</v>
      </c>
      <c r="AG523" s="6">
        <v>-0.01246047</v>
      </c>
      <c r="AH523" s="6">
        <v>-0.01184255</v>
      </c>
      <c r="AI523" s="6">
        <v>-0.01241606</v>
      </c>
      <c r="AJ523" s="6">
        <v>-0.01128639</v>
      </c>
      <c r="AK523" s="6">
        <v>-0.01180097</v>
      </c>
      <c r="AL523" s="6">
        <v>-0.01369654</v>
      </c>
      <c r="AM523" s="6">
        <v>-0.01294189</v>
      </c>
      <c r="AN523" s="6">
        <v>-6.4762184</v>
      </c>
      <c r="AO523" s="6">
        <v>-6.4515561</v>
      </c>
      <c r="AP523" s="6">
        <v>-6.4739881</v>
      </c>
      <c r="AQ523" s="6">
        <v>-6.4253629</v>
      </c>
      <c r="AR523" s="6">
        <v>-6.4020076</v>
      </c>
      <c r="AS523" s="6">
        <v>-6.4618417</v>
      </c>
      <c r="AT523" s="6">
        <v>-6.4506396</v>
      </c>
      <c r="AU523" s="6">
        <v>0.97344833</v>
      </c>
      <c r="AV523" s="6">
        <v>0.96974131</v>
      </c>
      <c r="AW523" s="6">
        <v>0.97311308</v>
      </c>
      <c r="AX523" s="6">
        <v>0.96580418</v>
      </c>
      <c r="AY523" s="6">
        <v>0.96229362</v>
      </c>
      <c r="AZ523" s="6">
        <v>0.97128734</v>
      </c>
      <c r="BA523" s="6">
        <v>0.96960354</v>
      </c>
      <c r="BB523" s="6">
        <v>0.02655167</v>
      </c>
      <c r="BC523" s="6">
        <v>0.03025869</v>
      </c>
      <c r="BD523" s="6">
        <v>0.02688692</v>
      </c>
      <c r="BE523" s="6">
        <v>0.03419582</v>
      </c>
      <c r="BF523" s="6">
        <v>0.03770638</v>
      </c>
      <c r="BG523" s="6">
        <v>0.02871266</v>
      </c>
      <c r="BH523" s="6">
        <v>0.03039646</v>
      </c>
      <c r="BI523" s="6">
        <v>0.21470859</v>
      </c>
      <c r="BJ523" s="6">
        <v>0.12366373</v>
      </c>
      <c r="BK523" s="6">
        <v>0.1409291</v>
      </c>
      <c r="BL523" s="6">
        <v>0.12522516</v>
      </c>
      <c r="BM523" s="6">
        <v>0.1592662</v>
      </c>
      <c r="BN523" s="6">
        <v>0.17561655</v>
      </c>
      <c r="BO523" s="6">
        <v>0.1337285</v>
      </c>
      <c r="BP523" s="6">
        <v>0.14157076</v>
      </c>
      <c r="BQ523" s="6">
        <v>0.05400331</v>
      </c>
      <c r="BR523" s="6">
        <v>0.0452287</v>
      </c>
      <c r="BS523" s="6">
        <v>0.04930599</v>
      </c>
      <c r="BT523" s="6">
        <v>0.03818982</v>
      </c>
      <c r="BU523" s="6">
        <v>0.0445331</v>
      </c>
      <c r="BV523" s="6">
        <v>0.08857685</v>
      </c>
      <c r="BW523" s="6">
        <v>0.07245741</v>
      </c>
      <c r="BX523" s="12">
        <v>18191.5963130348</v>
      </c>
      <c r="BY523" s="13">
        <v>5830</v>
      </c>
      <c r="BZ523" s="12">
        <v>50012.9</v>
      </c>
      <c r="CA523" s="6">
        <f t="shared" si="48"/>
        <v>3.12034242076069</v>
      </c>
      <c r="CB523" s="6">
        <f t="shared" si="49"/>
        <v>0.363738081835582</v>
      </c>
      <c r="CC523" s="7">
        <v>510371073.9</v>
      </c>
      <c r="CD523" s="7">
        <f t="shared" si="50"/>
        <v>1.02047886425302</v>
      </c>
      <c r="CE523" s="8">
        <v>3363.9</v>
      </c>
      <c r="CF523" s="8">
        <v>17240.1</v>
      </c>
      <c r="CG523" s="8">
        <v>21961.1</v>
      </c>
      <c r="CH523" s="8">
        <v>69676</v>
      </c>
      <c r="CI523" s="14">
        <v>1</v>
      </c>
      <c r="CJ523" s="14">
        <v>0</v>
      </c>
      <c r="CK523" s="14">
        <f t="shared" si="51"/>
        <v>0</v>
      </c>
      <c r="CL523">
        <f t="shared" si="52"/>
        <v>1.36781889095748</v>
      </c>
      <c r="CM523">
        <f t="shared" si="53"/>
        <v>0.253937146942983</v>
      </c>
      <c r="CN523" s="15">
        <v>18191.5963130348</v>
      </c>
      <c r="CO523" s="15">
        <v>10623.82</v>
      </c>
      <c r="CP523" s="15">
        <v>1077.32</v>
      </c>
      <c r="CQ523" s="15">
        <v>1611.75</v>
      </c>
      <c r="CR523" s="15">
        <v>970.37</v>
      </c>
      <c r="CS523" s="15">
        <v>80.76</v>
      </c>
      <c r="CT523" s="15">
        <v>1025.97</v>
      </c>
      <c r="CU523" s="15">
        <v>125.51</v>
      </c>
      <c r="CV523" s="15">
        <v>70.64</v>
      </c>
      <c r="CW523" s="15">
        <v>2472</v>
      </c>
    </row>
    <row r="524" spans="1:101">
      <c r="A524" s="6">
        <v>2022</v>
      </c>
      <c r="B524" s="6" t="s">
        <v>120</v>
      </c>
      <c r="C524" s="6">
        <v>0.44274566</v>
      </c>
      <c r="D524" s="6">
        <v>0.070608</v>
      </c>
      <c r="E524" s="6">
        <v>0.017985</v>
      </c>
      <c r="F524" s="6">
        <v>0.031826</v>
      </c>
      <c r="G524" s="6">
        <v>0.010532</v>
      </c>
      <c r="H524" s="6">
        <v>0.010265</v>
      </c>
      <c r="I524" s="6">
        <v>0.06795</v>
      </c>
      <c r="J524" s="6">
        <v>0.038521</v>
      </c>
      <c r="K524" s="6">
        <v>0.5022838</v>
      </c>
      <c r="L524" s="6">
        <v>0.38471109</v>
      </c>
      <c r="M524" s="6">
        <v>0.44623373</v>
      </c>
      <c r="N524" s="6">
        <v>0.28284654</v>
      </c>
      <c r="O524" s="6">
        <v>0.27757496</v>
      </c>
      <c r="P524" s="6">
        <v>0.66705397</v>
      </c>
      <c r="Q524" s="6">
        <v>0.61831921</v>
      </c>
      <c r="R524" s="6">
        <v>217.69486</v>
      </c>
      <c r="S524" s="6">
        <v>0.00230728</v>
      </c>
      <c r="T524" s="6">
        <v>169.97573</v>
      </c>
      <c r="U524" s="6">
        <v>0.00226333</v>
      </c>
      <c r="V524" s="6">
        <v>197.11803</v>
      </c>
      <c r="W524" s="6">
        <v>0.00226379</v>
      </c>
      <c r="X524" s="6">
        <v>134.47093</v>
      </c>
      <c r="Y524" s="6">
        <v>0.0021034</v>
      </c>
      <c r="Z524" s="6">
        <v>134.86767</v>
      </c>
      <c r="AA524" s="6">
        <v>0.00205813</v>
      </c>
      <c r="AB524" s="6">
        <v>294.9318</v>
      </c>
      <c r="AC524" s="6">
        <v>0.00226172</v>
      </c>
      <c r="AD524" s="6">
        <v>243.86163</v>
      </c>
      <c r="AE524" s="6">
        <v>0.00253553</v>
      </c>
      <c r="AF524" s="6">
        <v>775</v>
      </c>
      <c r="AG524" s="6">
        <v>-0.0140091</v>
      </c>
      <c r="AH524" s="6">
        <v>-0.01378575</v>
      </c>
      <c r="AI524" s="6">
        <v>-0.0137881</v>
      </c>
      <c r="AJ524" s="6">
        <v>-0.01296579</v>
      </c>
      <c r="AK524" s="6">
        <v>-0.0127315</v>
      </c>
      <c r="AL524" s="6">
        <v>-0.01377757</v>
      </c>
      <c r="AM524" s="6">
        <v>-0.01515577</v>
      </c>
      <c r="AN524" s="6">
        <v>-6.4762184</v>
      </c>
      <c r="AO524" s="6">
        <v>-6.4515561</v>
      </c>
      <c r="AP524" s="6">
        <v>-6.4739881</v>
      </c>
      <c r="AQ524" s="6">
        <v>-6.4253629</v>
      </c>
      <c r="AR524" s="6">
        <v>-6.4020076</v>
      </c>
      <c r="AS524" s="6">
        <v>-6.4618417</v>
      </c>
      <c r="AT524" s="6">
        <v>-6.4506396</v>
      </c>
      <c r="AU524" s="6">
        <v>0.97344833</v>
      </c>
      <c r="AV524" s="6">
        <v>0.96974131</v>
      </c>
      <c r="AW524" s="6">
        <v>0.97311308</v>
      </c>
      <c r="AX524" s="6">
        <v>0.96580418</v>
      </c>
      <c r="AY524" s="6">
        <v>0.96229362</v>
      </c>
      <c r="AZ524" s="6">
        <v>0.97128734</v>
      </c>
      <c r="BA524" s="6">
        <v>0.96960354</v>
      </c>
      <c r="BB524" s="6">
        <v>0.02655167</v>
      </c>
      <c r="BC524" s="6">
        <v>0.03025869</v>
      </c>
      <c r="BD524" s="6">
        <v>0.02688692</v>
      </c>
      <c r="BE524" s="6">
        <v>0.03419582</v>
      </c>
      <c r="BF524" s="6">
        <v>0.03770638</v>
      </c>
      <c r="BG524" s="6">
        <v>0.02871266</v>
      </c>
      <c r="BH524" s="6">
        <v>0.03039646</v>
      </c>
      <c r="BI524" s="6">
        <v>0.21470859</v>
      </c>
      <c r="BJ524" s="6">
        <v>0.12366373</v>
      </c>
      <c r="BK524" s="6">
        <v>0.1409291</v>
      </c>
      <c r="BL524" s="6">
        <v>0.12522516</v>
      </c>
      <c r="BM524" s="6">
        <v>0.1592662</v>
      </c>
      <c r="BN524" s="6">
        <v>0.17561655</v>
      </c>
      <c r="BO524" s="6">
        <v>0.1337285</v>
      </c>
      <c r="BP524" s="6">
        <v>0.14157076</v>
      </c>
      <c r="BQ524" s="6">
        <v>0.06211429</v>
      </c>
      <c r="BR524" s="6">
        <v>0.05421699</v>
      </c>
      <c r="BS524" s="6">
        <v>0.05587969</v>
      </c>
      <c r="BT524" s="6">
        <v>0.04504789</v>
      </c>
      <c r="BU524" s="6">
        <v>0.04874676</v>
      </c>
      <c r="BV524" s="6">
        <v>0.08920412</v>
      </c>
      <c r="BW524" s="6">
        <v>0.08753592</v>
      </c>
      <c r="BX524" s="12">
        <v>18627</v>
      </c>
      <c r="BY524" s="13">
        <v>5844</v>
      </c>
      <c r="BZ524" s="12">
        <v>53734.9</v>
      </c>
      <c r="CA524" s="6">
        <f t="shared" si="48"/>
        <v>3.18737166324435</v>
      </c>
      <c r="CB524" s="6">
        <f t="shared" si="49"/>
        <v>0.346646220612674</v>
      </c>
      <c r="CC524" s="7">
        <v>511009484.1</v>
      </c>
      <c r="CD524" s="7">
        <f t="shared" si="50"/>
        <v>0.950982478984794</v>
      </c>
      <c r="CE524" s="8">
        <v>3516.5</v>
      </c>
      <c r="CF524" s="8">
        <v>17946.8</v>
      </c>
      <c r="CG524" s="8">
        <v>23144.4</v>
      </c>
      <c r="CH524" s="8">
        <v>72888</v>
      </c>
      <c r="CI524" s="14">
        <v>1</v>
      </c>
      <c r="CJ524" s="14">
        <v>0</v>
      </c>
      <c r="CK524" s="14">
        <f t="shared" si="51"/>
        <v>0</v>
      </c>
      <c r="CL524">
        <f t="shared" si="52"/>
        <v>1.27047633725244</v>
      </c>
      <c r="CM524">
        <f t="shared" si="53"/>
        <v>0.251475646495383</v>
      </c>
      <c r="CN524" s="15">
        <v>18627</v>
      </c>
      <c r="CO524" s="15">
        <v>11648.56</v>
      </c>
      <c r="CP524" s="15">
        <v>1178.61</v>
      </c>
      <c r="CQ524" s="15">
        <v>1466.38</v>
      </c>
      <c r="CR524" s="15">
        <v>881.56</v>
      </c>
      <c r="CS524" s="15">
        <v>107.05</v>
      </c>
      <c r="CT524" s="15">
        <v>1019.54</v>
      </c>
      <c r="CU524" s="15">
        <v>80.58</v>
      </c>
      <c r="CV524" s="15">
        <v>67.59</v>
      </c>
      <c r="CW524" s="15">
        <v>2647.81</v>
      </c>
    </row>
    <row r="525" spans="1:101">
      <c r="A525" s="6">
        <v>2023</v>
      </c>
      <c r="B525" s="6" t="s">
        <v>120</v>
      </c>
      <c r="C525" s="6">
        <v>0.57730416</v>
      </c>
      <c r="D525" s="6">
        <v>0.083119</v>
      </c>
      <c r="E525" s="6">
        <v>0.024831</v>
      </c>
      <c r="F525" s="6">
        <v>0.03939</v>
      </c>
      <c r="G525" s="6">
        <v>0.016138</v>
      </c>
      <c r="H525" s="6">
        <v>0.015206</v>
      </c>
      <c r="I525" s="6">
        <v>0.07252</v>
      </c>
      <c r="J525" s="6">
        <v>0.048639</v>
      </c>
      <c r="K525" s="6">
        <v>0.6004177</v>
      </c>
      <c r="L525" s="6">
        <v>0.546583</v>
      </c>
      <c r="M525" s="6">
        <v>0.56249715</v>
      </c>
      <c r="N525" s="6">
        <v>0.4485485</v>
      </c>
      <c r="O525" s="6">
        <v>0.42730212</v>
      </c>
      <c r="P525" s="6">
        <v>0.71795726</v>
      </c>
      <c r="Q525" s="6">
        <v>0.7988566</v>
      </c>
      <c r="R525" s="6">
        <v>217.69486</v>
      </c>
      <c r="S525" s="6">
        <v>0.00275807</v>
      </c>
      <c r="T525" s="6">
        <v>169.97573</v>
      </c>
      <c r="U525" s="6">
        <v>0.00321565</v>
      </c>
      <c r="V525" s="6">
        <v>197.11803</v>
      </c>
      <c r="W525" s="6">
        <v>0.00285361</v>
      </c>
      <c r="X525" s="6">
        <v>134.47093</v>
      </c>
      <c r="Y525" s="6">
        <v>0.00333565</v>
      </c>
      <c r="Z525" s="6">
        <v>134.86767</v>
      </c>
      <c r="AA525" s="6">
        <v>0.00316831</v>
      </c>
      <c r="AB525" s="6">
        <v>294.9318</v>
      </c>
      <c r="AC525" s="6">
        <v>0.00243432</v>
      </c>
      <c r="AD525" s="6">
        <v>243.86163</v>
      </c>
      <c r="AE525" s="6">
        <v>0.00327586</v>
      </c>
      <c r="AF525" s="6">
        <v>775</v>
      </c>
      <c r="AG525" s="6">
        <v>-0.01625393</v>
      </c>
      <c r="AH525" s="6">
        <v>-0.01845696</v>
      </c>
      <c r="AI525" s="6">
        <v>-0.01671977</v>
      </c>
      <c r="AJ525" s="6">
        <v>-0.01902352</v>
      </c>
      <c r="AK525" s="6">
        <v>-0.0182322</v>
      </c>
      <c r="AL525" s="6">
        <v>-0.01464993</v>
      </c>
      <c r="AM525" s="6">
        <v>-0.01874177</v>
      </c>
      <c r="AN525" s="6">
        <v>-6.4762184</v>
      </c>
      <c r="AO525" s="6">
        <v>-6.4515561</v>
      </c>
      <c r="AP525" s="6">
        <v>-6.4739881</v>
      </c>
      <c r="AQ525" s="6">
        <v>-6.4253629</v>
      </c>
      <c r="AR525" s="6">
        <v>-6.4020076</v>
      </c>
      <c r="AS525" s="6">
        <v>-6.4618417</v>
      </c>
      <c r="AT525" s="6">
        <v>-6.4506396</v>
      </c>
      <c r="AU525" s="6">
        <v>0.97344833</v>
      </c>
      <c r="AV525" s="6">
        <v>0.96974131</v>
      </c>
      <c r="AW525" s="6">
        <v>0.97311308</v>
      </c>
      <c r="AX525" s="6">
        <v>0.96580418</v>
      </c>
      <c r="AY525" s="6">
        <v>0.96229362</v>
      </c>
      <c r="AZ525" s="6">
        <v>0.97128734</v>
      </c>
      <c r="BA525" s="6">
        <v>0.96960354</v>
      </c>
      <c r="BB525" s="6">
        <v>0.02655167</v>
      </c>
      <c r="BC525" s="6">
        <v>0.03025869</v>
      </c>
      <c r="BD525" s="6">
        <v>0.02688692</v>
      </c>
      <c r="BE525" s="6">
        <v>0.03419582</v>
      </c>
      <c r="BF525" s="6">
        <v>0.03770638</v>
      </c>
      <c r="BG525" s="6">
        <v>0.02871266</v>
      </c>
      <c r="BH525" s="6">
        <v>0.03039646</v>
      </c>
      <c r="BI525" s="6">
        <v>0.21470859</v>
      </c>
      <c r="BJ525" s="6">
        <v>0.12366373</v>
      </c>
      <c r="BK525" s="6">
        <v>0.1409291</v>
      </c>
      <c r="BL525" s="6">
        <v>0.12522516</v>
      </c>
      <c r="BM525" s="6">
        <v>0.1592662</v>
      </c>
      <c r="BN525" s="6">
        <v>0.17561655</v>
      </c>
      <c r="BO525" s="6">
        <v>0.1337285</v>
      </c>
      <c r="BP525" s="6">
        <v>0.14157076</v>
      </c>
      <c r="BQ525" s="6">
        <v>0.07424989</v>
      </c>
      <c r="BR525" s="6">
        <v>0.07702945</v>
      </c>
      <c r="BS525" s="6">
        <v>0.0704388</v>
      </c>
      <c r="BT525" s="6">
        <v>0.07143862</v>
      </c>
      <c r="BU525" s="6">
        <v>0.07504132</v>
      </c>
      <c r="BV525" s="6">
        <v>0.09601134</v>
      </c>
      <c r="BW525" s="6">
        <v>0.11309474</v>
      </c>
      <c r="BX525" s="12">
        <v>19045</v>
      </c>
      <c r="BY525" s="13">
        <v>5838</v>
      </c>
      <c r="BZ525" s="12">
        <v>55803.6</v>
      </c>
      <c r="CA525" s="6">
        <f t="shared" si="48"/>
        <v>3.26224734498116</v>
      </c>
      <c r="CB525" s="6">
        <f t="shared" si="49"/>
        <v>0.341286225261453</v>
      </c>
      <c r="CC525" s="7">
        <v>545761708.4</v>
      </c>
      <c r="CD525" s="7">
        <f t="shared" si="50"/>
        <v>0.978004480714506</v>
      </c>
      <c r="CE525" s="8">
        <v>3496.6</v>
      </c>
      <c r="CF525" s="8">
        <v>18871.8</v>
      </c>
      <c r="CG525" s="8">
        <v>24682.2</v>
      </c>
      <c r="CH525" s="8">
        <v>76830</v>
      </c>
      <c r="CI525" s="14">
        <v>1</v>
      </c>
      <c r="CJ525" s="14">
        <v>0</v>
      </c>
      <c r="CK525" s="14">
        <f t="shared" si="51"/>
        <v>0</v>
      </c>
      <c r="CL525">
        <f t="shared" si="52"/>
        <v>1.2756783895882</v>
      </c>
      <c r="CM525">
        <f t="shared" si="53"/>
        <v>0.233345576207325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</row>
    <row r="526" spans="1:101">
      <c r="A526" s="6">
        <v>2024</v>
      </c>
      <c r="B526" s="6" t="s">
        <v>120</v>
      </c>
      <c r="C526" s="6">
        <v>0.62976646</v>
      </c>
      <c r="D526" s="6">
        <v>0.087654</v>
      </c>
      <c r="E526" s="6">
        <v>0.02733</v>
      </c>
      <c r="F526" s="6">
        <v>0.042185</v>
      </c>
      <c r="G526" s="6">
        <v>0.018142</v>
      </c>
      <c r="H526" s="6">
        <v>0.017198</v>
      </c>
      <c r="I526" s="6">
        <v>0.074614</v>
      </c>
      <c r="J526" s="6">
        <v>0.053074</v>
      </c>
      <c r="K526" s="6">
        <v>0.63599349</v>
      </c>
      <c r="L526" s="6">
        <v>0.60566312</v>
      </c>
      <c r="M526" s="6">
        <v>0.60545516</v>
      </c>
      <c r="N526" s="6">
        <v>0.50778632</v>
      </c>
      <c r="O526" s="6">
        <v>0.48767555</v>
      </c>
      <c r="P526" s="6">
        <v>0.74128156</v>
      </c>
      <c r="Q526" s="6">
        <v>0.87797639</v>
      </c>
      <c r="R526" s="6">
        <v>217.69486</v>
      </c>
      <c r="S526" s="6">
        <v>0.00292149</v>
      </c>
      <c r="T526" s="6">
        <v>169.97573</v>
      </c>
      <c r="U526" s="6">
        <v>0.00356323</v>
      </c>
      <c r="V526" s="6">
        <v>197.11803</v>
      </c>
      <c r="W526" s="6">
        <v>0.00307154</v>
      </c>
      <c r="X526" s="6">
        <v>134.47093</v>
      </c>
      <c r="Y526" s="6">
        <v>0.00377618</v>
      </c>
      <c r="Z526" s="6">
        <v>134.86767</v>
      </c>
      <c r="AA526" s="6">
        <v>0.00361596</v>
      </c>
      <c r="AB526" s="6">
        <v>294.9318</v>
      </c>
      <c r="AC526" s="6">
        <v>0.0025134</v>
      </c>
      <c r="AD526" s="6">
        <v>243.86163</v>
      </c>
      <c r="AE526" s="6">
        <v>0.00360031</v>
      </c>
      <c r="AF526" s="6">
        <v>775</v>
      </c>
      <c r="AG526" s="6">
        <v>-0.01704883</v>
      </c>
      <c r="AH526" s="6">
        <v>-0.02008625</v>
      </c>
      <c r="AI526" s="6">
        <v>-0.01777061</v>
      </c>
      <c r="AJ526" s="6">
        <v>-0.02106746</v>
      </c>
      <c r="AK526" s="6">
        <v>-0.02033035</v>
      </c>
      <c r="AL526" s="6">
        <v>-0.01504551</v>
      </c>
      <c r="AM526" s="6">
        <v>-0.02025797</v>
      </c>
      <c r="AN526" s="6">
        <v>-6.4762184</v>
      </c>
      <c r="AO526" s="6">
        <v>-6.4515561</v>
      </c>
      <c r="AP526" s="6">
        <v>-6.4739881</v>
      </c>
      <c r="AQ526" s="6">
        <v>-6.4253629</v>
      </c>
      <c r="AR526" s="6">
        <v>-6.4020076</v>
      </c>
      <c r="AS526" s="6">
        <v>-6.4618417</v>
      </c>
      <c r="AT526" s="6">
        <v>-6.4506396</v>
      </c>
      <c r="AU526" s="6">
        <v>0.97344833</v>
      </c>
      <c r="AV526" s="6">
        <v>0.96974131</v>
      </c>
      <c r="AW526" s="6">
        <v>0.97311308</v>
      </c>
      <c r="AX526" s="6">
        <v>0.96580418</v>
      </c>
      <c r="AY526" s="6">
        <v>0.96229362</v>
      </c>
      <c r="AZ526" s="6">
        <v>0.97128734</v>
      </c>
      <c r="BA526" s="6">
        <v>0.96960354</v>
      </c>
      <c r="BB526" s="6">
        <v>0.02655167</v>
      </c>
      <c r="BC526" s="6">
        <v>0.03025869</v>
      </c>
      <c r="BD526" s="6">
        <v>0.02688692</v>
      </c>
      <c r="BE526" s="6">
        <v>0.03419582</v>
      </c>
      <c r="BF526" s="6">
        <v>0.03770638</v>
      </c>
      <c r="BG526" s="6">
        <v>0.02871266</v>
      </c>
      <c r="BH526" s="6">
        <v>0.03039646</v>
      </c>
      <c r="BI526" s="6">
        <v>0.21470859</v>
      </c>
      <c r="BJ526" s="6">
        <v>0.12366373</v>
      </c>
      <c r="BK526" s="6">
        <v>0.1409291</v>
      </c>
      <c r="BL526" s="6">
        <v>0.12522516</v>
      </c>
      <c r="BM526" s="6">
        <v>0.1592662</v>
      </c>
      <c r="BN526" s="6">
        <v>0.17561655</v>
      </c>
      <c r="BO526" s="6">
        <v>0.1337285</v>
      </c>
      <c r="BP526" s="6">
        <v>0.14157076</v>
      </c>
      <c r="BQ526" s="6">
        <v>0.07864933</v>
      </c>
      <c r="BR526" s="6">
        <v>0.08535556</v>
      </c>
      <c r="BS526" s="6">
        <v>0.07581822</v>
      </c>
      <c r="BT526" s="6">
        <v>0.0808732</v>
      </c>
      <c r="BU526" s="6">
        <v>0.0856439</v>
      </c>
      <c r="BV526" s="6">
        <v>0.09913047</v>
      </c>
      <c r="BW526" s="6">
        <v>0.12429579</v>
      </c>
      <c r="BX526" s="12">
        <v>19463</v>
      </c>
      <c r="BY526" s="13">
        <v>5834</v>
      </c>
      <c r="BZ526" s="12">
        <v>60013</v>
      </c>
      <c r="CA526" s="6">
        <f t="shared" si="48"/>
        <v>3.3361330133699</v>
      </c>
      <c r="CB526" s="6">
        <f t="shared" si="49"/>
        <v>0.324313065502474</v>
      </c>
      <c r="CC526" s="7">
        <v>545514141.9</v>
      </c>
      <c r="CD526" s="7">
        <f t="shared" si="50"/>
        <v>0.908993287954276</v>
      </c>
      <c r="CE526" s="8">
        <v>3565.6</v>
      </c>
      <c r="CF526" s="8">
        <v>19607.5</v>
      </c>
      <c r="CG526" s="8">
        <v>27452.1</v>
      </c>
      <c r="CH526" s="8">
        <v>82694</v>
      </c>
      <c r="CI526" s="14">
        <v>1</v>
      </c>
      <c r="CJ526" s="14">
        <v>0</v>
      </c>
      <c r="CK526" s="14">
        <f t="shared" si="51"/>
        <v>0</v>
      </c>
      <c r="CL526">
        <f t="shared" si="52"/>
        <v>1.21200651315194</v>
      </c>
      <c r="CM526">
        <f t="shared" si="53"/>
        <v>0.250009568355907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</row>
    <row r="527" spans="1:101">
      <c r="A527" s="6">
        <v>2000</v>
      </c>
      <c r="B527" s="6" t="s">
        <v>121</v>
      </c>
      <c r="C527" s="6">
        <v>0.17610451</v>
      </c>
      <c r="D527" s="6">
        <v>0.031704</v>
      </c>
      <c r="E527" s="6">
        <v>0.007845</v>
      </c>
      <c r="F527" s="6">
        <v>0.014087</v>
      </c>
      <c r="G527" s="6">
        <v>0.004551</v>
      </c>
      <c r="H527" s="6">
        <v>0.005221</v>
      </c>
      <c r="I527" s="6">
        <v>0.032953</v>
      </c>
      <c r="J527" s="6">
        <v>0.017203</v>
      </c>
      <c r="K527" s="6">
        <v>0.19712346</v>
      </c>
      <c r="L527" s="6">
        <v>0.14498926</v>
      </c>
      <c r="M527" s="6">
        <v>0.17359902</v>
      </c>
      <c r="N527" s="6">
        <v>0.10603282</v>
      </c>
      <c r="O527" s="6">
        <v>0.12472471</v>
      </c>
      <c r="P527" s="6">
        <v>0.27724964</v>
      </c>
      <c r="Q527" s="6">
        <v>0.23795853</v>
      </c>
      <c r="R527" s="6">
        <v>217.69486</v>
      </c>
      <c r="S527" s="6">
        <v>0.0009055</v>
      </c>
      <c r="T527" s="6">
        <v>169.97573</v>
      </c>
      <c r="U527" s="6">
        <v>0.000853</v>
      </c>
      <c r="V527" s="6">
        <v>197.11803</v>
      </c>
      <c r="W527" s="6">
        <v>0.00088069</v>
      </c>
      <c r="X527" s="6">
        <v>134.47093</v>
      </c>
      <c r="Y527" s="6">
        <v>0.00078852</v>
      </c>
      <c r="Z527" s="6">
        <v>134.86767</v>
      </c>
      <c r="AA527" s="6">
        <v>0.00092479</v>
      </c>
      <c r="AB527" s="6">
        <v>294.9318</v>
      </c>
      <c r="AC527" s="6">
        <v>0.00094005</v>
      </c>
      <c r="AD527" s="6">
        <v>243.86163</v>
      </c>
      <c r="AE527" s="6">
        <v>0.00097579</v>
      </c>
      <c r="AF527" s="6">
        <v>775</v>
      </c>
      <c r="AG527" s="6">
        <v>-0.00634488</v>
      </c>
      <c r="AH527" s="6">
        <v>-0.00602794</v>
      </c>
      <c r="AI527" s="6">
        <v>-0.00619546</v>
      </c>
      <c r="AJ527" s="6">
        <v>-0.00563424</v>
      </c>
      <c r="AK527" s="6">
        <v>-0.00646055</v>
      </c>
      <c r="AL527" s="6">
        <v>-0.00655173</v>
      </c>
      <c r="AM527" s="6">
        <v>-0.00676445</v>
      </c>
      <c r="AN527" s="6">
        <v>-6.4762184</v>
      </c>
      <c r="AO527" s="6">
        <v>-6.4515561</v>
      </c>
      <c r="AP527" s="6">
        <v>-6.4739881</v>
      </c>
      <c r="AQ527" s="6">
        <v>-6.4253629</v>
      </c>
      <c r="AR527" s="6">
        <v>-6.4020076</v>
      </c>
      <c r="AS527" s="6">
        <v>-6.4618417</v>
      </c>
      <c r="AT527" s="6">
        <v>-6.4506396</v>
      </c>
      <c r="AU527" s="6">
        <v>0.97344833</v>
      </c>
      <c r="AV527" s="6">
        <v>0.96974131</v>
      </c>
      <c r="AW527" s="6">
        <v>0.97311308</v>
      </c>
      <c r="AX527" s="6">
        <v>0.96580418</v>
      </c>
      <c r="AY527" s="6">
        <v>0.96229362</v>
      </c>
      <c r="AZ527" s="6">
        <v>0.97128734</v>
      </c>
      <c r="BA527" s="6">
        <v>0.96960354</v>
      </c>
      <c r="BB527" s="6">
        <v>0.02655167</v>
      </c>
      <c r="BC527" s="6">
        <v>0.03025869</v>
      </c>
      <c r="BD527" s="6">
        <v>0.02688692</v>
      </c>
      <c r="BE527" s="6">
        <v>0.03419582</v>
      </c>
      <c r="BF527" s="6">
        <v>0.03770638</v>
      </c>
      <c r="BG527" s="6">
        <v>0.02871266</v>
      </c>
      <c r="BH527" s="6">
        <v>0.03039646</v>
      </c>
      <c r="BI527" s="6">
        <v>0.21470859</v>
      </c>
      <c r="BJ527" s="6">
        <v>0.12366373</v>
      </c>
      <c r="BK527" s="6">
        <v>0.1409291</v>
      </c>
      <c r="BL527" s="6">
        <v>0.12522516</v>
      </c>
      <c r="BM527" s="6">
        <v>0.1592662</v>
      </c>
      <c r="BN527" s="6">
        <v>0.17561655</v>
      </c>
      <c r="BO527" s="6">
        <v>0.1337285</v>
      </c>
      <c r="BP527" s="6">
        <v>0.14157076</v>
      </c>
      <c r="BQ527" s="6">
        <v>0.02437702</v>
      </c>
      <c r="BR527" s="6">
        <v>0.02043321</v>
      </c>
      <c r="BS527" s="6">
        <v>0.02173897</v>
      </c>
      <c r="BT527" s="6">
        <v>0.01688744</v>
      </c>
      <c r="BU527" s="6">
        <v>0.02190372</v>
      </c>
      <c r="BV527" s="6">
        <v>0.03707618</v>
      </c>
      <c r="BW527" s="6">
        <v>0.03368797</v>
      </c>
      <c r="BX527" s="12">
        <v>4071</v>
      </c>
      <c r="BY527" s="13">
        <v>6562</v>
      </c>
      <c r="BZ527" s="12">
        <v>3691.88</v>
      </c>
      <c r="CA527" s="6">
        <f t="shared" si="48"/>
        <v>0.620390124961902</v>
      </c>
      <c r="CB527" s="6">
        <f t="shared" si="49"/>
        <v>1.10269022828478</v>
      </c>
      <c r="CC527" s="7">
        <v>92829731.16</v>
      </c>
      <c r="CD527" s="7">
        <f t="shared" si="50"/>
        <v>2.51442980703598</v>
      </c>
      <c r="CE527" s="8">
        <v>616.4</v>
      </c>
      <c r="CF527" s="8">
        <v>1622.3</v>
      </c>
      <c r="CG527" s="8">
        <v>1525.8</v>
      </c>
      <c r="CH527" s="8">
        <v>11194</v>
      </c>
      <c r="CI527" s="14">
        <v>0</v>
      </c>
      <c r="CJ527" s="14">
        <v>0</v>
      </c>
      <c r="CK527" s="14">
        <f t="shared" si="51"/>
        <v>0</v>
      </c>
      <c r="CL527">
        <f t="shared" si="52"/>
        <v>4.53658228674969</v>
      </c>
      <c r="CM527">
        <f t="shared" si="53"/>
        <v>0.445743591077352</v>
      </c>
      <c r="CN527" s="15">
        <v>4070.71</v>
      </c>
      <c r="CO527" s="15">
        <v>3335.36</v>
      </c>
      <c r="CP527" s="15">
        <v>299.74</v>
      </c>
      <c r="CQ527" s="15">
        <v>541.05</v>
      </c>
      <c r="CR527" s="15">
        <v>115.4</v>
      </c>
      <c r="CS527" s="15">
        <v>8.08</v>
      </c>
      <c r="CT527" s="15">
        <v>140.18</v>
      </c>
      <c r="CU527" s="15">
        <v>46.38</v>
      </c>
      <c r="CV527">
        <v>0</v>
      </c>
      <c r="CW527" s="15">
        <v>406.12</v>
      </c>
    </row>
    <row r="528" spans="1:101">
      <c r="A528" s="6">
        <v>2001</v>
      </c>
      <c r="B528" s="6" t="s">
        <v>121</v>
      </c>
      <c r="C528" s="6">
        <v>0.17405376</v>
      </c>
      <c r="D528" s="6">
        <v>0.032694</v>
      </c>
      <c r="E528" s="6">
        <v>0.0087</v>
      </c>
      <c r="F528" s="6">
        <v>0.015034</v>
      </c>
      <c r="G528" s="6">
        <v>0.004939</v>
      </c>
      <c r="H528" s="6">
        <v>0.004021</v>
      </c>
      <c r="I528" s="6">
        <v>0.03117</v>
      </c>
      <c r="J528" s="6">
        <v>0.017019</v>
      </c>
      <c r="K528" s="6">
        <v>0.2048852</v>
      </c>
      <c r="L528" s="6">
        <v>0.16519271</v>
      </c>
      <c r="M528" s="6">
        <v>0.18815221</v>
      </c>
      <c r="N528" s="6">
        <v>0.11749837</v>
      </c>
      <c r="O528" s="6">
        <v>0.08836543</v>
      </c>
      <c r="P528" s="6">
        <v>0.25739187</v>
      </c>
      <c r="Q528" s="6">
        <v>0.23467034</v>
      </c>
      <c r="R528" s="6">
        <v>217.69486</v>
      </c>
      <c r="S528" s="6">
        <v>0.00094116</v>
      </c>
      <c r="T528" s="6">
        <v>169.97573</v>
      </c>
      <c r="U528" s="6">
        <v>0.00097186</v>
      </c>
      <c r="V528" s="6">
        <v>197.11803</v>
      </c>
      <c r="W528" s="6">
        <v>0.00095452</v>
      </c>
      <c r="X528" s="6">
        <v>134.47093</v>
      </c>
      <c r="Y528" s="6">
        <v>0.00087378</v>
      </c>
      <c r="Z528" s="6">
        <v>134.86767</v>
      </c>
      <c r="AA528" s="6">
        <v>0.0006552</v>
      </c>
      <c r="AB528" s="6">
        <v>294.9318</v>
      </c>
      <c r="AC528" s="6">
        <v>0.00087272</v>
      </c>
      <c r="AD528" s="6">
        <v>243.86163</v>
      </c>
      <c r="AE528" s="6">
        <v>0.00096231</v>
      </c>
      <c r="AF528" s="6">
        <v>775</v>
      </c>
      <c r="AG528" s="6">
        <v>-0.00655836</v>
      </c>
      <c r="AH528" s="6">
        <v>-0.00674111</v>
      </c>
      <c r="AI528" s="6">
        <v>-0.00663799</v>
      </c>
      <c r="AJ528" s="6">
        <v>-0.00615377</v>
      </c>
      <c r="AK528" s="6">
        <v>-0.004803</v>
      </c>
      <c r="AL528" s="6">
        <v>-0.00614733</v>
      </c>
      <c r="AM528" s="6">
        <v>-0.00668437</v>
      </c>
      <c r="AN528" s="6">
        <v>-6.4762184</v>
      </c>
      <c r="AO528" s="6">
        <v>-6.4515561</v>
      </c>
      <c r="AP528" s="6">
        <v>-6.4739881</v>
      </c>
      <c r="AQ528" s="6">
        <v>-6.4253629</v>
      </c>
      <c r="AR528" s="6">
        <v>-6.4020076</v>
      </c>
      <c r="AS528" s="6">
        <v>-6.4618417</v>
      </c>
      <c r="AT528" s="6">
        <v>-6.4506396</v>
      </c>
      <c r="AU528" s="6">
        <v>0.97344833</v>
      </c>
      <c r="AV528" s="6">
        <v>0.96974131</v>
      </c>
      <c r="AW528" s="6">
        <v>0.97311308</v>
      </c>
      <c r="AX528" s="6">
        <v>0.96580418</v>
      </c>
      <c r="AY528" s="6">
        <v>0.96229362</v>
      </c>
      <c r="AZ528" s="6">
        <v>0.97128734</v>
      </c>
      <c r="BA528" s="6">
        <v>0.96960354</v>
      </c>
      <c r="BB528" s="6">
        <v>0.02655167</v>
      </c>
      <c r="BC528" s="6">
        <v>0.03025869</v>
      </c>
      <c r="BD528" s="6">
        <v>0.02688692</v>
      </c>
      <c r="BE528" s="6">
        <v>0.03419582</v>
      </c>
      <c r="BF528" s="6">
        <v>0.03770638</v>
      </c>
      <c r="BG528" s="6">
        <v>0.02871266</v>
      </c>
      <c r="BH528" s="6">
        <v>0.03039646</v>
      </c>
      <c r="BI528" s="6">
        <v>0.21470859</v>
      </c>
      <c r="BJ528" s="6">
        <v>0.12366373</v>
      </c>
      <c r="BK528" s="6">
        <v>0.1409291</v>
      </c>
      <c r="BL528" s="6">
        <v>0.12522516</v>
      </c>
      <c r="BM528" s="6">
        <v>0.1592662</v>
      </c>
      <c r="BN528" s="6">
        <v>0.17561655</v>
      </c>
      <c r="BO528" s="6">
        <v>0.1337285</v>
      </c>
      <c r="BP528" s="6">
        <v>0.14157076</v>
      </c>
      <c r="BQ528" s="6">
        <v>0.02533687</v>
      </c>
      <c r="BR528" s="6">
        <v>0.02328046</v>
      </c>
      <c r="BS528" s="6">
        <v>0.02356139</v>
      </c>
      <c r="BT528" s="6">
        <v>0.01871352</v>
      </c>
      <c r="BU528" s="6">
        <v>0.01551843</v>
      </c>
      <c r="BV528" s="6">
        <v>0.03442063</v>
      </c>
      <c r="BW528" s="6">
        <v>0.03322246</v>
      </c>
      <c r="BX528" s="12">
        <v>4622</v>
      </c>
      <c r="BY528" s="13">
        <v>6595.85</v>
      </c>
      <c r="BZ528" s="12">
        <v>3831.9</v>
      </c>
      <c r="CA528" s="6">
        <f t="shared" si="48"/>
        <v>0.700743649415921</v>
      </c>
      <c r="CB528" s="6">
        <f t="shared" si="49"/>
        <v>1.20619014066129</v>
      </c>
      <c r="CC528" s="7">
        <v>97093556.85</v>
      </c>
      <c r="CD528" s="7">
        <f t="shared" si="50"/>
        <v>2.53382282549127</v>
      </c>
      <c r="CE528" s="8">
        <v>624.2</v>
      </c>
      <c r="CF528" s="8">
        <v>1796.7</v>
      </c>
      <c r="CG528" s="8">
        <v>1652</v>
      </c>
      <c r="CH528" s="8">
        <v>11883</v>
      </c>
      <c r="CI528" s="14">
        <v>0</v>
      </c>
      <c r="CJ528" s="14">
        <v>0</v>
      </c>
      <c r="CK528" s="14">
        <f t="shared" si="51"/>
        <v>0</v>
      </c>
      <c r="CL528">
        <f t="shared" si="52"/>
        <v>4.16809156222866</v>
      </c>
      <c r="CM528">
        <f t="shared" si="53"/>
        <v>0.392090411723959</v>
      </c>
      <c r="CN528" s="15">
        <v>4622</v>
      </c>
      <c r="CO528" s="15">
        <v>4100</v>
      </c>
      <c r="CP528" s="15">
        <v>320.16</v>
      </c>
      <c r="CQ528" s="15">
        <v>440.43</v>
      </c>
      <c r="CR528" s="15">
        <v>113.7</v>
      </c>
      <c r="CS528" s="15">
        <v>4.93</v>
      </c>
      <c r="CT528" s="15">
        <v>124.1</v>
      </c>
      <c r="CU528" s="15">
        <v>45.62</v>
      </c>
      <c r="CV528">
        <v>0</v>
      </c>
      <c r="CW528" s="15">
        <v>439.68</v>
      </c>
    </row>
    <row r="529" spans="1:101">
      <c r="A529" s="6">
        <v>2002</v>
      </c>
      <c r="B529" s="6" t="s">
        <v>121</v>
      </c>
      <c r="C529" s="6">
        <v>0.20774483</v>
      </c>
      <c r="D529" s="6">
        <v>0.03608</v>
      </c>
      <c r="E529" s="6">
        <v>0.00879</v>
      </c>
      <c r="F529" s="6">
        <v>0.016426</v>
      </c>
      <c r="G529" s="6">
        <v>0.005691</v>
      </c>
      <c r="H529" s="6">
        <v>0.005173</v>
      </c>
      <c r="I529" s="6">
        <v>0.039387</v>
      </c>
      <c r="J529" s="6">
        <v>0.019202</v>
      </c>
      <c r="K529" s="6">
        <v>0.2314495</v>
      </c>
      <c r="L529" s="6">
        <v>0.16732477</v>
      </c>
      <c r="M529" s="6">
        <v>0.20954714</v>
      </c>
      <c r="N529" s="6">
        <v>0.13974231</v>
      </c>
      <c r="O529" s="6">
        <v>0.12327115</v>
      </c>
      <c r="P529" s="6">
        <v>0.34891448</v>
      </c>
      <c r="Q529" s="6">
        <v>0.27362239</v>
      </c>
      <c r="R529" s="6">
        <v>217.69486</v>
      </c>
      <c r="S529" s="6">
        <v>0.00106318</v>
      </c>
      <c r="T529" s="6">
        <v>169.97573</v>
      </c>
      <c r="U529" s="6">
        <v>0.0009844</v>
      </c>
      <c r="V529" s="6">
        <v>197.11803</v>
      </c>
      <c r="W529" s="6">
        <v>0.00106305</v>
      </c>
      <c r="X529" s="6">
        <v>134.47093</v>
      </c>
      <c r="Y529" s="6">
        <v>0.0010392</v>
      </c>
      <c r="Z529" s="6">
        <v>134.86767</v>
      </c>
      <c r="AA529" s="6">
        <v>0.00091402</v>
      </c>
      <c r="AB529" s="6">
        <v>294.9318</v>
      </c>
      <c r="AC529" s="6">
        <v>0.00118303</v>
      </c>
      <c r="AD529" s="6">
        <v>243.86163</v>
      </c>
      <c r="AE529" s="6">
        <v>0.00112204</v>
      </c>
      <c r="AF529" s="6">
        <v>775</v>
      </c>
      <c r="AG529" s="6">
        <v>-0.00727907</v>
      </c>
      <c r="AH529" s="6">
        <v>-0.00681549</v>
      </c>
      <c r="AI529" s="6">
        <v>-0.00727832</v>
      </c>
      <c r="AJ529" s="6">
        <v>-0.00713859</v>
      </c>
      <c r="AK529" s="6">
        <v>-0.00639597</v>
      </c>
      <c r="AL529" s="6">
        <v>-0.00797326</v>
      </c>
      <c r="AM529" s="6">
        <v>-0.00762157</v>
      </c>
      <c r="AN529" s="6">
        <v>-6.4762184</v>
      </c>
      <c r="AO529" s="6">
        <v>-6.4515561</v>
      </c>
      <c r="AP529" s="6">
        <v>-6.4739881</v>
      </c>
      <c r="AQ529" s="6">
        <v>-6.4253629</v>
      </c>
      <c r="AR529" s="6">
        <v>-6.4020076</v>
      </c>
      <c r="AS529" s="6">
        <v>-6.4618417</v>
      </c>
      <c r="AT529" s="6">
        <v>-6.4506396</v>
      </c>
      <c r="AU529" s="6">
        <v>0.97344833</v>
      </c>
      <c r="AV529" s="6">
        <v>0.96974131</v>
      </c>
      <c r="AW529" s="6">
        <v>0.97311308</v>
      </c>
      <c r="AX529" s="6">
        <v>0.96580418</v>
      </c>
      <c r="AY529" s="6">
        <v>0.96229362</v>
      </c>
      <c r="AZ529" s="6">
        <v>0.97128734</v>
      </c>
      <c r="BA529" s="6">
        <v>0.96960354</v>
      </c>
      <c r="BB529" s="6">
        <v>0.02655167</v>
      </c>
      <c r="BC529" s="6">
        <v>0.03025869</v>
      </c>
      <c r="BD529" s="6">
        <v>0.02688692</v>
      </c>
      <c r="BE529" s="6">
        <v>0.03419582</v>
      </c>
      <c r="BF529" s="6">
        <v>0.03770638</v>
      </c>
      <c r="BG529" s="6">
        <v>0.02871266</v>
      </c>
      <c r="BH529" s="6">
        <v>0.03039646</v>
      </c>
      <c r="BI529" s="6">
        <v>0.21470859</v>
      </c>
      <c r="BJ529" s="6">
        <v>0.12366373</v>
      </c>
      <c r="BK529" s="6">
        <v>0.1409291</v>
      </c>
      <c r="BL529" s="6">
        <v>0.12522516</v>
      </c>
      <c r="BM529" s="6">
        <v>0.1592662</v>
      </c>
      <c r="BN529" s="6">
        <v>0.17561655</v>
      </c>
      <c r="BO529" s="6">
        <v>0.1337285</v>
      </c>
      <c r="BP529" s="6">
        <v>0.14157076</v>
      </c>
      <c r="BQ529" s="6">
        <v>0.02862191</v>
      </c>
      <c r="BR529" s="6">
        <v>0.02358093</v>
      </c>
      <c r="BS529" s="6">
        <v>0.02624057</v>
      </c>
      <c r="BT529" s="6">
        <v>0.02225623</v>
      </c>
      <c r="BU529" s="6">
        <v>0.02164845</v>
      </c>
      <c r="BV529" s="6">
        <v>0.04665981</v>
      </c>
      <c r="BW529" s="6">
        <v>0.03873693</v>
      </c>
      <c r="BX529" s="12">
        <v>5045</v>
      </c>
      <c r="BY529" s="13">
        <v>6629</v>
      </c>
      <c r="BZ529" s="12">
        <v>4151.54</v>
      </c>
      <c r="CA529" s="6">
        <f t="shared" si="48"/>
        <v>0.761049932116458</v>
      </c>
      <c r="CB529" s="6">
        <f t="shared" si="49"/>
        <v>1.21521170457228</v>
      </c>
      <c r="CC529" s="7">
        <v>101615781.3</v>
      </c>
      <c r="CD529" s="7">
        <f t="shared" si="50"/>
        <v>2.44766475332045</v>
      </c>
      <c r="CE529" s="8">
        <v>659.5</v>
      </c>
      <c r="CF529" s="8">
        <v>2029.2</v>
      </c>
      <c r="CG529" s="8">
        <v>1778.9</v>
      </c>
      <c r="CH529" s="8">
        <v>12910</v>
      </c>
      <c r="CI529" s="14">
        <v>0</v>
      </c>
      <c r="CJ529" s="14">
        <v>0</v>
      </c>
      <c r="CK529" s="14">
        <f t="shared" si="51"/>
        <v>0</v>
      </c>
      <c r="CL529">
        <f t="shared" si="52"/>
        <v>4.06804884448575</v>
      </c>
      <c r="CM529">
        <f t="shared" si="53"/>
        <v>0.398319723560285</v>
      </c>
      <c r="CN529" s="15">
        <v>5382</v>
      </c>
      <c r="CO529" s="15">
        <v>4287</v>
      </c>
      <c r="CP529" s="15">
        <v>351.13</v>
      </c>
      <c r="CQ529" s="15">
        <v>470.92</v>
      </c>
      <c r="CR529" s="15">
        <v>134.63</v>
      </c>
      <c r="CS529" s="15">
        <v>8.74</v>
      </c>
      <c r="CT529" s="15">
        <v>182.36</v>
      </c>
      <c r="CU529" s="15">
        <v>43.55</v>
      </c>
      <c r="CV529">
        <v>0</v>
      </c>
      <c r="CW529" s="15">
        <v>476</v>
      </c>
    </row>
    <row r="530" spans="1:101">
      <c r="A530" s="6">
        <v>2003</v>
      </c>
      <c r="B530" s="6" t="s">
        <v>121</v>
      </c>
      <c r="C530" s="6">
        <v>0.21569055</v>
      </c>
      <c r="D530" s="6">
        <v>0.039701</v>
      </c>
      <c r="E530" s="6">
        <v>0.009913</v>
      </c>
      <c r="F530" s="6">
        <v>0.018285</v>
      </c>
      <c r="G530" s="6">
        <v>0.006292</v>
      </c>
      <c r="H530" s="6">
        <v>0.005212</v>
      </c>
      <c r="I530" s="6">
        <v>0.035676</v>
      </c>
      <c r="J530" s="6">
        <v>0.019047</v>
      </c>
      <c r="K530" s="6">
        <v>0.25985057</v>
      </c>
      <c r="L530" s="6">
        <v>0.19386326</v>
      </c>
      <c r="M530" s="6">
        <v>0.238115</v>
      </c>
      <c r="N530" s="6">
        <v>0.15749615</v>
      </c>
      <c r="O530" s="6">
        <v>0.1244496</v>
      </c>
      <c r="P530" s="6">
        <v>0.30757915</v>
      </c>
      <c r="Q530" s="6">
        <v>0.27086227</v>
      </c>
      <c r="R530" s="6">
        <v>217.69486</v>
      </c>
      <c r="S530" s="6">
        <v>0.00119365</v>
      </c>
      <c r="T530" s="6">
        <v>169.97573</v>
      </c>
      <c r="U530" s="6">
        <v>0.00114053</v>
      </c>
      <c r="V530" s="6">
        <v>197.11803</v>
      </c>
      <c r="W530" s="6">
        <v>0.00120798</v>
      </c>
      <c r="X530" s="6">
        <v>134.47093</v>
      </c>
      <c r="Y530" s="6">
        <v>0.00117123</v>
      </c>
      <c r="Z530" s="6">
        <v>134.86767</v>
      </c>
      <c r="AA530" s="6">
        <v>0.00092275</v>
      </c>
      <c r="AB530" s="6">
        <v>294.9318</v>
      </c>
      <c r="AC530" s="6">
        <v>0.00104288</v>
      </c>
      <c r="AD530" s="6">
        <v>243.86163</v>
      </c>
      <c r="AE530" s="6">
        <v>0.00111072</v>
      </c>
      <c r="AF530" s="6">
        <v>775</v>
      </c>
      <c r="AG530" s="6">
        <v>-0.00803412</v>
      </c>
      <c r="AH530" s="6">
        <v>-0.00772856</v>
      </c>
      <c r="AI530" s="6">
        <v>-0.00811619</v>
      </c>
      <c r="AJ530" s="6">
        <v>-0.00790544</v>
      </c>
      <c r="AK530" s="6">
        <v>-0.00644834</v>
      </c>
      <c r="AL530" s="6">
        <v>-0.00716019</v>
      </c>
      <c r="AM530" s="6">
        <v>-0.00755595</v>
      </c>
      <c r="AN530" s="6">
        <v>-6.4762184</v>
      </c>
      <c r="AO530" s="6">
        <v>-6.4515561</v>
      </c>
      <c r="AP530" s="6">
        <v>-6.4739881</v>
      </c>
      <c r="AQ530" s="6">
        <v>-6.4253629</v>
      </c>
      <c r="AR530" s="6">
        <v>-6.4020076</v>
      </c>
      <c r="AS530" s="6">
        <v>-6.4618417</v>
      </c>
      <c r="AT530" s="6">
        <v>-6.4506396</v>
      </c>
      <c r="AU530" s="6">
        <v>0.97344833</v>
      </c>
      <c r="AV530" s="6">
        <v>0.96974131</v>
      </c>
      <c r="AW530" s="6">
        <v>0.97311308</v>
      </c>
      <c r="AX530" s="6">
        <v>0.96580418</v>
      </c>
      <c r="AY530" s="6">
        <v>0.96229362</v>
      </c>
      <c r="AZ530" s="6">
        <v>0.97128734</v>
      </c>
      <c r="BA530" s="6">
        <v>0.96960354</v>
      </c>
      <c r="BB530" s="6">
        <v>0.02655167</v>
      </c>
      <c r="BC530" s="6">
        <v>0.03025869</v>
      </c>
      <c r="BD530" s="6">
        <v>0.02688692</v>
      </c>
      <c r="BE530" s="6">
        <v>0.03419582</v>
      </c>
      <c r="BF530" s="6">
        <v>0.03770638</v>
      </c>
      <c r="BG530" s="6">
        <v>0.02871266</v>
      </c>
      <c r="BH530" s="6">
        <v>0.03039646</v>
      </c>
      <c r="BI530" s="6">
        <v>0.21470859</v>
      </c>
      <c r="BJ530" s="6">
        <v>0.12366373</v>
      </c>
      <c r="BK530" s="6">
        <v>0.1409291</v>
      </c>
      <c r="BL530" s="6">
        <v>0.12522516</v>
      </c>
      <c r="BM530" s="6">
        <v>0.1592662</v>
      </c>
      <c r="BN530" s="6">
        <v>0.17561655</v>
      </c>
      <c r="BO530" s="6">
        <v>0.1337285</v>
      </c>
      <c r="BP530" s="6">
        <v>0.14157076</v>
      </c>
      <c r="BQ530" s="6">
        <v>0.03213409</v>
      </c>
      <c r="BR530" s="6">
        <v>0.02732097</v>
      </c>
      <c r="BS530" s="6">
        <v>0.02981799</v>
      </c>
      <c r="BT530" s="6">
        <v>0.02508381</v>
      </c>
      <c r="BU530" s="6">
        <v>0.02185541</v>
      </c>
      <c r="BV530" s="6">
        <v>0.0411321</v>
      </c>
      <c r="BW530" s="6">
        <v>0.03834618</v>
      </c>
      <c r="BX530" s="12">
        <v>5562</v>
      </c>
      <c r="BY530" s="13">
        <v>6662.8</v>
      </c>
      <c r="BZ530" s="12">
        <v>4659.99</v>
      </c>
      <c r="CA530" s="6">
        <f t="shared" si="48"/>
        <v>0.834784174821396</v>
      </c>
      <c r="CB530" s="6">
        <f t="shared" si="49"/>
        <v>1.1935647930575</v>
      </c>
      <c r="CC530" s="7">
        <v>117428501.4</v>
      </c>
      <c r="CD530" s="7">
        <f t="shared" si="50"/>
        <v>2.5199303303226</v>
      </c>
      <c r="CE530" s="8">
        <v>682.1</v>
      </c>
      <c r="CF530" s="8">
        <v>2329.7</v>
      </c>
      <c r="CG530" s="8">
        <v>1987.9</v>
      </c>
      <c r="CH530" s="8">
        <v>14330</v>
      </c>
      <c r="CI530" s="14">
        <v>0</v>
      </c>
      <c r="CJ530" s="14">
        <v>0</v>
      </c>
      <c r="CK530" s="14">
        <f t="shared" si="51"/>
        <v>0</v>
      </c>
      <c r="CL530">
        <f t="shared" si="52"/>
        <v>4.08414499624993</v>
      </c>
      <c r="CM530">
        <f t="shared" si="53"/>
        <v>0.382996849368374</v>
      </c>
      <c r="CN530" s="15">
        <v>6297.5</v>
      </c>
      <c r="CO530" s="15">
        <v>4984.25</v>
      </c>
      <c r="CP530" s="15">
        <v>395.83</v>
      </c>
      <c r="CQ530" s="15">
        <v>507.82</v>
      </c>
      <c r="CR530" s="15">
        <v>135.93</v>
      </c>
      <c r="CS530" s="15">
        <v>8.91</v>
      </c>
      <c r="CT530" s="15">
        <v>184.89</v>
      </c>
      <c r="CU530" s="15">
        <v>42.79</v>
      </c>
      <c r="CV530">
        <v>0</v>
      </c>
      <c r="CW530" s="15">
        <v>546.95</v>
      </c>
    </row>
    <row r="531" spans="1:101">
      <c r="A531" s="6">
        <v>2004</v>
      </c>
      <c r="B531" s="6" t="s">
        <v>121</v>
      </c>
      <c r="C531" s="6">
        <v>0.20967945</v>
      </c>
      <c r="D531" s="6">
        <v>0.036612</v>
      </c>
      <c r="E531" s="6">
        <v>0.008921</v>
      </c>
      <c r="F531" s="6">
        <v>0.016714</v>
      </c>
      <c r="G531" s="6">
        <v>0.005514</v>
      </c>
      <c r="H531" s="6">
        <v>0.005464</v>
      </c>
      <c r="I531" s="6">
        <v>0.039268</v>
      </c>
      <c r="J531" s="6">
        <v>0.01916</v>
      </c>
      <c r="K531" s="6">
        <v>0.23561943</v>
      </c>
      <c r="L531" s="6">
        <v>0.17041323</v>
      </c>
      <c r="M531" s="6">
        <v>0.21396902</v>
      </c>
      <c r="N531" s="6">
        <v>0.1344913</v>
      </c>
      <c r="O531" s="6">
        <v>0.13208714</v>
      </c>
      <c r="P531" s="6">
        <v>0.34759189</v>
      </c>
      <c r="Q531" s="6">
        <v>0.27288005</v>
      </c>
      <c r="R531" s="6">
        <v>217.69486</v>
      </c>
      <c r="S531" s="6">
        <v>0.00108234</v>
      </c>
      <c r="T531" s="6">
        <v>169.97573</v>
      </c>
      <c r="U531" s="6">
        <v>0.00100257</v>
      </c>
      <c r="V531" s="6">
        <v>197.11803</v>
      </c>
      <c r="W531" s="6">
        <v>0.00108549</v>
      </c>
      <c r="X531" s="6">
        <v>134.47093</v>
      </c>
      <c r="Y531" s="6">
        <v>0.00100015</v>
      </c>
      <c r="Z531" s="6">
        <v>134.86767</v>
      </c>
      <c r="AA531" s="6">
        <v>0.00097938</v>
      </c>
      <c r="AB531" s="6">
        <v>294.9318</v>
      </c>
      <c r="AC531" s="6">
        <v>0.00117855</v>
      </c>
      <c r="AD531" s="6">
        <v>243.86163</v>
      </c>
      <c r="AE531" s="6">
        <v>0.001119</v>
      </c>
      <c r="AF531" s="6">
        <v>775</v>
      </c>
      <c r="AG531" s="6">
        <v>-0.00739089</v>
      </c>
      <c r="AH531" s="6">
        <v>-0.00692296</v>
      </c>
      <c r="AI531" s="6">
        <v>-0.00740924</v>
      </c>
      <c r="AJ531" s="6">
        <v>-0.00690865</v>
      </c>
      <c r="AK531" s="6">
        <v>-0.00678574</v>
      </c>
      <c r="AL531" s="6">
        <v>-0.00794752</v>
      </c>
      <c r="AM531" s="6">
        <v>-0.00760394</v>
      </c>
      <c r="AN531" s="6">
        <v>-6.4762184</v>
      </c>
      <c r="AO531" s="6">
        <v>-6.4515561</v>
      </c>
      <c r="AP531" s="6">
        <v>-6.4739881</v>
      </c>
      <c r="AQ531" s="6">
        <v>-6.4253629</v>
      </c>
      <c r="AR531" s="6">
        <v>-6.4020076</v>
      </c>
      <c r="AS531" s="6">
        <v>-6.4618417</v>
      </c>
      <c r="AT531" s="6">
        <v>-6.4506396</v>
      </c>
      <c r="AU531" s="6">
        <v>0.97344833</v>
      </c>
      <c r="AV531" s="6">
        <v>0.96974131</v>
      </c>
      <c r="AW531" s="6">
        <v>0.97311308</v>
      </c>
      <c r="AX531" s="6">
        <v>0.96580418</v>
      </c>
      <c r="AY531" s="6">
        <v>0.96229362</v>
      </c>
      <c r="AZ531" s="6">
        <v>0.97128734</v>
      </c>
      <c r="BA531" s="6">
        <v>0.96960354</v>
      </c>
      <c r="BB531" s="6">
        <v>0.02655167</v>
      </c>
      <c r="BC531" s="6">
        <v>0.03025869</v>
      </c>
      <c r="BD531" s="6">
        <v>0.02688692</v>
      </c>
      <c r="BE531" s="6">
        <v>0.03419582</v>
      </c>
      <c r="BF531" s="6">
        <v>0.03770638</v>
      </c>
      <c r="BG531" s="6">
        <v>0.02871266</v>
      </c>
      <c r="BH531" s="6">
        <v>0.03039646</v>
      </c>
      <c r="BI531" s="6">
        <v>0.21470859</v>
      </c>
      <c r="BJ531" s="6">
        <v>0.12366373</v>
      </c>
      <c r="BK531" s="6">
        <v>0.1409291</v>
      </c>
      <c r="BL531" s="6">
        <v>0.12522516</v>
      </c>
      <c r="BM531" s="6">
        <v>0.1592662</v>
      </c>
      <c r="BN531" s="6">
        <v>0.17561655</v>
      </c>
      <c r="BO531" s="6">
        <v>0.1337285</v>
      </c>
      <c r="BP531" s="6">
        <v>0.14157076</v>
      </c>
      <c r="BQ531" s="6">
        <v>0.02913758</v>
      </c>
      <c r="BR531" s="6">
        <v>0.02401618</v>
      </c>
      <c r="BS531" s="6">
        <v>0.02679431</v>
      </c>
      <c r="BT531" s="6">
        <v>0.02141992</v>
      </c>
      <c r="BU531" s="6">
        <v>0.02319669</v>
      </c>
      <c r="BV531" s="6">
        <v>0.04648294</v>
      </c>
      <c r="BW531" s="6">
        <v>0.03863184</v>
      </c>
      <c r="BX531" s="12">
        <v>7134</v>
      </c>
      <c r="BY531" s="13">
        <v>6698</v>
      </c>
      <c r="BZ531" s="12">
        <v>5641.94</v>
      </c>
      <c r="CA531" s="6">
        <f t="shared" si="48"/>
        <v>1.06509405792774</v>
      </c>
      <c r="CB531" s="6">
        <f t="shared" si="49"/>
        <v>1.26445867910683</v>
      </c>
      <c r="CC531" s="7">
        <v>139674965.3</v>
      </c>
      <c r="CD531" s="7">
        <f t="shared" si="50"/>
        <v>2.47565492188857</v>
      </c>
      <c r="CE531" s="8">
        <v>762.9</v>
      </c>
      <c r="CF531" s="8">
        <v>2738.7</v>
      </c>
      <c r="CG531" s="8">
        <v>2210.5</v>
      </c>
      <c r="CH531" s="8">
        <v>16248</v>
      </c>
      <c r="CI531" s="14">
        <v>0</v>
      </c>
      <c r="CJ531" s="14">
        <v>0</v>
      </c>
      <c r="CK531" s="14">
        <f t="shared" si="51"/>
        <v>0</v>
      </c>
      <c r="CL531">
        <f t="shared" si="52"/>
        <v>3.89549779892895</v>
      </c>
      <c r="CM531">
        <f t="shared" si="53"/>
        <v>0.364483039223063</v>
      </c>
      <c r="CN531" s="15">
        <v>7599.2</v>
      </c>
      <c r="CO531" s="15">
        <v>6039.79</v>
      </c>
      <c r="CP531" s="15">
        <v>553.37</v>
      </c>
      <c r="CQ531" s="15">
        <v>615.79</v>
      </c>
      <c r="CR531" s="15">
        <v>160.47</v>
      </c>
      <c r="CS531" s="15">
        <v>11.58</v>
      </c>
      <c r="CT531" s="15">
        <v>242.91</v>
      </c>
      <c r="CU531" s="15">
        <v>36.81</v>
      </c>
      <c r="CV531" s="15">
        <v>0.06</v>
      </c>
      <c r="CW531" s="15">
        <v>662.61</v>
      </c>
    </row>
    <row r="532" spans="1:101">
      <c r="A532" s="6">
        <v>2005</v>
      </c>
      <c r="B532" s="6" t="s">
        <v>121</v>
      </c>
      <c r="C532" s="6">
        <v>0.23994589</v>
      </c>
      <c r="D532" s="6">
        <v>0.040581</v>
      </c>
      <c r="E532" s="6">
        <v>0.009894</v>
      </c>
      <c r="F532" s="6">
        <v>0.018026</v>
      </c>
      <c r="G532" s="6">
        <v>0.005929</v>
      </c>
      <c r="H532" s="6">
        <v>0.006732</v>
      </c>
      <c r="I532" s="6">
        <v>0.042513</v>
      </c>
      <c r="J532" s="6">
        <v>0.021975</v>
      </c>
      <c r="K532" s="6">
        <v>0.26675553</v>
      </c>
      <c r="L532" s="6">
        <v>0.19343131</v>
      </c>
      <c r="M532" s="6">
        <v>0.23414147</v>
      </c>
      <c r="N532" s="6">
        <v>0.14676444</v>
      </c>
      <c r="O532" s="6">
        <v>0.17051679</v>
      </c>
      <c r="P532" s="6">
        <v>0.3837304</v>
      </c>
      <c r="Q532" s="6">
        <v>0.32310011</v>
      </c>
      <c r="R532" s="6">
        <v>217.69486</v>
      </c>
      <c r="S532" s="6">
        <v>0.00122536</v>
      </c>
      <c r="T532" s="6">
        <v>169.97573</v>
      </c>
      <c r="U532" s="6">
        <v>0.00113799</v>
      </c>
      <c r="V532" s="6">
        <v>197.11803</v>
      </c>
      <c r="W532" s="6">
        <v>0.00118782</v>
      </c>
      <c r="X532" s="6">
        <v>134.47093</v>
      </c>
      <c r="Y532" s="6">
        <v>0.00109142</v>
      </c>
      <c r="Z532" s="6">
        <v>134.86767</v>
      </c>
      <c r="AA532" s="6">
        <v>0.00126433</v>
      </c>
      <c r="AB532" s="6">
        <v>294.9318</v>
      </c>
      <c r="AC532" s="6">
        <v>0.00130108</v>
      </c>
      <c r="AD532" s="6">
        <v>243.86163</v>
      </c>
      <c r="AE532" s="6">
        <v>0.00132493</v>
      </c>
      <c r="AF532" s="6">
        <v>775</v>
      </c>
      <c r="AG532" s="6">
        <v>-0.00821548</v>
      </c>
      <c r="AH532" s="6">
        <v>-0.00771388</v>
      </c>
      <c r="AI532" s="6">
        <v>-0.00800074</v>
      </c>
      <c r="AJ532" s="6">
        <v>-0.00744379</v>
      </c>
      <c r="AK532" s="6">
        <v>-0.00843712</v>
      </c>
      <c r="AL532" s="6">
        <v>-0.00864512</v>
      </c>
      <c r="AM532" s="6">
        <v>-0.00877952</v>
      </c>
      <c r="AN532" s="6">
        <v>-6.4762184</v>
      </c>
      <c r="AO532" s="6">
        <v>-6.4515561</v>
      </c>
      <c r="AP532" s="6">
        <v>-6.4739881</v>
      </c>
      <c r="AQ532" s="6">
        <v>-6.4253629</v>
      </c>
      <c r="AR532" s="6">
        <v>-6.4020076</v>
      </c>
      <c r="AS532" s="6">
        <v>-6.4618417</v>
      </c>
      <c r="AT532" s="6">
        <v>-6.4506396</v>
      </c>
      <c r="AU532" s="6">
        <v>0.97344833</v>
      </c>
      <c r="AV532" s="6">
        <v>0.96974131</v>
      </c>
      <c r="AW532" s="6">
        <v>0.97311308</v>
      </c>
      <c r="AX532" s="6">
        <v>0.96580418</v>
      </c>
      <c r="AY532" s="6">
        <v>0.96229362</v>
      </c>
      <c r="AZ532" s="6">
        <v>0.97128734</v>
      </c>
      <c r="BA532" s="6">
        <v>0.96960354</v>
      </c>
      <c r="BB532" s="6">
        <v>0.02655167</v>
      </c>
      <c r="BC532" s="6">
        <v>0.03025869</v>
      </c>
      <c r="BD532" s="6">
        <v>0.02688692</v>
      </c>
      <c r="BE532" s="6">
        <v>0.03419582</v>
      </c>
      <c r="BF532" s="6">
        <v>0.03770638</v>
      </c>
      <c r="BG532" s="6">
        <v>0.02871266</v>
      </c>
      <c r="BH532" s="6">
        <v>0.03039646</v>
      </c>
      <c r="BI532" s="6">
        <v>0.21470859</v>
      </c>
      <c r="BJ532" s="6">
        <v>0.12366373</v>
      </c>
      <c r="BK532" s="6">
        <v>0.1409291</v>
      </c>
      <c r="BL532" s="6">
        <v>0.12522516</v>
      </c>
      <c r="BM532" s="6">
        <v>0.1592662</v>
      </c>
      <c r="BN532" s="6">
        <v>0.17561655</v>
      </c>
      <c r="BO532" s="6">
        <v>0.1337285</v>
      </c>
      <c r="BP532" s="6">
        <v>0.14157076</v>
      </c>
      <c r="BQ532" s="6">
        <v>0.03298798</v>
      </c>
      <c r="BR532" s="6">
        <v>0.0272601</v>
      </c>
      <c r="BS532" s="6">
        <v>0.0293204</v>
      </c>
      <c r="BT532" s="6">
        <v>0.02337462</v>
      </c>
      <c r="BU532" s="6">
        <v>0.02994557</v>
      </c>
      <c r="BV532" s="6">
        <v>0.05131569</v>
      </c>
      <c r="BW532" s="6">
        <v>0.04574153</v>
      </c>
      <c r="BX532" s="12">
        <v>9709</v>
      </c>
      <c r="BY532" s="13">
        <v>6326</v>
      </c>
      <c r="BZ532" s="12">
        <v>6596.1</v>
      </c>
      <c r="CA532" s="6">
        <f t="shared" si="48"/>
        <v>1.53477711033829</v>
      </c>
      <c r="CB532" s="6">
        <f t="shared" si="49"/>
        <v>1.47193038310517</v>
      </c>
      <c r="CC532" s="7">
        <v>152042968</v>
      </c>
      <c r="CD532" s="7">
        <f t="shared" si="50"/>
        <v>2.30504340443595</v>
      </c>
      <c r="CE532" s="8">
        <v>792.5</v>
      </c>
      <c r="CF532" s="8">
        <v>3095.9</v>
      </c>
      <c r="CG532" s="8">
        <v>2527</v>
      </c>
      <c r="CH532" s="8">
        <v>18107</v>
      </c>
      <c r="CI532" s="14">
        <v>0</v>
      </c>
      <c r="CJ532" s="14">
        <v>0</v>
      </c>
      <c r="CK532" s="14">
        <f t="shared" si="51"/>
        <v>0</v>
      </c>
      <c r="CL532">
        <f t="shared" si="52"/>
        <v>3.71995059106252</v>
      </c>
      <c r="CM532">
        <f t="shared" si="53"/>
        <v>0.38035644613829</v>
      </c>
      <c r="CN532" s="15">
        <v>9110.1</v>
      </c>
      <c r="CO532" s="15">
        <v>8739.29</v>
      </c>
      <c r="CP532" s="15">
        <v>756.58</v>
      </c>
      <c r="CQ532" s="15">
        <v>660.86</v>
      </c>
      <c r="CR532" s="15">
        <v>271.88</v>
      </c>
      <c r="CS532" s="15">
        <v>12.48</v>
      </c>
      <c r="CT532" s="15">
        <v>282.05</v>
      </c>
      <c r="CU532" s="15">
        <v>43.09</v>
      </c>
      <c r="CV532" s="15">
        <v>1</v>
      </c>
      <c r="CW532" s="15">
        <v>674.43</v>
      </c>
    </row>
    <row r="533" spans="1:101">
      <c r="A533" s="6">
        <v>2006</v>
      </c>
      <c r="B533" s="6" t="s">
        <v>121</v>
      </c>
      <c r="C533" s="6">
        <v>0.23308158</v>
      </c>
      <c r="D533" s="6">
        <v>0.040677</v>
      </c>
      <c r="E533" s="6">
        <v>0.009932</v>
      </c>
      <c r="F533" s="6">
        <v>0.018352</v>
      </c>
      <c r="G533" s="6">
        <v>0.006196</v>
      </c>
      <c r="H533" s="6">
        <v>0.006196</v>
      </c>
      <c r="I533" s="6">
        <v>0.042136</v>
      </c>
      <c r="J533" s="6">
        <v>0.019776</v>
      </c>
      <c r="K533" s="6">
        <v>0.26750167</v>
      </c>
      <c r="L533" s="6">
        <v>0.19432573</v>
      </c>
      <c r="M533" s="6">
        <v>0.23914949</v>
      </c>
      <c r="N533" s="6">
        <v>0.15467218</v>
      </c>
      <c r="O533" s="6">
        <v>0.15427142</v>
      </c>
      <c r="P533" s="6">
        <v>0.37953632</v>
      </c>
      <c r="Q533" s="6">
        <v>0.28385916</v>
      </c>
      <c r="R533" s="6">
        <v>217.69486</v>
      </c>
      <c r="S533" s="6">
        <v>0.00122879</v>
      </c>
      <c r="T533" s="6">
        <v>169.97573</v>
      </c>
      <c r="U533" s="6">
        <v>0.00114326</v>
      </c>
      <c r="V533" s="6">
        <v>197.11803</v>
      </c>
      <c r="W533" s="6">
        <v>0.00121323</v>
      </c>
      <c r="X533" s="6">
        <v>134.47093</v>
      </c>
      <c r="Y533" s="6">
        <v>0.00115023</v>
      </c>
      <c r="Z533" s="6">
        <v>134.86767</v>
      </c>
      <c r="AA533" s="6">
        <v>0.00114387</v>
      </c>
      <c r="AB533" s="6">
        <v>294.9318</v>
      </c>
      <c r="AC533" s="6">
        <v>0.00128686</v>
      </c>
      <c r="AD533" s="6">
        <v>243.86163</v>
      </c>
      <c r="AE533" s="6">
        <v>0.00116402</v>
      </c>
      <c r="AF533" s="6">
        <v>775</v>
      </c>
      <c r="AG533" s="6">
        <v>-0.00823502</v>
      </c>
      <c r="AH533" s="6">
        <v>-0.00774427</v>
      </c>
      <c r="AI533" s="6">
        <v>-0.00814619</v>
      </c>
      <c r="AJ533" s="6">
        <v>-0.00778451</v>
      </c>
      <c r="AK533" s="6">
        <v>-0.00774783</v>
      </c>
      <c r="AL533" s="6">
        <v>-0.00856477</v>
      </c>
      <c r="AM533" s="6">
        <v>-0.00786396</v>
      </c>
      <c r="AN533" s="6">
        <v>-6.4762184</v>
      </c>
      <c r="AO533" s="6">
        <v>-6.4515561</v>
      </c>
      <c r="AP533" s="6">
        <v>-6.4739881</v>
      </c>
      <c r="AQ533" s="6">
        <v>-6.4253629</v>
      </c>
      <c r="AR533" s="6">
        <v>-6.4020076</v>
      </c>
      <c r="AS533" s="6">
        <v>-6.4618417</v>
      </c>
      <c r="AT533" s="6">
        <v>-6.4506396</v>
      </c>
      <c r="AU533" s="6">
        <v>0.97344833</v>
      </c>
      <c r="AV533" s="6">
        <v>0.96974131</v>
      </c>
      <c r="AW533" s="6">
        <v>0.97311308</v>
      </c>
      <c r="AX533" s="6">
        <v>0.96580418</v>
      </c>
      <c r="AY533" s="6">
        <v>0.96229362</v>
      </c>
      <c r="AZ533" s="6">
        <v>0.97128734</v>
      </c>
      <c r="BA533" s="6">
        <v>0.96960354</v>
      </c>
      <c r="BB533" s="6">
        <v>0.02655167</v>
      </c>
      <c r="BC533" s="6">
        <v>0.03025869</v>
      </c>
      <c r="BD533" s="6">
        <v>0.02688692</v>
      </c>
      <c r="BE533" s="6">
        <v>0.03419582</v>
      </c>
      <c r="BF533" s="6">
        <v>0.03770638</v>
      </c>
      <c r="BG533" s="6">
        <v>0.02871266</v>
      </c>
      <c r="BH533" s="6">
        <v>0.03039646</v>
      </c>
      <c r="BI533" s="6">
        <v>0.21470859</v>
      </c>
      <c r="BJ533" s="6">
        <v>0.12366373</v>
      </c>
      <c r="BK533" s="6">
        <v>0.1409291</v>
      </c>
      <c r="BL533" s="6">
        <v>0.12522516</v>
      </c>
      <c r="BM533" s="6">
        <v>0.1592662</v>
      </c>
      <c r="BN533" s="6">
        <v>0.17561655</v>
      </c>
      <c r="BO533" s="6">
        <v>0.1337285</v>
      </c>
      <c r="BP533" s="6">
        <v>0.14157076</v>
      </c>
      <c r="BQ533" s="6">
        <v>0.03308025</v>
      </c>
      <c r="BR533" s="6">
        <v>0.02738615</v>
      </c>
      <c r="BS533" s="6">
        <v>0.02994753</v>
      </c>
      <c r="BT533" s="6">
        <v>0.02463405</v>
      </c>
      <c r="BU533" s="6">
        <v>0.02709261</v>
      </c>
      <c r="BV533" s="6">
        <v>0.05075482</v>
      </c>
      <c r="BW533" s="6">
        <v>0.04018616</v>
      </c>
      <c r="BX533" s="12">
        <v>10581</v>
      </c>
      <c r="BY533" s="13">
        <v>6342</v>
      </c>
      <c r="BZ533" s="12">
        <v>7688.67</v>
      </c>
      <c r="CA533" s="6">
        <f t="shared" si="48"/>
        <v>1.66840113528855</v>
      </c>
      <c r="CB533" s="6">
        <f t="shared" si="49"/>
        <v>1.37618079589838</v>
      </c>
      <c r="CC533" s="7">
        <v>178136796.6</v>
      </c>
      <c r="CD533" s="7">
        <f t="shared" si="50"/>
        <v>2.31687400551721</v>
      </c>
      <c r="CE533" s="8">
        <v>828.8</v>
      </c>
      <c r="CF533" s="8">
        <v>3629.7</v>
      </c>
      <c r="CG533" s="8">
        <v>3010.1</v>
      </c>
      <c r="CH533" s="8">
        <v>20915</v>
      </c>
      <c r="CI533" s="14">
        <v>0</v>
      </c>
      <c r="CJ533" s="14">
        <v>0</v>
      </c>
      <c r="CK533" s="14">
        <f t="shared" si="51"/>
        <v>0</v>
      </c>
      <c r="CL533">
        <f t="shared" si="52"/>
        <v>3.57740717995078</v>
      </c>
      <c r="CM533">
        <f t="shared" si="53"/>
        <v>0.352359435486713</v>
      </c>
      <c r="CN533" s="15">
        <v>9879.18</v>
      </c>
      <c r="CO533" s="15">
        <v>9438.51</v>
      </c>
      <c r="CP533" s="15">
        <v>823.12</v>
      </c>
      <c r="CQ533" s="15">
        <v>574.49</v>
      </c>
      <c r="CR533" s="15">
        <v>263.24</v>
      </c>
      <c r="CS533" s="15">
        <v>20.83</v>
      </c>
      <c r="CT533" s="15">
        <v>342.08</v>
      </c>
      <c r="CU533" s="15">
        <v>42.04</v>
      </c>
      <c r="CV533" s="15">
        <v>4.25</v>
      </c>
      <c r="CW533" s="15">
        <v>768.78</v>
      </c>
    </row>
    <row r="534" spans="1:101">
      <c r="A534" s="6">
        <v>2007</v>
      </c>
      <c r="B534" s="6" t="s">
        <v>121</v>
      </c>
      <c r="C534" s="6">
        <v>0.27610561</v>
      </c>
      <c r="D534" s="6">
        <v>0.048267</v>
      </c>
      <c r="E534" s="6">
        <v>0.012622</v>
      </c>
      <c r="F534" s="6">
        <v>0.021419</v>
      </c>
      <c r="G534" s="6">
        <v>0.007329</v>
      </c>
      <c r="H534" s="6">
        <v>0.006897</v>
      </c>
      <c r="I534" s="6">
        <v>0.044665</v>
      </c>
      <c r="J534" s="6">
        <v>0.022929</v>
      </c>
      <c r="K534" s="6">
        <v>0.32704174</v>
      </c>
      <c r="L534" s="6">
        <v>0.25791237</v>
      </c>
      <c r="M534" s="6">
        <v>0.28629008</v>
      </c>
      <c r="N534" s="6">
        <v>0.18815471</v>
      </c>
      <c r="O534" s="6">
        <v>0.17551883</v>
      </c>
      <c r="P534" s="6">
        <v>0.40770892</v>
      </c>
      <c r="Q534" s="6">
        <v>0.34012197</v>
      </c>
      <c r="R534" s="6">
        <v>217.69486</v>
      </c>
      <c r="S534" s="6">
        <v>0.00150229</v>
      </c>
      <c r="T534" s="6">
        <v>169.97573</v>
      </c>
      <c r="U534" s="6">
        <v>0.00151735</v>
      </c>
      <c r="V534" s="6">
        <v>197.11803</v>
      </c>
      <c r="W534" s="6">
        <v>0.00145238</v>
      </c>
      <c r="X534" s="6">
        <v>134.47093</v>
      </c>
      <c r="Y534" s="6">
        <v>0.00139922</v>
      </c>
      <c r="Z534" s="6">
        <v>134.86767</v>
      </c>
      <c r="AA534" s="6">
        <v>0.00130142</v>
      </c>
      <c r="AB534" s="6">
        <v>294.9318</v>
      </c>
      <c r="AC534" s="6">
        <v>0.00138238</v>
      </c>
      <c r="AD534" s="6">
        <v>243.86163</v>
      </c>
      <c r="AE534" s="6">
        <v>0.00139473</v>
      </c>
      <c r="AF534" s="6">
        <v>775</v>
      </c>
      <c r="AG534" s="6">
        <v>-0.00976606</v>
      </c>
      <c r="AH534" s="6">
        <v>-0.00984879</v>
      </c>
      <c r="AI534" s="6">
        <v>-0.00949065</v>
      </c>
      <c r="AJ534" s="6">
        <v>-0.00919546</v>
      </c>
      <c r="AK534" s="6">
        <v>-0.008647</v>
      </c>
      <c r="AL534" s="6">
        <v>-0.00910154</v>
      </c>
      <c r="AM534" s="6">
        <v>-0.00917045</v>
      </c>
      <c r="AN534" s="6">
        <v>-6.4762184</v>
      </c>
      <c r="AO534" s="6">
        <v>-6.4515561</v>
      </c>
      <c r="AP534" s="6">
        <v>-6.4739881</v>
      </c>
      <c r="AQ534" s="6">
        <v>-6.4253629</v>
      </c>
      <c r="AR534" s="6">
        <v>-6.4020076</v>
      </c>
      <c r="AS534" s="6">
        <v>-6.4618417</v>
      </c>
      <c r="AT534" s="6">
        <v>-6.4506396</v>
      </c>
      <c r="AU534" s="6">
        <v>0.97344833</v>
      </c>
      <c r="AV534" s="6">
        <v>0.96974131</v>
      </c>
      <c r="AW534" s="6">
        <v>0.97311308</v>
      </c>
      <c r="AX534" s="6">
        <v>0.96580418</v>
      </c>
      <c r="AY534" s="6">
        <v>0.96229362</v>
      </c>
      <c r="AZ534" s="6">
        <v>0.97128734</v>
      </c>
      <c r="BA534" s="6">
        <v>0.96960354</v>
      </c>
      <c r="BB534" s="6">
        <v>0.02655167</v>
      </c>
      <c r="BC534" s="6">
        <v>0.03025869</v>
      </c>
      <c r="BD534" s="6">
        <v>0.02688692</v>
      </c>
      <c r="BE534" s="6">
        <v>0.03419582</v>
      </c>
      <c r="BF534" s="6">
        <v>0.03770638</v>
      </c>
      <c r="BG534" s="6">
        <v>0.02871266</v>
      </c>
      <c r="BH534" s="6">
        <v>0.03039646</v>
      </c>
      <c r="BI534" s="6">
        <v>0.21470859</v>
      </c>
      <c r="BJ534" s="6">
        <v>0.12366373</v>
      </c>
      <c r="BK534" s="6">
        <v>0.1409291</v>
      </c>
      <c r="BL534" s="6">
        <v>0.12522516</v>
      </c>
      <c r="BM534" s="6">
        <v>0.1592662</v>
      </c>
      <c r="BN534" s="6">
        <v>0.17561655</v>
      </c>
      <c r="BO534" s="6">
        <v>0.1337285</v>
      </c>
      <c r="BP534" s="6">
        <v>0.14157076</v>
      </c>
      <c r="BQ534" s="6">
        <v>0.0404432</v>
      </c>
      <c r="BR534" s="6">
        <v>0.03634736</v>
      </c>
      <c r="BS534" s="6">
        <v>0.03585072</v>
      </c>
      <c r="BT534" s="6">
        <v>0.02996669</v>
      </c>
      <c r="BU534" s="6">
        <v>0.03082401</v>
      </c>
      <c r="BV534" s="6">
        <v>0.0545223</v>
      </c>
      <c r="BW534" s="6">
        <v>0.04815133</v>
      </c>
      <c r="BX534" s="12">
        <v>11629</v>
      </c>
      <c r="BY534" s="13">
        <v>6355</v>
      </c>
      <c r="BZ534" s="12">
        <v>9439.6</v>
      </c>
      <c r="CA534" s="6">
        <f t="shared" si="48"/>
        <v>1.82989771833202</v>
      </c>
      <c r="CB534" s="6">
        <f t="shared" si="49"/>
        <v>1.23193779397432</v>
      </c>
      <c r="CC534" s="7">
        <v>207016301.4</v>
      </c>
      <c r="CD534" s="7">
        <f t="shared" si="50"/>
        <v>2.19306222085682</v>
      </c>
      <c r="CE534" s="8">
        <v>951.2</v>
      </c>
      <c r="CF534" s="8">
        <v>4521.8</v>
      </c>
      <c r="CG534" s="8">
        <v>3852.6</v>
      </c>
      <c r="CH534" s="8">
        <v>25915</v>
      </c>
      <c r="CI534" s="14">
        <v>0</v>
      </c>
      <c r="CJ534" s="14">
        <v>0</v>
      </c>
      <c r="CK534" s="14">
        <f t="shared" si="51"/>
        <v>0</v>
      </c>
      <c r="CL534">
        <f t="shared" si="52"/>
        <v>3.23986794305777</v>
      </c>
      <c r="CM534">
        <f t="shared" si="53"/>
        <v>0.323101354931454</v>
      </c>
      <c r="CN534" s="15">
        <v>10796.51</v>
      </c>
      <c r="CO534" s="15">
        <v>10277.39</v>
      </c>
      <c r="CP534" s="15">
        <v>915.89</v>
      </c>
      <c r="CQ534" s="15">
        <v>671.67</v>
      </c>
      <c r="CR534" s="15">
        <v>271.67</v>
      </c>
      <c r="CS534" s="15">
        <v>24.5</v>
      </c>
      <c r="CT534" s="15">
        <v>395.04</v>
      </c>
      <c r="CU534" s="15">
        <v>40.2</v>
      </c>
      <c r="CV534" s="15">
        <v>5.84</v>
      </c>
      <c r="CW534" s="15">
        <v>890.58</v>
      </c>
    </row>
    <row r="535" spans="1:101">
      <c r="A535" s="6">
        <v>2008</v>
      </c>
      <c r="B535" s="6" t="s">
        <v>121</v>
      </c>
      <c r="C535" s="6">
        <v>0.25581327</v>
      </c>
      <c r="D535" s="6">
        <v>0.040432</v>
      </c>
      <c r="E535" s="6">
        <v>0.010022</v>
      </c>
      <c r="F535" s="6">
        <v>0.017848</v>
      </c>
      <c r="G535" s="6">
        <v>0.005937</v>
      </c>
      <c r="H535" s="6">
        <v>0.006624</v>
      </c>
      <c r="I535" s="6">
        <v>0.050217</v>
      </c>
      <c r="J535" s="6">
        <v>0.02395</v>
      </c>
      <c r="K535" s="6">
        <v>0.26558089</v>
      </c>
      <c r="L535" s="6">
        <v>0.19645694</v>
      </c>
      <c r="M535" s="6">
        <v>0.23140094</v>
      </c>
      <c r="N535" s="6">
        <v>0.14701505</v>
      </c>
      <c r="O535" s="6">
        <v>0.16724714</v>
      </c>
      <c r="P535" s="6">
        <v>0.46954547</v>
      </c>
      <c r="Q535" s="6">
        <v>0.35833192</v>
      </c>
      <c r="R535" s="6">
        <v>217.69486</v>
      </c>
      <c r="S535" s="6">
        <v>0.00121997</v>
      </c>
      <c r="T535" s="6">
        <v>169.97573</v>
      </c>
      <c r="U535" s="6">
        <v>0.00115579</v>
      </c>
      <c r="V535" s="6">
        <v>197.11803</v>
      </c>
      <c r="W535" s="6">
        <v>0.00117392</v>
      </c>
      <c r="X535" s="6">
        <v>134.47093</v>
      </c>
      <c r="Y535" s="6">
        <v>0.00109328</v>
      </c>
      <c r="Z535" s="6">
        <v>134.86767</v>
      </c>
      <c r="AA535" s="6">
        <v>0.00124008</v>
      </c>
      <c r="AB535" s="6">
        <v>294.9318</v>
      </c>
      <c r="AC535" s="6">
        <v>0.00159205</v>
      </c>
      <c r="AD535" s="6">
        <v>243.86163</v>
      </c>
      <c r="AE535" s="6">
        <v>0.00146941</v>
      </c>
      <c r="AF535" s="6">
        <v>775</v>
      </c>
      <c r="AG535" s="6">
        <v>-0.00818468</v>
      </c>
      <c r="AH535" s="6">
        <v>-0.0078166</v>
      </c>
      <c r="AI535" s="6">
        <v>-0.00792092</v>
      </c>
      <c r="AJ535" s="6">
        <v>-0.00745464</v>
      </c>
      <c r="AK535" s="6">
        <v>-0.00829935</v>
      </c>
      <c r="AL535" s="6">
        <v>-0.01025714</v>
      </c>
      <c r="AM535" s="6">
        <v>-0.00958479</v>
      </c>
      <c r="AN535" s="6">
        <v>-6.4762184</v>
      </c>
      <c r="AO535" s="6">
        <v>-6.4515561</v>
      </c>
      <c r="AP535" s="6">
        <v>-6.4739881</v>
      </c>
      <c r="AQ535" s="6">
        <v>-6.4253629</v>
      </c>
      <c r="AR535" s="6">
        <v>-6.4020076</v>
      </c>
      <c r="AS535" s="6">
        <v>-6.4618417</v>
      </c>
      <c r="AT535" s="6">
        <v>-6.4506396</v>
      </c>
      <c r="AU535" s="6">
        <v>0.97344833</v>
      </c>
      <c r="AV535" s="6">
        <v>0.96974131</v>
      </c>
      <c r="AW535" s="6">
        <v>0.97311308</v>
      </c>
      <c r="AX535" s="6">
        <v>0.96580418</v>
      </c>
      <c r="AY535" s="6">
        <v>0.96229362</v>
      </c>
      <c r="AZ535" s="6">
        <v>0.97128734</v>
      </c>
      <c r="BA535" s="6">
        <v>0.96960354</v>
      </c>
      <c r="BB535" s="6">
        <v>0.02655167</v>
      </c>
      <c r="BC535" s="6">
        <v>0.03025869</v>
      </c>
      <c r="BD535" s="6">
        <v>0.02688692</v>
      </c>
      <c r="BE535" s="6">
        <v>0.03419582</v>
      </c>
      <c r="BF535" s="6">
        <v>0.03770638</v>
      </c>
      <c r="BG535" s="6">
        <v>0.02871266</v>
      </c>
      <c r="BH535" s="6">
        <v>0.03039646</v>
      </c>
      <c r="BI535" s="6">
        <v>0.21470859</v>
      </c>
      <c r="BJ535" s="6">
        <v>0.12366373</v>
      </c>
      <c r="BK535" s="6">
        <v>0.1409291</v>
      </c>
      <c r="BL535" s="6">
        <v>0.12522516</v>
      </c>
      <c r="BM535" s="6">
        <v>0.1592662</v>
      </c>
      <c r="BN535" s="6">
        <v>0.17561655</v>
      </c>
      <c r="BO535" s="6">
        <v>0.1337285</v>
      </c>
      <c r="BP535" s="6">
        <v>0.14157076</v>
      </c>
      <c r="BQ535" s="6">
        <v>0.03284272</v>
      </c>
      <c r="BR535" s="6">
        <v>0.0276865</v>
      </c>
      <c r="BS535" s="6">
        <v>0.02897722</v>
      </c>
      <c r="BT535" s="6">
        <v>0.02341453</v>
      </c>
      <c r="BU535" s="6">
        <v>0.02937137</v>
      </c>
      <c r="BV535" s="6">
        <v>0.06279161</v>
      </c>
      <c r="BW535" s="6">
        <v>0.05072932</v>
      </c>
      <c r="BX535" s="12">
        <v>12355</v>
      </c>
      <c r="BY535" s="13">
        <v>6380</v>
      </c>
      <c r="BZ535" s="12">
        <v>11555</v>
      </c>
      <c r="CA535" s="6">
        <f t="shared" si="48"/>
        <v>1.93652037617555</v>
      </c>
      <c r="CB535" s="6">
        <f t="shared" si="49"/>
        <v>1.06923409779316</v>
      </c>
      <c r="CC535" s="7">
        <v>205213471.3</v>
      </c>
      <c r="CD535" s="7">
        <f t="shared" si="50"/>
        <v>1.77597119255733</v>
      </c>
      <c r="CE535" s="8">
        <v>1096.1</v>
      </c>
      <c r="CF535" s="8">
        <v>5387</v>
      </c>
      <c r="CG535" s="8">
        <v>4448.7</v>
      </c>
      <c r="CH535" s="8">
        <v>30153</v>
      </c>
      <c r="CI535" s="14">
        <v>0</v>
      </c>
      <c r="CJ535" s="14">
        <v>0</v>
      </c>
      <c r="CK535" s="14">
        <f t="shared" si="51"/>
        <v>0</v>
      </c>
      <c r="CL535">
        <f t="shared" si="52"/>
        <v>2.71728515287532</v>
      </c>
      <c r="CM535">
        <f t="shared" si="53"/>
        <v>0.346417069744016</v>
      </c>
      <c r="CN535" s="15">
        <v>12355</v>
      </c>
      <c r="CO535" s="15">
        <v>10169</v>
      </c>
      <c r="CP535" s="15">
        <v>998.9</v>
      </c>
      <c r="CQ535" s="15">
        <v>614.11</v>
      </c>
      <c r="CR535" s="15">
        <v>231.8</v>
      </c>
      <c r="CS535" s="15">
        <v>25.41</v>
      </c>
      <c r="CT535" s="15">
        <v>375.51</v>
      </c>
      <c r="CU535" s="15">
        <v>41.41</v>
      </c>
      <c r="CV535" s="15">
        <v>8.23</v>
      </c>
      <c r="CW535" s="15">
        <v>1128.54</v>
      </c>
    </row>
    <row r="536" spans="1:101">
      <c r="A536" s="6">
        <v>2009</v>
      </c>
      <c r="B536" s="6" t="s">
        <v>121</v>
      </c>
      <c r="C536" s="6">
        <v>0.27431045</v>
      </c>
      <c r="D536" s="6">
        <v>0.049065</v>
      </c>
      <c r="E536" s="6">
        <v>0.012287</v>
      </c>
      <c r="F536" s="6">
        <v>0.02202</v>
      </c>
      <c r="G536" s="6">
        <v>0.006657</v>
      </c>
      <c r="H536" s="6">
        <v>0.008101</v>
      </c>
      <c r="I536" s="6">
        <v>0.044934</v>
      </c>
      <c r="J536" s="6">
        <v>0.020453</v>
      </c>
      <c r="K536" s="6">
        <v>0.33329944</v>
      </c>
      <c r="L536" s="6">
        <v>0.24999752</v>
      </c>
      <c r="M536" s="6">
        <v>0.29551748</v>
      </c>
      <c r="N536" s="6">
        <v>0.16830185</v>
      </c>
      <c r="O536" s="6">
        <v>0.21199939</v>
      </c>
      <c r="P536" s="6">
        <v>0.41069648</v>
      </c>
      <c r="Q536" s="6">
        <v>0.29595111</v>
      </c>
      <c r="R536" s="6">
        <v>217.69486</v>
      </c>
      <c r="S536" s="6">
        <v>0.00153104</v>
      </c>
      <c r="T536" s="6">
        <v>169.97573</v>
      </c>
      <c r="U536" s="6">
        <v>0.00147078</v>
      </c>
      <c r="V536" s="6">
        <v>197.11803</v>
      </c>
      <c r="W536" s="6">
        <v>0.00149919</v>
      </c>
      <c r="X536" s="6">
        <v>134.47093</v>
      </c>
      <c r="Y536" s="6">
        <v>0.00125159</v>
      </c>
      <c r="Z536" s="6">
        <v>134.86767</v>
      </c>
      <c r="AA536" s="6">
        <v>0.00157191</v>
      </c>
      <c r="AB536" s="6">
        <v>294.9318</v>
      </c>
      <c r="AC536" s="6">
        <v>0.00139251</v>
      </c>
      <c r="AD536" s="6">
        <v>243.86163</v>
      </c>
      <c r="AE536" s="6">
        <v>0.0012136</v>
      </c>
      <c r="AF536" s="6">
        <v>775</v>
      </c>
      <c r="AG536" s="6">
        <v>-0.0099239</v>
      </c>
      <c r="AH536" s="6">
        <v>-0.00959239</v>
      </c>
      <c r="AI536" s="6">
        <v>-0.00974898</v>
      </c>
      <c r="AJ536" s="6">
        <v>-0.00836478</v>
      </c>
      <c r="AK536" s="6">
        <v>-0.01014739</v>
      </c>
      <c r="AL536" s="6">
        <v>-0.00915807</v>
      </c>
      <c r="AM536" s="6">
        <v>-0.00814832</v>
      </c>
      <c r="AN536" s="6">
        <v>-6.4762184</v>
      </c>
      <c r="AO536" s="6">
        <v>-6.4515561</v>
      </c>
      <c r="AP536" s="6">
        <v>-6.4739881</v>
      </c>
      <c r="AQ536" s="6">
        <v>-6.4253629</v>
      </c>
      <c r="AR536" s="6">
        <v>-6.4020076</v>
      </c>
      <c r="AS536" s="6">
        <v>-6.4618417</v>
      </c>
      <c r="AT536" s="6">
        <v>-6.4506396</v>
      </c>
      <c r="AU536" s="6">
        <v>0.97344833</v>
      </c>
      <c r="AV536" s="6">
        <v>0.96974131</v>
      </c>
      <c r="AW536" s="6">
        <v>0.97311308</v>
      </c>
      <c r="AX536" s="6">
        <v>0.96580418</v>
      </c>
      <c r="AY536" s="6">
        <v>0.96229362</v>
      </c>
      <c r="AZ536" s="6">
        <v>0.97128734</v>
      </c>
      <c r="BA536" s="6">
        <v>0.96960354</v>
      </c>
      <c r="BB536" s="6">
        <v>0.02655167</v>
      </c>
      <c r="BC536" s="6">
        <v>0.03025869</v>
      </c>
      <c r="BD536" s="6">
        <v>0.02688692</v>
      </c>
      <c r="BE536" s="6">
        <v>0.03419582</v>
      </c>
      <c r="BF536" s="6">
        <v>0.03770638</v>
      </c>
      <c r="BG536" s="6">
        <v>0.02871266</v>
      </c>
      <c r="BH536" s="6">
        <v>0.03039646</v>
      </c>
      <c r="BI536" s="6">
        <v>0.21470859</v>
      </c>
      <c r="BJ536" s="6">
        <v>0.12366373</v>
      </c>
      <c r="BK536" s="6">
        <v>0.1409291</v>
      </c>
      <c r="BL536" s="6">
        <v>0.12522516</v>
      </c>
      <c r="BM536" s="6">
        <v>0.1592662</v>
      </c>
      <c r="BN536" s="6">
        <v>0.17561655</v>
      </c>
      <c r="BO536" s="6">
        <v>0.1337285</v>
      </c>
      <c r="BP536" s="6">
        <v>0.14157076</v>
      </c>
      <c r="BQ536" s="6">
        <v>0.04121705</v>
      </c>
      <c r="BR536" s="6">
        <v>0.03523192</v>
      </c>
      <c r="BS536" s="6">
        <v>0.03700622</v>
      </c>
      <c r="BT536" s="6">
        <v>0.0268048</v>
      </c>
      <c r="BU536" s="6">
        <v>0.0372306</v>
      </c>
      <c r="BV536" s="6">
        <v>0.05492182</v>
      </c>
      <c r="BW536" s="6">
        <v>0.04189802</v>
      </c>
      <c r="BX536" s="12">
        <v>13331</v>
      </c>
      <c r="BY536" s="13">
        <v>6406</v>
      </c>
      <c r="BZ536" s="12">
        <v>13059.69</v>
      </c>
      <c r="CA536" s="6">
        <f t="shared" si="48"/>
        <v>2.08101779581642</v>
      </c>
      <c r="CB536" s="6">
        <f t="shared" si="49"/>
        <v>1.02077461256737</v>
      </c>
      <c r="CC536" s="7">
        <v>218667642.4</v>
      </c>
      <c r="CD536" s="7">
        <f t="shared" si="50"/>
        <v>1.67437084953778</v>
      </c>
      <c r="CE536" s="8">
        <v>1108.8</v>
      </c>
      <c r="CF536" s="8">
        <v>6129.1</v>
      </c>
      <c r="CG536" s="8">
        <v>5180.2</v>
      </c>
      <c r="CH536" s="8">
        <v>33999</v>
      </c>
      <c r="CI536" s="14">
        <v>0</v>
      </c>
      <c r="CJ536" s="14">
        <v>0</v>
      </c>
      <c r="CK536" s="14">
        <f t="shared" si="51"/>
        <v>0</v>
      </c>
      <c r="CL536">
        <f t="shared" si="52"/>
        <v>2.66960201713366</v>
      </c>
      <c r="CM536">
        <f t="shared" si="53"/>
        <v>0.372801324395332</v>
      </c>
      <c r="CN536" s="15">
        <v>13331</v>
      </c>
      <c r="CO536" s="15">
        <v>10751</v>
      </c>
      <c r="CP536" s="15">
        <v>1011.92</v>
      </c>
      <c r="CQ536" s="15">
        <v>565.77</v>
      </c>
      <c r="CR536" s="15">
        <v>246.11</v>
      </c>
      <c r="CS536" s="15">
        <v>30.44</v>
      </c>
      <c r="CT536" s="15">
        <v>432.38</v>
      </c>
      <c r="CU536" s="15">
        <v>68.39</v>
      </c>
      <c r="CV536" s="15">
        <v>10.23</v>
      </c>
      <c r="CW536" s="15">
        <v>1232.19</v>
      </c>
    </row>
    <row r="537" spans="1:101">
      <c r="A537" s="6">
        <v>2010</v>
      </c>
      <c r="B537" s="6" t="s">
        <v>121</v>
      </c>
      <c r="C537" s="6">
        <v>0.2910357</v>
      </c>
      <c r="D537" s="6">
        <v>0.049767</v>
      </c>
      <c r="E537" s="6">
        <v>0.013094</v>
      </c>
      <c r="F537" s="6">
        <v>0.022548</v>
      </c>
      <c r="G537" s="6">
        <v>0.007125</v>
      </c>
      <c r="H537" s="6">
        <v>0.007001</v>
      </c>
      <c r="I537" s="6">
        <v>0.049413</v>
      </c>
      <c r="J537" s="6">
        <v>0.024143</v>
      </c>
      <c r="K537" s="6">
        <v>0.33881032</v>
      </c>
      <c r="L537" s="6">
        <v>0.26907529</v>
      </c>
      <c r="M537" s="6">
        <v>0.3036331</v>
      </c>
      <c r="N537" s="6">
        <v>0.18211518</v>
      </c>
      <c r="O537" s="6">
        <v>0.17867321</v>
      </c>
      <c r="P537" s="6">
        <v>0.4605863</v>
      </c>
      <c r="Q537" s="6">
        <v>0.36178253</v>
      </c>
      <c r="R537" s="6">
        <v>217.69486</v>
      </c>
      <c r="S537" s="6">
        <v>0.00155635</v>
      </c>
      <c r="T537" s="6">
        <v>169.97573</v>
      </c>
      <c r="U537" s="6">
        <v>0.00158302</v>
      </c>
      <c r="V537" s="6">
        <v>197.11803</v>
      </c>
      <c r="W537" s="6">
        <v>0.00154036</v>
      </c>
      <c r="X537" s="6">
        <v>134.47093</v>
      </c>
      <c r="Y537" s="6">
        <v>0.00135431</v>
      </c>
      <c r="Z537" s="6">
        <v>134.86767</v>
      </c>
      <c r="AA537" s="6">
        <v>0.0013248</v>
      </c>
      <c r="AB537" s="6">
        <v>294.9318</v>
      </c>
      <c r="AC537" s="6">
        <v>0.00156167</v>
      </c>
      <c r="AD537" s="6">
        <v>243.86163</v>
      </c>
      <c r="AE537" s="6">
        <v>0.00148356</v>
      </c>
      <c r="AF537" s="6">
        <v>775</v>
      </c>
      <c r="AG537" s="6">
        <v>-0.01006247</v>
      </c>
      <c r="AH537" s="6">
        <v>-0.01020799</v>
      </c>
      <c r="AI537" s="6">
        <v>-0.00997498</v>
      </c>
      <c r="AJ537" s="6">
        <v>-0.00894448</v>
      </c>
      <c r="AK537" s="6">
        <v>-0.0087788</v>
      </c>
      <c r="AL537" s="6">
        <v>-0.01009151</v>
      </c>
      <c r="AM537" s="6">
        <v>-0.00966287</v>
      </c>
      <c r="AN537" s="6">
        <v>-6.4762184</v>
      </c>
      <c r="AO537" s="6">
        <v>-6.4515561</v>
      </c>
      <c r="AP537" s="6">
        <v>-6.4739881</v>
      </c>
      <c r="AQ537" s="6">
        <v>-6.4253629</v>
      </c>
      <c r="AR537" s="6">
        <v>-6.4020076</v>
      </c>
      <c r="AS537" s="6">
        <v>-6.4618417</v>
      </c>
      <c r="AT537" s="6">
        <v>-6.4506396</v>
      </c>
      <c r="AU537" s="6">
        <v>0.97344833</v>
      </c>
      <c r="AV537" s="6">
        <v>0.96974131</v>
      </c>
      <c r="AW537" s="6">
        <v>0.97311308</v>
      </c>
      <c r="AX537" s="6">
        <v>0.96580418</v>
      </c>
      <c r="AY537" s="6">
        <v>0.96229362</v>
      </c>
      <c r="AZ537" s="6">
        <v>0.97128734</v>
      </c>
      <c r="BA537" s="6">
        <v>0.96960354</v>
      </c>
      <c r="BB537" s="6">
        <v>0.02655167</v>
      </c>
      <c r="BC537" s="6">
        <v>0.03025869</v>
      </c>
      <c r="BD537" s="6">
        <v>0.02688692</v>
      </c>
      <c r="BE537" s="6">
        <v>0.03419582</v>
      </c>
      <c r="BF537" s="6">
        <v>0.03770638</v>
      </c>
      <c r="BG537" s="6">
        <v>0.02871266</v>
      </c>
      <c r="BH537" s="6">
        <v>0.03039646</v>
      </c>
      <c r="BI537" s="6">
        <v>0.21470859</v>
      </c>
      <c r="BJ537" s="6">
        <v>0.12366373</v>
      </c>
      <c r="BK537" s="6">
        <v>0.1409291</v>
      </c>
      <c r="BL537" s="6">
        <v>0.12522516</v>
      </c>
      <c r="BM537" s="6">
        <v>0.1592662</v>
      </c>
      <c r="BN537" s="6">
        <v>0.17561655</v>
      </c>
      <c r="BO537" s="6">
        <v>0.1337285</v>
      </c>
      <c r="BP537" s="6">
        <v>0.14157076</v>
      </c>
      <c r="BQ537" s="6">
        <v>0.04189855</v>
      </c>
      <c r="BR537" s="6">
        <v>0.03792054</v>
      </c>
      <c r="BS537" s="6">
        <v>0.0380225</v>
      </c>
      <c r="BT537" s="6">
        <v>0.02900479</v>
      </c>
      <c r="BU537" s="6">
        <v>0.03137797</v>
      </c>
      <c r="BV537" s="6">
        <v>0.06159351</v>
      </c>
      <c r="BW537" s="6">
        <v>0.05121783</v>
      </c>
      <c r="BX537" s="12">
        <v>14880</v>
      </c>
      <c r="BY537" s="13">
        <v>6570.1</v>
      </c>
      <c r="BZ537" s="12">
        <v>16037.96</v>
      </c>
      <c r="CA537" s="6">
        <f t="shared" si="48"/>
        <v>2.26480571071978</v>
      </c>
      <c r="CB537" s="6">
        <f t="shared" si="49"/>
        <v>0.927798797353279</v>
      </c>
      <c r="CC537" s="7">
        <v>227984009.2</v>
      </c>
      <c r="CD537" s="7">
        <f t="shared" si="50"/>
        <v>1.42152748354529</v>
      </c>
      <c r="CE537" s="8">
        <v>1269.9</v>
      </c>
      <c r="CF537" s="8">
        <v>7705.3</v>
      </c>
      <c r="CG537" s="8">
        <v>6027.4</v>
      </c>
      <c r="CH537" s="8">
        <v>40773</v>
      </c>
      <c r="CI537" s="14">
        <v>0</v>
      </c>
      <c r="CJ537" s="14">
        <v>0</v>
      </c>
      <c r="CK537" s="14">
        <f t="shared" si="51"/>
        <v>0</v>
      </c>
      <c r="CL537">
        <f t="shared" si="52"/>
        <v>2.40850270516871</v>
      </c>
      <c r="CM537">
        <f t="shared" si="53"/>
        <v>0.4097878817015</v>
      </c>
      <c r="CN537" s="15">
        <v>14880.06</v>
      </c>
      <c r="CO537" s="15">
        <v>11323.33</v>
      </c>
      <c r="CP537" s="15">
        <v>1089.19</v>
      </c>
      <c r="CQ537" s="15">
        <v>587.6</v>
      </c>
      <c r="CR537" s="15">
        <v>262.36</v>
      </c>
      <c r="CS537" s="15">
        <v>30.25</v>
      </c>
      <c r="CT537" s="15">
        <v>502.98</v>
      </c>
      <c r="CU537" s="15">
        <v>75.22</v>
      </c>
      <c r="CV537" s="15">
        <v>11.25</v>
      </c>
      <c r="CW537" s="15">
        <v>1171.91</v>
      </c>
    </row>
    <row r="538" spans="1:101">
      <c r="A538" s="6">
        <v>2011</v>
      </c>
      <c r="B538" s="6" t="s">
        <v>121</v>
      </c>
      <c r="C538" s="6">
        <v>0.28086495</v>
      </c>
      <c r="D538" s="6">
        <v>0.048382</v>
      </c>
      <c r="E538" s="6">
        <v>0.01191</v>
      </c>
      <c r="F538" s="6">
        <v>0.021241</v>
      </c>
      <c r="G538" s="6">
        <v>0.007279</v>
      </c>
      <c r="H538" s="6">
        <v>0.007951</v>
      </c>
      <c r="I538" s="6">
        <v>0.047836</v>
      </c>
      <c r="J538" s="6">
        <v>0.021845</v>
      </c>
      <c r="K538" s="6">
        <v>0.32794237</v>
      </c>
      <c r="L538" s="6">
        <v>0.24109799</v>
      </c>
      <c r="M538" s="6">
        <v>0.28354635</v>
      </c>
      <c r="N538" s="6">
        <v>0.18668602</v>
      </c>
      <c r="O538" s="6">
        <v>0.20746628</v>
      </c>
      <c r="P538" s="6">
        <v>0.44302349</v>
      </c>
      <c r="Q538" s="6">
        <v>0.32078206</v>
      </c>
      <c r="R538" s="6">
        <v>217.69486</v>
      </c>
      <c r="S538" s="6">
        <v>0.00150643</v>
      </c>
      <c r="T538" s="6">
        <v>169.97573</v>
      </c>
      <c r="U538" s="6">
        <v>0.00141843</v>
      </c>
      <c r="V538" s="6">
        <v>197.11803</v>
      </c>
      <c r="W538" s="6">
        <v>0.00143846</v>
      </c>
      <c r="X538" s="6">
        <v>134.47093</v>
      </c>
      <c r="Y538" s="6">
        <v>0.0013883</v>
      </c>
      <c r="Z538" s="6">
        <v>134.86767</v>
      </c>
      <c r="AA538" s="6">
        <v>0.0015383</v>
      </c>
      <c r="AB538" s="6">
        <v>294.9318</v>
      </c>
      <c r="AC538" s="6">
        <v>0.00150212</v>
      </c>
      <c r="AD538" s="6">
        <v>243.86163</v>
      </c>
      <c r="AE538" s="6">
        <v>0.00131543</v>
      </c>
      <c r="AF538" s="6">
        <v>775</v>
      </c>
      <c r="AG538" s="6">
        <v>-0.00978881</v>
      </c>
      <c r="AH538" s="6">
        <v>-0.00930233</v>
      </c>
      <c r="AI538" s="6">
        <v>-0.00941354</v>
      </c>
      <c r="AJ538" s="6">
        <v>-0.00913456</v>
      </c>
      <c r="AK538" s="6">
        <v>-0.00996366</v>
      </c>
      <c r="AL538" s="6">
        <v>-0.00976511</v>
      </c>
      <c r="AM538" s="6">
        <v>-0.00872601</v>
      </c>
      <c r="AN538" s="6">
        <v>-6.4762184</v>
      </c>
      <c r="AO538" s="6">
        <v>-6.4515561</v>
      </c>
      <c r="AP538" s="6">
        <v>-6.4739881</v>
      </c>
      <c r="AQ538" s="6">
        <v>-6.4253629</v>
      </c>
      <c r="AR538" s="6">
        <v>-6.4020076</v>
      </c>
      <c r="AS538" s="6">
        <v>-6.4618417</v>
      </c>
      <c r="AT538" s="6">
        <v>-6.4506396</v>
      </c>
      <c r="AU538" s="6">
        <v>0.97344833</v>
      </c>
      <c r="AV538" s="6">
        <v>0.96974131</v>
      </c>
      <c r="AW538" s="6">
        <v>0.97311308</v>
      </c>
      <c r="AX538" s="6">
        <v>0.96580418</v>
      </c>
      <c r="AY538" s="6">
        <v>0.96229362</v>
      </c>
      <c r="AZ538" s="6">
        <v>0.97128734</v>
      </c>
      <c r="BA538" s="6">
        <v>0.96960354</v>
      </c>
      <c r="BB538" s="6">
        <v>0.02655167</v>
      </c>
      <c r="BC538" s="6">
        <v>0.03025869</v>
      </c>
      <c r="BD538" s="6">
        <v>0.02688692</v>
      </c>
      <c r="BE538" s="6">
        <v>0.03419582</v>
      </c>
      <c r="BF538" s="6">
        <v>0.03770638</v>
      </c>
      <c r="BG538" s="6">
        <v>0.02871266</v>
      </c>
      <c r="BH538" s="6">
        <v>0.03039646</v>
      </c>
      <c r="BI538" s="6">
        <v>0.21470859</v>
      </c>
      <c r="BJ538" s="6">
        <v>0.12366373</v>
      </c>
      <c r="BK538" s="6">
        <v>0.1409291</v>
      </c>
      <c r="BL538" s="6">
        <v>0.12522516</v>
      </c>
      <c r="BM538" s="6">
        <v>0.1592662</v>
      </c>
      <c r="BN538" s="6">
        <v>0.17561655</v>
      </c>
      <c r="BO538" s="6">
        <v>0.1337285</v>
      </c>
      <c r="BP538" s="6">
        <v>0.14157076</v>
      </c>
      <c r="BQ538" s="6">
        <v>0.04055458</v>
      </c>
      <c r="BR538" s="6">
        <v>0.03397772</v>
      </c>
      <c r="BS538" s="6">
        <v>0.03550714</v>
      </c>
      <c r="BT538" s="6">
        <v>0.02973277</v>
      </c>
      <c r="BU538" s="6">
        <v>0.03643451</v>
      </c>
      <c r="BV538" s="6">
        <v>0.05924486</v>
      </c>
      <c r="BW538" s="6">
        <v>0.04541336</v>
      </c>
      <c r="BX538" s="12">
        <v>16161</v>
      </c>
      <c r="BY538" s="13">
        <v>6581</v>
      </c>
      <c r="BZ538" s="12">
        <v>19669.56</v>
      </c>
      <c r="CA538" s="6">
        <f t="shared" si="48"/>
        <v>2.45570581978423</v>
      </c>
      <c r="CB538" s="6">
        <f t="shared" si="49"/>
        <v>0.821624886372649</v>
      </c>
      <c r="CC538" s="7">
        <v>247475216.3</v>
      </c>
      <c r="CD538" s="7">
        <f t="shared" si="50"/>
        <v>1.25816345815565</v>
      </c>
      <c r="CE538" s="8">
        <v>1492.2</v>
      </c>
      <c r="CF538" s="8">
        <v>9316.6</v>
      </c>
      <c r="CG538" s="8">
        <v>7109</v>
      </c>
      <c r="CH538" s="8">
        <v>47928</v>
      </c>
      <c r="CI538" s="14">
        <v>0</v>
      </c>
      <c r="CJ538" s="14">
        <v>0</v>
      </c>
      <c r="CK538" s="14">
        <f t="shared" si="51"/>
        <v>0</v>
      </c>
      <c r="CL538">
        <f t="shared" si="52"/>
        <v>2.18035126729488</v>
      </c>
      <c r="CM538">
        <f t="shared" si="53"/>
        <v>0.422953779499654</v>
      </c>
      <c r="CN538" s="15">
        <v>16161</v>
      </c>
      <c r="CO538" s="15">
        <v>13006</v>
      </c>
      <c r="CP538" s="15">
        <v>851.65</v>
      </c>
      <c r="CQ538" s="15">
        <v>766.03</v>
      </c>
      <c r="CR538" s="15">
        <v>295.05</v>
      </c>
      <c r="CS538" s="15">
        <v>32.03</v>
      </c>
      <c r="CT538" s="15">
        <v>561.72</v>
      </c>
      <c r="CU538" s="15">
        <v>68.98</v>
      </c>
      <c r="CV538" s="15">
        <v>15.34</v>
      </c>
      <c r="CW538" s="15">
        <v>1545</v>
      </c>
    </row>
    <row r="539" spans="1:101">
      <c r="A539" s="6">
        <v>2012</v>
      </c>
      <c r="B539" s="6" t="s">
        <v>121</v>
      </c>
      <c r="C539" s="6">
        <v>0.31228886</v>
      </c>
      <c r="D539" s="6">
        <v>0.050633</v>
      </c>
      <c r="E539" s="6">
        <v>0.01272</v>
      </c>
      <c r="F539" s="6">
        <v>0.022764</v>
      </c>
      <c r="G539" s="6">
        <v>0.007776</v>
      </c>
      <c r="H539" s="6">
        <v>0.007373</v>
      </c>
      <c r="I539" s="6">
        <v>0.055266</v>
      </c>
      <c r="J539" s="6">
        <v>0.027104</v>
      </c>
      <c r="K539" s="6">
        <v>0.34560046</v>
      </c>
      <c r="L539" s="6">
        <v>0.26023036</v>
      </c>
      <c r="M539" s="6">
        <v>0.30696238</v>
      </c>
      <c r="N539" s="6">
        <v>0.20137516</v>
      </c>
      <c r="O539" s="6">
        <v>0.18993336</v>
      </c>
      <c r="P539" s="6">
        <v>0.52577702</v>
      </c>
      <c r="Q539" s="6">
        <v>0.41462025</v>
      </c>
      <c r="R539" s="6">
        <v>217.69486</v>
      </c>
      <c r="S539" s="6">
        <v>0.00158755</v>
      </c>
      <c r="T539" s="6">
        <v>169.97573</v>
      </c>
      <c r="U539" s="6">
        <v>0.00153099</v>
      </c>
      <c r="V539" s="6">
        <v>197.11803</v>
      </c>
      <c r="W539" s="6">
        <v>0.00155725</v>
      </c>
      <c r="X539" s="6">
        <v>134.47093</v>
      </c>
      <c r="Y539" s="6">
        <v>0.00149754</v>
      </c>
      <c r="Z539" s="6">
        <v>134.86767</v>
      </c>
      <c r="AA539" s="6">
        <v>0.00140829</v>
      </c>
      <c r="AB539" s="6">
        <v>294.9318</v>
      </c>
      <c r="AC539" s="6">
        <v>0.00178271</v>
      </c>
      <c r="AD539" s="6">
        <v>243.86163</v>
      </c>
      <c r="AE539" s="6">
        <v>0.00170023</v>
      </c>
      <c r="AF539" s="6">
        <v>775</v>
      </c>
      <c r="AG539" s="6">
        <v>-0.01023263</v>
      </c>
      <c r="AH539" s="6">
        <v>-0.00992361</v>
      </c>
      <c r="AI539" s="6">
        <v>-0.01006737</v>
      </c>
      <c r="AJ539" s="6">
        <v>-0.00973988</v>
      </c>
      <c r="AK539" s="6">
        <v>-0.00924598</v>
      </c>
      <c r="AL539" s="6">
        <v>-0.01128386</v>
      </c>
      <c r="AM539" s="6">
        <v>-0.01084234</v>
      </c>
      <c r="AN539" s="6">
        <v>-6.4762184</v>
      </c>
      <c r="AO539" s="6">
        <v>-6.4515561</v>
      </c>
      <c r="AP539" s="6">
        <v>-6.4739881</v>
      </c>
      <c r="AQ539" s="6">
        <v>-6.4253629</v>
      </c>
      <c r="AR539" s="6">
        <v>-6.4020076</v>
      </c>
      <c r="AS539" s="6">
        <v>-6.4618417</v>
      </c>
      <c r="AT539" s="6">
        <v>-6.4506396</v>
      </c>
      <c r="AU539" s="6">
        <v>0.97344833</v>
      </c>
      <c r="AV539" s="6">
        <v>0.96974131</v>
      </c>
      <c r="AW539" s="6">
        <v>0.97311308</v>
      </c>
      <c r="AX539" s="6">
        <v>0.96580418</v>
      </c>
      <c r="AY539" s="6">
        <v>0.96229362</v>
      </c>
      <c r="AZ539" s="6">
        <v>0.97128734</v>
      </c>
      <c r="BA539" s="6">
        <v>0.96960354</v>
      </c>
      <c r="BB539" s="6">
        <v>0.02655167</v>
      </c>
      <c r="BC539" s="6">
        <v>0.03025869</v>
      </c>
      <c r="BD539" s="6">
        <v>0.02688692</v>
      </c>
      <c r="BE539" s="6">
        <v>0.03419582</v>
      </c>
      <c r="BF539" s="6">
        <v>0.03770638</v>
      </c>
      <c r="BG539" s="6">
        <v>0.02871266</v>
      </c>
      <c r="BH539" s="6">
        <v>0.03039646</v>
      </c>
      <c r="BI539" s="6">
        <v>0.21470859</v>
      </c>
      <c r="BJ539" s="6">
        <v>0.12366373</v>
      </c>
      <c r="BK539" s="6">
        <v>0.1409291</v>
      </c>
      <c r="BL539" s="6">
        <v>0.12522516</v>
      </c>
      <c r="BM539" s="6">
        <v>0.1592662</v>
      </c>
      <c r="BN539" s="6">
        <v>0.17561655</v>
      </c>
      <c r="BO539" s="6">
        <v>0.1337285</v>
      </c>
      <c r="BP539" s="6">
        <v>0.14157076</v>
      </c>
      <c r="BQ539" s="6">
        <v>0.04273824</v>
      </c>
      <c r="BR539" s="6">
        <v>0.03667403</v>
      </c>
      <c r="BS539" s="6">
        <v>0.03843941</v>
      </c>
      <c r="BT539" s="6">
        <v>0.03207226</v>
      </c>
      <c r="BU539" s="6">
        <v>0.03335544</v>
      </c>
      <c r="BV539" s="6">
        <v>0.07031137</v>
      </c>
      <c r="BW539" s="6">
        <v>0.05869811</v>
      </c>
      <c r="BX539" s="12">
        <v>16744</v>
      </c>
      <c r="BY539" s="13">
        <v>6590</v>
      </c>
      <c r="BZ539" s="12">
        <v>22154.23</v>
      </c>
      <c r="CA539" s="6">
        <f t="shared" si="48"/>
        <v>2.54081942336874</v>
      </c>
      <c r="CB539" s="6">
        <f t="shared" si="49"/>
        <v>0.755792460401467</v>
      </c>
      <c r="CC539" s="7">
        <v>254351556</v>
      </c>
      <c r="CD539" s="7">
        <f t="shared" si="50"/>
        <v>1.14809477016353</v>
      </c>
      <c r="CE539" s="8">
        <v>1628.9</v>
      </c>
      <c r="CF539" s="8">
        <v>10527</v>
      </c>
      <c r="CG539" s="8">
        <v>8034.8</v>
      </c>
      <c r="CH539" s="8">
        <v>52959</v>
      </c>
      <c r="CI539" s="14">
        <v>0</v>
      </c>
      <c r="CJ539" s="14">
        <v>0</v>
      </c>
      <c r="CK539" s="14">
        <f t="shared" si="51"/>
        <v>0</v>
      </c>
      <c r="CL539">
        <f t="shared" si="52"/>
        <v>2.01609935715007</v>
      </c>
      <c r="CM539">
        <f t="shared" si="53"/>
        <v>0.430536612150674</v>
      </c>
      <c r="CN539" s="15">
        <v>16744.08</v>
      </c>
      <c r="CO539" s="15">
        <v>12084</v>
      </c>
      <c r="CP539" s="15">
        <v>1072.13</v>
      </c>
      <c r="CQ539" s="15">
        <v>926</v>
      </c>
      <c r="CR539" s="15">
        <v>388.93</v>
      </c>
      <c r="CS539" s="15">
        <v>35.22</v>
      </c>
      <c r="CT539" s="15">
        <v>501.62</v>
      </c>
      <c r="CU539" s="15">
        <v>61.23</v>
      </c>
      <c r="CV539" s="15">
        <v>18.79</v>
      </c>
      <c r="CW539" s="15">
        <v>1582.34</v>
      </c>
    </row>
    <row r="540" spans="1:101">
      <c r="A540" s="6">
        <v>2013</v>
      </c>
      <c r="B540" s="6" t="s">
        <v>121</v>
      </c>
      <c r="C540" s="6">
        <v>0.32942762</v>
      </c>
      <c r="D540" s="6">
        <v>0.053117</v>
      </c>
      <c r="E540" s="6">
        <v>0.013218</v>
      </c>
      <c r="F540" s="6">
        <v>0.024027</v>
      </c>
      <c r="G540" s="6">
        <v>0.007632</v>
      </c>
      <c r="H540" s="6">
        <v>0.008241</v>
      </c>
      <c r="I540" s="6">
        <v>0.055359</v>
      </c>
      <c r="J540" s="6">
        <v>0.029701</v>
      </c>
      <c r="K540" s="6">
        <v>0.36508671</v>
      </c>
      <c r="L540" s="6">
        <v>0.2720165</v>
      </c>
      <c r="M540" s="6">
        <v>0.3263632</v>
      </c>
      <c r="N540" s="6">
        <v>0.19709666</v>
      </c>
      <c r="O540" s="6">
        <v>0.21624242</v>
      </c>
      <c r="P540" s="6">
        <v>0.52682069</v>
      </c>
      <c r="Q540" s="6">
        <v>0.46095808</v>
      </c>
      <c r="R540" s="6">
        <v>217.69486</v>
      </c>
      <c r="S540" s="6">
        <v>0.00167706</v>
      </c>
      <c r="T540" s="6">
        <v>169.97573</v>
      </c>
      <c r="U540" s="6">
        <v>0.00160033</v>
      </c>
      <c r="V540" s="6">
        <v>197.11803</v>
      </c>
      <c r="W540" s="6">
        <v>0.00165567</v>
      </c>
      <c r="X540" s="6">
        <v>134.47093</v>
      </c>
      <c r="Y540" s="6">
        <v>0.00146572</v>
      </c>
      <c r="Z540" s="6">
        <v>134.86767</v>
      </c>
      <c r="AA540" s="6">
        <v>0.00160337</v>
      </c>
      <c r="AB540" s="6">
        <v>294.9318</v>
      </c>
      <c r="AC540" s="6">
        <v>0.00178625</v>
      </c>
      <c r="AD540" s="6">
        <v>243.86163</v>
      </c>
      <c r="AE540" s="6">
        <v>0.00189024</v>
      </c>
      <c r="AF540" s="6">
        <v>775</v>
      </c>
      <c r="AG540" s="6">
        <v>-0.01071759</v>
      </c>
      <c r="AH540" s="6">
        <v>-0.01030217</v>
      </c>
      <c r="AI540" s="6">
        <v>-0.01060219</v>
      </c>
      <c r="AJ540" s="6">
        <v>-0.00956442</v>
      </c>
      <c r="AK540" s="6">
        <v>-0.01031871</v>
      </c>
      <c r="AL540" s="6">
        <v>-0.01130272</v>
      </c>
      <c r="AM540" s="6">
        <v>-0.01185382</v>
      </c>
      <c r="AN540" s="6">
        <v>-6.4762184</v>
      </c>
      <c r="AO540" s="6">
        <v>-6.4515561</v>
      </c>
      <c r="AP540" s="6">
        <v>-6.4739881</v>
      </c>
      <c r="AQ540" s="6">
        <v>-6.4253629</v>
      </c>
      <c r="AR540" s="6">
        <v>-6.4020076</v>
      </c>
      <c r="AS540" s="6">
        <v>-6.4618417</v>
      </c>
      <c r="AT540" s="6">
        <v>-6.4506396</v>
      </c>
      <c r="AU540" s="6">
        <v>0.97344833</v>
      </c>
      <c r="AV540" s="6">
        <v>0.96974131</v>
      </c>
      <c r="AW540" s="6">
        <v>0.97311308</v>
      </c>
      <c r="AX540" s="6">
        <v>0.96580418</v>
      </c>
      <c r="AY540" s="6">
        <v>0.96229362</v>
      </c>
      <c r="AZ540" s="6">
        <v>0.97128734</v>
      </c>
      <c r="BA540" s="6">
        <v>0.96960354</v>
      </c>
      <c r="BB540" s="6">
        <v>0.02655167</v>
      </c>
      <c r="BC540" s="6">
        <v>0.03025869</v>
      </c>
      <c r="BD540" s="6">
        <v>0.02688692</v>
      </c>
      <c r="BE540" s="6">
        <v>0.03419582</v>
      </c>
      <c r="BF540" s="6">
        <v>0.03770638</v>
      </c>
      <c r="BG540" s="6">
        <v>0.02871266</v>
      </c>
      <c r="BH540" s="6">
        <v>0.03039646</v>
      </c>
      <c r="BI540" s="6">
        <v>0.21470859</v>
      </c>
      <c r="BJ540" s="6">
        <v>0.12366373</v>
      </c>
      <c r="BK540" s="6">
        <v>0.1409291</v>
      </c>
      <c r="BL540" s="6">
        <v>0.12522516</v>
      </c>
      <c r="BM540" s="6">
        <v>0.1592662</v>
      </c>
      <c r="BN540" s="6">
        <v>0.17561655</v>
      </c>
      <c r="BO540" s="6">
        <v>0.1337285</v>
      </c>
      <c r="BP540" s="6">
        <v>0.14157076</v>
      </c>
      <c r="BQ540" s="6">
        <v>0.04514799</v>
      </c>
      <c r="BR540" s="6">
        <v>0.03833504</v>
      </c>
      <c r="BS540" s="6">
        <v>0.04086888</v>
      </c>
      <c r="BT540" s="6">
        <v>0.03139084</v>
      </c>
      <c r="BU540" s="6">
        <v>0.03797575</v>
      </c>
      <c r="BV540" s="6">
        <v>0.07045094</v>
      </c>
      <c r="BW540" s="6">
        <v>0.06525819</v>
      </c>
      <c r="BX540" s="12">
        <v>14919</v>
      </c>
      <c r="BY540" s="13">
        <v>6600</v>
      </c>
      <c r="BZ540" s="12">
        <v>24621.67</v>
      </c>
      <c r="CA540" s="6">
        <f t="shared" si="48"/>
        <v>2.26045454545455</v>
      </c>
      <c r="CB540" s="6">
        <f t="shared" si="49"/>
        <v>0.605929654649746</v>
      </c>
      <c r="CC540" s="7">
        <v>260281957.2</v>
      </c>
      <c r="CD540" s="7">
        <f t="shared" si="50"/>
        <v>1.05712552073032</v>
      </c>
      <c r="CE540" s="8">
        <v>1745.2</v>
      </c>
      <c r="CF540" s="8">
        <v>11805.5</v>
      </c>
      <c r="CG540" s="8">
        <v>8953.2</v>
      </c>
      <c r="CH540" s="8">
        <v>58255</v>
      </c>
      <c r="CI540" s="14">
        <v>0</v>
      </c>
      <c r="CJ540" s="14">
        <v>0</v>
      </c>
      <c r="CK540" s="14">
        <f t="shared" si="51"/>
        <v>0</v>
      </c>
      <c r="CL540">
        <f t="shared" si="52"/>
        <v>1.91398219724656</v>
      </c>
      <c r="CM540">
        <f t="shared" si="53"/>
        <v>0.447682678422457</v>
      </c>
      <c r="CN540" s="15">
        <v>14919</v>
      </c>
      <c r="CO540" s="15">
        <v>11223.84</v>
      </c>
      <c r="CP540" s="15">
        <v>1075.82</v>
      </c>
      <c r="CQ540" s="15">
        <v>946.54</v>
      </c>
      <c r="CR540" s="15">
        <v>434.56</v>
      </c>
      <c r="CS540" s="15">
        <v>38.84</v>
      </c>
      <c r="CT540" s="15">
        <v>566.32</v>
      </c>
      <c r="CU540" s="15">
        <v>68.31</v>
      </c>
      <c r="CV540" s="15">
        <v>20.46</v>
      </c>
      <c r="CW540" s="15">
        <v>1423.09</v>
      </c>
    </row>
    <row r="541" spans="1:101">
      <c r="A541" s="6">
        <v>2014</v>
      </c>
      <c r="B541" s="6" t="s">
        <v>121</v>
      </c>
      <c r="C541" s="6">
        <v>0.33327322</v>
      </c>
      <c r="D541" s="6">
        <v>0.057635</v>
      </c>
      <c r="E541" s="6">
        <v>0.014338</v>
      </c>
      <c r="F541" s="6">
        <v>0.026259</v>
      </c>
      <c r="G541" s="6">
        <v>0.009167</v>
      </c>
      <c r="H541" s="6">
        <v>0.007871</v>
      </c>
      <c r="I541" s="6">
        <v>0.054047</v>
      </c>
      <c r="J541" s="6">
        <v>0.025003</v>
      </c>
      <c r="K541" s="6">
        <v>0.40052255</v>
      </c>
      <c r="L541" s="6">
        <v>0.29849255</v>
      </c>
      <c r="M541" s="6">
        <v>0.36067834</v>
      </c>
      <c r="N541" s="6">
        <v>0.24247238</v>
      </c>
      <c r="O541" s="6">
        <v>0.20502861</v>
      </c>
      <c r="P541" s="6">
        <v>0.51220458</v>
      </c>
      <c r="Q541" s="6">
        <v>0.37712868</v>
      </c>
      <c r="R541" s="6">
        <v>217.69486</v>
      </c>
      <c r="S541" s="6">
        <v>0.00183983</v>
      </c>
      <c r="T541" s="6">
        <v>169.97573</v>
      </c>
      <c r="U541" s="6">
        <v>0.00175609</v>
      </c>
      <c r="V541" s="6">
        <v>197.11803</v>
      </c>
      <c r="W541" s="6">
        <v>0.00182976</v>
      </c>
      <c r="X541" s="6">
        <v>134.47093</v>
      </c>
      <c r="Y541" s="6">
        <v>0.00180316</v>
      </c>
      <c r="Z541" s="6">
        <v>134.86767</v>
      </c>
      <c r="AA541" s="6">
        <v>0.00152022</v>
      </c>
      <c r="AB541" s="6">
        <v>294.9318</v>
      </c>
      <c r="AC541" s="6">
        <v>0.00173669</v>
      </c>
      <c r="AD541" s="6">
        <v>243.86163</v>
      </c>
      <c r="AE541" s="6">
        <v>0.00154649</v>
      </c>
      <c r="AF541" s="6">
        <v>775</v>
      </c>
      <c r="AG541" s="6">
        <v>-0.01158743</v>
      </c>
      <c r="AH541" s="6">
        <v>-0.0111418</v>
      </c>
      <c r="AI541" s="6">
        <v>-0.01153401</v>
      </c>
      <c r="AJ541" s="6">
        <v>-0.01139274</v>
      </c>
      <c r="AK541" s="6">
        <v>-0.00986456</v>
      </c>
      <c r="AL541" s="6">
        <v>-0.011038</v>
      </c>
      <c r="AM541" s="6">
        <v>-0.0100085</v>
      </c>
      <c r="AN541" s="6">
        <v>-6.4762184</v>
      </c>
      <c r="AO541" s="6">
        <v>-6.4515561</v>
      </c>
      <c r="AP541" s="6">
        <v>-6.4739881</v>
      </c>
      <c r="AQ541" s="6">
        <v>-6.4253629</v>
      </c>
      <c r="AR541" s="6">
        <v>-6.4020076</v>
      </c>
      <c r="AS541" s="6">
        <v>-6.4618417</v>
      </c>
      <c r="AT541" s="6">
        <v>-6.4506396</v>
      </c>
      <c r="AU541" s="6">
        <v>0.97344833</v>
      </c>
      <c r="AV541" s="6">
        <v>0.96974131</v>
      </c>
      <c r="AW541" s="6">
        <v>0.97311308</v>
      </c>
      <c r="AX541" s="6">
        <v>0.96580418</v>
      </c>
      <c r="AY541" s="6">
        <v>0.96229362</v>
      </c>
      <c r="AZ541" s="6">
        <v>0.97128734</v>
      </c>
      <c r="BA541" s="6">
        <v>0.96960354</v>
      </c>
      <c r="BB541" s="6">
        <v>0.02655167</v>
      </c>
      <c r="BC541" s="6">
        <v>0.03025869</v>
      </c>
      <c r="BD541" s="6">
        <v>0.02688692</v>
      </c>
      <c r="BE541" s="6">
        <v>0.03419582</v>
      </c>
      <c r="BF541" s="6">
        <v>0.03770638</v>
      </c>
      <c r="BG541" s="6">
        <v>0.02871266</v>
      </c>
      <c r="BH541" s="6">
        <v>0.03039646</v>
      </c>
      <c r="BI541" s="6">
        <v>0.21470859</v>
      </c>
      <c r="BJ541" s="6">
        <v>0.12366373</v>
      </c>
      <c r="BK541" s="6">
        <v>0.1409291</v>
      </c>
      <c r="BL541" s="6">
        <v>0.12522516</v>
      </c>
      <c r="BM541" s="6">
        <v>0.1592662</v>
      </c>
      <c r="BN541" s="6">
        <v>0.17561655</v>
      </c>
      <c r="BO541" s="6">
        <v>0.1337285</v>
      </c>
      <c r="BP541" s="6">
        <v>0.14157076</v>
      </c>
      <c r="BQ541" s="6">
        <v>0.04953011</v>
      </c>
      <c r="BR541" s="6">
        <v>0.04206629</v>
      </c>
      <c r="BS541" s="6">
        <v>0.045166</v>
      </c>
      <c r="BT541" s="6">
        <v>0.03861765</v>
      </c>
      <c r="BU541" s="6">
        <v>0.03600642</v>
      </c>
      <c r="BV541" s="6">
        <v>0.06849635</v>
      </c>
      <c r="BW541" s="6">
        <v>0.0533904</v>
      </c>
      <c r="BX541" s="12">
        <v>15317</v>
      </c>
      <c r="BY541" s="13">
        <v>6611</v>
      </c>
      <c r="BZ541" s="12">
        <v>27037.32</v>
      </c>
      <c r="CA541" s="6">
        <f t="shared" si="48"/>
        <v>2.3168960822871</v>
      </c>
      <c r="CB541" s="6">
        <f t="shared" si="49"/>
        <v>0.566513249094215</v>
      </c>
      <c r="CC541" s="7">
        <v>255897246</v>
      </c>
      <c r="CD541" s="7">
        <f t="shared" si="50"/>
        <v>0.946459360617103</v>
      </c>
      <c r="CE541" s="8">
        <v>1855.9</v>
      </c>
      <c r="CF541" s="8">
        <v>13165.1</v>
      </c>
      <c r="CG541" s="8">
        <v>9921.2</v>
      </c>
      <c r="CH541" s="8">
        <v>63709</v>
      </c>
      <c r="CI541" s="14">
        <v>0</v>
      </c>
      <c r="CJ541" s="14">
        <v>0</v>
      </c>
      <c r="CK541" s="14">
        <f t="shared" si="51"/>
        <v>0</v>
      </c>
      <c r="CL541">
        <f t="shared" si="52"/>
        <v>1.79640226266579</v>
      </c>
      <c r="CM541">
        <f t="shared" si="53"/>
        <v>0.473136178746181</v>
      </c>
      <c r="CN541" s="15">
        <v>15316.84</v>
      </c>
      <c r="CO541" s="15">
        <v>10899.51</v>
      </c>
      <c r="CP541" s="15">
        <v>1040.29</v>
      </c>
      <c r="CQ541" s="15">
        <v>801.03</v>
      </c>
      <c r="CR541" s="15">
        <v>456.8</v>
      </c>
      <c r="CS541" s="15">
        <v>41.38</v>
      </c>
      <c r="CT541" s="15">
        <v>599.17</v>
      </c>
      <c r="CU541" s="15">
        <v>67.73</v>
      </c>
      <c r="CV541" s="15">
        <v>24.4</v>
      </c>
      <c r="CW541" s="15">
        <v>1430.88</v>
      </c>
    </row>
    <row r="542" spans="1:101">
      <c r="A542" s="6">
        <v>2015</v>
      </c>
      <c r="B542" s="6" t="s">
        <v>121</v>
      </c>
      <c r="C542" s="6">
        <v>0.33013918</v>
      </c>
      <c r="D542" s="6">
        <v>0.052359</v>
      </c>
      <c r="E542" s="6">
        <v>0.012937</v>
      </c>
      <c r="F542" s="6">
        <v>0.023825</v>
      </c>
      <c r="G542" s="6">
        <v>0.0078</v>
      </c>
      <c r="H542" s="6">
        <v>0.007797</v>
      </c>
      <c r="I542" s="6">
        <v>0.057271</v>
      </c>
      <c r="J542" s="6">
        <v>0.030293</v>
      </c>
      <c r="K542" s="6">
        <v>0.35913956</v>
      </c>
      <c r="L542" s="6">
        <v>0.26537591</v>
      </c>
      <c r="M542" s="6">
        <v>0.32326597</v>
      </c>
      <c r="N542" s="6">
        <v>0.20207477</v>
      </c>
      <c r="O542" s="6">
        <v>0.20278131</v>
      </c>
      <c r="P542" s="6">
        <v>0.54811072</v>
      </c>
      <c r="Q542" s="6">
        <v>0.47151659</v>
      </c>
      <c r="R542" s="6">
        <v>217.69486</v>
      </c>
      <c r="S542" s="6">
        <v>0.00164974</v>
      </c>
      <c r="T542" s="6">
        <v>169.97573</v>
      </c>
      <c r="U542" s="6">
        <v>0.00156126</v>
      </c>
      <c r="V542" s="6">
        <v>197.11803</v>
      </c>
      <c r="W542" s="6">
        <v>0.00163996</v>
      </c>
      <c r="X542" s="6">
        <v>134.47093</v>
      </c>
      <c r="Y542" s="6">
        <v>0.00150274</v>
      </c>
      <c r="Z542" s="6">
        <v>134.86767</v>
      </c>
      <c r="AA542" s="6">
        <v>0.00150356</v>
      </c>
      <c r="AB542" s="6">
        <v>294.9318</v>
      </c>
      <c r="AC542" s="6">
        <v>0.00185843</v>
      </c>
      <c r="AD542" s="6">
        <v>243.86163</v>
      </c>
      <c r="AE542" s="6">
        <v>0.00193354</v>
      </c>
      <c r="AF542" s="6">
        <v>775</v>
      </c>
      <c r="AG542" s="6">
        <v>-0.0105701</v>
      </c>
      <c r="AH542" s="6">
        <v>-0.01008926</v>
      </c>
      <c r="AI542" s="6">
        <v>-0.01051721</v>
      </c>
      <c r="AJ542" s="6">
        <v>-0.00976851</v>
      </c>
      <c r="AK542" s="6">
        <v>-0.00977301</v>
      </c>
      <c r="AL542" s="6">
        <v>-0.01168586</v>
      </c>
      <c r="AM542" s="6">
        <v>-0.01208154</v>
      </c>
      <c r="AN542" s="6">
        <v>-6.4762184</v>
      </c>
      <c r="AO542" s="6">
        <v>-6.4515561</v>
      </c>
      <c r="AP542" s="6">
        <v>-6.4739881</v>
      </c>
      <c r="AQ542" s="6">
        <v>-6.4253629</v>
      </c>
      <c r="AR542" s="6">
        <v>-6.4020076</v>
      </c>
      <c r="AS542" s="6">
        <v>-6.4618417</v>
      </c>
      <c r="AT542" s="6">
        <v>-6.4506396</v>
      </c>
      <c r="AU542" s="6">
        <v>0.97344833</v>
      </c>
      <c r="AV542" s="6">
        <v>0.96974131</v>
      </c>
      <c r="AW542" s="6">
        <v>0.97311308</v>
      </c>
      <c r="AX542" s="6">
        <v>0.96580418</v>
      </c>
      <c r="AY542" s="6">
        <v>0.96229362</v>
      </c>
      <c r="AZ542" s="6">
        <v>0.97128734</v>
      </c>
      <c r="BA542" s="6">
        <v>0.96960354</v>
      </c>
      <c r="BB542" s="6">
        <v>0.02655167</v>
      </c>
      <c r="BC542" s="6">
        <v>0.03025869</v>
      </c>
      <c r="BD542" s="6">
        <v>0.02688692</v>
      </c>
      <c r="BE542" s="6">
        <v>0.03419582</v>
      </c>
      <c r="BF542" s="6">
        <v>0.03770638</v>
      </c>
      <c r="BG542" s="6">
        <v>0.02871266</v>
      </c>
      <c r="BH542" s="6">
        <v>0.03039646</v>
      </c>
      <c r="BI542" s="6">
        <v>0.21470859</v>
      </c>
      <c r="BJ542" s="6">
        <v>0.12366373</v>
      </c>
      <c r="BK542" s="6">
        <v>0.1409291</v>
      </c>
      <c r="BL542" s="6">
        <v>0.12522516</v>
      </c>
      <c r="BM542" s="6">
        <v>0.1592662</v>
      </c>
      <c r="BN542" s="6">
        <v>0.17561655</v>
      </c>
      <c r="BO542" s="6">
        <v>0.1337285</v>
      </c>
      <c r="BP542" s="6">
        <v>0.14157076</v>
      </c>
      <c r="BQ542" s="6">
        <v>0.04441254</v>
      </c>
      <c r="BR542" s="6">
        <v>0.03739919</v>
      </c>
      <c r="BS542" s="6">
        <v>0.04048103</v>
      </c>
      <c r="BT542" s="6">
        <v>0.03218368</v>
      </c>
      <c r="BU542" s="6">
        <v>0.03561175</v>
      </c>
      <c r="BV542" s="6">
        <v>0.07329802</v>
      </c>
      <c r="BW542" s="6">
        <v>0.06675296</v>
      </c>
      <c r="BX542" s="12">
        <v>14514</v>
      </c>
      <c r="BY542" s="13">
        <v>6615</v>
      </c>
      <c r="BZ542" s="12">
        <v>28902.2139</v>
      </c>
      <c r="CA542" s="6">
        <f t="shared" si="48"/>
        <v>2.19410430839002</v>
      </c>
      <c r="CB542" s="6">
        <f t="shared" si="49"/>
        <v>0.502176063405302</v>
      </c>
      <c r="CC542" s="7">
        <v>252569752.9</v>
      </c>
      <c r="CD542" s="7">
        <f t="shared" si="50"/>
        <v>0.873876837857048</v>
      </c>
      <c r="CE542" s="8">
        <v>1932.8</v>
      </c>
      <c r="CF542" s="8">
        <v>13735.7</v>
      </c>
      <c r="CG542" s="8">
        <v>11150.9</v>
      </c>
      <c r="CH542" s="8">
        <v>67649</v>
      </c>
      <c r="CI542" s="14">
        <v>0</v>
      </c>
      <c r="CJ542" s="14">
        <v>0</v>
      </c>
      <c r="CK542" s="14">
        <f t="shared" si="51"/>
        <v>0</v>
      </c>
      <c r="CL542">
        <f t="shared" si="52"/>
        <v>1.71577514742415</v>
      </c>
      <c r="CM542">
        <f t="shared" si="53"/>
        <v>0.490681025908914</v>
      </c>
      <c r="CN542" s="15">
        <v>14514</v>
      </c>
      <c r="CO542" s="15">
        <v>10228.9</v>
      </c>
      <c r="CP542" s="15">
        <v>1145.05</v>
      </c>
      <c r="CQ542" s="15">
        <v>878.46</v>
      </c>
      <c r="CR542" s="15">
        <v>514.65</v>
      </c>
      <c r="CS542" s="15">
        <v>51.76</v>
      </c>
      <c r="CT542" s="15">
        <v>686.6</v>
      </c>
      <c r="CU542" s="15">
        <v>92.81</v>
      </c>
      <c r="CV542" s="15">
        <v>26.53</v>
      </c>
      <c r="CW542" s="15">
        <v>1448</v>
      </c>
    </row>
    <row r="543" spans="1:101">
      <c r="A543" s="6">
        <v>2016</v>
      </c>
      <c r="B543" s="6" t="s">
        <v>121</v>
      </c>
      <c r="C543" s="6">
        <v>0.37651251</v>
      </c>
      <c r="D543" s="6">
        <v>0.064023</v>
      </c>
      <c r="E543" s="6">
        <v>0.015528</v>
      </c>
      <c r="F543" s="6">
        <v>0.028678</v>
      </c>
      <c r="G543" s="6">
        <v>0.009449</v>
      </c>
      <c r="H543" s="6">
        <v>0.010368</v>
      </c>
      <c r="I543" s="6">
        <v>0.056114</v>
      </c>
      <c r="J543" s="6">
        <v>0.029249</v>
      </c>
      <c r="K543" s="6">
        <v>0.45062899</v>
      </c>
      <c r="L543" s="6">
        <v>0.32662104</v>
      </c>
      <c r="M543" s="6">
        <v>0.39784975</v>
      </c>
      <c r="N543" s="6">
        <v>0.25083376</v>
      </c>
      <c r="O543" s="6">
        <v>0.28069079</v>
      </c>
      <c r="P543" s="6">
        <v>0.53522766</v>
      </c>
      <c r="Q543" s="6">
        <v>0.45289271</v>
      </c>
      <c r="R543" s="6">
        <v>217.69486</v>
      </c>
      <c r="S543" s="6">
        <v>0.00207</v>
      </c>
      <c r="T543" s="6">
        <v>169.97573</v>
      </c>
      <c r="U543" s="6">
        <v>0.00192157</v>
      </c>
      <c r="V543" s="6">
        <v>197.11803</v>
      </c>
      <c r="W543" s="6">
        <v>0.00201833</v>
      </c>
      <c r="X543" s="6">
        <v>134.47093</v>
      </c>
      <c r="Y543" s="6">
        <v>0.00186534</v>
      </c>
      <c r="Z543" s="6">
        <v>134.86767</v>
      </c>
      <c r="AA543" s="6">
        <v>0.00208123</v>
      </c>
      <c r="AB543" s="6">
        <v>294.9318</v>
      </c>
      <c r="AC543" s="6">
        <v>0.00181475</v>
      </c>
      <c r="AD543" s="6">
        <v>243.86163</v>
      </c>
      <c r="AE543" s="6">
        <v>0.00185717</v>
      </c>
      <c r="AF543" s="6">
        <v>775</v>
      </c>
      <c r="AG543" s="6">
        <v>-0.01279304</v>
      </c>
      <c r="AH543" s="6">
        <v>-0.0120187</v>
      </c>
      <c r="AI543" s="6">
        <v>-0.01252473</v>
      </c>
      <c r="AJ543" s="6">
        <v>-0.01172237</v>
      </c>
      <c r="AK543" s="6">
        <v>-0.01285118</v>
      </c>
      <c r="AL543" s="6">
        <v>-0.01145436</v>
      </c>
      <c r="AM543" s="6">
        <v>-0.01167919</v>
      </c>
      <c r="AN543" s="6">
        <v>-6.4762184</v>
      </c>
      <c r="AO543" s="6">
        <v>-6.4515561</v>
      </c>
      <c r="AP543" s="6">
        <v>-6.4739881</v>
      </c>
      <c r="AQ543" s="6">
        <v>-6.4253629</v>
      </c>
      <c r="AR543" s="6">
        <v>-6.4020076</v>
      </c>
      <c r="AS543" s="6">
        <v>-6.4618417</v>
      </c>
      <c r="AT543" s="6">
        <v>-6.4506396</v>
      </c>
      <c r="AU543" s="6">
        <v>0.97344833</v>
      </c>
      <c r="AV543" s="6">
        <v>0.96974131</v>
      </c>
      <c r="AW543" s="6">
        <v>0.97311308</v>
      </c>
      <c r="AX543" s="6">
        <v>0.96580418</v>
      </c>
      <c r="AY543" s="6">
        <v>0.96229362</v>
      </c>
      <c r="AZ543" s="6">
        <v>0.97128734</v>
      </c>
      <c r="BA543" s="6">
        <v>0.96960354</v>
      </c>
      <c r="BB543" s="6">
        <v>0.02655167</v>
      </c>
      <c r="BC543" s="6">
        <v>0.03025869</v>
      </c>
      <c r="BD543" s="6">
        <v>0.02688692</v>
      </c>
      <c r="BE543" s="6">
        <v>0.03419582</v>
      </c>
      <c r="BF543" s="6">
        <v>0.03770638</v>
      </c>
      <c r="BG543" s="6">
        <v>0.02871266</v>
      </c>
      <c r="BH543" s="6">
        <v>0.03039646</v>
      </c>
      <c r="BI543" s="6">
        <v>0.21470859</v>
      </c>
      <c r="BJ543" s="6">
        <v>0.12366373</v>
      </c>
      <c r="BK543" s="6">
        <v>0.1409291</v>
      </c>
      <c r="BL543" s="6">
        <v>0.12522516</v>
      </c>
      <c r="BM543" s="6">
        <v>0.1592662</v>
      </c>
      <c r="BN543" s="6">
        <v>0.17561655</v>
      </c>
      <c r="BO543" s="6">
        <v>0.1337285</v>
      </c>
      <c r="BP543" s="6">
        <v>0.14157076</v>
      </c>
      <c r="BQ543" s="6">
        <v>0.05572646</v>
      </c>
      <c r="BR543" s="6">
        <v>0.04603041</v>
      </c>
      <c r="BS543" s="6">
        <v>0.0498208</v>
      </c>
      <c r="BT543" s="6">
        <v>0.03994934</v>
      </c>
      <c r="BU543" s="6">
        <v>0.04929395</v>
      </c>
      <c r="BV543" s="6">
        <v>0.07157519</v>
      </c>
      <c r="BW543" s="6">
        <v>0.06411637</v>
      </c>
      <c r="BX543" s="12">
        <v>14845</v>
      </c>
      <c r="BY543" s="13">
        <v>6625</v>
      </c>
      <c r="BZ543" s="12">
        <v>31551.37</v>
      </c>
      <c r="CA543" s="6">
        <f t="shared" si="48"/>
        <v>2.24075471698113</v>
      </c>
      <c r="CB543" s="6">
        <f t="shared" si="49"/>
        <v>0.470502548700738</v>
      </c>
      <c r="CC543" s="7">
        <v>254277426.2</v>
      </c>
      <c r="CD543" s="7">
        <f t="shared" si="50"/>
        <v>0.805915642331854</v>
      </c>
      <c r="CE543" s="8">
        <v>2145.1</v>
      </c>
      <c r="CF543" s="8">
        <v>14683.7</v>
      </c>
      <c r="CG543" s="8">
        <v>12780.6</v>
      </c>
      <c r="CH543" s="8">
        <v>74024</v>
      </c>
      <c r="CI543" s="14">
        <v>0</v>
      </c>
      <c r="CJ543" s="14">
        <v>0</v>
      </c>
      <c r="CK543" s="14">
        <f t="shared" si="51"/>
        <v>0</v>
      </c>
      <c r="CL543">
        <f t="shared" si="52"/>
        <v>1.62438398605541</v>
      </c>
      <c r="CM543">
        <f t="shared" si="53"/>
        <v>0.50386383438259</v>
      </c>
      <c r="CN543" s="15">
        <v>14845</v>
      </c>
      <c r="CO543" s="15">
        <v>10768.56</v>
      </c>
      <c r="CP543" s="15">
        <v>960.5</v>
      </c>
      <c r="CQ543" s="15">
        <v>841.6</v>
      </c>
      <c r="CR543" s="15">
        <v>575.76</v>
      </c>
      <c r="CS543" s="15">
        <v>55.43</v>
      </c>
      <c r="CT543" s="15">
        <v>712.98</v>
      </c>
      <c r="CU543" s="15">
        <v>94.05</v>
      </c>
      <c r="CV543" s="15">
        <v>26.86</v>
      </c>
      <c r="CW543" s="15">
        <v>1495.65</v>
      </c>
    </row>
    <row r="544" spans="1:101">
      <c r="A544" s="6">
        <v>2017</v>
      </c>
      <c r="B544" s="6" t="s">
        <v>121</v>
      </c>
      <c r="C544" s="6">
        <v>0.35574558</v>
      </c>
      <c r="D544" s="6">
        <v>0.054942</v>
      </c>
      <c r="E544" s="6">
        <v>0.014072</v>
      </c>
      <c r="F544" s="6">
        <v>0.025507</v>
      </c>
      <c r="G544" s="6">
        <v>0.008369</v>
      </c>
      <c r="H544" s="6">
        <v>0.006994</v>
      </c>
      <c r="I544" s="6">
        <v>0.065588</v>
      </c>
      <c r="J544" s="6">
        <v>0.032386</v>
      </c>
      <c r="K544" s="6">
        <v>0.37940323</v>
      </c>
      <c r="L544" s="6">
        <v>0.29221128</v>
      </c>
      <c r="M544" s="6">
        <v>0.34911683</v>
      </c>
      <c r="N544" s="6">
        <v>0.21891063</v>
      </c>
      <c r="O544" s="6">
        <v>0.17843959</v>
      </c>
      <c r="P544" s="6">
        <v>0.6407447</v>
      </c>
      <c r="Q544" s="6">
        <v>0.50886241</v>
      </c>
      <c r="R544" s="6">
        <v>217.69486</v>
      </c>
      <c r="S544" s="6">
        <v>0.00174282</v>
      </c>
      <c r="T544" s="6">
        <v>169.97573</v>
      </c>
      <c r="U544" s="6">
        <v>0.00171914</v>
      </c>
      <c r="V544" s="6">
        <v>197.11803</v>
      </c>
      <c r="W544" s="6">
        <v>0.00177111</v>
      </c>
      <c r="X544" s="6">
        <v>134.47093</v>
      </c>
      <c r="Y544" s="6">
        <v>0.00162794</v>
      </c>
      <c r="Z544" s="6">
        <v>134.86767</v>
      </c>
      <c r="AA544" s="6">
        <v>0.00132307</v>
      </c>
      <c r="AB544" s="6">
        <v>294.9318</v>
      </c>
      <c r="AC544" s="6">
        <v>0.00217252</v>
      </c>
      <c r="AD544" s="6">
        <v>243.86163</v>
      </c>
      <c r="AE544" s="6">
        <v>0.00208669</v>
      </c>
      <c r="AF544" s="6">
        <v>775</v>
      </c>
      <c r="AG544" s="6">
        <v>-0.01107084</v>
      </c>
      <c r="AH544" s="6">
        <v>-0.0109439</v>
      </c>
      <c r="AI544" s="6">
        <v>-0.01122199</v>
      </c>
      <c r="AJ544" s="6">
        <v>-0.01045209</v>
      </c>
      <c r="AK544" s="6">
        <v>-0.00876905</v>
      </c>
      <c r="AL544" s="6">
        <v>-0.0133216</v>
      </c>
      <c r="AM544" s="6">
        <v>-0.01287939</v>
      </c>
      <c r="AN544" s="6">
        <v>-6.4762184</v>
      </c>
      <c r="AO544" s="6">
        <v>-6.4515561</v>
      </c>
      <c r="AP544" s="6">
        <v>-6.4739881</v>
      </c>
      <c r="AQ544" s="6">
        <v>-6.4253629</v>
      </c>
      <c r="AR544" s="6">
        <v>-6.4020076</v>
      </c>
      <c r="AS544" s="6">
        <v>-6.4618417</v>
      </c>
      <c r="AT544" s="6">
        <v>-6.4506396</v>
      </c>
      <c r="AU544" s="6">
        <v>0.97344833</v>
      </c>
      <c r="AV544" s="6">
        <v>0.96974131</v>
      </c>
      <c r="AW544" s="6">
        <v>0.97311308</v>
      </c>
      <c r="AX544" s="6">
        <v>0.96580418</v>
      </c>
      <c r="AY544" s="6">
        <v>0.96229362</v>
      </c>
      <c r="AZ544" s="6">
        <v>0.97128734</v>
      </c>
      <c r="BA544" s="6">
        <v>0.96960354</v>
      </c>
      <c r="BB544" s="6">
        <v>0.02655167</v>
      </c>
      <c r="BC544" s="6">
        <v>0.03025869</v>
      </c>
      <c r="BD544" s="6">
        <v>0.02688692</v>
      </c>
      <c r="BE544" s="6">
        <v>0.03419582</v>
      </c>
      <c r="BF544" s="6">
        <v>0.03770638</v>
      </c>
      <c r="BG544" s="6">
        <v>0.02871266</v>
      </c>
      <c r="BH544" s="6">
        <v>0.03039646</v>
      </c>
      <c r="BI544" s="6">
        <v>0.21470859</v>
      </c>
      <c r="BJ544" s="6">
        <v>0.12366373</v>
      </c>
      <c r="BK544" s="6">
        <v>0.1409291</v>
      </c>
      <c r="BL544" s="6">
        <v>0.12522516</v>
      </c>
      <c r="BM544" s="6">
        <v>0.1592662</v>
      </c>
      <c r="BN544" s="6">
        <v>0.17561655</v>
      </c>
      <c r="BO544" s="6">
        <v>0.1337285</v>
      </c>
      <c r="BP544" s="6">
        <v>0.14157076</v>
      </c>
      <c r="BQ544" s="6">
        <v>0.04691842</v>
      </c>
      <c r="BR544" s="6">
        <v>0.04118107</v>
      </c>
      <c r="BS544" s="6">
        <v>0.04371821</v>
      </c>
      <c r="BT544" s="6">
        <v>0.03486506</v>
      </c>
      <c r="BU544" s="6">
        <v>0.03133694</v>
      </c>
      <c r="BV544" s="6">
        <v>0.08568582</v>
      </c>
      <c r="BW544" s="6">
        <v>0.07204004</v>
      </c>
      <c r="BX544" s="12">
        <v>15200</v>
      </c>
      <c r="BY544" s="13">
        <v>6633</v>
      </c>
      <c r="BZ544" s="12">
        <v>33902.96</v>
      </c>
      <c r="CA544" s="6">
        <f t="shared" si="48"/>
        <v>2.29157244082617</v>
      </c>
      <c r="CB544" s="6">
        <f t="shared" si="49"/>
        <v>0.44833843416622</v>
      </c>
      <c r="CC544" s="7">
        <v>253678087.1</v>
      </c>
      <c r="CD544" s="7">
        <f t="shared" si="50"/>
        <v>0.748247607583527</v>
      </c>
      <c r="CE544" s="8">
        <v>2215.1</v>
      </c>
      <c r="CF544" s="8">
        <v>16290</v>
      </c>
      <c r="CG544" s="8">
        <v>15337.3</v>
      </c>
      <c r="CH544" s="8">
        <v>83758</v>
      </c>
      <c r="CI544" s="14">
        <v>1</v>
      </c>
      <c r="CJ544" s="14">
        <v>0</v>
      </c>
      <c r="CK544" s="14">
        <f t="shared" si="51"/>
        <v>0</v>
      </c>
      <c r="CL544">
        <f t="shared" si="52"/>
        <v>1.56738551218677</v>
      </c>
      <c r="CM544">
        <f t="shared" si="53"/>
        <v>0.522614186640277</v>
      </c>
      <c r="CN544" s="15">
        <v>15200</v>
      </c>
      <c r="CO544" s="15">
        <v>11018.5</v>
      </c>
      <c r="CP544" s="15">
        <v>947.57</v>
      </c>
      <c r="CQ544" s="15">
        <v>770.12</v>
      </c>
      <c r="CR544" s="15">
        <v>642.02</v>
      </c>
      <c r="CS544" s="15">
        <v>60.75</v>
      </c>
      <c r="CT544" s="15">
        <v>662.19</v>
      </c>
      <c r="CU544" s="15">
        <v>93.57</v>
      </c>
      <c r="CV544" s="15">
        <v>27.07</v>
      </c>
      <c r="CW544" s="15">
        <v>1581.51</v>
      </c>
    </row>
    <row r="545" spans="1:101">
      <c r="A545" s="6">
        <v>2018</v>
      </c>
      <c r="B545" s="6" t="s">
        <v>121</v>
      </c>
      <c r="C545" s="6">
        <v>0.36253851</v>
      </c>
      <c r="D545" s="6">
        <v>0.058755</v>
      </c>
      <c r="E545" s="6">
        <v>0.014144</v>
      </c>
      <c r="F545" s="6">
        <v>0.026134</v>
      </c>
      <c r="G545" s="6">
        <v>0.009659</v>
      </c>
      <c r="H545" s="6">
        <v>0.008817</v>
      </c>
      <c r="I545" s="6">
        <v>0.060303</v>
      </c>
      <c r="J545" s="6">
        <v>0.029908</v>
      </c>
      <c r="K545" s="6">
        <v>0.40930926</v>
      </c>
      <c r="L545" s="6">
        <v>0.29391439</v>
      </c>
      <c r="M545" s="6">
        <v>0.35875298</v>
      </c>
      <c r="N545" s="6">
        <v>0.25703562</v>
      </c>
      <c r="O545" s="6">
        <v>0.23370916</v>
      </c>
      <c r="P545" s="6">
        <v>0.58188606</v>
      </c>
      <c r="Q545" s="6">
        <v>0.46464949</v>
      </c>
      <c r="R545" s="6">
        <v>217.69486</v>
      </c>
      <c r="S545" s="6">
        <v>0.0018802</v>
      </c>
      <c r="T545" s="6">
        <v>169.97573</v>
      </c>
      <c r="U545" s="6">
        <v>0.00172916</v>
      </c>
      <c r="V545" s="6">
        <v>197.11803</v>
      </c>
      <c r="W545" s="6">
        <v>0.00181999</v>
      </c>
      <c r="X545" s="6">
        <v>134.47093</v>
      </c>
      <c r="Y545" s="6">
        <v>0.00191146</v>
      </c>
      <c r="Z545" s="6">
        <v>134.86767</v>
      </c>
      <c r="AA545" s="6">
        <v>0.00173288</v>
      </c>
      <c r="AB545" s="6">
        <v>294.9318</v>
      </c>
      <c r="AC545" s="6">
        <v>0.00197295</v>
      </c>
      <c r="AD545" s="6">
        <v>243.86163</v>
      </c>
      <c r="AE545" s="6">
        <v>0.00190538</v>
      </c>
      <c r="AF545" s="6">
        <v>775</v>
      </c>
      <c r="AG545" s="6">
        <v>-0.01180083</v>
      </c>
      <c r="AH545" s="6">
        <v>-0.01099764</v>
      </c>
      <c r="AI545" s="6">
        <v>-0.01148218</v>
      </c>
      <c r="AJ545" s="6">
        <v>-0.01196552</v>
      </c>
      <c r="AK545" s="6">
        <v>-0.01101759</v>
      </c>
      <c r="AL545" s="6">
        <v>-0.01228798</v>
      </c>
      <c r="AM545" s="6">
        <v>-0.01193354</v>
      </c>
      <c r="AN545" s="6">
        <v>-6.4762184</v>
      </c>
      <c r="AO545" s="6">
        <v>-6.4515561</v>
      </c>
      <c r="AP545" s="6">
        <v>-6.4739881</v>
      </c>
      <c r="AQ545" s="6">
        <v>-6.4253629</v>
      </c>
      <c r="AR545" s="6">
        <v>-6.4020076</v>
      </c>
      <c r="AS545" s="6">
        <v>-6.4618417</v>
      </c>
      <c r="AT545" s="6">
        <v>-6.4506396</v>
      </c>
      <c r="AU545" s="6">
        <v>0.97344833</v>
      </c>
      <c r="AV545" s="6">
        <v>0.96974131</v>
      </c>
      <c r="AW545" s="6">
        <v>0.97311308</v>
      </c>
      <c r="AX545" s="6">
        <v>0.96580418</v>
      </c>
      <c r="AY545" s="6">
        <v>0.96229362</v>
      </c>
      <c r="AZ545" s="6">
        <v>0.97128734</v>
      </c>
      <c r="BA545" s="6">
        <v>0.96960354</v>
      </c>
      <c r="BB545" s="6">
        <v>0.02655167</v>
      </c>
      <c r="BC545" s="6">
        <v>0.03025869</v>
      </c>
      <c r="BD545" s="6">
        <v>0.02688692</v>
      </c>
      <c r="BE545" s="6">
        <v>0.03419582</v>
      </c>
      <c r="BF545" s="6">
        <v>0.03770638</v>
      </c>
      <c r="BG545" s="6">
        <v>0.02871266</v>
      </c>
      <c r="BH545" s="6">
        <v>0.03039646</v>
      </c>
      <c r="BI545" s="6">
        <v>0.21470859</v>
      </c>
      <c r="BJ545" s="6">
        <v>0.12366373</v>
      </c>
      <c r="BK545" s="6">
        <v>0.1409291</v>
      </c>
      <c r="BL545" s="6">
        <v>0.12522516</v>
      </c>
      <c r="BM545" s="6">
        <v>0.1592662</v>
      </c>
      <c r="BN545" s="6">
        <v>0.17561655</v>
      </c>
      <c r="BO545" s="6">
        <v>0.1337285</v>
      </c>
      <c r="BP545" s="6">
        <v>0.14157076</v>
      </c>
      <c r="BQ545" s="6">
        <v>0.05061671</v>
      </c>
      <c r="BR545" s="6">
        <v>0.04142109</v>
      </c>
      <c r="BS545" s="6">
        <v>0.0449249</v>
      </c>
      <c r="BT545" s="6">
        <v>0.04093709</v>
      </c>
      <c r="BU545" s="6">
        <v>0.0410432</v>
      </c>
      <c r="BV545" s="6">
        <v>0.07781475</v>
      </c>
      <c r="BW545" s="6">
        <v>0.06578078</v>
      </c>
      <c r="BX545" s="12">
        <v>15544</v>
      </c>
      <c r="BY545" s="13">
        <v>6635</v>
      </c>
      <c r="BZ545" s="12">
        <v>36425.78</v>
      </c>
      <c r="CA545" s="6">
        <f t="shared" si="48"/>
        <v>2.34272795779955</v>
      </c>
      <c r="CB545" s="6">
        <f t="shared" si="49"/>
        <v>0.426730738504433</v>
      </c>
      <c r="CC545" s="7">
        <v>258391670.1</v>
      </c>
      <c r="CD545" s="7">
        <f t="shared" si="50"/>
        <v>0.709364823759436</v>
      </c>
      <c r="CE545" s="8">
        <v>2379</v>
      </c>
      <c r="CF545" s="8">
        <v>18847.8</v>
      </c>
      <c r="CG545" s="8">
        <v>17461</v>
      </c>
      <c r="CH545" s="8">
        <v>94719</v>
      </c>
      <c r="CI545" s="14">
        <v>1</v>
      </c>
      <c r="CJ545" s="14">
        <v>0</v>
      </c>
      <c r="CK545" s="14">
        <f t="shared" si="51"/>
        <v>0</v>
      </c>
      <c r="CL545">
        <f t="shared" si="52"/>
        <v>1.51591455826218</v>
      </c>
      <c r="CM545">
        <f t="shared" si="53"/>
        <v>0.532054877438051</v>
      </c>
      <c r="CN545" s="15">
        <v>15544</v>
      </c>
      <c r="CO545" s="15">
        <v>10922.31</v>
      </c>
      <c r="CP545" s="15">
        <v>970.67</v>
      </c>
      <c r="CQ545" s="15">
        <v>949.7</v>
      </c>
      <c r="CR545" s="15">
        <v>718.92</v>
      </c>
      <c r="CS545" s="15">
        <v>63.17</v>
      </c>
      <c r="CT545" s="15">
        <v>649.29</v>
      </c>
      <c r="CU545" s="15">
        <v>90.44</v>
      </c>
      <c r="CV545" s="15">
        <v>30.47</v>
      </c>
      <c r="CW545" s="15">
        <v>1745.24</v>
      </c>
    </row>
    <row r="546" spans="1:101">
      <c r="A546" s="6">
        <v>2019</v>
      </c>
      <c r="B546" s="6" t="s">
        <v>121</v>
      </c>
      <c r="C546" s="6">
        <v>0.40870536</v>
      </c>
      <c r="D546" s="6">
        <v>0.060151</v>
      </c>
      <c r="E546" s="6">
        <v>0.014886</v>
      </c>
      <c r="F546" s="6">
        <v>0.026586</v>
      </c>
      <c r="G546" s="6">
        <v>0.009389</v>
      </c>
      <c r="H546" s="6">
        <v>0.00929</v>
      </c>
      <c r="I546" s="6">
        <v>0.069166</v>
      </c>
      <c r="J546" s="6">
        <v>0.040608</v>
      </c>
      <c r="K546" s="6">
        <v>0.42025932</v>
      </c>
      <c r="L546" s="6">
        <v>0.31144297</v>
      </c>
      <c r="M546" s="6">
        <v>0.36569889</v>
      </c>
      <c r="N546" s="6">
        <v>0.24904879</v>
      </c>
      <c r="O546" s="6">
        <v>0.24803852</v>
      </c>
      <c r="P546" s="6">
        <v>0.68060399</v>
      </c>
      <c r="Q546" s="6">
        <v>0.65555608</v>
      </c>
      <c r="R546" s="6">
        <v>217.69486</v>
      </c>
      <c r="S546" s="6">
        <v>0.0019305</v>
      </c>
      <c r="T546" s="6">
        <v>169.97573</v>
      </c>
      <c r="U546" s="6">
        <v>0.00183228</v>
      </c>
      <c r="V546" s="6">
        <v>197.11803</v>
      </c>
      <c r="W546" s="6">
        <v>0.00185523</v>
      </c>
      <c r="X546" s="6">
        <v>134.47093</v>
      </c>
      <c r="Y546" s="6">
        <v>0.00185206</v>
      </c>
      <c r="Z546" s="6">
        <v>134.86767</v>
      </c>
      <c r="AA546" s="6">
        <v>0.00183913</v>
      </c>
      <c r="AB546" s="6">
        <v>294.9318</v>
      </c>
      <c r="AC546" s="6">
        <v>0.00230767</v>
      </c>
      <c r="AD546" s="6">
        <v>243.86163</v>
      </c>
      <c r="AE546" s="6">
        <v>0.00268823</v>
      </c>
      <c r="AF546" s="6">
        <v>775</v>
      </c>
      <c r="AG546" s="6">
        <v>-0.01206556</v>
      </c>
      <c r="AH546" s="6">
        <v>-0.01154738</v>
      </c>
      <c r="AI546" s="6">
        <v>-0.01166892</v>
      </c>
      <c r="AJ546" s="6">
        <v>-0.01165218</v>
      </c>
      <c r="AK546" s="6">
        <v>-0.01158367</v>
      </c>
      <c r="AL546" s="6">
        <v>-0.01401104</v>
      </c>
      <c r="AM546" s="6">
        <v>-0.01591129</v>
      </c>
      <c r="AN546" s="6">
        <v>-6.4762184</v>
      </c>
      <c r="AO546" s="6">
        <v>-6.4515561</v>
      </c>
      <c r="AP546" s="6">
        <v>-6.4739881</v>
      </c>
      <c r="AQ546" s="6">
        <v>-6.4253629</v>
      </c>
      <c r="AR546" s="6">
        <v>-6.4020076</v>
      </c>
      <c r="AS546" s="6">
        <v>-6.4618417</v>
      </c>
      <c r="AT546" s="6">
        <v>-6.4506396</v>
      </c>
      <c r="AU546" s="6">
        <v>0.97344833</v>
      </c>
      <c r="AV546" s="6">
        <v>0.96974131</v>
      </c>
      <c r="AW546" s="6">
        <v>0.97311308</v>
      </c>
      <c r="AX546" s="6">
        <v>0.96580418</v>
      </c>
      <c r="AY546" s="6">
        <v>0.96229362</v>
      </c>
      <c r="AZ546" s="6">
        <v>0.97128734</v>
      </c>
      <c r="BA546" s="6">
        <v>0.96960354</v>
      </c>
      <c r="BB546" s="6">
        <v>0.02655167</v>
      </c>
      <c r="BC546" s="6">
        <v>0.03025869</v>
      </c>
      <c r="BD546" s="6">
        <v>0.02688692</v>
      </c>
      <c r="BE546" s="6">
        <v>0.03419582</v>
      </c>
      <c r="BF546" s="6">
        <v>0.03770638</v>
      </c>
      <c r="BG546" s="6">
        <v>0.02871266</v>
      </c>
      <c r="BH546" s="6">
        <v>0.03039646</v>
      </c>
      <c r="BI546" s="6">
        <v>0.21470859</v>
      </c>
      <c r="BJ546" s="6">
        <v>0.12366373</v>
      </c>
      <c r="BK546" s="6">
        <v>0.1409291</v>
      </c>
      <c r="BL546" s="6">
        <v>0.12522516</v>
      </c>
      <c r="BM546" s="6">
        <v>0.1592662</v>
      </c>
      <c r="BN546" s="6">
        <v>0.17561655</v>
      </c>
      <c r="BO546" s="6">
        <v>0.1337285</v>
      </c>
      <c r="BP546" s="6">
        <v>0.14157076</v>
      </c>
      <c r="BQ546" s="6">
        <v>0.05197084</v>
      </c>
      <c r="BR546" s="6">
        <v>0.04389138</v>
      </c>
      <c r="BS546" s="6">
        <v>0.0457947</v>
      </c>
      <c r="BT546" s="6">
        <v>0.03966505</v>
      </c>
      <c r="BU546" s="6">
        <v>0.04355967</v>
      </c>
      <c r="BV546" s="6">
        <v>0.09101615</v>
      </c>
      <c r="BW546" s="6">
        <v>0.09280758</v>
      </c>
      <c r="BX546" s="12">
        <v>16001</v>
      </c>
      <c r="BY546" s="13">
        <v>6640</v>
      </c>
      <c r="BZ546" s="12">
        <v>39752.12</v>
      </c>
      <c r="CA546" s="6">
        <f t="shared" si="48"/>
        <v>2.40978915662651</v>
      </c>
      <c r="CB546" s="6">
        <f t="shared" si="49"/>
        <v>0.402519412801129</v>
      </c>
      <c r="CC546" s="7">
        <v>258881627.7</v>
      </c>
      <c r="CD546" s="7">
        <f t="shared" si="50"/>
        <v>0.651239802304883</v>
      </c>
      <c r="CE546" s="8">
        <v>2595.5</v>
      </c>
      <c r="CF546" s="8">
        <v>20065.5</v>
      </c>
      <c r="CG546" s="8">
        <v>19665.6</v>
      </c>
      <c r="CH546" s="8">
        <v>102722</v>
      </c>
      <c r="CI546" s="14">
        <v>1</v>
      </c>
      <c r="CJ546" s="14">
        <v>0</v>
      </c>
      <c r="CK546" s="14">
        <f t="shared" si="51"/>
        <v>0</v>
      </c>
      <c r="CL546">
        <f t="shared" si="52"/>
        <v>1.5000536746505</v>
      </c>
      <c r="CM546">
        <f t="shared" si="53"/>
        <v>0.565855666826978</v>
      </c>
      <c r="CN546" s="15">
        <v>16001</v>
      </c>
      <c r="CO546" s="15">
        <v>10664.02</v>
      </c>
      <c r="CP546" s="15">
        <v>982.53</v>
      </c>
      <c r="CQ546" s="15">
        <v>935.12</v>
      </c>
      <c r="CR546" s="15">
        <v>819.89</v>
      </c>
      <c r="CS546" s="15">
        <v>65.03</v>
      </c>
      <c r="CT546" s="15">
        <v>672.61</v>
      </c>
      <c r="CU546" s="15">
        <v>83.05</v>
      </c>
      <c r="CV546" s="15">
        <v>32.9</v>
      </c>
      <c r="CW546" s="15">
        <v>1864.32</v>
      </c>
    </row>
    <row r="547" spans="1:101">
      <c r="A547" s="6">
        <v>2020</v>
      </c>
      <c r="B547" s="6" t="s">
        <v>121</v>
      </c>
      <c r="C547" s="6">
        <v>0.39769434</v>
      </c>
      <c r="D547" s="6">
        <v>0.064468</v>
      </c>
      <c r="E547" s="6">
        <v>0.016398</v>
      </c>
      <c r="F547" s="6">
        <v>0.029815</v>
      </c>
      <c r="G547" s="6">
        <v>0.009622</v>
      </c>
      <c r="H547" s="6">
        <v>0.008633</v>
      </c>
      <c r="I547" s="6">
        <v>0.066898</v>
      </c>
      <c r="J547" s="6">
        <v>0.032424</v>
      </c>
      <c r="K547" s="6">
        <v>0.45412264</v>
      </c>
      <c r="L547" s="6">
        <v>0.3472058</v>
      </c>
      <c r="M547" s="6">
        <v>0.41532985</v>
      </c>
      <c r="N547" s="6">
        <v>0.25593504</v>
      </c>
      <c r="O547" s="6">
        <v>0.22810715</v>
      </c>
      <c r="P547" s="6">
        <v>0.65534472</v>
      </c>
      <c r="Q547" s="6">
        <v>0.50953482</v>
      </c>
      <c r="R547" s="6">
        <v>217.69486</v>
      </c>
      <c r="S547" s="6">
        <v>0.00208605</v>
      </c>
      <c r="T547" s="6">
        <v>169.97573</v>
      </c>
      <c r="U547" s="6">
        <v>0.00204268</v>
      </c>
      <c r="V547" s="6">
        <v>197.11803</v>
      </c>
      <c r="W547" s="6">
        <v>0.00210701</v>
      </c>
      <c r="X547" s="6">
        <v>134.47093</v>
      </c>
      <c r="Y547" s="6">
        <v>0.00190327</v>
      </c>
      <c r="Z547" s="6">
        <v>134.86767</v>
      </c>
      <c r="AA547" s="6">
        <v>0.00169134</v>
      </c>
      <c r="AB547" s="6">
        <v>294.9318</v>
      </c>
      <c r="AC547" s="6">
        <v>0.00222202</v>
      </c>
      <c r="AD547" s="6">
        <v>243.86163</v>
      </c>
      <c r="AE547" s="6">
        <v>0.00208944</v>
      </c>
      <c r="AF547" s="6">
        <v>775</v>
      </c>
      <c r="AG547" s="6">
        <v>-0.01287611</v>
      </c>
      <c r="AH547" s="6">
        <v>-0.01265132</v>
      </c>
      <c r="AI547" s="6">
        <v>-0.01298442</v>
      </c>
      <c r="AJ547" s="6">
        <v>-0.01192245</v>
      </c>
      <c r="AK547" s="6">
        <v>-0.01079453</v>
      </c>
      <c r="AL547" s="6">
        <v>-0.01357508</v>
      </c>
      <c r="AM547" s="6">
        <v>-0.01289365</v>
      </c>
      <c r="AN547" s="6">
        <v>-6.4762184</v>
      </c>
      <c r="AO547" s="6">
        <v>-6.4515561</v>
      </c>
      <c r="AP547" s="6">
        <v>-6.4739881</v>
      </c>
      <c r="AQ547" s="6">
        <v>-6.4253629</v>
      </c>
      <c r="AR547" s="6">
        <v>-6.4020076</v>
      </c>
      <c r="AS547" s="6">
        <v>-6.4618417</v>
      </c>
      <c r="AT547" s="6">
        <v>-6.4506396</v>
      </c>
      <c r="AU547" s="6">
        <v>0.97344833</v>
      </c>
      <c r="AV547" s="6">
        <v>0.96974131</v>
      </c>
      <c r="AW547" s="6">
        <v>0.97311308</v>
      </c>
      <c r="AX547" s="6">
        <v>0.96580418</v>
      </c>
      <c r="AY547" s="6">
        <v>0.96229362</v>
      </c>
      <c r="AZ547" s="6">
        <v>0.97128734</v>
      </c>
      <c r="BA547" s="6">
        <v>0.96960354</v>
      </c>
      <c r="BB547" s="6">
        <v>0.02655167</v>
      </c>
      <c r="BC547" s="6">
        <v>0.03025869</v>
      </c>
      <c r="BD547" s="6">
        <v>0.02688692</v>
      </c>
      <c r="BE547" s="6">
        <v>0.03419582</v>
      </c>
      <c r="BF547" s="6">
        <v>0.03770638</v>
      </c>
      <c r="BG547" s="6">
        <v>0.02871266</v>
      </c>
      <c r="BH547" s="6">
        <v>0.03039646</v>
      </c>
      <c r="BI547" s="6">
        <v>0.21470859</v>
      </c>
      <c r="BJ547" s="6">
        <v>0.12366373</v>
      </c>
      <c r="BK547" s="6">
        <v>0.1409291</v>
      </c>
      <c r="BL547" s="6">
        <v>0.12522516</v>
      </c>
      <c r="BM547" s="6">
        <v>0.1592662</v>
      </c>
      <c r="BN547" s="6">
        <v>0.17561655</v>
      </c>
      <c r="BO547" s="6">
        <v>0.1337285</v>
      </c>
      <c r="BP547" s="6">
        <v>0.14157076</v>
      </c>
      <c r="BQ547" s="6">
        <v>0.0561585</v>
      </c>
      <c r="BR547" s="6">
        <v>0.0489314</v>
      </c>
      <c r="BS547" s="6">
        <v>0.05200975</v>
      </c>
      <c r="BT547" s="6">
        <v>0.0407618</v>
      </c>
      <c r="BU547" s="6">
        <v>0.04005939</v>
      </c>
      <c r="BV547" s="6">
        <v>0.08763826</v>
      </c>
      <c r="BW547" s="6">
        <v>0.07213523</v>
      </c>
      <c r="BX547" s="12">
        <v>16274.6171</v>
      </c>
      <c r="BY547" s="13">
        <v>6645.3</v>
      </c>
      <c r="BZ547" s="12">
        <v>41781.49</v>
      </c>
      <c r="CA547" s="6">
        <f t="shared" si="48"/>
        <v>2.44904174378884</v>
      </c>
      <c r="CB547" s="6">
        <f t="shared" si="49"/>
        <v>0.389517393946458</v>
      </c>
      <c r="CC547" s="7">
        <v>254893245.6</v>
      </c>
      <c r="CD547" s="7">
        <f t="shared" si="50"/>
        <v>0.610062603320274</v>
      </c>
      <c r="CE547" s="8">
        <v>2730.8</v>
      </c>
      <c r="CF547" s="8">
        <v>20168.4</v>
      </c>
      <c r="CG547" s="8">
        <v>20709.3</v>
      </c>
      <c r="CH547" s="8">
        <v>105106</v>
      </c>
      <c r="CI547" s="14">
        <v>1</v>
      </c>
      <c r="CJ547" s="14">
        <v>0</v>
      </c>
      <c r="CK547" s="14">
        <f t="shared" si="51"/>
        <v>0</v>
      </c>
      <c r="CL547">
        <f t="shared" si="52"/>
        <v>1.47141701078949</v>
      </c>
      <c r="CM547">
        <f t="shared" si="53"/>
        <v>0.585391089781581</v>
      </c>
      <c r="CN547" s="15">
        <v>16274.6171</v>
      </c>
      <c r="CO547" s="15">
        <v>10199.62</v>
      </c>
      <c r="CP547" s="15">
        <v>1001.52</v>
      </c>
      <c r="CQ547" s="15">
        <v>1274.87</v>
      </c>
      <c r="CR547" s="15">
        <v>833.05</v>
      </c>
      <c r="CS547" s="15">
        <v>87.93</v>
      </c>
      <c r="CT547" s="15">
        <v>928.79</v>
      </c>
      <c r="CU547" s="15">
        <v>109.37</v>
      </c>
      <c r="CV547" s="15">
        <v>34.13</v>
      </c>
      <c r="CW547" s="15">
        <v>1929</v>
      </c>
    </row>
    <row r="548" spans="1:101">
      <c r="A548" s="6">
        <v>2021</v>
      </c>
      <c r="B548" s="6" t="s">
        <v>121</v>
      </c>
      <c r="C548" s="6">
        <v>0.40866516</v>
      </c>
      <c r="D548" s="6">
        <v>0.062984</v>
      </c>
      <c r="E548" s="6">
        <v>0.016003</v>
      </c>
      <c r="F548" s="6">
        <v>0.027656</v>
      </c>
      <c r="G548" s="6">
        <v>0.009762</v>
      </c>
      <c r="H548" s="6">
        <v>0.009562</v>
      </c>
      <c r="I548" s="6">
        <v>0.069351</v>
      </c>
      <c r="J548" s="6">
        <v>0.035838</v>
      </c>
      <c r="K548" s="6">
        <v>0.44247872</v>
      </c>
      <c r="L548" s="6">
        <v>0.33785588</v>
      </c>
      <c r="M548" s="6">
        <v>0.38215167</v>
      </c>
      <c r="N548" s="6">
        <v>0.26007062</v>
      </c>
      <c r="O548" s="6">
        <v>0.25628512</v>
      </c>
      <c r="P548" s="6">
        <v>0.68266138</v>
      </c>
      <c r="Q548" s="6">
        <v>0.57044416</v>
      </c>
      <c r="R548" s="6">
        <v>217.69486</v>
      </c>
      <c r="S548" s="6">
        <v>0.00203256</v>
      </c>
      <c r="T548" s="6">
        <v>169.97573</v>
      </c>
      <c r="U548" s="6">
        <v>0.00198767</v>
      </c>
      <c r="V548" s="6">
        <v>197.11803</v>
      </c>
      <c r="W548" s="6">
        <v>0.00193869</v>
      </c>
      <c r="X548" s="6">
        <v>134.47093</v>
      </c>
      <c r="Y548" s="6">
        <v>0.00193403</v>
      </c>
      <c r="Z548" s="6">
        <v>134.86767</v>
      </c>
      <c r="AA548" s="6">
        <v>0.00190027</v>
      </c>
      <c r="AB548" s="6">
        <v>294.9318</v>
      </c>
      <c r="AC548" s="6">
        <v>0.00231464</v>
      </c>
      <c r="AD548" s="6">
        <v>243.86163</v>
      </c>
      <c r="AE548" s="6">
        <v>0.00233921</v>
      </c>
      <c r="AF548" s="6">
        <v>775</v>
      </c>
      <c r="AG548" s="6">
        <v>-0.01259876</v>
      </c>
      <c r="AH548" s="6">
        <v>-0.01236489</v>
      </c>
      <c r="AI548" s="6">
        <v>-0.01210858</v>
      </c>
      <c r="AJ548" s="6">
        <v>-0.0120841</v>
      </c>
      <c r="AK548" s="6">
        <v>-0.01190664</v>
      </c>
      <c r="AL548" s="6">
        <v>-0.0140464</v>
      </c>
      <c r="AM548" s="6">
        <v>-0.01417081</v>
      </c>
      <c r="AN548" s="6">
        <v>-6.4762184</v>
      </c>
      <c r="AO548" s="6">
        <v>-6.4515561</v>
      </c>
      <c r="AP548" s="6">
        <v>-6.4739881</v>
      </c>
      <c r="AQ548" s="6">
        <v>-6.4253629</v>
      </c>
      <c r="AR548" s="6">
        <v>-6.4020076</v>
      </c>
      <c r="AS548" s="6">
        <v>-6.4618417</v>
      </c>
      <c r="AT548" s="6">
        <v>-6.4506396</v>
      </c>
      <c r="AU548" s="6">
        <v>0.97344833</v>
      </c>
      <c r="AV548" s="6">
        <v>0.96974131</v>
      </c>
      <c r="AW548" s="6">
        <v>0.97311308</v>
      </c>
      <c r="AX548" s="6">
        <v>0.96580418</v>
      </c>
      <c r="AY548" s="6">
        <v>0.96229362</v>
      </c>
      <c r="AZ548" s="6">
        <v>0.97128734</v>
      </c>
      <c r="BA548" s="6">
        <v>0.96960354</v>
      </c>
      <c r="BB548" s="6">
        <v>0.02655167</v>
      </c>
      <c r="BC548" s="6">
        <v>0.03025869</v>
      </c>
      <c r="BD548" s="6">
        <v>0.02688692</v>
      </c>
      <c r="BE548" s="6">
        <v>0.03419582</v>
      </c>
      <c r="BF548" s="6">
        <v>0.03770638</v>
      </c>
      <c r="BG548" s="6">
        <v>0.02871266</v>
      </c>
      <c r="BH548" s="6">
        <v>0.03039646</v>
      </c>
      <c r="BI548" s="6">
        <v>0.21470859</v>
      </c>
      <c r="BJ548" s="6">
        <v>0.12366373</v>
      </c>
      <c r="BK548" s="6">
        <v>0.1409291</v>
      </c>
      <c r="BL548" s="6">
        <v>0.12522516</v>
      </c>
      <c r="BM548" s="6">
        <v>0.1592662</v>
      </c>
      <c r="BN548" s="6">
        <v>0.17561655</v>
      </c>
      <c r="BO548" s="6">
        <v>0.1337285</v>
      </c>
      <c r="BP548" s="6">
        <v>0.14157076</v>
      </c>
      <c r="BQ548" s="6">
        <v>0.05471857</v>
      </c>
      <c r="BR548" s="6">
        <v>0.04761372</v>
      </c>
      <c r="BS548" s="6">
        <v>0.047855</v>
      </c>
      <c r="BT548" s="6">
        <v>0.04142046</v>
      </c>
      <c r="BU548" s="6">
        <v>0.04500791</v>
      </c>
      <c r="BV548" s="6">
        <v>0.09129128</v>
      </c>
      <c r="BW548" s="6">
        <v>0.08075822</v>
      </c>
      <c r="BX548" s="12">
        <v>16909.3271669</v>
      </c>
      <c r="BY548" s="13">
        <v>6622</v>
      </c>
      <c r="BZ548" s="12">
        <v>46063.1</v>
      </c>
      <c r="CA548" s="6">
        <f t="shared" si="48"/>
        <v>2.55350757579281</v>
      </c>
      <c r="CB548" s="6">
        <f t="shared" si="49"/>
        <v>0.367090516419868</v>
      </c>
      <c r="CC548" s="7">
        <v>274203077.5</v>
      </c>
      <c r="CD548" s="7">
        <f t="shared" si="50"/>
        <v>0.595277081872475</v>
      </c>
      <c r="CE548" s="8">
        <v>2899.9</v>
      </c>
      <c r="CF548" s="8">
        <v>23319.8</v>
      </c>
      <c r="CG548" s="8">
        <v>23346.3</v>
      </c>
      <c r="CH548" s="8">
        <v>118750</v>
      </c>
      <c r="CI548" s="14">
        <v>1</v>
      </c>
      <c r="CJ548" s="14">
        <v>0</v>
      </c>
      <c r="CK548" s="14">
        <f t="shared" si="51"/>
        <v>0</v>
      </c>
      <c r="CL548">
        <f t="shared" si="52"/>
        <v>1.36781889095748</v>
      </c>
      <c r="CM548">
        <f t="shared" si="53"/>
        <v>0.56479831810498</v>
      </c>
      <c r="CN548" s="15">
        <v>16909.3271669</v>
      </c>
      <c r="CO548" s="15">
        <v>8291.42</v>
      </c>
      <c r="CP548" s="15">
        <v>1007.87</v>
      </c>
      <c r="CQ548" s="15">
        <v>809.86</v>
      </c>
      <c r="CR548" s="15">
        <v>1015.49</v>
      </c>
      <c r="CS548" s="15">
        <v>103.11</v>
      </c>
      <c r="CT548" s="15">
        <v>1034.88</v>
      </c>
      <c r="CU548" s="15">
        <v>105.42</v>
      </c>
      <c r="CV548" s="15">
        <v>41.16</v>
      </c>
      <c r="CW548" s="15">
        <v>2155</v>
      </c>
    </row>
    <row r="549" spans="1:101">
      <c r="A549" s="6">
        <v>2022</v>
      </c>
      <c r="B549" s="6" t="s">
        <v>121</v>
      </c>
      <c r="C549" s="6">
        <v>0.45787916</v>
      </c>
      <c r="D549" s="6">
        <v>0.075058</v>
      </c>
      <c r="E549" s="6">
        <v>0.019422</v>
      </c>
      <c r="F549" s="6">
        <v>0.034616</v>
      </c>
      <c r="G549" s="6">
        <v>0.011564</v>
      </c>
      <c r="H549" s="6">
        <v>0.009456</v>
      </c>
      <c r="I549" s="6">
        <v>0.071693</v>
      </c>
      <c r="J549" s="6">
        <v>0.036356</v>
      </c>
      <c r="K549" s="6">
        <v>0.5371893</v>
      </c>
      <c r="L549" s="6">
        <v>0.41870238</v>
      </c>
      <c r="M549" s="6">
        <v>0.48911594</v>
      </c>
      <c r="N549" s="6">
        <v>0.3133364</v>
      </c>
      <c r="O549" s="6">
        <v>0.25304869</v>
      </c>
      <c r="P549" s="6">
        <v>0.70874389</v>
      </c>
      <c r="Q549" s="6">
        <v>0.57970064</v>
      </c>
      <c r="R549" s="6">
        <v>217.69486</v>
      </c>
      <c r="S549" s="6">
        <v>0.00246763</v>
      </c>
      <c r="T549" s="6">
        <v>169.97573</v>
      </c>
      <c r="U549" s="6">
        <v>0.00246331</v>
      </c>
      <c r="V549" s="6">
        <v>197.11803</v>
      </c>
      <c r="W549" s="6">
        <v>0.00248134</v>
      </c>
      <c r="X549" s="6">
        <v>134.47093</v>
      </c>
      <c r="Y549" s="6">
        <v>0.00233014</v>
      </c>
      <c r="Z549" s="6">
        <v>134.86767</v>
      </c>
      <c r="AA549" s="6">
        <v>0.00187627</v>
      </c>
      <c r="AB549" s="6">
        <v>294.9318</v>
      </c>
      <c r="AC549" s="6">
        <v>0.00240308</v>
      </c>
      <c r="AD549" s="6">
        <v>243.86163</v>
      </c>
      <c r="AE549" s="6">
        <v>0.00237717</v>
      </c>
      <c r="AF549" s="6">
        <v>775</v>
      </c>
      <c r="AG549" s="6">
        <v>-0.01481685</v>
      </c>
      <c r="AH549" s="6">
        <v>-0.01479524</v>
      </c>
      <c r="AI549" s="6">
        <v>-0.01488543</v>
      </c>
      <c r="AJ549" s="6">
        <v>-0.01412492</v>
      </c>
      <c r="AK549" s="6">
        <v>-0.01178012</v>
      </c>
      <c r="AL549" s="6">
        <v>-0.01449297</v>
      </c>
      <c r="AM549" s="6">
        <v>-0.01436249</v>
      </c>
      <c r="AN549" s="6">
        <v>-6.4762184</v>
      </c>
      <c r="AO549" s="6">
        <v>-6.4515561</v>
      </c>
      <c r="AP549" s="6">
        <v>-6.4739881</v>
      </c>
      <c r="AQ549" s="6">
        <v>-6.4253629</v>
      </c>
      <c r="AR549" s="6">
        <v>-6.4020076</v>
      </c>
      <c r="AS549" s="6">
        <v>-6.4618417</v>
      </c>
      <c r="AT549" s="6">
        <v>-6.4506396</v>
      </c>
      <c r="AU549" s="6">
        <v>0.97344833</v>
      </c>
      <c r="AV549" s="6">
        <v>0.96974131</v>
      </c>
      <c r="AW549" s="6">
        <v>0.97311308</v>
      </c>
      <c r="AX549" s="6">
        <v>0.96580418</v>
      </c>
      <c r="AY549" s="6">
        <v>0.96229362</v>
      </c>
      <c r="AZ549" s="6">
        <v>0.97128734</v>
      </c>
      <c r="BA549" s="6">
        <v>0.96960354</v>
      </c>
      <c r="BB549" s="6">
        <v>0.02655167</v>
      </c>
      <c r="BC549" s="6">
        <v>0.03025869</v>
      </c>
      <c r="BD549" s="6">
        <v>0.02688692</v>
      </c>
      <c r="BE549" s="6">
        <v>0.03419582</v>
      </c>
      <c r="BF549" s="6">
        <v>0.03770638</v>
      </c>
      <c r="BG549" s="6">
        <v>0.02871266</v>
      </c>
      <c r="BH549" s="6">
        <v>0.03039646</v>
      </c>
      <c r="BI549" s="6">
        <v>0.21470859</v>
      </c>
      <c r="BJ549" s="6">
        <v>0.12366373</v>
      </c>
      <c r="BK549" s="6">
        <v>0.1409291</v>
      </c>
      <c r="BL549" s="6">
        <v>0.12522516</v>
      </c>
      <c r="BM549" s="6">
        <v>0.1592662</v>
      </c>
      <c r="BN549" s="6">
        <v>0.17561655</v>
      </c>
      <c r="BO549" s="6">
        <v>0.1337285</v>
      </c>
      <c r="BP549" s="6">
        <v>0.14157076</v>
      </c>
      <c r="BQ549" s="6">
        <v>0.06643083</v>
      </c>
      <c r="BR549" s="6">
        <v>0.05900735</v>
      </c>
      <c r="BS549" s="6">
        <v>0.06124962</v>
      </c>
      <c r="BT549" s="6">
        <v>0.0499039</v>
      </c>
      <c r="BU549" s="6">
        <v>0.04443954</v>
      </c>
      <c r="BV549" s="6">
        <v>0.09477925</v>
      </c>
      <c r="BW549" s="6">
        <v>0.08206866</v>
      </c>
      <c r="BX549" s="12">
        <v>17027.6924570683</v>
      </c>
      <c r="BY549" s="13">
        <v>6604</v>
      </c>
      <c r="BZ549" s="12">
        <v>48670.4</v>
      </c>
      <c r="CA549" s="6">
        <f t="shared" si="48"/>
        <v>2.57839074153063</v>
      </c>
      <c r="CB549" s="6">
        <f t="shared" si="49"/>
        <v>0.349857253218965</v>
      </c>
      <c r="CC549" s="7">
        <v>272540148.7</v>
      </c>
      <c r="CD549" s="7">
        <f t="shared" si="50"/>
        <v>0.559971047494987</v>
      </c>
      <c r="CE549" s="8">
        <v>3077.6</v>
      </c>
      <c r="CF549" s="8">
        <v>23125.3</v>
      </c>
      <c r="CG549" s="8">
        <v>25562.2</v>
      </c>
      <c r="CH549" s="8">
        <v>123618</v>
      </c>
      <c r="CI549" s="14">
        <v>1</v>
      </c>
      <c r="CJ549" s="14">
        <v>0</v>
      </c>
      <c r="CK549" s="14">
        <f t="shared" si="51"/>
        <v>0</v>
      </c>
      <c r="CL549">
        <f t="shared" si="52"/>
        <v>1.27047633725244</v>
      </c>
      <c r="CM549">
        <f t="shared" si="53"/>
        <v>0.559243229428425</v>
      </c>
      <c r="CN549" s="15">
        <v>17027.6924570683</v>
      </c>
      <c r="CO549" s="15">
        <v>8257.94</v>
      </c>
      <c r="CP549" s="15">
        <v>1008.45</v>
      </c>
      <c r="CQ549" s="15">
        <v>829.48</v>
      </c>
      <c r="CR549" s="15">
        <v>1042.57</v>
      </c>
      <c r="CS549" s="15">
        <v>68.68</v>
      </c>
      <c r="CT549" s="15">
        <v>1058.36</v>
      </c>
      <c r="CU549" s="15">
        <v>103.6</v>
      </c>
      <c r="CV549" s="15">
        <v>45.73</v>
      </c>
      <c r="CW549" s="15">
        <v>2235.53</v>
      </c>
    </row>
    <row r="550" spans="1:101">
      <c r="A550" s="6">
        <v>2023</v>
      </c>
      <c r="B550" s="6" t="s">
        <v>121</v>
      </c>
      <c r="C550" s="6">
        <v>0.6771742</v>
      </c>
      <c r="D550" s="6">
        <v>0.095522</v>
      </c>
      <c r="E550" s="6">
        <v>0.031232</v>
      </c>
      <c r="F550" s="6">
        <v>0.049965</v>
      </c>
      <c r="G550" s="6">
        <v>0.021756</v>
      </c>
      <c r="H550" s="6">
        <v>0.017739</v>
      </c>
      <c r="I550" s="6">
        <v>0.082424</v>
      </c>
      <c r="J550" s="6">
        <v>0.045265</v>
      </c>
      <c r="K550" s="6">
        <v>0.69771136</v>
      </c>
      <c r="L550" s="6">
        <v>0.69791025</v>
      </c>
      <c r="M550" s="6">
        <v>0.72503087</v>
      </c>
      <c r="N550" s="6">
        <v>0.6146047</v>
      </c>
      <c r="O550" s="6">
        <v>0.5040676</v>
      </c>
      <c r="P550" s="6">
        <v>0.82827637</v>
      </c>
      <c r="Q550" s="6">
        <v>0.73865615</v>
      </c>
      <c r="R550" s="6">
        <v>217.69486</v>
      </c>
      <c r="S550" s="6">
        <v>0.003205</v>
      </c>
      <c r="T550" s="6">
        <v>169.97573</v>
      </c>
      <c r="U550" s="6">
        <v>0.00410594</v>
      </c>
      <c r="V550" s="6">
        <v>197.11803</v>
      </c>
      <c r="W550" s="6">
        <v>0.00367816</v>
      </c>
      <c r="X550" s="6">
        <v>134.47093</v>
      </c>
      <c r="Y550" s="6">
        <v>0.00457054</v>
      </c>
      <c r="Z550" s="6">
        <v>134.86767</v>
      </c>
      <c r="AA550" s="6">
        <v>0.0037375</v>
      </c>
      <c r="AB550" s="6">
        <v>294.9318</v>
      </c>
      <c r="AC550" s="6">
        <v>0.00280837</v>
      </c>
      <c r="AD550" s="6">
        <v>243.86163</v>
      </c>
      <c r="AE550" s="6">
        <v>0.003029</v>
      </c>
      <c r="AF550" s="6">
        <v>775</v>
      </c>
      <c r="AG550" s="6">
        <v>-0.01840644</v>
      </c>
      <c r="AH550" s="6">
        <v>-0.02256346</v>
      </c>
      <c r="AI550" s="6">
        <v>-0.02061733</v>
      </c>
      <c r="AJ550" s="6">
        <v>-0.02462663</v>
      </c>
      <c r="AK550" s="6">
        <v>-0.02089014</v>
      </c>
      <c r="AL550" s="6">
        <v>-0.01649958</v>
      </c>
      <c r="AM550" s="6">
        <v>-0.01756674</v>
      </c>
      <c r="AN550" s="6">
        <v>-6.4762184</v>
      </c>
      <c r="AO550" s="6">
        <v>-6.4515561</v>
      </c>
      <c r="AP550" s="6">
        <v>-6.4739881</v>
      </c>
      <c r="AQ550" s="6">
        <v>-6.4253629</v>
      </c>
      <c r="AR550" s="6">
        <v>-6.4020076</v>
      </c>
      <c r="AS550" s="6">
        <v>-6.4618417</v>
      </c>
      <c r="AT550" s="6">
        <v>-6.4506396</v>
      </c>
      <c r="AU550" s="6">
        <v>0.97344833</v>
      </c>
      <c r="AV550" s="6">
        <v>0.96974131</v>
      </c>
      <c r="AW550" s="6">
        <v>0.97311308</v>
      </c>
      <c r="AX550" s="6">
        <v>0.96580418</v>
      </c>
      <c r="AY550" s="6">
        <v>0.96229362</v>
      </c>
      <c r="AZ550" s="6">
        <v>0.97128734</v>
      </c>
      <c r="BA550" s="6">
        <v>0.96960354</v>
      </c>
      <c r="BB550" s="6">
        <v>0.02655167</v>
      </c>
      <c r="BC550" s="6">
        <v>0.03025869</v>
      </c>
      <c r="BD550" s="6">
        <v>0.02688692</v>
      </c>
      <c r="BE550" s="6">
        <v>0.03419582</v>
      </c>
      <c r="BF550" s="6">
        <v>0.03770638</v>
      </c>
      <c r="BG550" s="6">
        <v>0.02871266</v>
      </c>
      <c r="BH550" s="6">
        <v>0.03039646</v>
      </c>
      <c r="BI550" s="6">
        <v>0.21470859</v>
      </c>
      <c r="BJ550" s="6">
        <v>0.12366373</v>
      </c>
      <c r="BK550" s="6">
        <v>0.1409291</v>
      </c>
      <c r="BL550" s="6">
        <v>0.12522516</v>
      </c>
      <c r="BM550" s="6">
        <v>0.1592662</v>
      </c>
      <c r="BN550" s="6">
        <v>0.17561655</v>
      </c>
      <c r="BO550" s="6">
        <v>0.1337285</v>
      </c>
      <c r="BP550" s="6">
        <v>0.14157076</v>
      </c>
      <c r="BQ550" s="6">
        <v>0.08628159</v>
      </c>
      <c r="BR550" s="6">
        <v>0.09835586</v>
      </c>
      <c r="BS550" s="6">
        <v>0.09079211</v>
      </c>
      <c r="BT550" s="6">
        <v>0.09788576</v>
      </c>
      <c r="BU550" s="6">
        <v>0.08852261</v>
      </c>
      <c r="BV550" s="6">
        <v>0.11076415</v>
      </c>
      <c r="BW550" s="6">
        <v>0.10457212</v>
      </c>
      <c r="BX550" s="12">
        <v>15324.9232113615</v>
      </c>
      <c r="BY550" s="13">
        <v>6568</v>
      </c>
      <c r="BZ550" s="12">
        <v>50012.9</v>
      </c>
      <c r="CA550" s="6">
        <f t="shared" si="48"/>
        <v>2.33327089088939</v>
      </c>
      <c r="CB550" s="6">
        <f t="shared" si="49"/>
        <v>0.306419408019961</v>
      </c>
      <c r="CC550" s="7">
        <v>289151508</v>
      </c>
      <c r="CD550" s="7">
        <f t="shared" si="50"/>
        <v>0.578153852306105</v>
      </c>
      <c r="CE550" s="8">
        <v>3217.7</v>
      </c>
      <c r="CF550" s="8">
        <v>23966.4</v>
      </c>
      <c r="CG550" s="8">
        <v>27171</v>
      </c>
      <c r="CH550" s="8">
        <v>129865</v>
      </c>
      <c r="CI550" s="14">
        <v>1</v>
      </c>
      <c r="CJ550" s="14">
        <v>0</v>
      </c>
      <c r="CK550" s="14">
        <f t="shared" si="51"/>
        <v>0</v>
      </c>
      <c r="CL550">
        <f t="shared" si="52"/>
        <v>1.2756783895882</v>
      </c>
      <c r="CM550">
        <f t="shared" si="53"/>
        <v>0.54678713927831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</row>
    <row r="551" spans="1:101">
      <c r="A551" s="6">
        <v>2024</v>
      </c>
      <c r="B551" s="6" t="s">
        <v>121</v>
      </c>
      <c r="C551" s="6">
        <v>0.78180377</v>
      </c>
      <c r="D551" s="6">
        <v>0.105778</v>
      </c>
      <c r="E551" s="6">
        <v>0.037176</v>
      </c>
      <c r="F551" s="6">
        <v>0.057574</v>
      </c>
      <c r="G551" s="6">
        <v>0.026444</v>
      </c>
      <c r="H551" s="6">
        <v>0.021128</v>
      </c>
      <c r="I551" s="6">
        <v>0.087935</v>
      </c>
      <c r="J551" s="6">
        <v>0.049982</v>
      </c>
      <c r="K551" s="6">
        <v>0.778162</v>
      </c>
      <c r="L551" s="6">
        <v>0.83844831</v>
      </c>
      <c r="M551" s="6">
        <v>0.84197616</v>
      </c>
      <c r="N551" s="6">
        <v>0.7531693</v>
      </c>
      <c r="O551" s="6">
        <v>0.60678457</v>
      </c>
      <c r="P551" s="6">
        <v>0.88965851</v>
      </c>
      <c r="Q551" s="6">
        <v>0.82281445</v>
      </c>
      <c r="R551" s="6">
        <v>217.69486</v>
      </c>
      <c r="S551" s="6">
        <v>0.00357455</v>
      </c>
      <c r="T551" s="6">
        <v>169.97573</v>
      </c>
      <c r="U551" s="6">
        <v>0.00493275</v>
      </c>
      <c r="V551" s="6">
        <v>197.11803</v>
      </c>
      <c r="W551" s="6">
        <v>0.00427143</v>
      </c>
      <c r="X551" s="6">
        <v>134.47093</v>
      </c>
      <c r="Y551" s="6">
        <v>0.00560098</v>
      </c>
      <c r="Z551" s="6">
        <v>134.86767</v>
      </c>
      <c r="AA551" s="6">
        <v>0.00449911</v>
      </c>
      <c r="AB551" s="6">
        <v>294.9318</v>
      </c>
      <c r="AC551" s="6">
        <v>0.00301649</v>
      </c>
      <c r="AD551" s="6">
        <v>243.86163</v>
      </c>
      <c r="AE551" s="6">
        <v>0.0033741</v>
      </c>
      <c r="AF551" s="6">
        <v>775</v>
      </c>
      <c r="AG551" s="6">
        <v>-0.02013873</v>
      </c>
      <c r="AH551" s="6">
        <v>-0.02620208</v>
      </c>
      <c r="AI551" s="6">
        <v>-0.0233041</v>
      </c>
      <c r="AJ551" s="6">
        <v>-0.02904005</v>
      </c>
      <c r="AK551" s="6">
        <v>-0.02431263</v>
      </c>
      <c r="AL551" s="6">
        <v>-0.01750668</v>
      </c>
      <c r="AM551" s="6">
        <v>-0.01920414</v>
      </c>
      <c r="AN551" s="6">
        <v>-6.4762184</v>
      </c>
      <c r="AO551" s="6">
        <v>-6.4515561</v>
      </c>
      <c r="AP551" s="6">
        <v>-6.4739881</v>
      </c>
      <c r="AQ551" s="6">
        <v>-6.4253629</v>
      </c>
      <c r="AR551" s="6">
        <v>-6.4020076</v>
      </c>
      <c r="AS551" s="6">
        <v>-6.4618417</v>
      </c>
      <c r="AT551" s="6">
        <v>-6.4506396</v>
      </c>
      <c r="AU551" s="6">
        <v>0.97344833</v>
      </c>
      <c r="AV551" s="6">
        <v>0.96974131</v>
      </c>
      <c r="AW551" s="6">
        <v>0.97311308</v>
      </c>
      <c r="AX551" s="6">
        <v>0.96580418</v>
      </c>
      <c r="AY551" s="6">
        <v>0.96229362</v>
      </c>
      <c r="AZ551" s="6">
        <v>0.97128734</v>
      </c>
      <c r="BA551" s="6">
        <v>0.96960354</v>
      </c>
      <c r="BB551" s="6">
        <v>0.02655167</v>
      </c>
      <c r="BC551" s="6">
        <v>0.03025869</v>
      </c>
      <c r="BD551" s="6">
        <v>0.02688692</v>
      </c>
      <c r="BE551" s="6">
        <v>0.03419582</v>
      </c>
      <c r="BF551" s="6">
        <v>0.03770638</v>
      </c>
      <c r="BG551" s="6">
        <v>0.02871266</v>
      </c>
      <c r="BH551" s="6">
        <v>0.03039646</v>
      </c>
      <c r="BI551" s="6">
        <v>0.21470859</v>
      </c>
      <c r="BJ551" s="6">
        <v>0.12366373</v>
      </c>
      <c r="BK551" s="6">
        <v>0.1409291</v>
      </c>
      <c r="BL551" s="6">
        <v>0.12522516</v>
      </c>
      <c r="BM551" s="6">
        <v>0.1592662</v>
      </c>
      <c r="BN551" s="6">
        <v>0.17561655</v>
      </c>
      <c r="BO551" s="6">
        <v>0.1337285</v>
      </c>
      <c r="BP551" s="6">
        <v>0.14157076</v>
      </c>
      <c r="BQ551" s="6">
        <v>0.09623042</v>
      </c>
      <c r="BR551" s="6">
        <v>0.11816176</v>
      </c>
      <c r="BS551" s="6">
        <v>0.1054366</v>
      </c>
      <c r="BT551" s="6">
        <v>0.11995441</v>
      </c>
      <c r="BU551" s="6">
        <v>0.10656141</v>
      </c>
      <c r="BV551" s="6">
        <v>0.11897269</v>
      </c>
      <c r="BW551" s="6">
        <v>0.11648647</v>
      </c>
      <c r="BX551" s="12">
        <v>14895.8253614433</v>
      </c>
      <c r="BY551" s="13">
        <v>6539</v>
      </c>
      <c r="BZ551" s="12">
        <v>53231</v>
      </c>
      <c r="CA551" s="6">
        <f t="shared" si="48"/>
        <v>2.27799745548911</v>
      </c>
      <c r="CB551" s="6">
        <f t="shared" si="49"/>
        <v>0.279833656355193</v>
      </c>
      <c r="CC551" s="7">
        <v>287587987.2</v>
      </c>
      <c r="CD551" s="7">
        <f t="shared" si="50"/>
        <v>0.540264107756758</v>
      </c>
      <c r="CE551" s="8">
        <v>3287.7</v>
      </c>
      <c r="CF551" s="8">
        <v>24713.2</v>
      </c>
      <c r="CG551" s="8">
        <v>29760.2</v>
      </c>
      <c r="CH551" s="8">
        <v>137920</v>
      </c>
      <c r="CI551" s="14">
        <v>1</v>
      </c>
      <c r="CJ551" s="14">
        <v>0</v>
      </c>
      <c r="CK551" s="14">
        <f t="shared" si="51"/>
        <v>0</v>
      </c>
      <c r="CL551">
        <f t="shared" si="52"/>
        <v>1.21200651315194</v>
      </c>
      <c r="CM551">
        <f t="shared" si="53"/>
        <v>0.554239930318733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</row>
    <row r="552" spans="1:101">
      <c r="A552" s="6">
        <v>2000</v>
      </c>
      <c r="B552" s="6" t="s">
        <v>122</v>
      </c>
      <c r="C552" s="6">
        <v>0.1918283</v>
      </c>
      <c r="D552" s="6">
        <v>0.035465</v>
      </c>
      <c r="E552" s="6">
        <v>0.008878</v>
      </c>
      <c r="F552" s="6">
        <v>0.015789</v>
      </c>
      <c r="G552" s="6">
        <v>0.004964</v>
      </c>
      <c r="H552" s="6">
        <v>0.005834</v>
      </c>
      <c r="I552" s="6">
        <v>0.033916</v>
      </c>
      <c r="J552" s="6">
        <v>0.016695</v>
      </c>
      <c r="K552" s="6">
        <v>0.22662421</v>
      </c>
      <c r="L552" s="6">
        <v>0.16940837</v>
      </c>
      <c r="M552" s="6">
        <v>0.19974888</v>
      </c>
      <c r="N552" s="6">
        <v>0.11825139</v>
      </c>
      <c r="O552" s="6">
        <v>0.14331068</v>
      </c>
      <c r="P552" s="6">
        <v>0.28797797</v>
      </c>
      <c r="Q552" s="6">
        <v>0.22888138</v>
      </c>
      <c r="R552" s="6">
        <v>217.69486</v>
      </c>
      <c r="S552" s="6">
        <v>0.00104102</v>
      </c>
      <c r="T552" s="6">
        <v>169.97573</v>
      </c>
      <c r="U552" s="6">
        <v>0.00099666</v>
      </c>
      <c r="V552" s="6">
        <v>197.11803</v>
      </c>
      <c r="W552" s="6">
        <v>0.00101335</v>
      </c>
      <c r="X552" s="6">
        <v>134.47093</v>
      </c>
      <c r="Y552" s="6">
        <v>0.00087938</v>
      </c>
      <c r="Z552" s="6">
        <v>134.86767</v>
      </c>
      <c r="AA552" s="6">
        <v>0.0010626</v>
      </c>
      <c r="AB552" s="6">
        <v>294.9318</v>
      </c>
      <c r="AC552" s="6">
        <v>0.00097642</v>
      </c>
      <c r="AD552" s="6">
        <v>243.86163</v>
      </c>
      <c r="AE552" s="6">
        <v>0.00093857</v>
      </c>
      <c r="AF552" s="6">
        <v>775</v>
      </c>
      <c r="AG552" s="6">
        <v>-0.00714925</v>
      </c>
      <c r="AH552" s="6">
        <v>-0.00688803</v>
      </c>
      <c r="AI552" s="6">
        <v>-0.00698652</v>
      </c>
      <c r="AJ552" s="6">
        <v>-0.00618759</v>
      </c>
      <c r="AK552" s="6">
        <v>-0.00727567</v>
      </c>
      <c r="AL552" s="6">
        <v>-0.00676818</v>
      </c>
      <c r="AM552" s="6">
        <v>-0.00654292</v>
      </c>
      <c r="AN552" s="6">
        <v>-6.4762184</v>
      </c>
      <c r="AO552" s="6">
        <v>-6.4515561</v>
      </c>
      <c r="AP552" s="6">
        <v>-6.4739881</v>
      </c>
      <c r="AQ552" s="6">
        <v>-6.4253629</v>
      </c>
      <c r="AR552" s="6">
        <v>-6.4020076</v>
      </c>
      <c r="AS552" s="6">
        <v>-6.4618417</v>
      </c>
      <c r="AT552" s="6">
        <v>-6.4506396</v>
      </c>
      <c r="AU552" s="6">
        <v>0.97344833</v>
      </c>
      <c r="AV552" s="6">
        <v>0.96974131</v>
      </c>
      <c r="AW552" s="6">
        <v>0.97311308</v>
      </c>
      <c r="AX552" s="6">
        <v>0.96580418</v>
      </c>
      <c r="AY552" s="6">
        <v>0.96229362</v>
      </c>
      <c r="AZ552" s="6">
        <v>0.97128734</v>
      </c>
      <c r="BA552" s="6">
        <v>0.96960354</v>
      </c>
      <c r="BB552" s="6">
        <v>0.02655167</v>
      </c>
      <c r="BC552" s="6">
        <v>0.03025869</v>
      </c>
      <c r="BD552" s="6">
        <v>0.02688692</v>
      </c>
      <c r="BE552" s="6">
        <v>0.03419582</v>
      </c>
      <c r="BF552" s="6">
        <v>0.03770638</v>
      </c>
      <c r="BG552" s="6">
        <v>0.02871266</v>
      </c>
      <c r="BH552" s="6">
        <v>0.03039646</v>
      </c>
      <c r="BI552" s="6">
        <v>0.21470859</v>
      </c>
      <c r="BJ552" s="6">
        <v>0.12366373</v>
      </c>
      <c r="BK552" s="6">
        <v>0.1409291</v>
      </c>
      <c r="BL552" s="6">
        <v>0.12522516</v>
      </c>
      <c r="BM552" s="6">
        <v>0.1592662</v>
      </c>
      <c r="BN552" s="6">
        <v>0.17561655</v>
      </c>
      <c r="BO552" s="6">
        <v>0.1337285</v>
      </c>
      <c r="BP552" s="6">
        <v>0.14157076</v>
      </c>
      <c r="BQ552" s="6">
        <v>0.0280252</v>
      </c>
      <c r="BR552" s="6">
        <v>0.02387457</v>
      </c>
      <c r="BS552" s="6">
        <v>0.02501359</v>
      </c>
      <c r="BT552" s="6">
        <v>0.01883345</v>
      </c>
      <c r="BU552" s="6">
        <v>0.02516773</v>
      </c>
      <c r="BV552" s="6">
        <v>0.03851086</v>
      </c>
      <c r="BW552" s="6">
        <v>0.03240291</v>
      </c>
      <c r="BX552" s="12">
        <v>3012</v>
      </c>
      <c r="BY552" s="13">
        <v>2515.31</v>
      </c>
      <c r="BZ552" s="12">
        <v>983.36</v>
      </c>
      <c r="CA552" s="6">
        <f t="shared" si="48"/>
        <v>1.19746671384442</v>
      </c>
      <c r="CB552" s="6">
        <f t="shared" si="49"/>
        <v>3.0629677839245</v>
      </c>
      <c r="CC552" s="7">
        <v>66750031.42</v>
      </c>
      <c r="CD552" s="7">
        <f t="shared" si="50"/>
        <v>6.78795470834689</v>
      </c>
      <c r="CE552" s="8">
        <v>179.9</v>
      </c>
      <c r="CF552" s="8">
        <v>858.4</v>
      </c>
      <c r="CG552" s="8">
        <v>807.5</v>
      </c>
      <c r="CH552" s="8">
        <v>5722</v>
      </c>
      <c r="CI552" s="14">
        <v>0</v>
      </c>
      <c r="CJ552" s="14">
        <v>0</v>
      </c>
      <c r="CK552" s="14">
        <f t="shared" si="51"/>
        <v>0</v>
      </c>
      <c r="CL552">
        <f t="shared" si="52"/>
        <v>4.53658228674969</v>
      </c>
      <c r="CM552">
        <f t="shared" si="53"/>
        <v>0</v>
      </c>
      <c r="CN552" s="15">
        <v>3011.62</v>
      </c>
      <c r="CO552" s="15">
        <v>2480.38</v>
      </c>
      <c r="CP552" s="15">
        <v>179.28</v>
      </c>
      <c r="CQ552" s="15">
        <v>880.88</v>
      </c>
      <c r="CR552" s="15">
        <v>98.41</v>
      </c>
      <c r="CS552" s="15">
        <v>3.73</v>
      </c>
      <c r="CT552" s="15">
        <v>91.82</v>
      </c>
      <c r="CU552" s="15">
        <v>58</v>
      </c>
      <c r="CV552" s="15">
        <v>0.85</v>
      </c>
      <c r="CW552" s="15">
        <v>295.33</v>
      </c>
    </row>
    <row r="553" spans="1:101">
      <c r="A553" s="6">
        <v>2001</v>
      </c>
      <c r="B553" s="6" t="s">
        <v>122</v>
      </c>
      <c r="C553" s="6">
        <v>0.18382748</v>
      </c>
      <c r="D553" s="6">
        <v>0.03524</v>
      </c>
      <c r="E553" s="6">
        <v>0.009003</v>
      </c>
      <c r="F553" s="6">
        <v>0.016015</v>
      </c>
      <c r="G553" s="6">
        <v>0.005476</v>
      </c>
      <c r="H553" s="6">
        <v>0.004747</v>
      </c>
      <c r="I553" s="6">
        <v>0.032737</v>
      </c>
      <c r="J553" s="6">
        <v>0.015311</v>
      </c>
      <c r="K553" s="6">
        <v>0.22485629</v>
      </c>
      <c r="L553" s="6">
        <v>0.17235164</v>
      </c>
      <c r="M553" s="6">
        <v>0.20322802</v>
      </c>
      <c r="N553" s="6">
        <v>0.13336959</v>
      </c>
      <c r="O553" s="6">
        <v>0.11034864</v>
      </c>
      <c r="P553" s="6">
        <v>0.27484558</v>
      </c>
      <c r="Q553" s="6">
        <v>0.20418968</v>
      </c>
      <c r="R553" s="6">
        <v>217.69486</v>
      </c>
      <c r="S553" s="6">
        <v>0.0010329</v>
      </c>
      <c r="T553" s="6">
        <v>169.97573</v>
      </c>
      <c r="U553" s="6">
        <v>0.00101398</v>
      </c>
      <c r="V553" s="6">
        <v>197.11803</v>
      </c>
      <c r="W553" s="6">
        <v>0.001031</v>
      </c>
      <c r="X553" s="6">
        <v>134.47093</v>
      </c>
      <c r="Y553" s="6">
        <v>0.00099181</v>
      </c>
      <c r="Z553" s="6">
        <v>134.86767</v>
      </c>
      <c r="AA553" s="6">
        <v>0.0008182</v>
      </c>
      <c r="AB553" s="6">
        <v>294.9318</v>
      </c>
      <c r="AC553" s="6">
        <v>0.0009319</v>
      </c>
      <c r="AD553" s="6">
        <v>243.86163</v>
      </c>
      <c r="AE553" s="6">
        <v>0.00083732</v>
      </c>
      <c r="AF553" s="6">
        <v>775</v>
      </c>
      <c r="AG553" s="6">
        <v>-0.00710157</v>
      </c>
      <c r="AH553" s="6">
        <v>-0.00699024</v>
      </c>
      <c r="AI553" s="6">
        <v>-0.0070904</v>
      </c>
      <c r="AJ553" s="6">
        <v>-0.00685934</v>
      </c>
      <c r="AK553" s="6">
        <v>-0.00581609</v>
      </c>
      <c r="AL553" s="6">
        <v>-0.00650304</v>
      </c>
      <c r="AM553" s="6">
        <v>-0.00593265</v>
      </c>
      <c r="AN553" s="6">
        <v>-6.4762184</v>
      </c>
      <c r="AO553" s="6">
        <v>-6.4515561</v>
      </c>
      <c r="AP553" s="6">
        <v>-6.4739881</v>
      </c>
      <c r="AQ553" s="6">
        <v>-6.4253629</v>
      </c>
      <c r="AR553" s="6">
        <v>-6.4020076</v>
      </c>
      <c r="AS553" s="6">
        <v>-6.4618417</v>
      </c>
      <c r="AT553" s="6">
        <v>-6.4506396</v>
      </c>
      <c r="AU553" s="6">
        <v>0.97344833</v>
      </c>
      <c r="AV553" s="6">
        <v>0.96974131</v>
      </c>
      <c r="AW553" s="6">
        <v>0.97311308</v>
      </c>
      <c r="AX553" s="6">
        <v>0.96580418</v>
      </c>
      <c r="AY553" s="6">
        <v>0.96229362</v>
      </c>
      <c r="AZ553" s="6">
        <v>0.97128734</v>
      </c>
      <c r="BA553" s="6">
        <v>0.96960354</v>
      </c>
      <c r="BB553" s="6">
        <v>0.02655167</v>
      </c>
      <c r="BC553" s="6">
        <v>0.03025869</v>
      </c>
      <c r="BD553" s="6">
        <v>0.02688692</v>
      </c>
      <c r="BE553" s="6">
        <v>0.03419582</v>
      </c>
      <c r="BF553" s="6">
        <v>0.03770638</v>
      </c>
      <c r="BG553" s="6">
        <v>0.02871266</v>
      </c>
      <c r="BH553" s="6">
        <v>0.03039646</v>
      </c>
      <c r="BI553" s="6">
        <v>0.21470859</v>
      </c>
      <c r="BJ553" s="6">
        <v>0.12366373</v>
      </c>
      <c r="BK553" s="6">
        <v>0.1409291</v>
      </c>
      <c r="BL553" s="6">
        <v>0.12522516</v>
      </c>
      <c r="BM553" s="6">
        <v>0.1592662</v>
      </c>
      <c r="BN553" s="6">
        <v>0.17561655</v>
      </c>
      <c r="BO553" s="6">
        <v>0.1337285</v>
      </c>
      <c r="BP553" s="6">
        <v>0.14157076</v>
      </c>
      <c r="BQ553" s="6">
        <v>0.02780657</v>
      </c>
      <c r="BR553" s="6">
        <v>0.02428936</v>
      </c>
      <c r="BS553" s="6">
        <v>0.02544926</v>
      </c>
      <c r="BT553" s="6">
        <v>0.02124127</v>
      </c>
      <c r="BU553" s="6">
        <v>0.01937905</v>
      </c>
      <c r="BV553" s="6">
        <v>0.03675469</v>
      </c>
      <c r="BW553" s="6">
        <v>0.02890729</v>
      </c>
      <c r="BX553" s="12">
        <v>2905</v>
      </c>
      <c r="BY553" s="13">
        <v>2523.35</v>
      </c>
      <c r="BZ553" s="12">
        <v>1125.37278</v>
      </c>
      <c r="CA553" s="6">
        <f t="shared" si="48"/>
        <v>1.1512473497533</v>
      </c>
      <c r="CB553" s="6">
        <f t="shared" si="49"/>
        <v>2.58136686049933</v>
      </c>
      <c r="CC553" s="7">
        <v>69798127.71</v>
      </c>
      <c r="CD553" s="7">
        <f t="shared" si="50"/>
        <v>6.20222285010306</v>
      </c>
      <c r="CE553" s="8">
        <v>171.1</v>
      </c>
      <c r="CF553" s="8">
        <v>956</v>
      </c>
      <c r="CG553" s="8">
        <v>902.4</v>
      </c>
      <c r="CH553" s="8">
        <v>6226</v>
      </c>
      <c r="CI553" s="14">
        <v>0</v>
      </c>
      <c r="CJ553" s="14">
        <v>0</v>
      </c>
      <c r="CK553" s="14">
        <f t="shared" si="51"/>
        <v>0</v>
      </c>
      <c r="CL553">
        <f t="shared" si="52"/>
        <v>4.16809156222866</v>
      </c>
      <c r="CM553">
        <f t="shared" si="53"/>
        <v>0</v>
      </c>
      <c r="CN553" s="15">
        <v>2905</v>
      </c>
      <c r="CO553" s="15">
        <v>2551</v>
      </c>
      <c r="CP553" s="15">
        <v>176.67</v>
      </c>
      <c r="CQ553" s="15">
        <v>887.1</v>
      </c>
      <c r="CR553" s="15">
        <v>103.96</v>
      </c>
      <c r="CS553" s="15">
        <v>5.28</v>
      </c>
      <c r="CT553" s="15">
        <v>100.8</v>
      </c>
      <c r="CU553" s="15">
        <v>50.12</v>
      </c>
      <c r="CV553" s="15">
        <v>1.19</v>
      </c>
      <c r="CW553" s="15">
        <v>306.09</v>
      </c>
    </row>
    <row r="554" spans="1:101">
      <c r="A554" s="6">
        <v>2002</v>
      </c>
      <c r="B554" s="6" t="s">
        <v>122</v>
      </c>
      <c r="C554" s="6">
        <v>0.21215679</v>
      </c>
      <c r="D554" s="6">
        <v>0.040442</v>
      </c>
      <c r="E554" s="6">
        <v>0.009576</v>
      </c>
      <c r="F554" s="6">
        <v>0.018521</v>
      </c>
      <c r="G554" s="6">
        <v>0.005685</v>
      </c>
      <c r="H554" s="6">
        <v>0.006661</v>
      </c>
      <c r="I554" s="6">
        <v>0.035282</v>
      </c>
      <c r="J554" s="6">
        <v>0.015939</v>
      </c>
      <c r="K554" s="6">
        <v>0.26566453</v>
      </c>
      <c r="L554" s="6">
        <v>0.18589797</v>
      </c>
      <c r="M554" s="6">
        <v>0.24174283</v>
      </c>
      <c r="N554" s="6">
        <v>0.13956202</v>
      </c>
      <c r="O554" s="6">
        <v>0.16835414</v>
      </c>
      <c r="P554" s="6">
        <v>0.30319167</v>
      </c>
      <c r="Q554" s="6">
        <v>0.21540007</v>
      </c>
      <c r="R554" s="6">
        <v>217.69486</v>
      </c>
      <c r="S554" s="6">
        <v>0.00122035</v>
      </c>
      <c r="T554" s="6">
        <v>169.97573</v>
      </c>
      <c r="U554" s="6">
        <v>0.00109367</v>
      </c>
      <c r="V554" s="6">
        <v>197.11803</v>
      </c>
      <c r="W554" s="6">
        <v>0.00122639</v>
      </c>
      <c r="X554" s="6">
        <v>134.47093</v>
      </c>
      <c r="Y554" s="6">
        <v>0.00103786</v>
      </c>
      <c r="Z554" s="6">
        <v>134.86767</v>
      </c>
      <c r="AA554" s="6">
        <v>0.00124829</v>
      </c>
      <c r="AB554" s="6">
        <v>294.9318</v>
      </c>
      <c r="AC554" s="6">
        <v>0.00102801</v>
      </c>
      <c r="AD554" s="6">
        <v>243.86163</v>
      </c>
      <c r="AE554" s="6">
        <v>0.00088329</v>
      </c>
      <c r="AF554" s="6">
        <v>775</v>
      </c>
      <c r="AG554" s="6">
        <v>-0.00818688</v>
      </c>
      <c r="AH554" s="6">
        <v>-0.0074569</v>
      </c>
      <c r="AI554" s="6">
        <v>-0.0082213</v>
      </c>
      <c r="AJ554" s="6">
        <v>-0.00713072</v>
      </c>
      <c r="AK554" s="6">
        <v>-0.00834605</v>
      </c>
      <c r="AL554" s="6">
        <v>-0.00707282</v>
      </c>
      <c r="AM554" s="6">
        <v>-0.00621116</v>
      </c>
      <c r="AN554" s="6">
        <v>-6.4762184</v>
      </c>
      <c r="AO554" s="6">
        <v>-6.4515561</v>
      </c>
      <c r="AP554" s="6">
        <v>-6.4739881</v>
      </c>
      <c r="AQ554" s="6">
        <v>-6.4253629</v>
      </c>
      <c r="AR554" s="6">
        <v>-6.4020076</v>
      </c>
      <c r="AS554" s="6">
        <v>-6.4618417</v>
      </c>
      <c r="AT554" s="6">
        <v>-6.4506396</v>
      </c>
      <c r="AU554" s="6">
        <v>0.97344833</v>
      </c>
      <c r="AV554" s="6">
        <v>0.96974131</v>
      </c>
      <c r="AW554" s="6">
        <v>0.97311308</v>
      </c>
      <c r="AX554" s="6">
        <v>0.96580418</v>
      </c>
      <c r="AY554" s="6">
        <v>0.96229362</v>
      </c>
      <c r="AZ554" s="6">
        <v>0.97128734</v>
      </c>
      <c r="BA554" s="6">
        <v>0.96960354</v>
      </c>
      <c r="BB554" s="6">
        <v>0.02655167</v>
      </c>
      <c r="BC554" s="6">
        <v>0.03025869</v>
      </c>
      <c r="BD554" s="6">
        <v>0.02688692</v>
      </c>
      <c r="BE554" s="6">
        <v>0.03419582</v>
      </c>
      <c r="BF554" s="6">
        <v>0.03770638</v>
      </c>
      <c r="BG554" s="6">
        <v>0.02871266</v>
      </c>
      <c r="BH554" s="6">
        <v>0.03039646</v>
      </c>
      <c r="BI554" s="6">
        <v>0.21470859</v>
      </c>
      <c r="BJ554" s="6">
        <v>0.12366373</v>
      </c>
      <c r="BK554" s="6">
        <v>0.1409291</v>
      </c>
      <c r="BL554" s="6">
        <v>0.12522516</v>
      </c>
      <c r="BM554" s="6">
        <v>0.1592662</v>
      </c>
      <c r="BN554" s="6">
        <v>0.17561655</v>
      </c>
      <c r="BO554" s="6">
        <v>0.1337285</v>
      </c>
      <c r="BP554" s="6">
        <v>0.14157076</v>
      </c>
      <c r="BQ554" s="6">
        <v>0.03285307</v>
      </c>
      <c r="BR554" s="6">
        <v>0.02619843</v>
      </c>
      <c r="BS554" s="6">
        <v>0.03027228</v>
      </c>
      <c r="BT554" s="6">
        <v>0.02222751</v>
      </c>
      <c r="BU554" s="6">
        <v>0.02956577</v>
      </c>
      <c r="BV554" s="6">
        <v>0.04054537</v>
      </c>
      <c r="BW554" s="6">
        <v>0.03049435</v>
      </c>
      <c r="BX554" s="12">
        <v>3174</v>
      </c>
      <c r="BY554" s="13">
        <v>2530.76</v>
      </c>
      <c r="BZ554" s="12">
        <v>1232.0302</v>
      </c>
      <c r="CA554" s="6">
        <f t="shared" si="48"/>
        <v>1.25416870821413</v>
      </c>
      <c r="CB554" s="6">
        <f t="shared" si="49"/>
        <v>2.57623555007012</v>
      </c>
      <c r="CC554" s="7">
        <v>73725876.78</v>
      </c>
      <c r="CD554" s="7">
        <f t="shared" si="50"/>
        <v>5.98409655704868</v>
      </c>
      <c r="CE554" s="8">
        <v>197.8</v>
      </c>
      <c r="CF554" s="8">
        <v>1134.3</v>
      </c>
      <c r="CG554" s="8">
        <v>992.7</v>
      </c>
      <c r="CH554" s="8">
        <v>7082</v>
      </c>
      <c r="CI554" s="14">
        <v>0</v>
      </c>
      <c r="CJ554" s="14">
        <v>0</v>
      </c>
      <c r="CK554" s="14">
        <f t="shared" si="51"/>
        <v>0</v>
      </c>
      <c r="CL554">
        <f t="shared" si="52"/>
        <v>4.06804884448575</v>
      </c>
      <c r="CM554">
        <f t="shared" si="53"/>
        <v>0</v>
      </c>
      <c r="CN554" s="15">
        <v>3174</v>
      </c>
      <c r="CO554" s="15">
        <v>2798</v>
      </c>
      <c r="CP554" s="15">
        <v>177.4</v>
      </c>
      <c r="CQ554" s="15">
        <v>935.32</v>
      </c>
      <c r="CR554" s="15">
        <v>97.37</v>
      </c>
      <c r="CS554" s="15">
        <v>5.3</v>
      </c>
      <c r="CT554" s="15">
        <v>71.17</v>
      </c>
      <c r="CU554" s="15">
        <v>30.39</v>
      </c>
      <c r="CV554" s="15">
        <v>2.76</v>
      </c>
      <c r="CW554" s="15">
        <v>342.33</v>
      </c>
    </row>
    <row r="555" spans="1:101">
      <c r="A555" s="6">
        <v>2003</v>
      </c>
      <c r="B555" s="6" t="s">
        <v>122</v>
      </c>
      <c r="C555" s="6">
        <v>0.23026884</v>
      </c>
      <c r="D555" s="6">
        <v>0.040181</v>
      </c>
      <c r="E555" s="6">
        <v>0.00921</v>
      </c>
      <c r="F555" s="6">
        <v>0.018179</v>
      </c>
      <c r="G555" s="6">
        <v>0.005935</v>
      </c>
      <c r="H555" s="6">
        <v>0.006857</v>
      </c>
      <c r="I555" s="6">
        <v>0.040941</v>
      </c>
      <c r="J555" s="6">
        <v>0.019737</v>
      </c>
      <c r="K555" s="6">
        <v>0.26361142</v>
      </c>
      <c r="L555" s="6">
        <v>0.17725838</v>
      </c>
      <c r="M555" s="6">
        <v>0.23648114</v>
      </c>
      <c r="N555" s="6">
        <v>0.1469426</v>
      </c>
      <c r="O555" s="6">
        <v>0.17430414</v>
      </c>
      <c r="P555" s="6">
        <v>0.36622255</v>
      </c>
      <c r="Q555" s="6">
        <v>0.28316119</v>
      </c>
      <c r="R555" s="6">
        <v>217.69486</v>
      </c>
      <c r="S555" s="6">
        <v>0.00121092</v>
      </c>
      <c r="T555" s="6">
        <v>169.97573</v>
      </c>
      <c r="U555" s="6">
        <v>0.00104285</v>
      </c>
      <c r="V555" s="6">
        <v>197.11803</v>
      </c>
      <c r="W555" s="6">
        <v>0.00119969</v>
      </c>
      <c r="X555" s="6">
        <v>134.47093</v>
      </c>
      <c r="Y555" s="6">
        <v>0.00109275</v>
      </c>
      <c r="Z555" s="6">
        <v>134.86767</v>
      </c>
      <c r="AA555" s="6">
        <v>0.00129241</v>
      </c>
      <c r="AB555" s="6">
        <v>294.9318</v>
      </c>
      <c r="AC555" s="6">
        <v>0.00124172</v>
      </c>
      <c r="AD555" s="6">
        <v>243.86163</v>
      </c>
      <c r="AE555" s="6">
        <v>0.00116116</v>
      </c>
      <c r="AF555" s="6">
        <v>775</v>
      </c>
      <c r="AG555" s="6">
        <v>-0.008133</v>
      </c>
      <c r="AH555" s="6">
        <v>-0.00715997</v>
      </c>
      <c r="AI555" s="6">
        <v>-0.00806876</v>
      </c>
      <c r="AJ555" s="6">
        <v>-0.0074515</v>
      </c>
      <c r="AK555" s="6">
        <v>-0.00859613</v>
      </c>
      <c r="AL555" s="6">
        <v>-0.00830867</v>
      </c>
      <c r="AM555" s="6">
        <v>-0.00784748</v>
      </c>
      <c r="AN555" s="6">
        <v>-6.4762184</v>
      </c>
      <c r="AO555" s="6">
        <v>-6.4515561</v>
      </c>
      <c r="AP555" s="6">
        <v>-6.4739881</v>
      </c>
      <c r="AQ555" s="6">
        <v>-6.4253629</v>
      </c>
      <c r="AR555" s="6">
        <v>-6.4020076</v>
      </c>
      <c r="AS555" s="6">
        <v>-6.4618417</v>
      </c>
      <c r="AT555" s="6">
        <v>-6.4506396</v>
      </c>
      <c r="AU555" s="6">
        <v>0.97344833</v>
      </c>
      <c r="AV555" s="6">
        <v>0.96974131</v>
      </c>
      <c r="AW555" s="6">
        <v>0.97311308</v>
      </c>
      <c r="AX555" s="6">
        <v>0.96580418</v>
      </c>
      <c r="AY555" s="6">
        <v>0.96229362</v>
      </c>
      <c r="AZ555" s="6">
        <v>0.97128734</v>
      </c>
      <c r="BA555" s="6">
        <v>0.96960354</v>
      </c>
      <c r="BB555" s="6">
        <v>0.02655167</v>
      </c>
      <c r="BC555" s="6">
        <v>0.03025869</v>
      </c>
      <c r="BD555" s="6">
        <v>0.02688692</v>
      </c>
      <c r="BE555" s="6">
        <v>0.03419582</v>
      </c>
      <c r="BF555" s="6">
        <v>0.03770638</v>
      </c>
      <c r="BG555" s="6">
        <v>0.02871266</v>
      </c>
      <c r="BH555" s="6">
        <v>0.03039646</v>
      </c>
      <c r="BI555" s="6">
        <v>0.21470859</v>
      </c>
      <c r="BJ555" s="6">
        <v>0.12366373</v>
      </c>
      <c r="BK555" s="6">
        <v>0.1409291</v>
      </c>
      <c r="BL555" s="6">
        <v>0.12522516</v>
      </c>
      <c r="BM555" s="6">
        <v>0.1592662</v>
      </c>
      <c r="BN555" s="6">
        <v>0.17561655</v>
      </c>
      <c r="BO555" s="6">
        <v>0.1337285</v>
      </c>
      <c r="BP555" s="6">
        <v>0.14157076</v>
      </c>
      <c r="BQ555" s="6">
        <v>0.03259917</v>
      </c>
      <c r="BR555" s="6">
        <v>0.02498086</v>
      </c>
      <c r="BS555" s="6">
        <v>0.02961339</v>
      </c>
      <c r="BT555" s="6">
        <v>0.02340299</v>
      </c>
      <c r="BU555" s="6">
        <v>0.03061069</v>
      </c>
      <c r="BV555" s="6">
        <v>0.04897439</v>
      </c>
      <c r="BW555" s="6">
        <v>0.04008735</v>
      </c>
      <c r="BX555" s="12">
        <v>3525</v>
      </c>
      <c r="BY555" s="13">
        <v>2537.19</v>
      </c>
      <c r="BZ555" s="12">
        <v>1399.83</v>
      </c>
      <c r="CA555" s="6">
        <f t="shared" si="48"/>
        <v>1.38933229281213</v>
      </c>
      <c r="CB555" s="6">
        <f t="shared" si="49"/>
        <v>2.51816291978312</v>
      </c>
      <c r="CC555" s="7">
        <v>87534815.66</v>
      </c>
      <c r="CD555" s="7">
        <f t="shared" si="50"/>
        <v>6.25324615560461</v>
      </c>
      <c r="CE555" s="8">
        <v>215.2</v>
      </c>
      <c r="CF555" s="8">
        <v>1520.7</v>
      </c>
      <c r="CG555" s="8">
        <v>1118.3</v>
      </c>
      <c r="CH555" s="8">
        <v>8639</v>
      </c>
      <c r="CI555" s="14">
        <v>0</v>
      </c>
      <c r="CJ555" s="14">
        <v>0</v>
      </c>
      <c r="CK555" s="14">
        <f t="shared" si="51"/>
        <v>0</v>
      </c>
      <c r="CL555">
        <f t="shared" si="52"/>
        <v>4.08414499624993</v>
      </c>
      <c r="CM555">
        <f t="shared" si="53"/>
        <v>0</v>
      </c>
      <c r="CN555" s="15">
        <v>3525.08</v>
      </c>
      <c r="CO555" s="15">
        <v>3218.54</v>
      </c>
      <c r="CP555" s="15">
        <v>181.78</v>
      </c>
      <c r="CQ555" s="15">
        <v>1017.98</v>
      </c>
      <c r="CR555" s="15">
        <v>97.82</v>
      </c>
      <c r="CS555" s="15">
        <v>5.34</v>
      </c>
      <c r="CT555" s="15">
        <v>82.33</v>
      </c>
      <c r="CU555" s="15">
        <v>19.95</v>
      </c>
      <c r="CV555" s="15">
        <v>7.37</v>
      </c>
      <c r="CW555" s="15">
        <v>398.33</v>
      </c>
    </row>
    <row r="556" spans="1:101">
      <c r="A556" s="6">
        <v>2004</v>
      </c>
      <c r="B556" s="6" t="s">
        <v>122</v>
      </c>
      <c r="C556" s="6">
        <v>0.25236515</v>
      </c>
      <c r="D556" s="6">
        <v>0.043117</v>
      </c>
      <c r="E556" s="6">
        <v>0.010531</v>
      </c>
      <c r="F556" s="6">
        <v>0.01948</v>
      </c>
      <c r="G556" s="6">
        <v>0.006793</v>
      </c>
      <c r="H556" s="6">
        <v>0.006313</v>
      </c>
      <c r="I556" s="6">
        <v>0.043774</v>
      </c>
      <c r="J556" s="6">
        <v>0.022499</v>
      </c>
      <c r="K556" s="6">
        <v>0.28664358</v>
      </c>
      <c r="L556" s="6">
        <v>0.20849091</v>
      </c>
      <c r="M556" s="6">
        <v>0.25648278</v>
      </c>
      <c r="N556" s="6">
        <v>0.17229922</v>
      </c>
      <c r="O556" s="6">
        <v>0.15781948</v>
      </c>
      <c r="P556" s="6">
        <v>0.3977788</v>
      </c>
      <c r="Q556" s="6">
        <v>0.3324534</v>
      </c>
      <c r="R556" s="6">
        <v>217.69486</v>
      </c>
      <c r="S556" s="6">
        <v>0.00131672</v>
      </c>
      <c r="T556" s="6">
        <v>169.97573</v>
      </c>
      <c r="U556" s="6">
        <v>0.00122659</v>
      </c>
      <c r="V556" s="6">
        <v>197.11803</v>
      </c>
      <c r="W556" s="6">
        <v>0.00130116</v>
      </c>
      <c r="X556" s="6">
        <v>134.47093</v>
      </c>
      <c r="Y556" s="6">
        <v>0.00128131</v>
      </c>
      <c r="Z556" s="6">
        <v>134.86767</v>
      </c>
      <c r="AA556" s="6">
        <v>0.00117018</v>
      </c>
      <c r="AB556" s="6">
        <v>294.9318</v>
      </c>
      <c r="AC556" s="6">
        <v>0.00134871</v>
      </c>
      <c r="AD556" s="6">
        <v>243.86163</v>
      </c>
      <c r="AE556" s="6">
        <v>0.00136329</v>
      </c>
      <c r="AF556" s="6">
        <v>775</v>
      </c>
      <c r="AG556" s="6">
        <v>-0.0087333</v>
      </c>
      <c r="AH556" s="6">
        <v>-0.00822248</v>
      </c>
      <c r="AI556" s="6">
        <v>-0.00864558</v>
      </c>
      <c r="AJ556" s="6">
        <v>-0.00853337</v>
      </c>
      <c r="AK556" s="6">
        <v>-0.00789942</v>
      </c>
      <c r="AL556" s="6">
        <v>-0.00891312</v>
      </c>
      <c r="AM556" s="6">
        <v>-0.00899477</v>
      </c>
      <c r="AN556" s="6">
        <v>-6.4762184</v>
      </c>
      <c r="AO556" s="6">
        <v>-6.4515561</v>
      </c>
      <c r="AP556" s="6">
        <v>-6.4739881</v>
      </c>
      <c r="AQ556" s="6">
        <v>-6.4253629</v>
      </c>
      <c r="AR556" s="6">
        <v>-6.4020076</v>
      </c>
      <c r="AS556" s="6">
        <v>-6.4618417</v>
      </c>
      <c r="AT556" s="6">
        <v>-6.4506396</v>
      </c>
      <c r="AU556" s="6">
        <v>0.97344833</v>
      </c>
      <c r="AV556" s="6">
        <v>0.96974131</v>
      </c>
      <c r="AW556" s="6">
        <v>0.97311308</v>
      </c>
      <c r="AX556" s="6">
        <v>0.96580418</v>
      </c>
      <c r="AY556" s="6">
        <v>0.96229362</v>
      </c>
      <c r="AZ556" s="6">
        <v>0.97128734</v>
      </c>
      <c r="BA556" s="6">
        <v>0.96960354</v>
      </c>
      <c r="BB556" s="6">
        <v>0.02655167</v>
      </c>
      <c r="BC556" s="6">
        <v>0.03025869</v>
      </c>
      <c r="BD556" s="6">
        <v>0.02688692</v>
      </c>
      <c r="BE556" s="6">
        <v>0.03419582</v>
      </c>
      <c r="BF556" s="6">
        <v>0.03770638</v>
      </c>
      <c r="BG556" s="6">
        <v>0.02871266</v>
      </c>
      <c r="BH556" s="6">
        <v>0.03039646</v>
      </c>
      <c r="BI556" s="6">
        <v>0.21470859</v>
      </c>
      <c r="BJ556" s="6">
        <v>0.12366373</v>
      </c>
      <c r="BK556" s="6">
        <v>0.1409291</v>
      </c>
      <c r="BL556" s="6">
        <v>0.12522516</v>
      </c>
      <c r="BM556" s="6">
        <v>0.1592662</v>
      </c>
      <c r="BN556" s="6">
        <v>0.17561655</v>
      </c>
      <c r="BO556" s="6">
        <v>0.1337285</v>
      </c>
      <c r="BP556" s="6">
        <v>0.14157076</v>
      </c>
      <c r="BQ556" s="6">
        <v>0.03544741</v>
      </c>
      <c r="BR556" s="6">
        <v>0.02938244</v>
      </c>
      <c r="BS556" s="6">
        <v>0.0321181</v>
      </c>
      <c r="BT556" s="6">
        <v>0.02744144</v>
      </c>
      <c r="BU556" s="6">
        <v>0.02771571</v>
      </c>
      <c r="BV556" s="6">
        <v>0.05319436</v>
      </c>
      <c r="BW556" s="6">
        <v>0.04706568</v>
      </c>
      <c r="BX556" s="12">
        <v>3908</v>
      </c>
      <c r="BY556" s="13">
        <v>2541.48</v>
      </c>
      <c r="BZ556" s="12">
        <v>1688.49</v>
      </c>
      <c r="CA556" s="6">
        <f t="shared" si="48"/>
        <v>1.53768670223649</v>
      </c>
      <c r="CB556" s="6">
        <f t="shared" si="49"/>
        <v>2.31449401536284</v>
      </c>
      <c r="CC556" s="7">
        <v>99301953.73</v>
      </c>
      <c r="CD556" s="7">
        <f t="shared" si="50"/>
        <v>5.88110996985472</v>
      </c>
      <c r="CE556" s="8">
        <v>262.9</v>
      </c>
      <c r="CF556" s="8">
        <v>1931.6</v>
      </c>
      <c r="CG556" s="8">
        <v>1301.5</v>
      </c>
      <c r="CH556" s="8">
        <v>10515</v>
      </c>
      <c r="CI556" s="14">
        <v>0</v>
      </c>
      <c r="CJ556" s="14">
        <v>0</v>
      </c>
      <c r="CK556" s="14">
        <f t="shared" si="51"/>
        <v>0</v>
      </c>
      <c r="CL556">
        <f t="shared" si="52"/>
        <v>3.89549779892895</v>
      </c>
      <c r="CM556">
        <f t="shared" si="53"/>
        <v>0</v>
      </c>
      <c r="CN556" s="15">
        <v>3907.74</v>
      </c>
      <c r="CO556" s="15">
        <v>3479.32</v>
      </c>
      <c r="CP556" s="15">
        <v>346.73</v>
      </c>
      <c r="CQ556" s="15">
        <v>1154.76</v>
      </c>
      <c r="CR556" s="15">
        <v>77.47</v>
      </c>
      <c r="CS556" s="15">
        <v>6.8</v>
      </c>
      <c r="CT556" s="15">
        <v>105.9</v>
      </c>
      <c r="CU556" s="15">
        <v>15.48</v>
      </c>
      <c r="CV556" s="15">
        <v>8.53</v>
      </c>
      <c r="CW556" s="15">
        <v>452</v>
      </c>
    </row>
    <row r="557" spans="1:101">
      <c r="A557" s="6">
        <v>2005</v>
      </c>
      <c r="B557" s="6" t="s">
        <v>122</v>
      </c>
      <c r="C557" s="6">
        <v>0.2503694</v>
      </c>
      <c r="D557" s="6">
        <v>0.044785</v>
      </c>
      <c r="E557" s="6">
        <v>0.010856</v>
      </c>
      <c r="F557" s="6">
        <v>0.019357</v>
      </c>
      <c r="G557" s="6">
        <v>0.006571</v>
      </c>
      <c r="H557" s="6">
        <v>0.008001</v>
      </c>
      <c r="I557" s="6">
        <v>0.039679</v>
      </c>
      <c r="J557" s="6">
        <v>0.020006</v>
      </c>
      <c r="K557" s="6">
        <v>0.29972797</v>
      </c>
      <c r="L557" s="6">
        <v>0.21618021</v>
      </c>
      <c r="M557" s="6">
        <v>0.25459145</v>
      </c>
      <c r="N557" s="6">
        <v>0.16575065</v>
      </c>
      <c r="O557" s="6">
        <v>0.20895644</v>
      </c>
      <c r="P557" s="6">
        <v>0.35216974</v>
      </c>
      <c r="Q557" s="6">
        <v>0.28796034</v>
      </c>
      <c r="R557" s="6">
        <v>217.69486</v>
      </c>
      <c r="S557" s="6">
        <v>0.00137683</v>
      </c>
      <c r="T557" s="6">
        <v>169.97573</v>
      </c>
      <c r="U557" s="6">
        <v>0.00127183</v>
      </c>
      <c r="V557" s="6">
        <v>197.11803</v>
      </c>
      <c r="W557" s="6">
        <v>0.00129157</v>
      </c>
      <c r="X557" s="6">
        <v>134.47093</v>
      </c>
      <c r="Y557" s="6">
        <v>0.00123261</v>
      </c>
      <c r="Z557" s="6">
        <v>134.86767</v>
      </c>
      <c r="AA557" s="6">
        <v>0.00154934</v>
      </c>
      <c r="AB557" s="6">
        <v>294.9318</v>
      </c>
      <c r="AC557" s="6">
        <v>0.00119407</v>
      </c>
      <c r="AD557" s="6">
        <v>243.86163</v>
      </c>
      <c r="AE557" s="6">
        <v>0.00118083</v>
      </c>
      <c r="AF557" s="6">
        <v>775</v>
      </c>
      <c r="AG557" s="6">
        <v>-0.0090705</v>
      </c>
      <c r="AH557" s="6">
        <v>-0.00847967</v>
      </c>
      <c r="AI557" s="6">
        <v>-0.00859138</v>
      </c>
      <c r="AJ557" s="6">
        <v>-0.00825681</v>
      </c>
      <c r="AK557" s="6">
        <v>-0.01002414</v>
      </c>
      <c r="AL557" s="6">
        <v>-0.00803656</v>
      </c>
      <c r="AM557" s="6">
        <v>-0.00796064</v>
      </c>
      <c r="AN557" s="6">
        <v>-6.4762184</v>
      </c>
      <c r="AO557" s="6">
        <v>-6.4515561</v>
      </c>
      <c r="AP557" s="6">
        <v>-6.4739881</v>
      </c>
      <c r="AQ557" s="6">
        <v>-6.4253629</v>
      </c>
      <c r="AR557" s="6">
        <v>-6.4020076</v>
      </c>
      <c r="AS557" s="6">
        <v>-6.4618417</v>
      </c>
      <c r="AT557" s="6">
        <v>-6.4506396</v>
      </c>
      <c r="AU557" s="6">
        <v>0.97344833</v>
      </c>
      <c r="AV557" s="6">
        <v>0.96974131</v>
      </c>
      <c r="AW557" s="6">
        <v>0.97311308</v>
      </c>
      <c r="AX557" s="6">
        <v>0.96580418</v>
      </c>
      <c r="AY557" s="6">
        <v>0.96229362</v>
      </c>
      <c r="AZ557" s="6">
        <v>0.97128734</v>
      </c>
      <c r="BA557" s="6">
        <v>0.96960354</v>
      </c>
      <c r="BB557" s="6">
        <v>0.02655167</v>
      </c>
      <c r="BC557" s="6">
        <v>0.03025869</v>
      </c>
      <c r="BD557" s="6">
        <v>0.02688692</v>
      </c>
      <c r="BE557" s="6">
        <v>0.03419582</v>
      </c>
      <c r="BF557" s="6">
        <v>0.03770638</v>
      </c>
      <c r="BG557" s="6">
        <v>0.02871266</v>
      </c>
      <c r="BH557" s="6">
        <v>0.03039646</v>
      </c>
      <c r="BI557" s="6">
        <v>0.21470859</v>
      </c>
      <c r="BJ557" s="6">
        <v>0.12366373</v>
      </c>
      <c r="BK557" s="6">
        <v>0.1409291</v>
      </c>
      <c r="BL557" s="6">
        <v>0.12522516</v>
      </c>
      <c r="BM557" s="6">
        <v>0.1592662</v>
      </c>
      <c r="BN557" s="6">
        <v>0.17561655</v>
      </c>
      <c r="BO557" s="6">
        <v>0.1337285</v>
      </c>
      <c r="BP557" s="6">
        <v>0.14157076</v>
      </c>
      <c r="BQ557" s="6">
        <v>0.03706548</v>
      </c>
      <c r="BR557" s="6">
        <v>0.03046608</v>
      </c>
      <c r="BS557" s="6">
        <v>0.03188126</v>
      </c>
      <c r="BT557" s="6">
        <v>0.02639848</v>
      </c>
      <c r="BU557" s="6">
        <v>0.03669621</v>
      </c>
      <c r="BV557" s="6">
        <v>0.04709513</v>
      </c>
      <c r="BW557" s="6">
        <v>0.04076677</v>
      </c>
      <c r="BX557" s="12">
        <v>4300.88</v>
      </c>
      <c r="BY557" s="13">
        <v>2545.1</v>
      </c>
      <c r="BZ557" s="12">
        <v>1933.98</v>
      </c>
      <c r="CA557" s="6">
        <f t="shared" si="48"/>
        <v>1.68986680287612</v>
      </c>
      <c r="CB557" s="6">
        <f t="shared" si="49"/>
        <v>2.22384926421163</v>
      </c>
      <c r="CC557" s="7">
        <v>111472901.3</v>
      </c>
      <c r="CD557" s="7">
        <f t="shared" si="50"/>
        <v>5.76391179329672</v>
      </c>
      <c r="CE557" s="8">
        <v>247.8</v>
      </c>
      <c r="CF557" s="8">
        <v>2389.5</v>
      </c>
      <c r="CG557" s="8">
        <v>1442.1</v>
      </c>
      <c r="CH557" s="8">
        <v>12195</v>
      </c>
      <c r="CI557" s="14">
        <v>0</v>
      </c>
      <c r="CJ557" s="14">
        <v>0</v>
      </c>
      <c r="CK557" s="14">
        <f t="shared" si="51"/>
        <v>0</v>
      </c>
      <c r="CL557">
        <f t="shared" si="52"/>
        <v>3.71995059106252</v>
      </c>
      <c r="CM557">
        <f t="shared" si="53"/>
        <v>0</v>
      </c>
      <c r="CN557" s="15">
        <v>4367.7</v>
      </c>
      <c r="CO557" s="15">
        <v>3750.67</v>
      </c>
      <c r="CP557" s="15">
        <v>424.41</v>
      </c>
      <c r="CQ557" s="15">
        <v>1229.26</v>
      </c>
      <c r="CR557" s="15">
        <v>86.9</v>
      </c>
      <c r="CS557" s="15">
        <v>4.61</v>
      </c>
      <c r="CT557" s="15">
        <v>114.98</v>
      </c>
      <c r="CU557" s="15">
        <v>16.03</v>
      </c>
      <c r="CV557" s="15">
        <v>9.62</v>
      </c>
      <c r="CW557" s="15">
        <v>489.48</v>
      </c>
    </row>
    <row r="558" spans="1:101">
      <c r="A558" s="6">
        <v>2006</v>
      </c>
      <c r="B558" s="6" t="s">
        <v>122</v>
      </c>
      <c r="C558" s="6">
        <v>0.24131334</v>
      </c>
      <c r="D558" s="6">
        <v>0.041448</v>
      </c>
      <c r="E558" s="6">
        <v>0.010486</v>
      </c>
      <c r="F558" s="6">
        <v>0.018929</v>
      </c>
      <c r="G558" s="6">
        <v>0.00584</v>
      </c>
      <c r="H558" s="6">
        <v>0.006193</v>
      </c>
      <c r="I558" s="6">
        <v>0.042993</v>
      </c>
      <c r="J558" s="6">
        <v>0.021733</v>
      </c>
      <c r="K558" s="6">
        <v>0.27355466</v>
      </c>
      <c r="L558" s="6">
        <v>0.20741446</v>
      </c>
      <c r="M558" s="6">
        <v>0.24802139</v>
      </c>
      <c r="N558" s="6">
        <v>0.14415415</v>
      </c>
      <c r="O558" s="6">
        <v>0.15416993</v>
      </c>
      <c r="P558" s="6">
        <v>0.3890766</v>
      </c>
      <c r="Q558" s="6">
        <v>0.31878753</v>
      </c>
      <c r="R558" s="6">
        <v>217.69486</v>
      </c>
      <c r="S558" s="6">
        <v>0.0012566</v>
      </c>
      <c r="T558" s="6">
        <v>169.97573</v>
      </c>
      <c r="U558" s="6">
        <v>0.00122026</v>
      </c>
      <c r="V558" s="6">
        <v>197.11803</v>
      </c>
      <c r="W558" s="6">
        <v>0.00125824</v>
      </c>
      <c r="X558" s="6">
        <v>134.47093</v>
      </c>
      <c r="Y558" s="6">
        <v>0.00107201</v>
      </c>
      <c r="Z558" s="6">
        <v>134.86767</v>
      </c>
      <c r="AA558" s="6">
        <v>0.00114312</v>
      </c>
      <c r="AB558" s="6">
        <v>294.9318</v>
      </c>
      <c r="AC558" s="6">
        <v>0.00131921</v>
      </c>
      <c r="AD558" s="6">
        <v>243.86163</v>
      </c>
      <c r="AE558" s="6">
        <v>0.00130725</v>
      </c>
      <c r="AF558" s="6">
        <v>775</v>
      </c>
      <c r="AG558" s="6">
        <v>-0.00839325</v>
      </c>
      <c r="AH558" s="6">
        <v>-0.00818634</v>
      </c>
      <c r="AI558" s="6">
        <v>-0.00840257</v>
      </c>
      <c r="AJ558" s="6">
        <v>-0.00733064</v>
      </c>
      <c r="AK558" s="6">
        <v>-0.00774349</v>
      </c>
      <c r="AL558" s="6">
        <v>-0.00874731</v>
      </c>
      <c r="AM558" s="6">
        <v>-0.0086799</v>
      </c>
      <c r="AN558" s="6">
        <v>-6.4762184</v>
      </c>
      <c r="AO558" s="6">
        <v>-6.4515561</v>
      </c>
      <c r="AP558" s="6">
        <v>-6.4739881</v>
      </c>
      <c r="AQ558" s="6">
        <v>-6.4253629</v>
      </c>
      <c r="AR558" s="6">
        <v>-6.4020076</v>
      </c>
      <c r="AS558" s="6">
        <v>-6.4618417</v>
      </c>
      <c r="AT558" s="6">
        <v>-6.4506396</v>
      </c>
      <c r="AU558" s="6">
        <v>0.97344833</v>
      </c>
      <c r="AV558" s="6">
        <v>0.96974131</v>
      </c>
      <c r="AW558" s="6">
        <v>0.97311308</v>
      </c>
      <c r="AX558" s="6">
        <v>0.96580418</v>
      </c>
      <c r="AY558" s="6">
        <v>0.96229362</v>
      </c>
      <c r="AZ558" s="6">
        <v>0.97128734</v>
      </c>
      <c r="BA558" s="6">
        <v>0.96960354</v>
      </c>
      <c r="BB558" s="6">
        <v>0.02655167</v>
      </c>
      <c r="BC558" s="6">
        <v>0.03025869</v>
      </c>
      <c r="BD558" s="6">
        <v>0.02688692</v>
      </c>
      <c r="BE558" s="6">
        <v>0.03419582</v>
      </c>
      <c r="BF558" s="6">
        <v>0.03770638</v>
      </c>
      <c r="BG558" s="6">
        <v>0.02871266</v>
      </c>
      <c r="BH558" s="6">
        <v>0.03039646</v>
      </c>
      <c r="BI558" s="6">
        <v>0.21470859</v>
      </c>
      <c r="BJ558" s="6">
        <v>0.12366373</v>
      </c>
      <c r="BK558" s="6">
        <v>0.1409291</v>
      </c>
      <c r="BL558" s="6">
        <v>0.12522516</v>
      </c>
      <c r="BM558" s="6">
        <v>0.1592662</v>
      </c>
      <c r="BN558" s="6">
        <v>0.17561655</v>
      </c>
      <c r="BO558" s="6">
        <v>0.1337285</v>
      </c>
      <c r="BP558" s="6">
        <v>0.14157076</v>
      </c>
      <c r="BQ558" s="6">
        <v>0.03382879</v>
      </c>
      <c r="BR558" s="6">
        <v>0.02923073</v>
      </c>
      <c r="BS558" s="6">
        <v>0.03105852</v>
      </c>
      <c r="BT558" s="6">
        <v>0.02295888</v>
      </c>
      <c r="BU558" s="6">
        <v>0.02707479</v>
      </c>
      <c r="BV558" s="6">
        <v>0.05203063</v>
      </c>
      <c r="BW558" s="6">
        <v>0.04513099</v>
      </c>
      <c r="BX558" s="12">
        <v>4670.33</v>
      </c>
      <c r="BY558" s="13">
        <v>2546.79</v>
      </c>
      <c r="BZ558" s="12">
        <v>2276.7</v>
      </c>
      <c r="CA558" s="6">
        <f t="shared" ref="CA558:CA601" si="54">BX558/BY558</f>
        <v>1.83381040446994</v>
      </c>
      <c r="CB558" s="6">
        <f t="shared" ref="CB558:CB601" si="55">BX558/BZ558</f>
        <v>2.05135942372732</v>
      </c>
      <c r="CC558" s="7">
        <v>119818190.6</v>
      </c>
      <c r="CD558" s="7">
        <f t="shared" si="50"/>
        <v>5.26280101023411</v>
      </c>
      <c r="CE558" s="8">
        <v>256.4</v>
      </c>
      <c r="CF558" s="8">
        <v>2799.3</v>
      </c>
      <c r="CG558" s="8">
        <v>1657.9</v>
      </c>
      <c r="CH558" s="8">
        <v>14008</v>
      </c>
      <c r="CI558" s="14">
        <v>0</v>
      </c>
      <c r="CJ558" s="14">
        <v>0</v>
      </c>
      <c r="CK558" s="14">
        <f t="shared" si="51"/>
        <v>0</v>
      </c>
      <c r="CL558">
        <f t="shared" si="52"/>
        <v>3.57740717995078</v>
      </c>
      <c r="CM558">
        <f t="shared" si="53"/>
        <v>0</v>
      </c>
      <c r="CN558" s="15">
        <v>4743.05</v>
      </c>
      <c r="CO558" s="15">
        <v>3959.09</v>
      </c>
      <c r="CP558" s="15">
        <v>469.36</v>
      </c>
      <c r="CQ558" s="15">
        <v>1323.38</v>
      </c>
      <c r="CR558" s="15">
        <v>88.03</v>
      </c>
      <c r="CS558" s="15">
        <v>4.68</v>
      </c>
      <c r="CT558" s="15">
        <v>117.61</v>
      </c>
      <c r="CU558" s="15">
        <v>14.05</v>
      </c>
      <c r="CV558" s="15">
        <v>11.97</v>
      </c>
      <c r="CW558" s="15">
        <v>536.33</v>
      </c>
    </row>
    <row r="559" spans="1:101">
      <c r="A559" s="6">
        <v>2007</v>
      </c>
      <c r="B559" s="6" t="s">
        <v>122</v>
      </c>
      <c r="C559" s="6">
        <v>0.27005821</v>
      </c>
      <c r="D559" s="6">
        <v>0.045693</v>
      </c>
      <c r="E559" s="6">
        <v>0.011687</v>
      </c>
      <c r="F559" s="6">
        <v>0.020697</v>
      </c>
      <c r="G559" s="6">
        <v>0.007318</v>
      </c>
      <c r="H559" s="6">
        <v>0.005991</v>
      </c>
      <c r="I559" s="6">
        <v>0.045496</v>
      </c>
      <c r="J559" s="6">
        <v>0.024746</v>
      </c>
      <c r="K559" s="6">
        <v>0.30685059</v>
      </c>
      <c r="L559" s="6">
        <v>0.23581243</v>
      </c>
      <c r="M559" s="6">
        <v>0.27518414</v>
      </c>
      <c r="N559" s="6">
        <v>0.18783375</v>
      </c>
      <c r="O559" s="6">
        <v>0.14806674</v>
      </c>
      <c r="P559" s="6">
        <v>0.41696384</v>
      </c>
      <c r="Q559" s="6">
        <v>0.37253895</v>
      </c>
      <c r="R559" s="6">
        <v>217.69486</v>
      </c>
      <c r="S559" s="6">
        <v>0.00140954</v>
      </c>
      <c r="T559" s="6">
        <v>169.97573</v>
      </c>
      <c r="U559" s="6">
        <v>0.00138733</v>
      </c>
      <c r="V559" s="6">
        <v>197.11803</v>
      </c>
      <c r="W559" s="6">
        <v>0.00139604</v>
      </c>
      <c r="X559" s="6">
        <v>134.47093</v>
      </c>
      <c r="Y559" s="6">
        <v>0.00139684</v>
      </c>
      <c r="Z559" s="6">
        <v>134.86767</v>
      </c>
      <c r="AA559" s="6">
        <v>0.00109787</v>
      </c>
      <c r="AB559" s="6">
        <v>294.9318</v>
      </c>
      <c r="AC559" s="6">
        <v>0.00141376</v>
      </c>
      <c r="AD559" s="6">
        <v>243.86163</v>
      </c>
      <c r="AE559" s="6">
        <v>0.00152767</v>
      </c>
      <c r="AF559" s="6">
        <v>775</v>
      </c>
      <c r="AG559" s="6">
        <v>-0.00925294</v>
      </c>
      <c r="AH559" s="6">
        <v>-0.00912915</v>
      </c>
      <c r="AI559" s="6">
        <v>-0.00917771</v>
      </c>
      <c r="AJ559" s="6">
        <v>-0.00918216</v>
      </c>
      <c r="AK559" s="6">
        <v>-0.00748129</v>
      </c>
      <c r="AL559" s="6">
        <v>-0.00927641</v>
      </c>
      <c r="AM559" s="6">
        <v>-0.0099054</v>
      </c>
      <c r="AN559" s="6">
        <v>-6.4762184</v>
      </c>
      <c r="AO559" s="6">
        <v>-6.4515561</v>
      </c>
      <c r="AP559" s="6">
        <v>-6.4739881</v>
      </c>
      <c r="AQ559" s="6">
        <v>-6.4253629</v>
      </c>
      <c r="AR559" s="6">
        <v>-6.4020076</v>
      </c>
      <c r="AS559" s="6">
        <v>-6.4618417</v>
      </c>
      <c r="AT559" s="6">
        <v>-6.4506396</v>
      </c>
      <c r="AU559" s="6">
        <v>0.97344833</v>
      </c>
      <c r="AV559" s="6">
        <v>0.96974131</v>
      </c>
      <c r="AW559" s="6">
        <v>0.97311308</v>
      </c>
      <c r="AX559" s="6">
        <v>0.96580418</v>
      </c>
      <c r="AY559" s="6">
        <v>0.96229362</v>
      </c>
      <c r="AZ559" s="6">
        <v>0.97128734</v>
      </c>
      <c r="BA559" s="6">
        <v>0.96960354</v>
      </c>
      <c r="BB559" s="6">
        <v>0.02655167</v>
      </c>
      <c r="BC559" s="6">
        <v>0.03025869</v>
      </c>
      <c r="BD559" s="6">
        <v>0.02688692</v>
      </c>
      <c r="BE559" s="6">
        <v>0.03419582</v>
      </c>
      <c r="BF559" s="6">
        <v>0.03770638</v>
      </c>
      <c r="BG559" s="6">
        <v>0.02871266</v>
      </c>
      <c r="BH559" s="6">
        <v>0.03039646</v>
      </c>
      <c r="BI559" s="6">
        <v>0.21470859</v>
      </c>
      <c r="BJ559" s="6">
        <v>0.12366373</v>
      </c>
      <c r="BK559" s="6">
        <v>0.1409291</v>
      </c>
      <c r="BL559" s="6">
        <v>0.12522516</v>
      </c>
      <c r="BM559" s="6">
        <v>0.1592662</v>
      </c>
      <c r="BN559" s="6">
        <v>0.17561655</v>
      </c>
      <c r="BO559" s="6">
        <v>0.1337285</v>
      </c>
      <c r="BP559" s="6">
        <v>0.14157076</v>
      </c>
      <c r="BQ559" s="6">
        <v>0.03794629</v>
      </c>
      <c r="BR559" s="6">
        <v>0.03323283</v>
      </c>
      <c r="BS559" s="6">
        <v>0.03445998</v>
      </c>
      <c r="BT559" s="6">
        <v>0.02991557</v>
      </c>
      <c r="BU559" s="6">
        <v>0.02600297</v>
      </c>
      <c r="BV559" s="6">
        <v>0.05575995</v>
      </c>
      <c r="BW559" s="6">
        <v>0.05274062</v>
      </c>
      <c r="BX559" s="12">
        <v>5031.35</v>
      </c>
      <c r="BY559" s="13">
        <v>2548.19</v>
      </c>
      <c r="BZ559" s="12">
        <v>2702.4</v>
      </c>
      <c r="CA559" s="6">
        <f t="shared" si="54"/>
        <v>1.97447992496635</v>
      </c>
      <c r="CB559" s="6">
        <f t="shared" si="55"/>
        <v>1.86180802249852</v>
      </c>
      <c r="CC559" s="7">
        <v>136060794.7</v>
      </c>
      <c r="CD559" s="7">
        <f t="shared" si="50"/>
        <v>5.03481330298993</v>
      </c>
      <c r="CE559" s="8">
        <v>303.5</v>
      </c>
      <c r="CF559" s="8">
        <v>3602.3</v>
      </c>
      <c r="CG559" s="8">
        <v>2029.8</v>
      </c>
      <c r="CH559" s="8">
        <v>17542</v>
      </c>
      <c r="CI559" s="14">
        <v>0</v>
      </c>
      <c r="CJ559" s="14">
        <v>0</v>
      </c>
      <c r="CK559" s="14">
        <f t="shared" si="51"/>
        <v>0</v>
      </c>
      <c r="CL559">
        <f t="shared" si="52"/>
        <v>3.23986794305777</v>
      </c>
      <c r="CM559">
        <f t="shared" si="53"/>
        <v>0</v>
      </c>
      <c r="CN559" s="15">
        <v>5100</v>
      </c>
      <c r="CO559" s="15">
        <v>4455.19</v>
      </c>
      <c r="CP559" s="15">
        <v>561.56</v>
      </c>
      <c r="CQ559" s="15">
        <v>1432.87</v>
      </c>
      <c r="CR559" s="15">
        <v>87.66</v>
      </c>
      <c r="CS559" s="15">
        <v>5.48</v>
      </c>
      <c r="CT559" s="15">
        <v>113.94</v>
      </c>
      <c r="CU559" s="15">
        <v>14.33</v>
      </c>
      <c r="CV559" s="15">
        <v>12.97</v>
      </c>
      <c r="CW559" s="15">
        <v>614.74</v>
      </c>
    </row>
    <row r="560" spans="1:101">
      <c r="A560" s="6">
        <v>2008</v>
      </c>
      <c r="B560" s="6" t="s">
        <v>122</v>
      </c>
      <c r="C560" s="6">
        <v>0.26039524</v>
      </c>
      <c r="D560" s="6">
        <v>0.046551</v>
      </c>
      <c r="E560" s="6">
        <v>0.011944</v>
      </c>
      <c r="F560" s="6">
        <v>0.021037</v>
      </c>
      <c r="G560" s="6">
        <v>0.007107</v>
      </c>
      <c r="H560" s="6">
        <v>0.006463</v>
      </c>
      <c r="I560" s="6">
        <v>0.044116</v>
      </c>
      <c r="J560" s="6">
        <v>0.020206</v>
      </c>
      <c r="K560" s="6">
        <v>0.31358032</v>
      </c>
      <c r="L560" s="6">
        <v>0.24189541</v>
      </c>
      <c r="M560" s="6">
        <v>0.28041064</v>
      </c>
      <c r="N560" s="6">
        <v>0.18159978</v>
      </c>
      <c r="O560" s="6">
        <v>0.16235523</v>
      </c>
      <c r="P560" s="6">
        <v>0.40159012</v>
      </c>
      <c r="Q560" s="6">
        <v>0.29153717</v>
      </c>
      <c r="R560" s="6">
        <v>217.69486</v>
      </c>
      <c r="S560" s="6">
        <v>0.00144046</v>
      </c>
      <c r="T560" s="6">
        <v>169.97573</v>
      </c>
      <c r="U560" s="6">
        <v>0.00142312</v>
      </c>
      <c r="V560" s="6">
        <v>197.11803</v>
      </c>
      <c r="W560" s="6">
        <v>0.00142255</v>
      </c>
      <c r="X560" s="6">
        <v>134.47093</v>
      </c>
      <c r="Y560" s="6">
        <v>0.00135048</v>
      </c>
      <c r="Z560" s="6">
        <v>134.86767</v>
      </c>
      <c r="AA560" s="6">
        <v>0.00120381</v>
      </c>
      <c r="AB560" s="6">
        <v>294.9318</v>
      </c>
      <c r="AC560" s="6">
        <v>0.00136164</v>
      </c>
      <c r="AD560" s="6">
        <v>243.86163</v>
      </c>
      <c r="AE560" s="6">
        <v>0.0011955</v>
      </c>
      <c r="AF560" s="6">
        <v>775</v>
      </c>
      <c r="AG560" s="6">
        <v>-0.00942462</v>
      </c>
      <c r="AH560" s="6">
        <v>-0.0093284</v>
      </c>
      <c r="AI560" s="6">
        <v>-0.00932526</v>
      </c>
      <c r="AJ560" s="6">
        <v>-0.008923</v>
      </c>
      <c r="AK560" s="6">
        <v>-0.00809234</v>
      </c>
      <c r="AL560" s="6">
        <v>-0.00898554</v>
      </c>
      <c r="AM560" s="6">
        <v>-0.00804476</v>
      </c>
      <c r="AN560" s="6">
        <v>-6.4762184</v>
      </c>
      <c r="AO560" s="6">
        <v>-6.4515561</v>
      </c>
      <c r="AP560" s="6">
        <v>-6.4739881</v>
      </c>
      <c r="AQ560" s="6">
        <v>-6.4253629</v>
      </c>
      <c r="AR560" s="6">
        <v>-6.4020076</v>
      </c>
      <c r="AS560" s="6">
        <v>-6.4618417</v>
      </c>
      <c r="AT560" s="6">
        <v>-6.4506396</v>
      </c>
      <c r="AU560" s="6">
        <v>0.97344833</v>
      </c>
      <c r="AV560" s="6">
        <v>0.96974131</v>
      </c>
      <c r="AW560" s="6">
        <v>0.97311308</v>
      </c>
      <c r="AX560" s="6">
        <v>0.96580418</v>
      </c>
      <c r="AY560" s="6">
        <v>0.96229362</v>
      </c>
      <c r="AZ560" s="6">
        <v>0.97128734</v>
      </c>
      <c r="BA560" s="6">
        <v>0.96960354</v>
      </c>
      <c r="BB560" s="6">
        <v>0.02655167</v>
      </c>
      <c r="BC560" s="6">
        <v>0.03025869</v>
      </c>
      <c r="BD560" s="6">
        <v>0.02688692</v>
      </c>
      <c r="BE560" s="6">
        <v>0.03419582</v>
      </c>
      <c r="BF560" s="6">
        <v>0.03770638</v>
      </c>
      <c r="BG560" s="6">
        <v>0.02871266</v>
      </c>
      <c r="BH560" s="6">
        <v>0.03039646</v>
      </c>
      <c r="BI560" s="6">
        <v>0.21470859</v>
      </c>
      <c r="BJ560" s="6">
        <v>0.12366373</v>
      </c>
      <c r="BK560" s="6">
        <v>0.1409291</v>
      </c>
      <c r="BL560" s="6">
        <v>0.12522516</v>
      </c>
      <c r="BM560" s="6">
        <v>0.1592662</v>
      </c>
      <c r="BN560" s="6">
        <v>0.17561655</v>
      </c>
      <c r="BO560" s="6">
        <v>0.1337285</v>
      </c>
      <c r="BP560" s="6">
        <v>0.14157076</v>
      </c>
      <c r="BQ560" s="6">
        <v>0.03877851</v>
      </c>
      <c r="BR560" s="6">
        <v>0.0340901</v>
      </c>
      <c r="BS560" s="6">
        <v>0.03511447</v>
      </c>
      <c r="BT560" s="6">
        <v>0.02892271</v>
      </c>
      <c r="BU560" s="6">
        <v>0.02851226</v>
      </c>
      <c r="BV560" s="6">
        <v>0.05370404</v>
      </c>
      <c r="BW560" s="6">
        <v>0.04127314</v>
      </c>
      <c r="BX560" s="12">
        <v>5264.8</v>
      </c>
      <c r="BY560" s="13">
        <v>2550.88</v>
      </c>
      <c r="BZ560" s="12">
        <v>3166.82</v>
      </c>
      <c r="CA560" s="6">
        <f t="shared" si="54"/>
        <v>2.06391519789249</v>
      </c>
      <c r="CB560" s="6">
        <f t="shared" si="55"/>
        <v>1.66248792163748</v>
      </c>
      <c r="CC560" s="7">
        <v>137408085.2</v>
      </c>
      <c r="CD560" s="7">
        <f t="shared" si="50"/>
        <v>4.33899259193765</v>
      </c>
      <c r="CE560" s="8">
        <v>373.6</v>
      </c>
      <c r="CF560" s="8">
        <v>4389</v>
      </c>
      <c r="CG560" s="8">
        <v>2460.5</v>
      </c>
      <c r="CH560" s="8">
        <v>21234</v>
      </c>
      <c r="CI560" s="14">
        <v>0</v>
      </c>
      <c r="CJ560" s="14">
        <v>0</v>
      </c>
      <c r="CK560" s="14">
        <f t="shared" si="51"/>
        <v>0</v>
      </c>
      <c r="CL560">
        <f t="shared" si="52"/>
        <v>2.71728515287532</v>
      </c>
      <c r="CM560">
        <f t="shared" si="53"/>
        <v>0</v>
      </c>
      <c r="CN560" s="15">
        <v>5346</v>
      </c>
      <c r="CO560" s="15">
        <v>4683</v>
      </c>
      <c r="CP560" s="15">
        <v>544.17</v>
      </c>
      <c r="CQ560" s="15">
        <v>1394.36</v>
      </c>
      <c r="CR560" s="15">
        <v>50.18</v>
      </c>
      <c r="CS560" s="15">
        <v>5.51</v>
      </c>
      <c r="CT560" s="15">
        <v>168.61</v>
      </c>
      <c r="CU560" s="15">
        <v>12.73</v>
      </c>
      <c r="CV560" s="15">
        <v>12.01</v>
      </c>
      <c r="CW560" s="15">
        <v>677.76</v>
      </c>
    </row>
    <row r="561" spans="1:101">
      <c r="A561" s="6">
        <v>2009</v>
      </c>
      <c r="B561" s="6" t="s">
        <v>122</v>
      </c>
      <c r="C561" s="6">
        <v>0.28691008</v>
      </c>
      <c r="D561" s="6">
        <v>0.048935</v>
      </c>
      <c r="E561" s="6">
        <v>0.011946</v>
      </c>
      <c r="F561" s="6">
        <v>0.021507</v>
      </c>
      <c r="G561" s="6">
        <v>0.008028</v>
      </c>
      <c r="H561" s="6">
        <v>0.007454</v>
      </c>
      <c r="I561" s="6">
        <v>0.04884</v>
      </c>
      <c r="J561" s="6">
        <v>0.022837</v>
      </c>
      <c r="K561" s="6">
        <v>0.33228084</v>
      </c>
      <c r="L561" s="6">
        <v>0.24193927</v>
      </c>
      <c r="M561" s="6">
        <v>0.28764149</v>
      </c>
      <c r="N561" s="6">
        <v>0.20880652</v>
      </c>
      <c r="O561" s="6">
        <v>0.19239642</v>
      </c>
      <c r="P561" s="6">
        <v>0.45420604</v>
      </c>
      <c r="Q561" s="6">
        <v>0.33847842</v>
      </c>
      <c r="R561" s="6">
        <v>217.69486</v>
      </c>
      <c r="S561" s="6">
        <v>0.00152636</v>
      </c>
      <c r="T561" s="6">
        <v>169.97573</v>
      </c>
      <c r="U561" s="6">
        <v>0.00142338</v>
      </c>
      <c r="V561" s="6">
        <v>197.11803</v>
      </c>
      <c r="W561" s="6">
        <v>0.00145923</v>
      </c>
      <c r="X561" s="6">
        <v>134.47093</v>
      </c>
      <c r="Y561" s="6">
        <v>0.0015528</v>
      </c>
      <c r="Z561" s="6">
        <v>134.86767</v>
      </c>
      <c r="AA561" s="6">
        <v>0.00142656</v>
      </c>
      <c r="AB561" s="6">
        <v>294.9318</v>
      </c>
      <c r="AC561" s="6">
        <v>0.00154004</v>
      </c>
      <c r="AD561" s="6">
        <v>243.86163</v>
      </c>
      <c r="AE561" s="6">
        <v>0.00138799</v>
      </c>
      <c r="AF561" s="6">
        <v>775</v>
      </c>
      <c r="AG561" s="6">
        <v>-0.00989825</v>
      </c>
      <c r="AH561" s="6">
        <v>-0.00932983</v>
      </c>
      <c r="AI561" s="6">
        <v>-0.00952857</v>
      </c>
      <c r="AJ561" s="6">
        <v>-0.01004304</v>
      </c>
      <c r="AK561" s="6">
        <v>-0.0093475</v>
      </c>
      <c r="AL561" s="6">
        <v>-0.0099732</v>
      </c>
      <c r="AM561" s="6">
        <v>-0.00913285</v>
      </c>
      <c r="AN561" s="6">
        <v>-6.4762184</v>
      </c>
      <c r="AO561" s="6">
        <v>-6.4515561</v>
      </c>
      <c r="AP561" s="6">
        <v>-6.4739881</v>
      </c>
      <c r="AQ561" s="6">
        <v>-6.4253629</v>
      </c>
      <c r="AR561" s="6">
        <v>-6.4020076</v>
      </c>
      <c r="AS561" s="6">
        <v>-6.4618417</v>
      </c>
      <c r="AT561" s="6">
        <v>-6.4506396</v>
      </c>
      <c r="AU561" s="6">
        <v>0.97344833</v>
      </c>
      <c r="AV561" s="6">
        <v>0.96974131</v>
      </c>
      <c r="AW561" s="6">
        <v>0.97311308</v>
      </c>
      <c r="AX561" s="6">
        <v>0.96580418</v>
      </c>
      <c r="AY561" s="6">
        <v>0.96229362</v>
      </c>
      <c r="AZ561" s="6">
        <v>0.97128734</v>
      </c>
      <c r="BA561" s="6">
        <v>0.96960354</v>
      </c>
      <c r="BB561" s="6">
        <v>0.02655167</v>
      </c>
      <c r="BC561" s="6">
        <v>0.03025869</v>
      </c>
      <c r="BD561" s="6">
        <v>0.02688692</v>
      </c>
      <c r="BE561" s="6">
        <v>0.03419582</v>
      </c>
      <c r="BF561" s="6">
        <v>0.03770638</v>
      </c>
      <c r="BG561" s="6">
        <v>0.02871266</v>
      </c>
      <c r="BH561" s="6">
        <v>0.03039646</v>
      </c>
      <c r="BI561" s="6">
        <v>0.21470859</v>
      </c>
      <c r="BJ561" s="6">
        <v>0.12366373</v>
      </c>
      <c r="BK561" s="6">
        <v>0.1409291</v>
      </c>
      <c r="BL561" s="6">
        <v>0.12522516</v>
      </c>
      <c r="BM561" s="6">
        <v>0.1592662</v>
      </c>
      <c r="BN561" s="6">
        <v>0.17561655</v>
      </c>
      <c r="BO561" s="6">
        <v>0.1337285</v>
      </c>
      <c r="BP561" s="6">
        <v>0.14157076</v>
      </c>
      <c r="BQ561" s="6">
        <v>0.04109109</v>
      </c>
      <c r="BR561" s="6">
        <v>0.03409628</v>
      </c>
      <c r="BS561" s="6">
        <v>0.03601995</v>
      </c>
      <c r="BT561" s="6">
        <v>0.03325582</v>
      </c>
      <c r="BU561" s="6">
        <v>0.033788</v>
      </c>
      <c r="BV561" s="6">
        <v>0.06074029</v>
      </c>
      <c r="BW561" s="6">
        <v>0.04791865</v>
      </c>
      <c r="BX561" s="12">
        <v>5398</v>
      </c>
      <c r="BY561" s="13">
        <v>2554.91</v>
      </c>
      <c r="BZ561" s="12">
        <v>3387.56</v>
      </c>
      <c r="CA561" s="6">
        <f t="shared" si="54"/>
        <v>2.11279457984821</v>
      </c>
      <c r="CB561" s="6">
        <f t="shared" si="55"/>
        <v>1.59347731110298</v>
      </c>
      <c r="CC561" s="7">
        <v>148544233.7</v>
      </c>
      <c r="CD561" s="7">
        <f t="shared" si="50"/>
        <v>4.38499196176599</v>
      </c>
      <c r="CE561" s="8">
        <v>443.5</v>
      </c>
      <c r="CF561" s="8">
        <v>4091.2</v>
      </c>
      <c r="CG561" s="8">
        <v>2613</v>
      </c>
      <c r="CH561" s="8">
        <v>20906</v>
      </c>
      <c r="CI561" s="14">
        <v>0</v>
      </c>
      <c r="CJ561" s="14">
        <v>0</v>
      </c>
      <c r="CK561" s="14">
        <f t="shared" si="51"/>
        <v>0</v>
      </c>
      <c r="CL561">
        <f t="shared" si="52"/>
        <v>2.66960201713366</v>
      </c>
      <c r="CM561">
        <f t="shared" si="53"/>
        <v>0</v>
      </c>
      <c r="CN561" s="15">
        <v>5482</v>
      </c>
      <c r="CO561" s="15">
        <v>4479</v>
      </c>
      <c r="CP561" s="15">
        <v>540.33</v>
      </c>
      <c r="CQ561" s="15">
        <v>1440.79</v>
      </c>
      <c r="CR561" s="15">
        <v>50.14</v>
      </c>
      <c r="CS561" s="15">
        <v>5.45</v>
      </c>
      <c r="CT561" s="15">
        <v>185.62</v>
      </c>
      <c r="CU561" s="15">
        <v>13.39</v>
      </c>
      <c r="CV561" s="15">
        <v>12.43</v>
      </c>
      <c r="CW561" s="15">
        <v>705.51</v>
      </c>
    </row>
    <row r="562" spans="1:101">
      <c r="A562" s="6">
        <v>2010</v>
      </c>
      <c r="B562" s="6" t="s">
        <v>122</v>
      </c>
      <c r="C562" s="6">
        <v>0.28673602</v>
      </c>
      <c r="D562" s="6">
        <v>0.048455</v>
      </c>
      <c r="E562" s="6">
        <v>0.01231</v>
      </c>
      <c r="F562" s="6">
        <v>0.021168</v>
      </c>
      <c r="G562" s="6">
        <v>0.007446</v>
      </c>
      <c r="H562" s="6">
        <v>0.007531</v>
      </c>
      <c r="I562" s="6">
        <v>0.047619</v>
      </c>
      <c r="J562" s="6">
        <v>0.024373</v>
      </c>
      <c r="K562" s="6">
        <v>0.32851806</v>
      </c>
      <c r="L562" s="6">
        <v>0.25055</v>
      </c>
      <c r="M562" s="6">
        <v>0.28243021</v>
      </c>
      <c r="N562" s="6">
        <v>0.19161353</v>
      </c>
      <c r="O562" s="6">
        <v>0.19472396</v>
      </c>
      <c r="P562" s="6">
        <v>0.44060351</v>
      </c>
      <c r="Q562" s="6">
        <v>0.3658774</v>
      </c>
      <c r="R562" s="6">
        <v>217.69486</v>
      </c>
      <c r="S562" s="6">
        <v>0.00150908</v>
      </c>
      <c r="T562" s="6">
        <v>169.97573</v>
      </c>
      <c r="U562" s="6">
        <v>0.00147403</v>
      </c>
      <c r="V562" s="6">
        <v>197.11803</v>
      </c>
      <c r="W562" s="6">
        <v>0.0014328</v>
      </c>
      <c r="X562" s="6">
        <v>134.47093</v>
      </c>
      <c r="Y562" s="6">
        <v>0.00142494</v>
      </c>
      <c r="Z562" s="6">
        <v>134.86767</v>
      </c>
      <c r="AA562" s="6">
        <v>0.00144382</v>
      </c>
      <c r="AB562" s="6">
        <v>294.9318</v>
      </c>
      <c r="AC562" s="6">
        <v>0.00149392</v>
      </c>
      <c r="AD562" s="6">
        <v>243.86163</v>
      </c>
      <c r="AE562" s="6">
        <v>0.00150035</v>
      </c>
      <c r="AF562" s="6">
        <v>775</v>
      </c>
      <c r="AG562" s="6">
        <v>-0.00980335</v>
      </c>
      <c r="AH562" s="6">
        <v>-0.00961034</v>
      </c>
      <c r="AI562" s="6">
        <v>-0.00938214</v>
      </c>
      <c r="AJ562" s="6">
        <v>-0.00933854</v>
      </c>
      <c r="AK562" s="6">
        <v>-0.00944322</v>
      </c>
      <c r="AL562" s="6">
        <v>-0.00971995</v>
      </c>
      <c r="AM562" s="6">
        <v>-0.00975535</v>
      </c>
      <c r="AN562" s="6">
        <v>-6.4762184</v>
      </c>
      <c r="AO562" s="6">
        <v>-6.4515561</v>
      </c>
      <c r="AP562" s="6">
        <v>-6.4739881</v>
      </c>
      <c r="AQ562" s="6">
        <v>-6.4253629</v>
      </c>
      <c r="AR562" s="6">
        <v>-6.4020076</v>
      </c>
      <c r="AS562" s="6">
        <v>-6.4618417</v>
      </c>
      <c r="AT562" s="6">
        <v>-6.4506396</v>
      </c>
      <c r="AU562" s="6">
        <v>0.97344833</v>
      </c>
      <c r="AV562" s="6">
        <v>0.96974131</v>
      </c>
      <c r="AW562" s="6">
        <v>0.97311308</v>
      </c>
      <c r="AX562" s="6">
        <v>0.96580418</v>
      </c>
      <c r="AY562" s="6">
        <v>0.96229362</v>
      </c>
      <c r="AZ562" s="6">
        <v>0.97128734</v>
      </c>
      <c r="BA562" s="6">
        <v>0.96960354</v>
      </c>
      <c r="BB562" s="6">
        <v>0.02655167</v>
      </c>
      <c r="BC562" s="6">
        <v>0.03025869</v>
      </c>
      <c r="BD562" s="6">
        <v>0.02688692</v>
      </c>
      <c r="BE562" s="6">
        <v>0.03419582</v>
      </c>
      <c r="BF562" s="6">
        <v>0.03770638</v>
      </c>
      <c r="BG562" s="6">
        <v>0.02871266</v>
      </c>
      <c r="BH562" s="6">
        <v>0.03039646</v>
      </c>
      <c r="BI562" s="6">
        <v>0.21470859</v>
      </c>
      <c r="BJ562" s="6">
        <v>0.12366373</v>
      </c>
      <c r="BK562" s="6">
        <v>0.1409291</v>
      </c>
      <c r="BL562" s="6">
        <v>0.12522516</v>
      </c>
      <c r="BM562" s="6">
        <v>0.1592662</v>
      </c>
      <c r="BN562" s="6">
        <v>0.17561655</v>
      </c>
      <c r="BO562" s="6">
        <v>0.1337285</v>
      </c>
      <c r="BP562" s="6">
        <v>0.14157076</v>
      </c>
      <c r="BQ562" s="6">
        <v>0.04062577</v>
      </c>
      <c r="BR562" s="6">
        <v>0.03530978</v>
      </c>
      <c r="BS562" s="6">
        <v>0.03536737</v>
      </c>
      <c r="BT562" s="6">
        <v>0.03051756</v>
      </c>
      <c r="BU562" s="6">
        <v>0.03419675</v>
      </c>
      <c r="BV562" s="6">
        <v>0.05892124</v>
      </c>
      <c r="BW562" s="6">
        <v>0.05179754</v>
      </c>
      <c r="BX562" s="12">
        <v>5829.85</v>
      </c>
      <c r="BY562" s="13">
        <v>2559.98</v>
      </c>
      <c r="BZ562" s="12">
        <v>4120.75</v>
      </c>
      <c r="CA562" s="6">
        <f t="shared" si="54"/>
        <v>2.27730294767928</v>
      </c>
      <c r="CB562" s="6">
        <f t="shared" si="55"/>
        <v>1.414754595644</v>
      </c>
      <c r="CC562" s="7">
        <v>164996509.7</v>
      </c>
      <c r="CD562" s="7">
        <f t="shared" si="50"/>
        <v>4.00404076199721</v>
      </c>
      <c r="CE562" s="8">
        <v>510.4</v>
      </c>
      <c r="CF562" s="8">
        <v>5349.6</v>
      </c>
      <c r="CG562" s="8">
        <v>3043.9</v>
      </c>
      <c r="CH562" s="8">
        <v>25434</v>
      </c>
      <c r="CI562" s="14">
        <v>0</v>
      </c>
      <c r="CJ562" s="14">
        <v>0</v>
      </c>
      <c r="CK562" s="14">
        <f t="shared" si="51"/>
        <v>0</v>
      </c>
      <c r="CL562">
        <f t="shared" si="52"/>
        <v>2.40850270516871</v>
      </c>
      <c r="CM562">
        <f t="shared" si="53"/>
        <v>0</v>
      </c>
      <c r="CN562" s="15">
        <v>5923.13</v>
      </c>
      <c r="CO562" s="15">
        <v>5389.57</v>
      </c>
      <c r="CP562" s="15">
        <v>541.6</v>
      </c>
      <c r="CQ562" s="15">
        <v>1400.18</v>
      </c>
      <c r="CR562" s="15">
        <v>56.57</v>
      </c>
      <c r="CS562" s="15">
        <v>4.98</v>
      </c>
      <c r="CT562" s="15">
        <v>210.64</v>
      </c>
      <c r="CU562" s="15">
        <v>14.63</v>
      </c>
      <c r="CV562" s="15">
        <v>14.21</v>
      </c>
      <c r="CW562" s="15">
        <v>804.43</v>
      </c>
    </row>
    <row r="563" spans="1:101">
      <c r="A563" s="6">
        <v>2011</v>
      </c>
      <c r="B563" s="6" t="s">
        <v>122</v>
      </c>
      <c r="C563" s="6">
        <v>0.29467519</v>
      </c>
      <c r="D563" s="6">
        <v>0.048823</v>
      </c>
      <c r="E563" s="6">
        <v>0.012633</v>
      </c>
      <c r="F563" s="6">
        <v>0.021814</v>
      </c>
      <c r="G563" s="6">
        <v>0.007653</v>
      </c>
      <c r="H563" s="6">
        <v>0.006723</v>
      </c>
      <c r="I563" s="6">
        <v>0.05208</v>
      </c>
      <c r="J563" s="6">
        <v>0.025143</v>
      </c>
      <c r="K563" s="6">
        <v>0.33139945</v>
      </c>
      <c r="L563" s="6">
        <v>0.25819261</v>
      </c>
      <c r="M563" s="6">
        <v>0.29235282</v>
      </c>
      <c r="N563" s="6">
        <v>0.19772001</v>
      </c>
      <c r="O563" s="6">
        <v>0.17023469</v>
      </c>
      <c r="P563" s="6">
        <v>0.49029038</v>
      </c>
      <c r="Q563" s="6">
        <v>0.37962904</v>
      </c>
      <c r="R563" s="6">
        <v>217.69486</v>
      </c>
      <c r="S563" s="6">
        <v>0.00152231</v>
      </c>
      <c r="T563" s="6">
        <v>169.97573</v>
      </c>
      <c r="U563" s="6">
        <v>0.001519</v>
      </c>
      <c r="V563" s="6">
        <v>197.11803</v>
      </c>
      <c r="W563" s="6">
        <v>0.00148314</v>
      </c>
      <c r="X563" s="6">
        <v>134.47093</v>
      </c>
      <c r="Y563" s="6">
        <v>0.00147036</v>
      </c>
      <c r="Z563" s="6">
        <v>134.86767</v>
      </c>
      <c r="AA563" s="6">
        <v>0.00126223</v>
      </c>
      <c r="AB563" s="6">
        <v>294.9318</v>
      </c>
      <c r="AC563" s="6">
        <v>0.00166239</v>
      </c>
      <c r="AD563" s="6">
        <v>243.86163</v>
      </c>
      <c r="AE563" s="6">
        <v>0.00155674</v>
      </c>
      <c r="AF563" s="6">
        <v>775</v>
      </c>
      <c r="AG563" s="6">
        <v>-0.00987604</v>
      </c>
      <c r="AH563" s="6">
        <v>-0.00985784</v>
      </c>
      <c r="AI563" s="6">
        <v>-0.00966055</v>
      </c>
      <c r="AJ563" s="6">
        <v>-0.00959003</v>
      </c>
      <c r="AK563" s="6">
        <v>-0.00842526</v>
      </c>
      <c r="AL563" s="6">
        <v>-0.01063844</v>
      </c>
      <c r="AM563" s="6">
        <v>-0.01006457</v>
      </c>
      <c r="AN563" s="6">
        <v>-6.4762184</v>
      </c>
      <c r="AO563" s="6">
        <v>-6.4515561</v>
      </c>
      <c r="AP563" s="6">
        <v>-6.4739881</v>
      </c>
      <c r="AQ563" s="6">
        <v>-6.4253629</v>
      </c>
      <c r="AR563" s="6">
        <v>-6.4020076</v>
      </c>
      <c r="AS563" s="6">
        <v>-6.4618417</v>
      </c>
      <c r="AT563" s="6">
        <v>-6.4506396</v>
      </c>
      <c r="AU563" s="6">
        <v>0.97344833</v>
      </c>
      <c r="AV563" s="6">
        <v>0.96974131</v>
      </c>
      <c r="AW563" s="6">
        <v>0.97311308</v>
      </c>
      <c r="AX563" s="6">
        <v>0.96580418</v>
      </c>
      <c r="AY563" s="6">
        <v>0.96229362</v>
      </c>
      <c r="AZ563" s="6">
        <v>0.97128734</v>
      </c>
      <c r="BA563" s="6">
        <v>0.96960354</v>
      </c>
      <c r="BB563" s="6">
        <v>0.02655167</v>
      </c>
      <c r="BC563" s="6">
        <v>0.03025869</v>
      </c>
      <c r="BD563" s="6">
        <v>0.02688692</v>
      </c>
      <c r="BE563" s="6">
        <v>0.03419582</v>
      </c>
      <c r="BF563" s="6">
        <v>0.03770638</v>
      </c>
      <c r="BG563" s="6">
        <v>0.02871266</v>
      </c>
      <c r="BH563" s="6">
        <v>0.03039646</v>
      </c>
      <c r="BI563" s="6">
        <v>0.21470859</v>
      </c>
      <c r="BJ563" s="6">
        <v>0.12366373</v>
      </c>
      <c r="BK563" s="6">
        <v>0.1409291</v>
      </c>
      <c r="BL563" s="6">
        <v>0.12522516</v>
      </c>
      <c r="BM563" s="6">
        <v>0.1592662</v>
      </c>
      <c r="BN563" s="6">
        <v>0.17561655</v>
      </c>
      <c r="BO563" s="6">
        <v>0.1337285</v>
      </c>
      <c r="BP563" s="6">
        <v>0.14157076</v>
      </c>
      <c r="BQ563" s="6">
        <v>0.04098209</v>
      </c>
      <c r="BR563" s="6">
        <v>0.03638685</v>
      </c>
      <c r="BS563" s="6">
        <v>0.03660993</v>
      </c>
      <c r="BT563" s="6">
        <v>0.03149011</v>
      </c>
      <c r="BU563" s="6">
        <v>0.02989603</v>
      </c>
      <c r="BV563" s="6">
        <v>0.0655658</v>
      </c>
      <c r="BW563" s="6">
        <v>0.05374437</v>
      </c>
      <c r="BX563" s="12">
        <v>6393.69</v>
      </c>
      <c r="BY563" s="13">
        <v>2552</v>
      </c>
      <c r="BZ563" s="12">
        <v>5020.37</v>
      </c>
      <c r="CA563" s="6">
        <f t="shared" si="54"/>
        <v>2.5053644200627</v>
      </c>
      <c r="CB563" s="6">
        <f t="shared" si="55"/>
        <v>1.27354955909624</v>
      </c>
      <c r="CC563" s="7">
        <v>184266249.4</v>
      </c>
      <c r="CD563" s="7">
        <f t="shared" si="50"/>
        <v>3.67037189290829</v>
      </c>
      <c r="CE563" s="8">
        <v>586.6</v>
      </c>
      <c r="CF563" s="8">
        <v>6750.2</v>
      </c>
      <c r="CG563" s="8">
        <v>3557.7</v>
      </c>
      <c r="CH563" s="8">
        <v>30534</v>
      </c>
      <c r="CI563" s="14">
        <v>0</v>
      </c>
      <c r="CJ563" s="14">
        <v>0</v>
      </c>
      <c r="CK563" s="14">
        <f t="shared" si="51"/>
        <v>0</v>
      </c>
      <c r="CL563">
        <f t="shared" si="52"/>
        <v>2.18035126729488</v>
      </c>
      <c r="CM563">
        <f t="shared" si="53"/>
        <v>0</v>
      </c>
      <c r="CN563" s="15">
        <v>6496</v>
      </c>
      <c r="CO563" s="15">
        <v>6303</v>
      </c>
      <c r="CP563" s="15">
        <v>601.28</v>
      </c>
      <c r="CQ563" s="15">
        <v>1635.77</v>
      </c>
      <c r="CR563" s="15">
        <v>58.77</v>
      </c>
      <c r="CS563" s="15">
        <v>3.72</v>
      </c>
      <c r="CT563" s="15">
        <v>222.68</v>
      </c>
      <c r="CU563" s="15">
        <v>9.42</v>
      </c>
      <c r="CV563" s="15">
        <v>15.58</v>
      </c>
      <c r="CW563" s="15">
        <v>923</v>
      </c>
    </row>
    <row r="564" spans="1:101">
      <c r="A564" s="6">
        <v>2012</v>
      </c>
      <c r="B564" s="6" t="s">
        <v>122</v>
      </c>
      <c r="C564" s="6">
        <v>0.32159928</v>
      </c>
      <c r="D564" s="6">
        <v>0.054341</v>
      </c>
      <c r="E564" s="6">
        <v>0.01306</v>
      </c>
      <c r="F564" s="6">
        <v>0.023513</v>
      </c>
      <c r="G564" s="6">
        <v>0.00831</v>
      </c>
      <c r="H564" s="6">
        <v>0.009458</v>
      </c>
      <c r="I564" s="6">
        <v>0.050379</v>
      </c>
      <c r="J564" s="6">
        <v>0.025841</v>
      </c>
      <c r="K564" s="6">
        <v>0.37468598</v>
      </c>
      <c r="L564" s="6">
        <v>0.26826866</v>
      </c>
      <c r="M564" s="6">
        <v>0.31847248</v>
      </c>
      <c r="N564" s="6">
        <v>0.21716456</v>
      </c>
      <c r="O564" s="6">
        <v>0.25311651</v>
      </c>
      <c r="P564" s="6">
        <v>0.47134401</v>
      </c>
      <c r="Q564" s="6">
        <v>0.39207274</v>
      </c>
      <c r="R564" s="6">
        <v>217.69486</v>
      </c>
      <c r="S564" s="6">
        <v>0.00172115</v>
      </c>
      <c r="T564" s="6">
        <v>169.97573</v>
      </c>
      <c r="U564" s="6">
        <v>0.00157828</v>
      </c>
      <c r="V564" s="6">
        <v>197.11803</v>
      </c>
      <c r="W564" s="6">
        <v>0.00161564</v>
      </c>
      <c r="X564" s="6">
        <v>134.47093</v>
      </c>
      <c r="Y564" s="6">
        <v>0.00161496</v>
      </c>
      <c r="Z564" s="6">
        <v>134.86767</v>
      </c>
      <c r="AA564" s="6">
        <v>0.00187678</v>
      </c>
      <c r="AB564" s="6">
        <v>294.9318</v>
      </c>
      <c r="AC564" s="6">
        <v>0.00159815</v>
      </c>
      <c r="AD564" s="6">
        <v>243.86163</v>
      </c>
      <c r="AE564" s="6">
        <v>0.00160777</v>
      </c>
      <c r="AF564" s="6">
        <v>775</v>
      </c>
      <c r="AG564" s="6">
        <v>-0.01095472</v>
      </c>
      <c r="AH564" s="6">
        <v>-0.01018213</v>
      </c>
      <c r="AI564" s="6">
        <v>-0.01038539</v>
      </c>
      <c r="AJ564" s="6">
        <v>-0.01038166</v>
      </c>
      <c r="AK564" s="6">
        <v>-0.01178278</v>
      </c>
      <c r="AL564" s="6">
        <v>-0.01029032</v>
      </c>
      <c r="AM564" s="6">
        <v>-0.01034262</v>
      </c>
      <c r="AN564" s="6">
        <v>-6.4762184</v>
      </c>
      <c r="AO564" s="6">
        <v>-6.4515561</v>
      </c>
      <c r="AP564" s="6">
        <v>-6.4739881</v>
      </c>
      <c r="AQ564" s="6">
        <v>-6.4253629</v>
      </c>
      <c r="AR564" s="6">
        <v>-6.4020076</v>
      </c>
      <c r="AS564" s="6">
        <v>-6.4618417</v>
      </c>
      <c r="AT564" s="6">
        <v>-6.4506396</v>
      </c>
      <c r="AU564" s="6">
        <v>0.97344833</v>
      </c>
      <c r="AV564" s="6">
        <v>0.96974131</v>
      </c>
      <c r="AW564" s="6">
        <v>0.97311308</v>
      </c>
      <c r="AX564" s="6">
        <v>0.96580418</v>
      </c>
      <c r="AY564" s="6">
        <v>0.96229362</v>
      </c>
      <c r="AZ564" s="6">
        <v>0.97128734</v>
      </c>
      <c r="BA564" s="6">
        <v>0.96960354</v>
      </c>
      <c r="BB564" s="6">
        <v>0.02655167</v>
      </c>
      <c r="BC564" s="6">
        <v>0.03025869</v>
      </c>
      <c r="BD564" s="6">
        <v>0.02688692</v>
      </c>
      <c r="BE564" s="6">
        <v>0.03419582</v>
      </c>
      <c r="BF564" s="6">
        <v>0.03770638</v>
      </c>
      <c r="BG564" s="6">
        <v>0.02871266</v>
      </c>
      <c r="BH564" s="6">
        <v>0.03039646</v>
      </c>
      <c r="BI564" s="6">
        <v>0.21470859</v>
      </c>
      <c r="BJ564" s="6">
        <v>0.12366373</v>
      </c>
      <c r="BK564" s="6">
        <v>0.1409291</v>
      </c>
      <c r="BL564" s="6">
        <v>0.12522516</v>
      </c>
      <c r="BM564" s="6">
        <v>0.1592662</v>
      </c>
      <c r="BN564" s="6">
        <v>0.17561655</v>
      </c>
      <c r="BO564" s="6">
        <v>0.1337285</v>
      </c>
      <c r="BP564" s="6">
        <v>0.14157076</v>
      </c>
      <c r="BQ564" s="6">
        <v>0.04633507</v>
      </c>
      <c r="BR564" s="6">
        <v>0.03780686</v>
      </c>
      <c r="BS564" s="6">
        <v>0.03988077</v>
      </c>
      <c r="BT564" s="6">
        <v>0.03458697</v>
      </c>
      <c r="BU564" s="6">
        <v>0.04445145</v>
      </c>
      <c r="BV564" s="6">
        <v>0.06303213</v>
      </c>
      <c r="BW564" s="6">
        <v>0.05550604</v>
      </c>
      <c r="BX564" s="12">
        <v>6893.76</v>
      </c>
      <c r="BY564" s="13">
        <v>2550</v>
      </c>
      <c r="BZ564" s="12">
        <v>5650.2</v>
      </c>
      <c r="CA564" s="6">
        <f t="shared" si="54"/>
        <v>2.70343529411765</v>
      </c>
      <c r="CB564" s="6">
        <f t="shared" si="55"/>
        <v>1.22009132420091</v>
      </c>
      <c r="CC564" s="7">
        <v>188611467</v>
      </c>
      <c r="CD564" s="7">
        <f t="shared" si="50"/>
        <v>3.33813788892429</v>
      </c>
      <c r="CE564" s="8">
        <v>642</v>
      </c>
      <c r="CF564" s="8">
        <v>6852.7</v>
      </c>
      <c r="CG564" s="8">
        <v>4188.4</v>
      </c>
      <c r="CH564" s="8">
        <v>32864</v>
      </c>
      <c r="CI564" s="14">
        <v>0</v>
      </c>
      <c r="CJ564" s="14">
        <v>0</v>
      </c>
      <c r="CK564" s="14">
        <f t="shared" si="51"/>
        <v>0</v>
      </c>
      <c r="CL564">
        <f t="shared" si="52"/>
        <v>2.01609935715007</v>
      </c>
      <c r="CM564">
        <f t="shared" si="53"/>
        <v>0</v>
      </c>
      <c r="CN564" s="15">
        <v>7007.04</v>
      </c>
      <c r="CO564" s="15">
        <v>6558</v>
      </c>
      <c r="CP564" s="15">
        <v>654.07</v>
      </c>
      <c r="CQ564" s="15">
        <v>1544.21</v>
      </c>
      <c r="CR564" s="15">
        <v>65.8</v>
      </c>
      <c r="CS564" s="15">
        <v>5.23</v>
      </c>
      <c r="CT564" s="15">
        <v>258.03</v>
      </c>
      <c r="CU564" s="15">
        <v>9.25</v>
      </c>
      <c r="CV564" s="15">
        <v>20.28</v>
      </c>
      <c r="CW564" s="15">
        <v>994.56</v>
      </c>
    </row>
    <row r="565" spans="1:101">
      <c r="A565" s="6">
        <v>2013</v>
      </c>
      <c r="B565" s="6" t="s">
        <v>122</v>
      </c>
      <c r="C565" s="6">
        <v>0.32295645</v>
      </c>
      <c r="D565" s="6">
        <v>0.051688</v>
      </c>
      <c r="E565" s="6">
        <v>0.012624</v>
      </c>
      <c r="F565" s="6">
        <v>0.022974</v>
      </c>
      <c r="G565" s="6">
        <v>0.00692</v>
      </c>
      <c r="H565" s="6">
        <v>0.009169</v>
      </c>
      <c r="I565" s="6">
        <v>0.056179</v>
      </c>
      <c r="J565" s="6">
        <v>0.02816</v>
      </c>
      <c r="K565" s="6">
        <v>0.35387647</v>
      </c>
      <c r="L565" s="6">
        <v>0.2579763</v>
      </c>
      <c r="M565" s="6">
        <v>0.31018674</v>
      </c>
      <c r="N565" s="6">
        <v>0.17607707</v>
      </c>
      <c r="O565" s="6">
        <v>0.24437446</v>
      </c>
      <c r="P565" s="6">
        <v>0.5359524</v>
      </c>
      <c r="Q565" s="6">
        <v>0.4334495</v>
      </c>
      <c r="R565" s="6">
        <v>217.69486</v>
      </c>
      <c r="S565" s="6">
        <v>0.00162556</v>
      </c>
      <c r="T565" s="6">
        <v>169.97573</v>
      </c>
      <c r="U565" s="6">
        <v>0.00151772</v>
      </c>
      <c r="V565" s="6">
        <v>197.11803</v>
      </c>
      <c r="W565" s="6">
        <v>0.00157361</v>
      </c>
      <c r="X565" s="6">
        <v>134.47093</v>
      </c>
      <c r="Y565" s="6">
        <v>0.00130941</v>
      </c>
      <c r="Z565" s="6">
        <v>134.86767</v>
      </c>
      <c r="AA565" s="6">
        <v>0.00181196</v>
      </c>
      <c r="AB565" s="6">
        <v>294.9318</v>
      </c>
      <c r="AC565" s="6">
        <v>0.00181721</v>
      </c>
      <c r="AD565" s="6">
        <v>243.86163</v>
      </c>
      <c r="AE565" s="6">
        <v>0.00177744</v>
      </c>
      <c r="AF565" s="6">
        <v>775</v>
      </c>
      <c r="AG565" s="6">
        <v>-0.0104392</v>
      </c>
      <c r="AH565" s="6">
        <v>-0.00985086</v>
      </c>
      <c r="AI565" s="6">
        <v>-0.01015668</v>
      </c>
      <c r="AJ565" s="6">
        <v>-0.00869208</v>
      </c>
      <c r="AK565" s="6">
        <v>-0.01143952</v>
      </c>
      <c r="AL565" s="6">
        <v>-0.01146741</v>
      </c>
      <c r="AM565" s="6">
        <v>-0.01125579</v>
      </c>
      <c r="AN565" s="6">
        <v>-6.4762184</v>
      </c>
      <c r="AO565" s="6">
        <v>-6.4515561</v>
      </c>
      <c r="AP565" s="6">
        <v>-6.4739881</v>
      </c>
      <c r="AQ565" s="6">
        <v>-6.4253629</v>
      </c>
      <c r="AR565" s="6">
        <v>-6.4020076</v>
      </c>
      <c r="AS565" s="6">
        <v>-6.4618417</v>
      </c>
      <c r="AT565" s="6">
        <v>-6.4506396</v>
      </c>
      <c r="AU565" s="6">
        <v>0.97344833</v>
      </c>
      <c r="AV565" s="6">
        <v>0.96974131</v>
      </c>
      <c r="AW565" s="6">
        <v>0.97311308</v>
      </c>
      <c r="AX565" s="6">
        <v>0.96580418</v>
      </c>
      <c r="AY565" s="6">
        <v>0.96229362</v>
      </c>
      <c r="AZ565" s="6">
        <v>0.97128734</v>
      </c>
      <c r="BA565" s="6">
        <v>0.96960354</v>
      </c>
      <c r="BB565" s="6">
        <v>0.02655167</v>
      </c>
      <c r="BC565" s="6">
        <v>0.03025869</v>
      </c>
      <c r="BD565" s="6">
        <v>0.02688692</v>
      </c>
      <c r="BE565" s="6">
        <v>0.03419582</v>
      </c>
      <c r="BF565" s="6">
        <v>0.03770638</v>
      </c>
      <c r="BG565" s="6">
        <v>0.02871266</v>
      </c>
      <c r="BH565" s="6">
        <v>0.03039646</v>
      </c>
      <c r="BI565" s="6">
        <v>0.21470859</v>
      </c>
      <c r="BJ565" s="6">
        <v>0.12366373</v>
      </c>
      <c r="BK565" s="6">
        <v>0.1409291</v>
      </c>
      <c r="BL565" s="6">
        <v>0.12522516</v>
      </c>
      <c r="BM565" s="6">
        <v>0.1592662</v>
      </c>
      <c r="BN565" s="6">
        <v>0.17561655</v>
      </c>
      <c r="BO565" s="6">
        <v>0.1337285</v>
      </c>
      <c r="BP565" s="6">
        <v>0.14157076</v>
      </c>
      <c r="BQ565" s="6">
        <v>0.04376169</v>
      </c>
      <c r="BR565" s="6">
        <v>0.03635637</v>
      </c>
      <c r="BS565" s="6">
        <v>0.03884318</v>
      </c>
      <c r="BT565" s="6">
        <v>0.02804313</v>
      </c>
      <c r="BU565" s="6">
        <v>0.0429162</v>
      </c>
      <c r="BV565" s="6">
        <v>0.07167211</v>
      </c>
      <c r="BW565" s="6">
        <v>0.06136378</v>
      </c>
      <c r="BX565" s="12">
        <v>7286.72</v>
      </c>
      <c r="BY565" s="13">
        <v>2537</v>
      </c>
      <c r="BZ565" s="12">
        <v>6330.69</v>
      </c>
      <c r="CA565" s="6">
        <f t="shared" si="54"/>
        <v>2.87217973985022</v>
      </c>
      <c r="CB565" s="6">
        <f t="shared" si="55"/>
        <v>1.15101513421128</v>
      </c>
      <c r="CC565" s="7">
        <v>195370475.5</v>
      </c>
      <c r="CD565" s="7">
        <f t="shared" si="50"/>
        <v>3.08608501600931</v>
      </c>
      <c r="CE565" s="8">
        <v>697.6</v>
      </c>
      <c r="CF565" s="8">
        <v>6684.3</v>
      </c>
      <c r="CG565" s="8">
        <v>4605.3</v>
      </c>
      <c r="CH565" s="8">
        <v>33848</v>
      </c>
      <c r="CI565" s="14">
        <v>0</v>
      </c>
      <c r="CJ565" s="14">
        <v>0</v>
      </c>
      <c r="CK565" s="14">
        <f t="shared" si="51"/>
        <v>0</v>
      </c>
      <c r="CL565">
        <f t="shared" si="52"/>
        <v>1.91398219724656</v>
      </c>
      <c r="CM565">
        <f t="shared" si="53"/>
        <v>0</v>
      </c>
      <c r="CN565" s="15">
        <v>7287</v>
      </c>
      <c r="CO565" s="15">
        <v>6541.07</v>
      </c>
      <c r="CP565" s="15">
        <v>666.72</v>
      </c>
      <c r="CQ565" s="15">
        <v>1575.63</v>
      </c>
      <c r="CR565" s="15">
        <v>122.89</v>
      </c>
      <c r="CS565" s="15">
        <v>5.1</v>
      </c>
      <c r="CT565" s="15">
        <v>375.35</v>
      </c>
      <c r="CU565" s="15">
        <v>4.29</v>
      </c>
      <c r="CV565" s="15">
        <v>23.23</v>
      </c>
      <c r="CW565" s="15">
        <v>1073.25</v>
      </c>
    </row>
    <row r="566" spans="1:101">
      <c r="A566" s="6">
        <v>2014</v>
      </c>
      <c r="B566" s="6" t="s">
        <v>122</v>
      </c>
      <c r="C566" s="6">
        <v>0.34765399</v>
      </c>
      <c r="D566" s="6">
        <v>0.056959</v>
      </c>
      <c r="E566" s="6">
        <v>0.013301</v>
      </c>
      <c r="F566" s="6">
        <v>0.024946</v>
      </c>
      <c r="G566" s="6">
        <v>0.008572</v>
      </c>
      <c r="H566" s="6">
        <v>0.01014</v>
      </c>
      <c r="I566" s="6">
        <v>0.058763</v>
      </c>
      <c r="J566" s="6">
        <v>0.026871</v>
      </c>
      <c r="K566" s="6">
        <v>0.39522335</v>
      </c>
      <c r="L566" s="6">
        <v>0.27397366</v>
      </c>
      <c r="M566" s="6">
        <v>0.34049733</v>
      </c>
      <c r="N566" s="6">
        <v>0.22489721</v>
      </c>
      <c r="O566" s="6">
        <v>0.27379323</v>
      </c>
      <c r="P566" s="6">
        <v>0.56473232</v>
      </c>
      <c r="Q566" s="6">
        <v>0.41044882</v>
      </c>
      <c r="R566" s="6">
        <v>217.69486</v>
      </c>
      <c r="S566" s="6">
        <v>0.00181549</v>
      </c>
      <c r="T566" s="6">
        <v>169.97573</v>
      </c>
      <c r="U566" s="6">
        <v>0.00161184</v>
      </c>
      <c r="V566" s="6">
        <v>197.11803</v>
      </c>
      <c r="W566" s="6">
        <v>0.00172738</v>
      </c>
      <c r="X566" s="6">
        <v>134.47093</v>
      </c>
      <c r="Y566" s="6">
        <v>0.00167246</v>
      </c>
      <c r="Z566" s="6">
        <v>134.86767</v>
      </c>
      <c r="AA566" s="6">
        <v>0.00203009</v>
      </c>
      <c r="AB566" s="6">
        <v>294.9318</v>
      </c>
      <c r="AC566" s="6">
        <v>0.00191479</v>
      </c>
      <c r="AD566" s="6">
        <v>243.86163</v>
      </c>
      <c r="AE566" s="6">
        <v>0.00168312</v>
      </c>
      <c r="AF566" s="6">
        <v>775</v>
      </c>
      <c r="AG566" s="6">
        <v>-0.0114583</v>
      </c>
      <c r="AH566" s="6">
        <v>-0.01036474</v>
      </c>
      <c r="AI566" s="6">
        <v>-0.01098811</v>
      </c>
      <c r="AJ566" s="6">
        <v>-0.0106928</v>
      </c>
      <c r="AK566" s="6">
        <v>-0.01258589</v>
      </c>
      <c r="AL566" s="6">
        <v>-0.01198304</v>
      </c>
      <c r="AM566" s="6">
        <v>-0.01075028</v>
      </c>
      <c r="AN566" s="6">
        <v>-6.4762184</v>
      </c>
      <c r="AO566" s="6">
        <v>-6.4515561</v>
      </c>
      <c r="AP566" s="6">
        <v>-6.4739881</v>
      </c>
      <c r="AQ566" s="6">
        <v>-6.4253629</v>
      </c>
      <c r="AR566" s="6">
        <v>-6.4020076</v>
      </c>
      <c r="AS566" s="6">
        <v>-6.4618417</v>
      </c>
      <c r="AT566" s="6">
        <v>-6.4506396</v>
      </c>
      <c r="AU566" s="6">
        <v>0.97344833</v>
      </c>
      <c r="AV566" s="6">
        <v>0.96974131</v>
      </c>
      <c r="AW566" s="6">
        <v>0.97311308</v>
      </c>
      <c r="AX566" s="6">
        <v>0.96580418</v>
      </c>
      <c r="AY566" s="6">
        <v>0.96229362</v>
      </c>
      <c r="AZ566" s="6">
        <v>0.97128734</v>
      </c>
      <c r="BA566" s="6">
        <v>0.96960354</v>
      </c>
      <c r="BB566" s="6">
        <v>0.02655167</v>
      </c>
      <c r="BC566" s="6">
        <v>0.03025869</v>
      </c>
      <c r="BD566" s="6">
        <v>0.02688692</v>
      </c>
      <c r="BE566" s="6">
        <v>0.03419582</v>
      </c>
      <c r="BF566" s="6">
        <v>0.03770638</v>
      </c>
      <c r="BG566" s="6">
        <v>0.02871266</v>
      </c>
      <c r="BH566" s="6">
        <v>0.03039646</v>
      </c>
      <c r="BI566" s="6">
        <v>0.21470859</v>
      </c>
      <c r="BJ566" s="6">
        <v>0.12366373</v>
      </c>
      <c r="BK566" s="6">
        <v>0.1409291</v>
      </c>
      <c r="BL566" s="6">
        <v>0.12522516</v>
      </c>
      <c r="BM566" s="6">
        <v>0.1592662</v>
      </c>
      <c r="BN566" s="6">
        <v>0.17561655</v>
      </c>
      <c r="BO566" s="6">
        <v>0.1337285</v>
      </c>
      <c r="BP566" s="6">
        <v>0.14157076</v>
      </c>
      <c r="BQ566" s="6">
        <v>0.04887479</v>
      </c>
      <c r="BR566" s="6">
        <v>0.03861086</v>
      </c>
      <c r="BS566" s="6">
        <v>0.04263883</v>
      </c>
      <c r="BT566" s="6">
        <v>0.03581852</v>
      </c>
      <c r="BU566" s="6">
        <v>0.04808262</v>
      </c>
      <c r="BV566" s="6">
        <v>0.0755208</v>
      </c>
      <c r="BW566" s="6">
        <v>0.05810755</v>
      </c>
      <c r="BX566" s="12">
        <v>7521.45</v>
      </c>
      <c r="BY566" s="13">
        <v>2531</v>
      </c>
      <c r="BZ566" s="12">
        <v>6836.82</v>
      </c>
      <c r="CA566" s="6">
        <f t="shared" si="54"/>
        <v>2.97173054128803</v>
      </c>
      <c r="CB566" s="6">
        <f t="shared" si="55"/>
        <v>1.10013866095641</v>
      </c>
      <c r="CC566" s="7">
        <v>193386326.4</v>
      </c>
      <c r="CD566" s="7">
        <f t="shared" si="50"/>
        <v>2.82860052480539</v>
      </c>
      <c r="CE566" s="8">
        <v>736.6</v>
      </c>
      <c r="CF566" s="8">
        <v>6378</v>
      </c>
      <c r="CG566" s="8">
        <v>4980.1</v>
      </c>
      <c r="CH566" s="8">
        <v>34248</v>
      </c>
      <c r="CI566" s="14">
        <v>0</v>
      </c>
      <c r="CJ566" s="14">
        <v>0</v>
      </c>
      <c r="CK566" s="14">
        <f t="shared" si="51"/>
        <v>0</v>
      </c>
      <c r="CL566">
        <f t="shared" si="52"/>
        <v>1.79640226266579</v>
      </c>
      <c r="CM566">
        <f t="shared" si="53"/>
        <v>0</v>
      </c>
      <c r="CN566" s="15">
        <v>7521.45</v>
      </c>
      <c r="CO566" s="15">
        <v>6715.87</v>
      </c>
      <c r="CP566" s="15">
        <v>692.97</v>
      </c>
      <c r="CQ566" s="15">
        <v>1467.85</v>
      </c>
      <c r="CR566" s="15">
        <v>128.98</v>
      </c>
      <c r="CS566" s="15">
        <v>5.62</v>
      </c>
      <c r="CT566" s="15">
        <v>374.8</v>
      </c>
      <c r="CU566" s="15">
        <v>7.05</v>
      </c>
      <c r="CV566" s="15">
        <v>25.2</v>
      </c>
      <c r="CW566" s="15">
        <v>1095.48</v>
      </c>
    </row>
    <row r="567" spans="1:101">
      <c r="A567" s="6">
        <v>2015</v>
      </c>
      <c r="B567" s="6" t="s">
        <v>122</v>
      </c>
      <c r="C567" s="6">
        <v>0.38470238</v>
      </c>
      <c r="D567" s="6">
        <v>0.066018</v>
      </c>
      <c r="E567" s="6">
        <v>0.016667</v>
      </c>
      <c r="F567" s="6">
        <v>0.030236</v>
      </c>
      <c r="G567" s="6">
        <v>0.009248</v>
      </c>
      <c r="H567" s="6">
        <v>0.009868</v>
      </c>
      <c r="I567" s="6">
        <v>0.059973</v>
      </c>
      <c r="J567" s="6">
        <v>0.028189</v>
      </c>
      <c r="K567" s="6">
        <v>0.4662836</v>
      </c>
      <c r="L567" s="6">
        <v>0.35356726</v>
      </c>
      <c r="M567" s="6">
        <v>0.42179257</v>
      </c>
      <c r="N567" s="6">
        <v>0.24486925</v>
      </c>
      <c r="O567" s="6">
        <v>0.26553778</v>
      </c>
      <c r="P567" s="6">
        <v>0.57820987</v>
      </c>
      <c r="Q567" s="6">
        <v>0.43397161</v>
      </c>
      <c r="R567" s="6">
        <v>217.69486</v>
      </c>
      <c r="S567" s="6">
        <v>0.00214191</v>
      </c>
      <c r="T567" s="6">
        <v>169.97573</v>
      </c>
      <c r="U567" s="6">
        <v>0.0020801</v>
      </c>
      <c r="V567" s="6">
        <v>197.11803</v>
      </c>
      <c r="W567" s="6">
        <v>0.0021398</v>
      </c>
      <c r="X567" s="6">
        <v>134.47093</v>
      </c>
      <c r="Y567" s="6">
        <v>0.00182098</v>
      </c>
      <c r="Z567" s="6">
        <v>134.86767</v>
      </c>
      <c r="AA567" s="6">
        <v>0.00196888</v>
      </c>
      <c r="AB567" s="6">
        <v>294.9318</v>
      </c>
      <c r="AC567" s="6">
        <v>0.00196049</v>
      </c>
      <c r="AD567" s="6">
        <v>243.86163</v>
      </c>
      <c r="AE567" s="6">
        <v>0.00177958</v>
      </c>
      <c r="AF567" s="6">
        <v>775</v>
      </c>
      <c r="AG567" s="6">
        <v>-0.01316432</v>
      </c>
      <c r="AH567" s="6">
        <v>-0.01284535</v>
      </c>
      <c r="AI567" s="6">
        <v>-0.01315343</v>
      </c>
      <c r="AJ567" s="6">
        <v>-0.01148745</v>
      </c>
      <c r="AK567" s="6">
        <v>-0.01226668</v>
      </c>
      <c r="AL567" s="6">
        <v>-0.01222278</v>
      </c>
      <c r="AM567" s="6">
        <v>-0.0112672</v>
      </c>
      <c r="AN567" s="6">
        <v>-6.4762184</v>
      </c>
      <c r="AO567" s="6">
        <v>-6.4515561</v>
      </c>
      <c r="AP567" s="6">
        <v>-6.4739881</v>
      </c>
      <c r="AQ567" s="6">
        <v>-6.4253629</v>
      </c>
      <c r="AR567" s="6">
        <v>-6.4020076</v>
      </c>
      <c r="AS567" s="6">
        <v>-6.4618417</v>
      </c>
      <c r="AT567" s="6">
        <v>-6.4506396</v>
      </c>
      <c r="AU567" s="6">
        <v>0.97344833</v>
      </c>
      <c r="AV567" s="6">
        <v>0.96974131</v>
      </c>
      <c r="AW567" s="6">
        <v>0.97311308</v>
      </c>
      <c r="AX567" s="6">
        <v>0.96580418</v>
      </c>
      <c r="AY567" s="6">
        <v>0.96229362</v>
      </c>
      <c r="AZ567" s="6">
        <v>0.97128734</v>
      </c>
      <c r="BA567" s="6">
        <v>0.96960354</v>
      </c>
      <c r="BB567" s="6">
        <v>0.02655167</v>
      </c>
      <c r="BC567" s="6">
        <v>0.03025869</v>
      </c>
      <c r="BD567" s="6">
        <v>0.02688692</v>
      </c>
      <c r="BE567" s="6">
        <v>0.03419582</v>
      </c>
      <c r="BF567" s="6">
        <v>0.03770638</v>
      </c>
      <c r="BG567" s="6">
        <v>0.02871266</v>
      </c>
      <c r="BH567" s="6">
        <v>0.03039646</v>
      </c>
      <c r="BI567" s="6">
        <v>0.21470859</v>
      </c>
      <c r="BJ567" s="6">
        <v>0.12366373</v>
      </c>
      <c r="BK567" s="6">
        <v>0.1409291</v>
      </c>
      <c r="BL567" s="6">
        <v>0.12522516</v>
      </c>
      <c r="BM567" s="6">
        <v>0.1592662</v>
      </c>
      <c r="BN567" s="6">
        <v>0.17561655</v>
      </c>
      <c r="BO567" s="6">
        <v>0.1337285</v>
      </c>
      <c r="BP567" s="6">
        <v>0.14157076</v>
      </c>
      <c r="BQ567" s="6">
        <v>0.05766237</v>
      </c>
      <c r="BR567" s="6">
        <v>0.04982792</v>
      </c>
      <c r="BS567" s="6">
        <v>0.05281904</v>
      </c>
      <c r="BT567" s="6">
        <v>0.0389994</v>
      </c>
      <c r="BU567" s="6">
        <v>0.04663283</v>
      </c>
      <c r="BV567" s="6">
        <v>0.07732314</v>
      </c>
      <c r="BW567" s="6">
        <v>0.06143769</v>
      </c>
      <c r="BX567" s="12">
        <v>7488.5</v>
      </c>
      <c r="BY567" s="13">
        <v>2523</v>
      </c>
      <c r="BZ567" s="12">
        <v>6790.3169</v>
      </c>
      <c r="CA567" s="6">
        <f t="shared" si="54"/>
        <v>2.96809353943718</v>
      </c>
      <c r="CB567" s="6">
        <f t="shared" si="55"/>
        <v>1.1028204000317</v>
      </c>
      <c r="CC567" s="7">
        <v>192843229.2</v>
      </c>
      <c r="CD567" s="7">
        <f t="shared" si="50"/>
        <v>2.83997392227747</v>
      </c>
      <c r="CE567" s="8">
        <v>726.2</v>
      </c>
      <c r="CF567" s="8">
        <v>5219.7</v>
      </c>
      <c r="CG567" s="8">
        <v>5890.5</v>
      </c>
      <c r="CH567" s="8">
        <v>33593</v>
      </c>
      <c r="CI567" s="14">
        <v>0</v>
      </c>
      <c r="CJ567" s="14">
        <v>0</v>
      </c>
      <c r="CK567" s="14">
        <f t="shared" si="51"/>
        <v>0</v>
      </c>
      <c r="CL567">
        <f t="shared" si="52"/>
        <v>1.71577514742415</v>
      </c>
      <c r="CM567">
        <f t="shared" si="53"/>
        <v>0</v>
      </c>
      <c r="CN567" s="15">
        <v>7489</v>
      </c>
      <c r="CO567" s="15">
        <v>6585.06</v>
      </c>
      <c r="CP567" s="15">
        <v>590</v>
      </c>
      <c r="CQ567" s="15">
        <v>1446.5</v>
      </c>
      <c r="CR567" s="15">
        <v>171.2</v>
      </c>
      <c r="CS567" s="15">
        <v>5.86</v>
      </c>
      <c r="CT567" s="15">
        <v>299.5</v>
      </c>
      <c r="CU567" s="15">
        <v>4.97</v>
      </c>
      <c r="CV567" s="15">
        <v>26.04</v>
      </c>
      <c r="CW567" s="15">
        <v>1099</v>
      </c>
    </row>
    <row r="568" spans="1:101">
      <c r="A568" s="6">
        <v>2016</v>
      </c>
      <c r="B568" s="6" t="s">
        <v>122</v>
      </c>
      <c r="C568" s="6">
        <v>0.34747073</v>
      </c>
      <c r="D568" s="6">
        <v>0.058785</v>
      </c>
      <c r="E568" s="6">
        <v>0.015787</v>
      </c>
      <c r="F568" s="6">
        <v>0.026695</v>
      </c>
      <c r="G568" s="6">
        <v>0.008462</v>
      </c>
      <c r="H568" s="6">
        <v>0.007841</v>
      </c>
      <c r="I568" s="6">
        <v>0.056187</v>
      </c>
      <c r="J568" s="6">
        <v>0.028052</v>
      </c>
      <c r="K568" s="6">
        <v>0.40954628</v>
      </c>
      <c r="L568" s="6">
        <v>0.33274582</v>
      </c>
      <c r="M568" s="6">
        <v>0.36737502</v>
      </c>
      <c r="N568" s="6">
        <v>0.22165521</v>
      </c>
      <c r="O568" s="6">
        <v>0.20412371</v>
      </c>
      <c r="P568" s="6">
        <v>0.53604088</v>
      </c>
      <c r="Q568" s="6">
        <v>0.43153626</v>
      </c>
      <c r="R568" s="6">
        <v>217.69486</v>
      </c>
      <c r="S568" s="6">
        <v>0.00188129</v>
      </c>
      <c r="T568" s="6">
        <v>169.97573</v>
      </c>
      <c r="U568" s="6">
        <v>0.00195761</v>
      </c>
      <c r="V568" s="6">
        <v>197.11803</v>
      </c>
      <c r="W568" s="6">
        <v>0.00186373</v>
      </c>
      <c r="X568" s="6">
        <v>134.47093</v>
      </c>
      <c r="Y568" s="6">
        <v>0.00164835</v>
      </c>
      <c r="Z568" s="6">
        <v>134.86767</v>
      </c>
      <c r="AA568" s="6">
        <v>0.00151351</v>
      </c>
      <c r="AB568" s="6">
        <v>294.9318</v>
      </c>
      <c r="AC568" s="6">
        <v>0.00181751</v>
      </c>
      <c r="AD568" s="6">
        <v>243.86163</v>
      </c>
      <c r="AE568" s="6">
        <v>0.00176959</v>
      </c>
      <c r="AF568" s="6">
        <v>775</v>
      </c>
      <c r="AG568" s="6">
        <v>-0.01180657</v>
      </c>
      <c r="AH568" s="6">
        <v>-0.0122077</v>
      </c>
      <c r="AI568" s="6">
        <v>-0.01171388</v>
      </c>
      <c r="AJ568" s="6">
        <v>-0.0105626</v>
      </c>
      <c r="AK568" s="6">
        <v>-0.00982772</v>
      </c>
      <c r="AL568" s="6">
        <v>-0.011469</v>
      </c>
      <c r="AM568" s="6">
        <v>-0.01121393</v>
      </c>
      <c r="AN568" s="6">
        <v>-6.4762184</v>
      </c>
      <c r="AO568" s="6">
        <v>-6.4515561</v>
      </c>
      <c r="AP568" s="6">
        <v>-6.4739881</v>
      </c>
      <c r="AQ568" s="6">
        <v>-6.4253629</v>
      </c>
      <c r="AR568" s="6">
        <v>-6.4020076</v>
      </c>
      <c r="AS568" s="6">
        <v>-6.4618417</v>
      </c>
      <c r="AT568" s="6">
        <v>-6.4506396</v>
      </c>
      <c r="AU568" s="6">
        <v>0.97344833</v>
      </c>
      <c r="AV568" s="6">
        <v>0.96974131</v>
      </c>
      <c r="AW568" s="6">
        <v>0.97311308</v>
      </c>
      <c r="AX568" s="6">
        <v>0.96580418</v>
      </c>
      <c r="AY568" s="6">
        <v>0.96229362</v>
      </c>
      <c r="AZ568" s="6">
        <v>0.97128734</v>
      </c>
      <c r="BA568" s="6">
        <v>0.96960354</v>
      </c>
      <c r="BB568" s="6">
        <v>0.02655167</v>
      </c>
      <c r="BC568" s="6">
        <v>0.03025869</v>
      </c>
      <c r="BD568" s="6">
        <v>0.02688692</v>
      </c>
      <c r="BE568" s="6">
        <v>0.03419582</v>
      </c>
      <c r="BF568" s="6">
        <v>0.03770638</v>
      </c>
      <c r="BG568" s="6">
        <v>0.02871266</v>
      </c>
      <c r="BH568" s="6">
        <v>0.03039646</v>
      </c>
      <c r="BI568" s="6">
        <v>0.21470859</v>
      </c>
      <c r="BJ568" s="6">
        <v>0.12366373</v>
      </c>
      <c r="BK568" s="6">
        <v>0.1409291</v>
      </c>
      <c r="BL568" s="6">
        <v>0.12522516</v>
      </c>
      <c r="BM568" s="6">
        <v>0.1592662</v>
      </c>
      <c r="BN568" s="6">
        <v>0.17561655</v>
      </c>
      <c r="BO568" s="6">
        <v>0.1337285</v>
      </c>
      <c r="BP568" s="6">
        <v>0.14157076</v>
      </c>
      <c r="BQ568" s="6">
        <v>0.05064602</v>
      </c>
      <c r="BR568" s="6">
        <v>0.04689357</v>
      </c>
      <c r="BS568" s="6">
        <v>0.0460046</v>
      </c>
      <c r="BT568" s="6">
        <v>0.03530218</v>
      </c>
      <c r="BU568" s="6">
        <v>0.0358475</v>
      </c>
      <c r="BV568" s="6">
        <v>0.07168394</v>
      </c>
      <c r="BW568" s="6">
        <v>0.06109292</v>
      </c>
      <c r="BX568" s="12">
        <v>7299.93</v>
      </c>
      <c r="BY568" s="13">
        <v>2520</v>
      </c>
      <c r="BZ568" s="12">
        <v>7200.37</v>
      </c>
      <c r="CA568" s="6">
        <f t="shared" si="54"/>
        <v>2.89679761904762</v>
      </c>
      <c r="CB568" s="6">
        <f t="shared" si="55"/>
        <v>1.01382706722016</v>
      </c>
      <c r="CC568" s="7">
        <v>190351747.2</v>
      </c>
      <c r="CD568" s="7">
        <f t="shared" si="50"/>
        <v>2.643638413026</v>
      </c>
      <c r="CE568" s="8">
        <v>724.3</v>
      </c>
      <c r="CF568" s="8">
        <v>5113.6</v>
      </c>
      <c r="CG568" s="8">
        <v>6108.5</v>
      </c>
      <c r="CH568" s="8">
        <v>33972</v>
      </c>
      <c r="CI568" s="14">
        <v>0</v>
      </c>
      <c r="CJ568" s="14">
        <v>0</v>
      </c>
      <c r="CK568" s="14">
        <f t="shared" si="51"/>
        <v>0</v>
      </c>
      <c r="CL568">
        <f t="shared" si="52"/>
        <v>1.62438398605541</v>
      </c>
      <c r="CM568">
        <f t="shared" si="53"/>
        <v>0</v>
      </c>
      <c r="CN568" s="15">
        <v>7300</v>
      </c>
      <c r="CO568" s="15">
        <v>6348.4</v>
      </c>
      <c r="CP568" s="15">
        <v>503.86</v>
      </c>
      <c r="CQ568" s="15">
        <v>1367.29</v>
      </c>
      <c r="CR568" s="15">
        <v>210.55</v>
      </c>
      <c r="CS568" s="15">
        <v>8.16</v>
      </c>
      <c r="CT568" s="15">
        <v>305.95</v>
      </c>
      <c r="CU568" s="15">
        <v>3.33</v>
      </c>
      <c r="CV568" s="15">
        <v>26.4</v>
      </c>
      <c r="CW568" s="15">
        <v>1065.15</v>
      </c>
    </row>
    <row r="569" spans="1:101">
      <c r="A569" s="6">
        <v>2017</v>
      </c>
      <c r="B569" s="6" t="s">
        <v>122</v>
      </c>
      <c r="C569" s="6">
        <v>0.40895837</v>
      </c>
      <c r="D569" s="6">
        <v>0.066642</v>
      </c>
      <c r="E569" s="6">
        <v>0.015849</v>
      </c>
      <c r="F569" s="6">
        <v>0.029475</v>
      </c>
      <c r="G569" s="6">
        <v>0.009977</v>
      </c>
      <c r="H569" s="6">
        <v>0.011341</v>
      </c>
      <c r="I569" s="6">
        <v>0.063333</v>
      </c>
      <c r="J569" s="6">
        <v>0.032766</v>
      </c>
      <c r="K569" s="6">
        <v>0.47117518</v>
      </c>
      <c r="L569" s="6">
        <v>0.33422301</v>
      </c>
      <c r="M569" s="6">
        <v>0.41009891</v>
      </c>
      <c r="N569" s="6">
        <v>0.26641964</v>
      </c>
      <c r="O569" s="6">
        <v>0.31019384</v>
      </c>
      <c r="P569" s="6">
        <v>0.61563609</v>
      </c>
      <c r="Q569" s="6">
        <v>0.51564135</v>
      </c>
      <c r="R569" s="6">
        <v>217.69486</v>
      </c>
      <c r="S569" s="6">
        <v>0.00216438</v>
      </c>
      <c r="T569" s="6">
        <v>169.97573</v>
      </c>
      <c r="U569" s="6">
        <v>0.0019663</v>
      </c>
      <c r="V569" s="6">
        <v>197.11803</v>
      </c>
      <c r="W569" s="6">
        <v>0.00208047</v>
      </c>
      <c r="X569" s="6">
        <v>134.47093</v>
      </c>
      <c r="Y569" s="6">
        <v>0.00198124</v>
      </c>
      <c r="Z569" s="6">
        <v>134.86767</v>
      </c>
      <c r="AA569" s="6">
        <v>0.00229999</v>
      </c>
      <c r="AB569" s="6">
        <v>294.9318</v>
      </c>
      <c r="AC569" s="6">
        <v>0.00208738</v>
      </c>
      <c r="AD569" s="6">
        <v>243.86163</v>
      </c>
      <c r="AE569" s="6">
        <v>0.00211448</v>
      </c>
      <c r="AF569" s="6">
        <v>775</v>
      </c>
      <c r="AG569" s="6">
        <v>-0.01327983</v>
      </c>
      <c r="AH569" s="6">
        <v>-0.01225319</v>
      </c>
      <c r="AI569" s="6">
        <v>-0.01284726</v>
      </c>
      <c r="AJ569" s="6">
        <v>-0.01233132</v>
      </c>
      <c r="AK569" s="6">
        <v>-0.01397208</v>
      </c>
      <c r="AL569" s="6">
        <v>-0.01288301</v>
      </c>
      <c r="AM569" s="6">
        <v>-0.01302299</v>
      </c>
      <c r="AN569" s="6">
        <v>-6.4762184</v>
      </c>
      <c r="AO569" s="6">
        <v>-6.4515561</v>
      </c>
      <c r="AP569" s="6">
        <v>-6.4739881</v>
      </c>
      <c r="AQ569" s="6">
        <v>-6.4253629</v>
      </c>
      <c r="AR569" s="6">
        <v>-6.4020076</v>
      </c>
      <c r="AS569" s="6">
        <v>-6.4618417</v>
      </c>
      <c r="AT569" s="6">
        <v>-6.4506396</v>
      </c>
      <c r="AU569" s="6">
        <v>0.97344833</v>
      </c>
      <c r="AV569" s="6">
        <v>0.96974131</v>
      </c>
      <c r="AW569" s="6">
        <v>0.97311308</v>
      </c>
      <c r="AX569" s="6">
        <v>0.96580418</v>
      </c>
      <c r="AY569" s="6">
        <v>0.96229362</v>
      </c>
      <c r="AZ569" s="6">
        <v>0.97128734</v>
      </c>
      <c r="BA569" s="6">
        <v>0.96960354</v>
      </c>
      <c r="BB569" s="6">
        <v>0.02655167</v>
      </c>
      <c r="BC569" s="6">
        <v>0.03025869</v>
      </c>
      <c r="BD569" s="6">
        <v>0.02688692</v>
      </c>
      <c r="BE569" s="6">
        <v>0.03419582</v>
      </c>
      <c r="BF569" s="6">
        <v>0.03770638</v>
      </c>
      <c r="BG569" s="6">
        <v>0.02871266</v>
      </c>
      <c r="BH569" s="6">
        <v>0.03039646</v>
      </c>
      <c r="BI569" s="6">
        <v>0.21470859</v>
      </c>
      <c r="BJ569" s="6">
        <v>0.12366373</v>
      </c>
      <c r="BK569" s="6">
        <v>0.1409291</v>
      </c>
      <c r="BL569" s="6">
        <v>0.12522516</v>
      </c>
      <c r="BM569" s="6">
        <v>0.1592662</v>
      </c>
      <c r="BN569" s="6">
        <v>0.17561655</v>
      </c>
      <c r="BO569" s="6">
        <v>0.1337285</v>
      </c>
      <c r="BP569" s="6">
        <v>0.14157076</v>
      </c>
      <c r="BQ569" s="6">
        <v>0.05826728</v>
      </c>
      <c r="BR569" s="6">
        <v>0.04710175</v>
      </c>
      <c r="BS569" s="6">
        <v>0.0513547</v>
      </c>
      <c r="BT569" s="6">
        <v>0.04243164</v>
      </c>
      <c r="BU569" s="6">
        <v>0.05447517</v>
      </c>
      <c r="BV569" s="6">
        <v>0.08232809</v>
      </c>
      <c r="BW569" s="6">
        <v>0.07299974</v>
      </c>
      <c r="BX569" s="12">
        <v>7503.63</v>
      </c>
      <c r="BY569" s="13">
        <v>2522</v>
      </c>
      <c r="BZ569" s="12">
        <v>7459.89953</v>
      </c>
      <c r="CA569" s="6">
        <f t="shared" si="54"/>
        <v>2.97526962727994</v>
      </c>
      <c r="CB569" s="6">
        <f t="shared" si="55"/>
        <v>1.00586207224697</v>
      </c>
      <c r="CC569" s="7">
        <v>197718802.7</v>
      </c>
      <c r="CD569" s="7">
        <f t="shared" si="50"/>
        <v>2.65042179060017</v>
      </c>
      <c r="CE569" s="8">
        <v>719.2</v>
      </c>
      <c r="CF569" s="8">
        <v>6635.3</v>
      </c>
      <c r="CG569" s="8">
        <v>7129.8</v>
      </c>
      <c r="CH569" s="8">
        <v>41242</v>
      </c>
      <c r="CI569" s="14">
        <v>1</v>
      </c>
      <c r="CJ569" s="14">
        <v>0</v>
      </c>
      <c r="CK569" s="14">
        <f t="shared" si="51"/>
        <v>0</v>
      </c>
      <c r="CL569">
        <f t="shared" si="52"/>
        <v>1.56738551218677</v>
      </c>
      <c r="CM569">
        <f t="shared" si="53"/>
        <v>0</v>
      </c>
      <c r="CN569" s="15">
        <v>7504</v>
      </c>
      <c r="CO569" s="15">
        <v>6336.36</v>
      </c>
      <c r="CP569" s="15">
        <v>457.89</v>
      </c>
      <c r="CQ569" s="15">
        <v>1460.11</v>
      </c>
      <c r="CR569" s="15">
        <v>211.28</v>
      </c>
      <c r="CS569" s="15">
        <v>8.02</v>
      </c>
      <c r="CT569" s="15">
        <v>304.26</v>
      </c>
      <c r="CU569" s="15">
        <v>2.87</v>
      </c>
      <c r="CV569" s="15">
        <v>28.91</v>
      </c>
      <c r="CW569" s="15">
        <v>1164.37</v>
      </c>
    </row>
    <row r="570" spans="1:101">
      <c r="A570" s="6">
        <v>2018</v>
      </c>
      <c r="B570" s="6" t="s">
        <v>122</v>
      </c>
      <c r="C570" s="6">
        <v>0.36476614</v>
      </c>
      <c r="D570" s="6">
        <v>0.060916</v>
      </c>
      <c r="E570" s="6">
        <v>0.015966</v>
      </c>
      <c r="F570" s="6">
        <v>0.027302</v>
      </c>
      <c r="G570" s="6">
        <v>0.009101</v>
      </c>
      <c r="H570" s="6">
        <v>0.008548</v>
      </c>
      <c r="I570" s="6">
        <v>0.061055</v>
      </c>
      <c r="J570" s="6">
        <v>0.027832</v>
      </c>
      <c r="K570" s="6">
        <v>0.42626385</v>
      </c>
      <c r="L570" s="6">
        <v>0.33697347</v>
      </c>
      <c r="M570" s="6">
        <v>0.37669918</v>
      </c>
      <c r="N570" s="6">
        <v>0.24054112</v>
      </c>
      <c r="O570" s="6">
        <v>0.22554453</v>
      </c>
      <c r="P570" s="6">
        <v>0.59026124</v>
      </c>
      <c r="Q570" s="6">
        <v>0.42760952</v>
      </c>
      <c r="R570" s="6">
        <v>217.69486</v>
      </c>
      <c r="S570" s="6">
        <v>0.00195808</v>
      </c>
      <c r="T570" s="6">
        <v>169.97573</v>
      </c>
      <c r="U570" s="6">
        <v>0.00198248</v>
      </c>
      <c r="V570" s="6">
        <v>197.11803</v>
      </c>
      <c r="W570" s="6">
        <v>0.00191103</v>
      </c>
      <c r="X570" s="6">
        <v>134.47093</v>
      </c>
      <c r="Y570" s="6">
        <v>0.0017888</v>
      </c>
      <c r="Z570" s="6">
        <v>134.86767</v>
      </c>
      <c r="AA570" s="6">
        <v>0.00167234</v>
      </c>
      <c r="AB570" s="6">
        <v>294.9318</v>
      </c>
      <c r="AC570" s="6">
        <v>0.00200135</v>
      </c>
      <c r="AD570" s="6">
        <v>243.86163</v>
      </c>
      <c r="AE570" s="6">
        <v>0.00175349</v>
      </c>
      <c r="AF570" s="6">
        <v>775</v>
      </c>
      <c r="AG570" s="6">
        <v>-0.01221018</v>
      </c>
      <c r="AH570" s="6">
        <v>-0.01233778</v>
      </c>
      <c r="AI570" s="6">
        <v>-0.01196328</v>
      </c>
      <c r="AJ570" s="6">
        <v>-0.01131631</v>
      </c>
      <c r="AK570" s="6">
        <v>-0.01069216</v>
      </c>
      <c r="AL570" s="6">
        <v>-0.01243625</v>
      </c>
      <c r="AM570" s="6">
        <v>-0.01112792</v>
      </c>
      <c r="AN570" s="6">
        <v>-6.4762184</v>
      </c>
      <c r="AO570" s="6">
        <v>-6.4515561</v>
      </c>
      <c r="AP570" s="6">
        <v>-6.4739881</v>
      </c>
      <c r="AQ570" s="6">
        <v>-6.4253629</v>
      </c>
      <c r="AR570" s="6">
        <v>-6.4020076</v>
      </c>
      <c r="AS570" s="6">
        <v>-6.4618417</v>
      </c>
      <c r="AT570" s="6">
        <v>-6.4506396</v>
      </c>
      <c r="AU570" s="6">
        <v>0.97344833</v>
      </c>
      <c r="AV570" s="6">
        <v>0.96974131</v>
      </c>
      <c r="AW570" s="6">
        <v>0.97311308</v>
      </c>
      <c r="AX570" s="6">
        <v>0.96580418</v>
      </c>
      <c r="AY570" s="6">
        <v>0.96229362</v>
      </c>
      <c r="AZ570" s="6">
        <v>0.97128734</v>
      </c>
      <c r="BA570" s="6">
        <v>0.96960354</v>
      </c>
      <c r="BB570" s="6">
        <v>0.02655167</v>
      </c>
      <c r="BC570" s="6">
        <v>0.03025869</v>
      </c>
      <c r="BD570" s="6">
        <v>0.02688692</v>
      </c>
      <c r="BE570" s="6">
        <v>0.03419582</v>
      </c>
      <c r="BF570" s="6">
        <v>0.03770638</v>
      </c>
      <c r="BG570" s="6">
        <v>0.02871266</v>
      </c>
      <c r="BH570" s="6">
        <v>0.03039646</v>
      </c>
      <c r="BI570" s="6">
        <v>0.21470859</v>
      </c>
      <c r="BJ570" s="6">
        <v>0.12366373</v>
      </c>
      <c r="BK570" s="6">
        <v>0.1409291</v>
      </c>
      <c r="BL570" s="6">
        <v>0.12522516</v>
      </c>
      <c r="BM570" s="6">
        <v>0.1592662</v>
      </c>
      <c r="BN570" s="6">
        <v>0.17561655</v>
      </c>
      <c r="BO570" s="6">
        <v>0.1337285</v>
      </c>
      <c r="BP570" s="6">
        <v>0.14157076</v>
      </c>
      <c r="BQ570" s="6">
        <v>0.05271338</v>
      </c>
      <c r="BR570" s="6">
        <v>0.04748937</v>
      </c>
      <c r="BS570" s="6">
        <v>0.04717221</v>
      </c>
      <c r="BT570" s="6">
        <v>0.03831007</v>
      </c>
      <c r="BU570" s="6">
        <v>0.03960935</v>
      </c>
      <c r="BV570" s="6">
        <v>0.07893475</v>
      </c>
      <c r="BW570" s="6">
        <v>0.06053701</v>
      </c>
      <c r="BX570" s="12">
        <v>7822.54</v>
      </c>
      <c r="BY570" s="13">
        <v>2515</v>
      </c>
      <c r="BZ570" s="12">
        <v>8246.07</v>
      </c>
      <c r="CA570" s="6">
        <f t="shared" si="54"/>
        <v>3.11035387673956</v>
      </c>
      <c r="CB570" s="6">
        <f t="shared" si="55"/>
        <v>0.94863856358241</v>
      </c>
      <c r="CC570" s="7">
        <v>203625777.5</v>
      </c>
      <c r="CD570" s="7">
        <f t="shared" si="50"/>
        <v>2.46936755933433</v>
      </c>
      <c r="CE570" s="8">
        <v>740.8</v>
      </c>
      <c r="CF570" s="8">
        <v>7074.5</v>
      </c>
      <c r="CG570" s="8">
        <v>8142.9</v>
      </c>
      <c r="CH570" s="8">
        <v>45517</v>
      </c>
      <c r="CI570" s="14">
        <v>1</v>
      </c>
      <c r="CJ570" s="14">
        <v>0</v>
      </c>
      <c r="CK570" s="14">
        <f t="shared" si="51"/>
        <v>0</v>
      </c>
      <c r="CL570">
        <f t="shared" si="52"/>
        <v>1.51591455826218</v>
      </c>
      <c r="CM570">
        <f t="shared" si="53"/>
        <v>0</v>
      </c>
      <c r="CN570" s="15">
        <v>7823</v>
      </c>
      <c r="CO570" s="15">
        <v>6819.03</v>
      </c>
      <c r="CP570" s="15">
        <v>476.83</v>
      </c>
      <c r="CQ570" s="15">
        <v>1453.98</v>
      </c>
      <c r="CR570" s="15">
        <v>202.48</v>
      </c>
      <c r="CS570" s="15">
        <v>9.8</v>
      </c>
      <c r="CT570" s="15">
        <v>289.55</v>
      </c>
      <c r="CU570" s="15">
        <v>3.84</v>
      </c>
      <c r="CV570" s="15">
        <v>31.17</v>
      </c>
      <c r="CW570" s="15">
        <v>1289.52</v>
      </c>
    </row>
    <row r="571" spans="1:101">
      <c r="A571" s="6">
        <v>2019</v>
      </c>
      <c r="B571" s="6" t="s">
        <v>122</v>
      </c>
      <c r="C571" s="6">
        <v>0.38716054</v>
      </c>
      <c r="D571" s="6">
        <v>0.061476</v>
      </c>
      <c r="E571" s="6">
        <v>0.014731</v>
      </c>
      <c r="F571" s="6">
        <v>0.027122</v>
      </c>
      <c r="G571" s="6">
        <v>0.009296</v>
      </c>
      <c r="H571" s="6">
        <v>0.010328</v>
      </c>
      <c r="I571" s="6">
        <v>0.064042</v>
      </c>
      <c r="J571" s="6">
        <v>0.032375</v>
      </c>
      <c r="K571" s="6">
        <v>0.43065431</v>
      </c>
      <c r="L571" s="6">
        <v>0.30777995</v>
      </c>
      <c r="M571" s="6">
        <v>0.37393349</v>
      </c>
      <c r="N571" s="6">
        <v>0.24629824</v>
      </c>
      <c r="O571" s="6">
        <v>0.27947709</v>
      </c>
      <c r="P571" s="6">
        <v>0.62352502</v>
      </c>
      <c r="Q571" s="6">
        <v>0.50866674</v>
      </c>
      <c r="R571" s="6">
        <v>217.69486</v>
      </c>
      <c r="S571" s="6">
        <v>0.00197825</v>
      </c>
      <c r="T571" s="6">
        <v>169.97573</v>
      </c>
      <c r="U571" s="6">
        <v>0.00181073</v>
      </c>
      <c r="V571" s="6">
        <v>197.11803</v>
      </c>
      <c r="W571" s="6">
        <v>0.001897</v>
      </c>
      <c r="X571" s="6">
        <v>134.47093</v>
      </c>
      <c r="Y571" s="6">
        <v>0.00183161</v>
      </c>
      <c r="Z571" s="6">
        <v>134.86767</v>
      </c>
      <c r="AA571" s="6">
        <v>0.00207223</v>
      </c>
      <c r="AB571" s="6">
        <v>294.9318</v>
      </c>
      <c r="AC571" s="6">
        <v>0.00211413</v>
      </c>
      <c r="AD571" s="6">
        <v>243.86163</v>
      </c>
      <c r="AE571" s="6">
        <v>0.00208588</v>
      </c>
      <c r="AF571" s="6">
        <v>775</v>
      </c>
      <c r="AG571" s="6">
        <v>-0.01231567</v>
      </c>
      <c r="AH571" s="6">
        <v>-0.01143299</v>
      </c>
      <c r="AI571" s="6">
        <v>-0.01188943</v>
      </c>
      <c r="AJ571" s="6">
        <v>-0.01154383</v>
      </c>
      <c r="AK571" s="6">
        <v>-0.01280459</v>
      </c>
      <c r="AL571" s="6">
        <v>-0.01302118</v>
      </c>
      <c r="AM571" s="6">
        <v>-0.01287524</v>
      </c>
      <c r="AN571" s="6">
        <v>-6.4762184</v>
      </c>
      <c r="AO571" s="6">
        <v>-6.4515561</v>
      </c>
      <c r="AP571" s="6">
        <v>-6.4739881</v>
      </c>
      <c r="AQ571" s="6">
        <v>-6.4253629</v>
      </c>
      <c r="AR571" s="6">
        <v>-6.4020076</v>
      </c>
      <c r="AS571" s="6">
        <v>-6.4618417</v>
      </c>
      <c r="AT571" s="6">
        <v>-6.4506396</v>
      </c>
      <c r="AU571" s="6">
        <v>0.97344833</v>
      </c>
      <c r="AV571" s="6">
        <v>0.96974131</v>
      </c>
      <c r="AW571" s="6">
        <v>0.97311308</v>
      </c>
      <c r="AX571" s="6">
        <v>0.96580418</v>
      </c>
      <c r="AY571" s="6">
        <v>0.96229362</v>
      </c>
      <c r="AZ571" s="6">
        <v>0.97128734</v>
      </c>
      <c r="BA571" s="6">
        <v>0.96960354</v>
      </c>
      <c r="BB571" s="6">
        <v>0.02655167</v>
      </c>
      <c r="BC571" s="6">
        <v>0.03025869</v>
      </c>
      <c r="BD571" s="6">
        <v>0.02688692</v>
      </c>
      <c r="BE571" s="6">
        <v>0.03419582</v>
      </c>
      <c r="BF571" s="6">
        <v>0.03770638</v>
      </c>
      <c r="BG571" s="6">
        <v>0.02871266</v>
      </c>
      <c r="BH571" s="6">
        <v>0.03039646</v>
      </c>
      <c r="BI571" s="6">
        <v>0.21470859</v>
      </c>
      <c r="BJ571" s="6">
        <v>0.12366373</v>
      </c>
      <c r="BK571" s="6">
        <v>0.1409291</v>
      </c>
      <c r="BL571" s="6">
        <v>0.12522516</v>
      </c>
      <c r="BM571" s="6">
        <v>0.1592662</v>
      </c>
      <c r="BN571" s="6">
        <v>0.17561655</v>
      </c>
      <c r="BO571" s="6">
        <v>0.1337285</v>
      </c>
      <c r="BP571" s="6">
        <v>0.14157076</v>
      </c>
      <c r="BQ571" s="6">
        <v>0.05325632</v>
      </c>
      <c r="BR571" s="6">
        <v>0.04337515</v>
      </c>
      <c r="BS571" s="6">
        <v>0.04682588</v>
      </c>
      <c r="BT571" s="6">
        <v>0.03922698</v>
      </c>
      <c r="BU571" s="6">
        <v>0.0490808</v>
      </c>
      <c r="BV571" s="6">
        <v>0.08338306</v>
      </c>
      <c r="BW571" s="6">
        <v>0.07201234</v>
      </c>
      <c r="BX571" s="12">
        <v>7760.76</v>
      </c>
      <c r="BY571" s="13">
        <v>2509</v>
      </c>
      <c r="BZ571" s="12">
        <v>8718.3</v>
      </c>
      <c r="CA571" s="6">
        <f t="shared" si="54"/>
        <v>3.09316859306497</v>
      </c>
      <c r="CB571" s="6">
        <f t="shared" si="55"/>
        <v>0.890168954956815</v>
      </c>
      <c r="CC571" s="7">
        <v>206880301.6</v>
      </c>
      <c r="CD571" s="7">
        <f t="shared" si="50"/>
        <v>2.37294313799709</v>
      </c>
      <c r="CE571" s="8">
        <v>825.3</v>
      </c>
      <c r="CF571" s="8">
        <v>7466.3</v>
      </c>
      <c r="CG571" s="8">
        <v>8670</v>
      </c>
      <c r="CH571" s="8">
        <v>48469</v>
      </c>
      <c r="CI571" s="14">
        <v>1</v>
      </c>
      <c r="CJ571" s="14">
        <v>0</v>
      </c>
      <c r="CK571" s="14">
        <f t="shared" si="51"/>
        <v>0</v>
      </c>
      <c r="CL571">
        <f t="shared" si="52"/>
        <v>1.5000536746505</v>
      </c>
      <c r="CM571">
        <f t="shared" si="53"/>
        <v>0</v>
      </c>
      <c r="CN571" s="15">
        <v>7818</v>
      </c>
      <c r="CO571" s="15">
        <v>6810.16</v>
      </c>
      <c r="CP571" s="15">
        <v>525.68</v>
      </c>
      <c r="CQ571" s="15">
        <v>1479.96</v>
      </c>
      <c r="CR571" s="15">
        <v>208.78</v>
      </c>
      <c r="CS571" s="15">
        <v>10.49</v>
      </c>
      <c r="CT571" s="15">
        <v>281.82</v>
      </c>
      <c r="CU571" s="15">
        <v>3.47</v>
      </c>
      <c r="CV571" s="15">
        <v>32.93</v>
      </c>
      <c r="CW571" s="15">
        <v>1288.05</v>
      </c>
    </row>
    <row r="572" spans="1:101">
      <c r="A572" s="6">
        <v>2020</v>
      </c>
      <c r="B572" s="6" t="s">
        <v>122</v>
      </c>
      <c r="C572" s="6">
        <v>0.39762074</v>
      </c>
      <c r="D572" s="6">
        <v>0.06382</v>
      </c>
      <c r="E572" s="6">
        <v>0.016122</v>
      </c>
      <c r="F572" s="6">
        <v>0.028222</v>
      </c>
      <c r="G572" s="6">
        <v>0.008773</v>
      </c>
      <c r="H572" s="6">
        <v>0.010702</v>
      </c>
      <c r="I572" s="6">
        <v>0.063548</v>
      </c>
      <c r="J572" s="6">
        <v>0.033419</v>
      </c>
      <c r="K572" s="6">
        <v>0.44904021</v>
      </c>
      <c r="L572" s="6">
        <v>0.34067692</v>
      </c>
      <c r="M572" s="6">
        <v>0.3908522</v>
      </c>
      <c r="N572" s="6">
        <v>0.23084723</v>
      </c>
      <c r="O572" s="6">
        <v>0.29082391</v>
      </c>
      <c r="P572" s="6">
        <v>0.61802267</v>
      </c>
      <c r="Q572" s="6">
        <v>0.52728429</v>
      </c>
      <c r="R572" s="6">
        <v>217.69486</v>
      </c>
      <c r="S572" s="6">
        <v>0.0020627</v>
      </c>
      <c r="T572" s="6">
        <v>169.97573</v>
      </c>
      <c r="U572" s="6">
        <v>0.00200427</v>
      </c>
      <c r="V572" s="6">
        <v>197.11803</v>
      </c>
      <c r="W572" s="6">
        <v>0.00198283</v>
      </c>
      <c r="X572" s="6">
        <v>134.47093</v>
      </c>
      <c r="Y572" s="6">
        <v>0.00171671</v>
      </c>
      <c r="Z572" s="6">
        <v>134.86767</v>
      </c>
      <c r="AA572" s="6">
        <v>0.00215636</v>
      </c>
      <c r="AB572" s="6">
        <v>294.9318</v>
      </c>
      <c r="AC572" s="6">
        <v>0.00209548</v>
      </c>
      <c r="AD572" s="6">
        <v>243.86163</v>
      </c>
      <c r="AE572" s="6">
        <v>0.00216223</v>
      </c>
      <c r="AF572" s="6">
        <v>775</v>
      </c>
      <c r="AG572" s="6">
        <v>-0.01275522</v>
      </c>
      <c r="AH572" s="6">
        <v>-0.01245147</v>
      </c>
      <c r="AI572" s="6">
        <v>-0.01233963</v>
      </c>
      <c r="AJ572" s="6">
        <v>-0.01093087</v>
      </c>
      <c r="AK572" s="6">
        <v>-0.01323864</v>
      </c>
      <c r="AL572" s="6">
        <v>-0.01292485</v>
      </c>
      <c r="AM572" s="6">
        <v>-0.01326876</v>
      </c>
      <c r="AN572" s="6">
        <v>-6.4762184</v>
      </c>
      <c r="AO572" s="6">
        <v>-6.4515561</v>
      </c>
      <c r="AP572" s="6">
        <v>-6.4739881</v>
      </c>
      <c r="AQ572" s="6">
        <v>-6.4253629</v>
      </c>
      <c r="AR572" s="6">
        <v>-6.4020076</v>
      </c>
      <c r="AS572" s="6">
        <v>-6.4618417</v>
      </c>
      <c r="AT572" s="6">
        <v>-6.4506396</v>
      </c>
      <c r="AU572" s="6">
        <v>0.97344833</v>
      </c>
      <c r="AV572" s="6">
        <v>0.96974131</v>
      </c>
      <c r="AW572" s="6">
        <v>0.97311308</v>
      </c>
      <c r="AX572" s="6">
        <v>0.96580418</v>
      </c>
      <c r="AY572" s="6">
        <v>0.96229362</v>
      </c>
      <c r="AZ572" s="6">
        <v>0.97128734</v>
      </c>
      <c r="BA572" s="6">
        <v>0.96960354</v>
      </c>
      <c r="BB572" s="6">
        <v>0.02655167</v>
      </c>
      <c r="BC572" s="6">
        <v>0.03025869</v>
      </c>
      <c r="BD572" s="6">
        <v>0.02688692</v>
      </c>
      <c r="BE572" s="6">
        <v>0.03419582</v>
      </c>
      <c r="BF572" s="6">
        <v>0.03770638</v>
      </c>
      <c r="BG572" s="6">
        <v>0.02871266</v>
      </c>
      <c r="BH572" s="6">
        <v>0.03039646</v>
      </c>
      <c r="BI572" s="6">
        <v>0.21470859</v>
      </c>
      <c r="BJ572" s="6">
        <v>0.12366373</v>
      </c>
      <c r="BK572" s="6">
        <v>0.1409291</v>
      </c>
      <c r="BL572" s="6">
        <v>0.12522516</v>
      </c>
      <c r="BM572" s="6">
        <v>0.1592662</v>
      </c>
      <c r="BN572" s="6">
        <v>0.17561655</v>
      </c>
      <c r="BO572" s="6">
        <v>0.1337285</v>
      </c>
      <c r="BP572" s="6">
        <v>0.14157076</v>
      </c>
      <c r="BQ572" s="6">
        <v>0.05552999</v>
      </c>
      <c r="BR572" s="6">
        <v>0.04801129</v>
      </c>
      <c r="BS572" s="6">
        <v>0.04894453</v>
      </c>
      <c r="BT572" s="6">
        <v>0.03676616</v>
      </c>
      <c r="BU572" s="6">
        <v>0.05107349</v>
      </c>
      <c r="BV572" s="6">
        <v>0.08264724</v>
      </c>
      <c r="BW572" s="6">
        <v>0.07464804</v>
      </c>
      <c r="BX572" s="12">
        <v>8057.21</v>
      </c>
      <c r="BY572" s="13">
        <v>2500.51</v>
      </c>
      <c r="BZ572" s="12">
        <v>9016.7</v>
      </c>
      <c r="CA572" s="6">
        <f t="shared" si="54"/>
        <v>3.22222666576018</v>
      </c>
      <c r="CB572" s="6">
        <f t="shared" si="55"/>
        <v>0.893587454390187</v>
      </c>
      <c r="CC572" s="7">
        <v>211320936</v>
      </c>
      <c r="CD572" s="7">
        <f t="shared" si="50"/>
        <v>2.34366160568722</v>
      </c>
      <c r="CE572" s="8">
        <v>1166.6</v>
      </c>
      <c r="CF572" s="8">
        <v>7703.2</v>
      </c>
      <c r="CG572" s="8">
        <v>8965.8</v>
      </c>
      <c r="CH572" s="8">
        <v>51051</v>
      </c>
      <c r="CI572" s="14">
        <v>1</v>
      </c>
      <c r="CJ572" s="14">
        <v>0</v>
      </c>
      <c r="CK572" s="14">
        <f t="shared" si="51"/>
        <v>0</v>
      </c>
      <c r="CL572">
        <f t="shared" si="52"/>
        <v>1.47141701078949</v>
      </c>
      <c r="CM572">
        <f t="shared" si="53"/>
        <v>0</v>
      </c>
      <c r="CN572" s="15">
        <v>8104.71</v>
      </c>
      <c r="CO572" s="15">
        <v>7245.45</v>
      </c>
      <c r="CP572" s="15">
        <v>582.27</v>
      </c>
      <c r="CQ572" s="15">
        <v>1483.92</v>
      </c>
      <c r="CR572" s="15">
        <v>209.57</v>
      </c>
      <c r="CS572" s="15">
        <v>7.6</v>
      </c>
      <c r="CT572" s="15">
        <v>281.55</v>
      </c>
      <c r="CU572" s="15">
        <v>2.23</v>
      </c>
      <c r="CV572" s="15">
        <v>35.38</v>
      </c>
      <c r="CW572" s="15">
        <v>1376</v>
      </c>
    </row>
    <row r="573" spans="1:101">
      <c r="A573" s="6">
        <v>2021</v>
      </c>
      <c r="B573" s="6" t="s">
        <v>122</v>
      </c>
      <c r="C573" s="6">
        <v>0.42114543</v>
      </c>
      <c r="D573" s="6">
        <v>0.069246</v>
      </c>
      <c r="E573" s="6">
        <v>0.017748</v>
      </c>
      <c r="F573" s="6">
        <v>0.031505</v>
      </c>
      <c r="G573" s="6">
        <v>0.010341</v>
      </c>
      <c r="H573" s="6">
        <v>0.009652</v>
      </c>
      <c r="I573" s="6">
        <v>0.06777</v>
      </c>
      <c r="J573" s="6">
        <v>0.032804</v>
      </c>
      <c r="K573" s="6">
        <v>0.49159949</v>
      </c>
      <c r="L573" s="6">
        <v>0.37910597</v>
      </c>
      <c r="M573" s="6">
        <v>0.44130837</v>
      </c>
      <c r="N573" s="6">
        <v>0.27717683</v>
      </c>
      <c r="O573" s="6">
        <v>0.25900599</v>
      </c>
      <c r="P573" s="6">
        <v>0.6650528</v>
      </c>
      <c r="Q573" s="6">
        <v>0.51631617</v>
      </c>
      <c r="R573" s="6">
        <v>217.69486</v>
      </c>
      <c r="S573" s="6">
        <v>0.0022582</v>
      </c>
      <c r="T573" s="6">
        <v>169.97573</v>
      </c>
      <c r="U573" s="6">
        <v>0.00223035</v>
      </c>
      <c r="V573" s="6">
        <v>197.11803</v>
      </c>
      <c r="W573" s="6">
        <v>0.0022388</v>
      </c>
      <c r="X573" s="6">
        <v>134.47093</v>
      </c>
      <c r="Y573" s="6">
        <v>0.00206124</v>
      </c>
      <c r="Z573" s="6">
        <v>134.86767</v>
      </c>
      <c r="AA573" s="6">
        <v>0.00192045</v>
      </c>
      <c r="AB573" s="6">
        <v>294.9318</v>
      </c>
      <c r="AC573" s="6">
        <v>0.00225494</v>
      </c>
      <c r="AD573" s="6">
        <v>243.86163</v>
      </c>
      <c r="AE573" s="6">
        <v>0.00211725</v>
      </c>
      <c r="AF573" s="6">
        <v>775</v>
      </c>
      <c r="AG573" s="6">
        <v>-0.01375966</v>
      </c>
      <c r="AH573" s="6">
        <v>-0.01361764</v>
      </c>
      <c r="AI573" s="6">
        <v>-0.01366076</v>
      </c>
      <c r="AJ573" s="6">
        <v>-0.01274763</v>
      </c>
      <c r="AK573" s="6">
        <v>-0.01201277</v>
      </c>
      <c r="AL573" s="6">
        <v>-0.01374302</v>
      </c>
      <c r="AM573" s="6">
        <v>-0.01303726</v>
      </c>
      <c r="AN573" s="6">
        <v>-6.4762184</v>
      </c>
      <c r="AO573" s="6">
        <v>-6.4515561</v>
      </c>
      <c r="AP573" s="6">
        <v>-6.4739881</v>
      </c>
      <c r="AQ573" s="6">
        <v>-6.4253629</v>
      </c>
      <c r="AR573" s="6">
        <v>-6.4020076</v>
      </c>
      <c r="AS573" s="6">
        <v>-6.4618417</v>
      </c>
      <c r="AT573" s="6">
        <v>-6.4506396</v>
      </c>
      <c r="AU573" s="6">
        <v>0.97344833</v>
      </c>
      <c r="AV573" s="6">
        <v>0.96974131</v>
      </c>
      <c r="AW573" s="6">
        <v>0.97311308</v>
      </c>
      <c r="AX573" s="6">
        <v>0.96580418</v>
      </c>
      <c r="AY573" s="6">
        <v>0.96229362</v>
      </c>
      <c r="AZ573" s="6">
        <v>0.97128734</v>
      </c>
      <c r="BA573" s="6">
        <v>0.96960354</v>
      </c>
      <c r="BB573" s="6">
        <v>0.02655167</v>
      </c>
      <c r="BC573" s="6">
        <v>0.03025869</v>
      </c>
      <c r="BD573" s="6">
        <v>0.02688692</v>
      </c>
      <c r="BE573" s="6">
        <v>0.03419582</v>
      </c>
      <c r="BF573" s="6">
        <v>0.03770638</v>
      </c>
      <c r="BG573" s="6">
        <v>0.02871266</v>
      </c>
      <c r="BH573" s="6">
        <v>0.03039646</v>
      </c>
      <c r="BI573" s="6">
        <v>0.21470859</v>
      </c>
      <c r="BJ573" s="6">
        <v>0.12366373</v>
      </c>
      <c r="BK573" s="6">
        <v>0.1409291</v>
      </c>
      <c r="BL573" s="6">
        <v>0.12522516</v>
      </c>
      <c r="BM573" s="6">
        <v>0.1592662</v>
      </c>
      <c r="BN573" s="6">
        <v>0.17561655</v>
      </c>
      <c r="BO573" s="6">
        <v>0.1337285</v>
      </c>
      <c r="BP573" s="6">
        <v>0.14157076</v>
      </c>
      <c r="BQ573" s="6">
        <v>0.06079303</v>
      </c>
      <c r="BR573" s="6">
        <v>0.05342706</v>
      </c>
      <c r="BS573" s="6">
        <v>0.05526291</v>
      </c>
      <c r="BT573" s="6">
        <v>0.0441449</v>
      </c>
      <c r="BU573" s="6">
        <v>0.04548574</v>
      </c>
      <c r="BV573" s="6">
        <v>0.08893651</v>
      </c>
      <c r="BW573" s="6">
        <v>0.07309527</v>
      </c>
      <c r="BX573" s="12">
        <v>8359.68</v>
      </c>
      <c r="BY573" s="13">
        <v>2490</v>
      </c>
      <c r="BZ573" s="12">
        <v>10243.3</v>
      </c>
      <c r="CA573" s="6">
        <f t="shared" si="54"/>
        <v>3.35730120481928</v>
      </c>
      <c r="CB573" s="6">
        <f t="shared" si="55"/>
        <v>0.816111995157811</v>
      </c>
      <c r="CC573" s="7">
        <v>223043051.2</v>
      </c>
      <c r="CD573" s="7">
        <f t="shared" si="50"/>
        <v>2.17745307859772</v>
      </c>
      <c r="CE573" s="8">
        <v>1286.9</v>
      </c>
      <c r="CF573" s="8">
        <v>11578.1</v>
      </c>
      <c r="CG573" s="8">
        <v>10005.4</v>
      </c>
      <c r="CH573" s="8">
        <v>65625</v>
      </c>
      <c r="CI573" s="14">
        <v>1</v>
      </c>
      <c r="CJ573" s="14">
        <v>0</v>
      </c>
      <c r="CK573" s="14">
        <f t="shared" si="51"/>
        <v>0</v>
      </c>
      <c r="CL573">
        <f t="shared" si="52"/>
        <v>1.36781889095748</v>
      </c>
      <c r="CM573">
        <f t="shared" si="53"/>
        <v>0</v>
      </c>
      <c r="CN573" s="15">
        <v>8434.23</v>
      </c>
      <c r="CO573" s="15">
        <v>8022.49</v>
      </c>
      <c r="CP573" s="15">
        <v>595.19</v>
      </c>
      <c r="CQ573" s="15">
        <v>1487.54</v>
      </c>
      <c r="CR573" s="15">
        <v>223.71</v>
      </c>
      <c r="CS573" s="15">
        <v>7.53</v>
      </c>
      <c r="CT573" s="15">
        <v>249.14</v>
      </c>
      <c r="CU573" s="15">
        <v>1.67</v>
      </c>
      <c r="CV573" s="15">
        <v>37.49</v>
      </c>
      <c r="CW573" s="15">
        <v>1495</v>
      </c>
    </row>
    <row r="574" spans="1:101">
      <c r="A574" s="6">
        <v>2022</v>
      </c>
      <c r="B574" s="6" t="s">
        <v>122</v>
      </c>
      <c r="C574" s="6">
        <v>0.43042765</v>
      </c>
      <c r="D574" s="6">
        <v>0.068584</v>
      </c>
      <c r="E574" s="6">
        <v>0.016908</v>
      </c>
      <c r="F574" s="6">
        <v>0.030621</v>
      </c>
      <c r="G574" s="6">
        <v>0.00937</v>
      </c>
      <c r="H574" s="6">
        <v>0.011685</v>
      </c>
      <c r="I574" s="6">
        <v>0.068319</v>
      </c>
      <c r="J574" s="6">
        <v>0.035717</v>
      </c>
      <c r="K574" s="6">
        <v>0.48640693</v>
      </c>
      <c r="L574" s="6">
        <v>0.35925175</v>
      </c>
      <c r="M574" s="6">
        <v>0.42772169</v>
      </c>
      <c r="N574" s="6">
        <v>0.24847616</v>
      </c>
      <c r="O574" s="6">
        <v>0.32060733</v>
      </c>
      <c r="P574" s="6">
        <v>0.67116798</v>
      </c>
      <c r="Q574" s="6">
        <v>0.56829615</v>
      </c>
      <c r="R574" s="6">
        <v>217.69486</v>
      </c>
      <c r="S574" s="6">
        <v>0.00223435</v>
      </c>
      <c r="T574" s="6">
        <v>169.97573</v>
      </c>
      <c r="U574" s="6">
        <v>0.00211355</v>
      </c>
      <c r="V574" s="6">
        <v>197.11803</v>
      </c>
      <c r="W574" s="6">
        <v>0.00216988</v>
      </c>
      <c r="X574" s="6">
        <v>134.47093</v>
      </c>
      <c r="Y574" s="6">
        <v>0.00184781</v>
      </c>
      <c r="Z574" s="6">
        <v>134.86767</v>
      </c>
      <c r="AA574" s="6">
        <v>0.0023772</v>
      </c>
      <c r="AB574" s="6">
        <v>294.9318</v>
      </c>
      <c r="AC574" s="6">
        <v>0.00227567</v>
      </c>
      <c r="AD574" s="6">
        <v>243.86163</v>
      </c>
      <c r="AE574" s="6">
        <v>0.0023304</v>
      </c>
      <c r="AF574" s="6">
        <v>775</v>
      </c>
      <c r="AG574" s="6">
        <v>-0.01363805</v>
      </c>
      <c r="AH574" s="6">
        <v>-0.01301816</v>
      </c>
      <c r="AI574" s="6">
        <v>-0.01330803</v>
      </c>
      <c r="AJ574" s="6">
        <v>-0.01162964</v>
      </c>
      <c r="AK574" s="6">
        <v>-0.01436264</v>
      </c>
      <c r="AL574" s="6">
        <v>-0.01384856</v>
      </c>
      <c r="AM574" s="6">
        <v>-0.01412624</v>
      </c>
      <c r="AN574" s="6">
        <v>-6.4762184</v>
      </c>
      <c r="AO574" s="6">
        <v>-6.4515561</v>
      </c>
      <c r="AP574" s="6">
        <v>-6.4739881</v>
      </c>
      <c r="AQ574" s="6">
        <v>-6.4253629</v>
      </c>
      <c r="AR574" s="6">
        <v>-6.4020076</v>
      </c>
      <c r="AS574" s="6">
        <v>-6.4618417</v>
      </c>
      <c r="AT574" s="6">
        <v>-6.4506396</v>
      </c>
      <c r="AU574" s="6">
        <v>0.97344833</v>
      </c>
      <c r="AV574" s="6">
        <v>0.96974131</v>
      </c>
      <c r="AW574" s="6">
        <v>0.97311308</v>
      </c>
      <c r="AX574" s="6">
        <v>0.96580418</v>
      </c>
      <c r="AY574" s="6">
        <v>0.96229362</v>
      </c>
      <c r="AZ574" s="6">
        <v>0.97128734</v>
      </c>
      <c r="BA574" s="6">
        <v>0.96960354</v>
      </c>
      <c r="BB574" s="6">
        <v>0.02655167</v>
      </c>
      <c r="BC574" s="6">
        <v>0.03025869</v>
      </c>
      <c r="BD574" s="6">
        <v>0.02688692</v>
      </c>
      <c r="BE574" s="6">
        <v>0.03419582</v>
      </c>
      <c r="BF574" s="6">
        <v>0.03770638</v>
      </c>
      <c r="BG574" s="6">
        <v>0.02871266</v>
      </c>
      <c r="BH574" s="6">
        <v>0.03039646</v>
      </c>
      <c r="BI574" s="6">
        <v>0.21470859</v>
      </c>
      <c r="BJ574" s="6">
        <v>0.12366373</v>
      </c>
      <c r="BK574" s="6">
        <v>0.1409291</v>
      </c>
      <c r="BL574" s="6">
        <v>0.12522516</v>
      </c>
      <c r="BM574" s="6">
        <v>0.1592662</v>
      </c>
      <c r="BN574" s="6">
        <v>0.17561655</v>
      </c>
      <c r="BO574" s="6">
        <v>0.1337285</v>
      </c>
      <c r="BP574" s="6">
        <v>0.14157076</v>
      </c>
      <c r="BQ574" s="6">
        <v>0.0601509</v>
      </c>
      <c r="BR574" s="6">
        <v>0.05062902</v>
      </c>
      <c r="BS574" s="6">
        <v>0.05356152</v>
      </c>
      <c r="BT574" s="6">
        <v>0.03957386</v>
      </c>
      <c r="BU574" s="6">
        <v>0.05630395</v>
      </c>
      <c r="BV574" s="6">
        <v>0.08975428</v>
      </c>
      <c r="BW574" s="6">
        <v>0.08045412</v>
      </c>
      <c r="BX574" s="12">
        <v>8576.64</v>
      </c>
      <c r="BY574" s="13">
        <v>2492</v>
      </c>
      <c r="BZ574" s="12">
        <v>11201.6</v>
      </c>
      <c r="CA574" s="6">
        <f t="shared" si="54"/>
        <v>3.44166934189406</v>
      </c>
      <c r="CB574" s="6">
        <f t="shared" si="55"/>
        <v>0.765662048278817</v>
      </c>
      <c r="CC574" s="7">
        <v>220989095.4</v>
      </c>
      <c r="CD574" s="7">
        <f t="shared" si="50"/>
        <v>1.97283508963005</v>
      </c>
      <c r="CE574" s="8">
        <v>1335.3</v>
      </c>
      <c r="CF574" s="8">
        <v>13848.5</v>
      </c>
      <c r="CG574" s="8">
        <v>10400</v>
      </c>
      <c r="CH574" s="8">
        <v>73506</v>
      </c>
      <c r="CI574" s="14">
        <v>1</v>
      </c>
      <c r="CJ574" s="14">
        <v>0</v>
      </c>
      <c r="CK574" s="14">
        <f t="shared" si="51"/>
        <v>0</v>
      </c>
      <c r="CL574">
        <f t="shared" si="52"/>
        <v>1.27047633725244</v>
      </c>
      <c r="CM574">
        <f t="shared" si="53"/>
        <v>0</v>
      </c>
      <c r="CN574" s="15">
        <v>8667.89</v>
      </c>
      <c r="CO574" s="15">
        <v>8731.79</v>
      </c>
      <c r="CP574" s="15">
        <v>613.78</v>
      </c>
      <c r="CQ574" s="15">
        <v>1471.87</v>
      </c>
      <c r="CR574" s="15">
        <v>191.13</v>
      </c>
      <c r="CS574" s="15">
        <v>7.53</v>
      </c>
      <c r="CT574" s="15">
        <v>290.16</v>
      </c>
      <c r="CU574" s="15">
        <v>1.4</v>
      </c>
      <c r="CV574" s="15">
        <v>39.01</v>
      </c>
      <c r="CW574" s="15">
        <v>1500.69</v>
      </c>
    </row>
    <row r="575" spans="1:101">
      <c r="A575" s="6">
        <v>2023</v>
      </c>
      <c r="B575" s="6" t="s">
        <v>122</v>
      </c>
      <c r="C575" s="6">
        <v>0.49900512</v>
      </c>
      <c r="D575" s="6">
        <v>0.070847</v>
      </c>
      <c r="E575" s="6">
        <v>0.018993</v>
      </c>
      <c r="F575" s="6">
        <v>0.032662</v>
      </c>
      <c r="G575" s="6">
        <v>0.011324</v>
      </c>
      <c r="H575" s="6">
        <v>0.016643</v>
      </c>
      <c r="I575" s="6">
        <v>0.071793</v>
      </c>
      <c r="J575" s="6">
        <v>0.041556</v>
      </c>
      <c r="K575" s="6">
        <v>0.50415819</v>
      </c>
      <c r="L575" s="6">
        <v>0.40855212</v>
      </c>
      <c r="M575" s="6">
        <v>0.45909099</v>
      </c>
      <c r="N575" s="6">
        <v>0.30623646</v>
      </c>
      <c r="O575" s="6">
        <v>0.47084955</v>
      </c>
      <c r="P575" s="6">
        <v>0.70986255</v>
      </c>
      <c r="Q575" s="6">
        <v>0.67246559</v>
      </c>
      <c r="R575" s="6">
        <v>217.69486</v>
      </c>
      <c r="S575" s="6">
        <v>0.00231589</v>
      </c>
      <c r="T575" s="6">
        <v>169.97573</v>
      </c>
      <c r="U575" s="6">
        <v>0.00240359</v>
      </c>
      <c r="V575" s="6">
        <v>197.11803</v>
      </c>
      <c r="W575" s="6">
        <v>0.00232902</v>
      </c>
      <c r="X575" s="6">
        <v>134.47093</v>
      </c>
      <c r="Y575" s="6">
        <v>0.00227734</v>
      </c>
      <c r="Z575" s="6">
        <v>134.86767</v>
      </c>
      <c r="AA575" s="6">
        <v>0.0034912</v>
      </c>
      <c r="AB575" s="6">
        <v>294.9318</v>
      </c>
      <c r="AC575" s="6">
        <v>0.00240687</v>
      </c>
      <c r="AD575" s="6">
        <v>243.86163</v>
      </c>
      <c r="AE575" s="6">
        <v>0.00275757</v>
      </c>
      <c r="AF575" s="6">
        <v>775</v>
      </c>
      <c r="AG575" s="6">
        <v>-0.01405275</v>
      </c>
      <c r="AH575" s="6">
        <v>-0.01449556</v>
      </c>
      <c r="AI575" s="6">
        <v>-0.01411921</v>
      </c>
      <c r="AJ575" s="6">
        <v>-0.01385705</v>
      </c>
      <c r="AK575" s="6">
        <v>-0.01975148</v>
      </c>
      <c r="AL575" s="6">
        <v>-0.01451205</v>
      </c>
      <c r="AM575" s="6">
        <v>-0.01625148</v>
      </c>
      <c r="AN575" s="6">
        <v>-6.4762184</v>
      </c>
      <c r="AO575" s="6">
        <v>-6.4515561</v>
      </c>
      <c r="AP575" s="6">
        <v>-6.4739881</v>
      </c>
      <c r="AQ575" s="6">
        <v>-6.4253629</v>
      </c>
      <c r="AR575" s="6">
        <v>-6.4020076</v>
      </c>
      <c r="AS575" s="6">
        <v>-6.4618417</v>
      </c>
      <c r="AT575" s="6">
        <v>-6.4506396</v>
      </c>
      <c r="AU575" s="6">
        <v>0.97344833</v>
      </c>
      <c r="AV575" s="6">
        <v>0.96974131</v>
      </c>
      <c r="AW575" s="6">
        <v>0.97311308</v>
      </c>
      <c r="AX575" s="6">
        <v>0.96580418</v>
      </c>
      <c r="AY575" s="6">
        <v>0.96229362</v>
      </c>
      <c r="AZ575" s="6">
        <v>0.97128734</v>
      </c>
      <c r="BA575" s="6">
        <v>0.96960354</v>
      </c>
      <c r="BB575" s="6">
        <v>0.02655167</v>
      </c>
      <c r="BC575" s="6">
        <v>0.03025869</v>
      </c>
      <c r="BD575" s="6">
        <v>0.02688692</v>
      </c>
      <c r="BE575" s="6">
        <v>0.03419582</v>
      </c>
      <c r="BF575" s="6">
        <v>0.03770638</v>
      </c>
      <c r="BG575" s="6">
        <v>0.02871266</v>
      </c>
      <c r="BH575" s="6">
        <v>0.03039646</v>
      </c>
      <c r="BI575" s="6">
        <v>0.21470859</v>
      </c>
      <c r="BJ575" s="6">
        <v>0.12366373</v>
      </c>
      <c r="BK575" s="6">
        <v>0.1409291</v>
      </c>
      <c r="BL575" s="6">
        <v>0.12522516</v>
      </c>
      <c r="BM575" s="6">
        <v>0.1592662</v>
      </c>
      <c r="BN575" s="6">
        <v>0.17561655</v>
      </c>
      <c r="BO575" s="6">
        <v>0.1337285</v>
      </c>
      <c r="BP575" s="6">
        <v>0.14157076</v>
      </c>
      <c r="BQ575" s="6">
        <v>0.06234608</v>
      </c>
      <c r="BR575" s="6">
        <v>0.05757688</v>
      </c>
      <c r="BS575" s="6">
        <v>0.05748974</v>
      </c>
      <c r="BT575" s="6">
        <v>0.04877312</v>
      </c>
      <c r="BU575" s="6">
        <v>0.08268897</v>
      </c>
      <c r="BV575" s="6">
        <v>0.09492885</v>
      </c>
      <c r="BW575" s="6">
        <v>0.09520147</v>
      </c>
      <c r="BX575" s="12">
        <v>8988.74</v>
      </c>
      <c r="BY575" s="13">
        <v>2465</v>
      </c>
      <c r="BZ575" s="12">
        <v>11863.8</v>
      </c>
      <c r="CA575" s="6">
        <f t="shared" si="54"/>
        <v>3.6465476673428</v>
      </c>
      <c r="CB575" s="6">
        <f t="shared" si="55"/>
        <v>0.757661120383014</v>
      </c>
      <c r="CC575" s="7">
        <v>237460165.4</v>
      </c>
      <c r="CD575" s="7">
        <f t="shared" si="50"/>
        <v>2.00155233061919</v>
      </c>
      <c r="CE575" s="8">
        <v>1388.9</v>
      </c>
      <c r="CF575" s="8">
        <v>13329.7</v>
      </c>
      <c r="CG575" s="8">
        <v>10979.6</v>
      </c>
      <c r="CH575" s="8">
        <v>73984</v>
      </c>
      <c r="CI575" s="14">
        <v>1</v>
      </c>
      <c r="CJ575" s="14">
        <v>0</v>
      </c>
      <c r="CK575" s="14">
        <f t="shared" si="51"/>
        <v>0</v>
      </c>
      <c r="CL575">
        <f t="shared" si="52"/>
        <v>1.2756783895882</v>
      </c>
      <c r="CM575">
        <f t="shared" si="53"/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</row>
    <row r="576" spans="1:101">
      <c r="A576" s="6">
        <v>2024</v>
      </c>
      <c r="B576" s="6" t="s">
        <v>122</v>
      </c>
      <c r="C576" s="6">
        <v>0.53514702</v>
      </c>
      <c r="D576" s="6">
        <v>0.073054</v>
      </c>
      <c r="E576" s="6">
        <v>0.01973</v>
      </c>
      <c r="F576" s="6">
        <v>0.033896</v>
      </c>
      <c r="G576" s="6">
        <v>0.011909</v>
      </c>
      <c r="H576" s="6">
        <v>0.019243</v>
      </c>
      <c r="I576" s="6">
        <v>0.074185</v>
      </c>
      <c r="J576" s="6">
        <v>0.045124</v>
      </c>
      <c r="K576" s="6">
        <v>0.52147101</v>
      </c>
      <c r="L576" s="6">
        <v>0.42597037</v>
      </c>
      <c r="M576" s="6">
        <v>0.4780579</v>
      </c>
      <c r="N576" s="6">
        <v>0.32353974</v>
      </c>
      <c r="O576" s="6">
        <v>0.54965244</v>
      </c>
      <c r="P576" s="6">
        <v>0.73650624</v>
      </c>
      <c r="Q576" s="6">
        <v>0.73613073</v>
      </c>
      <c r="R576" s="6">
        <v>217.69486</v>
      </c>
      <c r="S576" s="6">
        <v>0.00239542</v>
      </c>
      <c r="T576" s="6">
        <v>169.97573</v>
      </c>
      <c r="U576" s="6">
        <v>0.00250607</v>
      </c>
      <c r="V576" s="6">
        <v>197.11803</v>
      </c>
      <c r="W576" s="6">
        <v>0.00242524</v>
      </c>
      <c r="X576" s="6">
        <v>134.47093</v>
      </c>
      <c r="Y576" s="6">
        <v>0.00240602</v>
      </c>
      <c r="Z576" s="6">
        <v>134.86767</v>
      </c>
      <c r="AA576" s="6">
        <v>0.00407549</v>
      </c>
      <c r="AB576" s="6">
        <v>294.9318</v>
      </c>
      <c r="AC576" s="6">
        <v>0.00249721</v>
      </c>
      <c r="AD576" s="6">
        <v>243.86163</v>
      </c>
      <c r="AE576" s="6">
        <v>0.00301864</v>
      </c>
      <c r="AF576" s="6">
        <v>775</v>
      </c>
      <c r="AG576" s="6">
        <v>-0.01445444</v>
      </c>
      <c r="AH576" s="6">
        <v>-0.01500893</v>
      </c>
      <c r="AI576" s="6">
        <v>-0.01460435</v>
      </c>
      <c r="AJ576" s="6">
        <v>-0.01450777</v>
      </c>
      <c r="AK576" s="6">
        <v>-0.02242648</v>
      </c>
      <c r="AL576" s="6">
        <v>-0.01496473</v>
      </c>
      <c r="AM576" s="6">
        <v>-0.01751702</v>
      </c>
      <c r="AN576" s="6">
        <v>-6.4762184</v>
      </c>
      <c r="AO576" s="6">
        <v>-6.4515561</v>
      </c>
      <c r="AP576" s="6">
        <v>-6.4739881</v>
      </c>
      <c r="AQ576" s="6">
        <v>-6.4253629</v>
      </c>
      <c r="AR576" s="6">
        <v>-6.4020076</v>
      </c>
      <c r="AS576" s="6">
        <v>-6.4618417</v>
      </c>
      <c r="AT576" s="6">
        <v>-6.4506396</v>
      </c>
      <c r="AU576" s="6">
        <v>0.97344833</v>
      </c>
      <c r="AV576" s="6">
        <v>0.96974131</v>
      </c>
      <c r="AW576" s="6">
        <v>0.97311308</v>
      </c>
      <c r="AX576" s="6">
        <v>0.96580418</v>
      </c>
      <c r="AY576" s="6">
        <v>0.96229362</v>
      </c>
      <c r="AZ576" s="6">
        <v>0.97128734</v>
      </c>
      <c r="BA576" s="6">
        <v>0.96960354</v>
      </c>
      <c r="BB576" s="6">
        <v>0.02655167</v>
      </c>
      <c r="BC576" s="6">
        <v>0.03025869</v>
      </c>
      <c r="BD576" s="6">
        <v>0.02688692</v>
      </c>
      <c r="BE576" s="6">
        <v>0.03419582</v>
      </c>
      <c r="BF576" s="6">
        <v>0.03770638</v>
      </c>
      <c r="BG576" s="6">
        <v>0.02871266</v>
      </c>
      <c r="BH576" s="6">
        <v>0.03039646</v>
      </c>
      <c r="BI576" s="6">
        <v>0.21470859</v>
      </c>
      <c r="BJ576" s="6">
        <v>0.12366373</v>
      </c>
      <c r="BK576" s="6">
        <v>0.1409291</v>
      </c>
      <c r="BL576" s="6">
        <v>0.12522516</v>
      </c>
      <c r="BM576" s="6">
        <v>0.1592662</v>
      </c>
      <c r="BN576" s="6">
        <v>0.17561655</v>
      </c>
      <c r="BO576" s="6">
        <v>0.1337285</v>
      </c>
      <c r="BP576" s="6">
        <v>0.14157076</v>
      </c>
      <c r="BQ576" s="6">
        <v>0.06448705</v>
      </c>
      <c r="BR576" s="6">
        <v>0.06003162</v>
      </c>
      <c r="BS576" s="6">
        <v>0.05986488</v>
      </c>
      <c r="BT576" s="6">
        <v>0.05152895</v>
      </c>
      <c r="BU576" s="6">
        <v>0.09652806</v>
      </c>
      <c r="BV576" s="6">
        <v>0.09849187</v>
      </c>
      <c r="BW576" s="6">
        <v>0.10421459</v>
      </c>
      <c r="BX576" s="12">
        <v>9372.06975878091</v>
      </c>
      <c r="BY576" s="13">
        <v>2458</v>
      </c>
      <c r="BZ576" s="12">
        <v>13002.9</v>
      </c>
      <c r="CA576" s="6">
        <f t="shared" si="54"/>
        <v>3.81288436077336</v>
      </c>
      <c r="CB576" s="6">
        <f t="shared" si="55"/>
        <v>0.720767656352115</v>
      </c>
      <c r="CC576" s="7">
        <v>244890779.1</v>
      </c>
      <c r="CD576" s="7">
        <f t="shared" si="50"/>
        <v>1.88335509078744</v>
      </c>
      <c r="CE576" s="8">
        <v>1392.5</v>
      </c>
      <c r="CF576" s="8">
        <v>11021.5</v>
      </c>
      <c r="CG576" s="8">
        <v>13080.7</v>
      </c>
      <c r="CH576" s="8">
        <v>73769</v>
      </c>
      <c r="CI576" s="14">
        <v>1</v>
      </c>
      <c r="CJ576" s="14">
        <v>0</v>
      </c>
      <c r="CK576" s="14">
        <f t="shared" si="51"/>
        <v>0</v>
      </c>
      <c r="CL576">
        <f t="shared" si="52"/>
        <v>1.21200651315194</v>
      </c>
      <c r="CM576">
        <f t="shared" si="53"/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</row>
    <row r="577" spans="1:101">
      <c r="A577" s="6">
        <v>2000</v>
      </c>
      <c r="B577" s="6" t="s">
        <v>123</v>
      </c>
      <c r="C577" s="6">
        <v>0.16398911</v>
      </c>
      <c r="D577" s="6">
        <v>0.028971</v>
      </c>
      <c r="E577" s="6">
        <v>0.00688</v>
      </c>
      <c r="F577" s="6">
        <v>0.0128</v>
      </c>
      <c r="G577" s="6">
        <v>0.003822</v>
      </c>
      <c r="H577" s="6">
        <v>0.005469</v>
      </c>
      <c r="I577" s="6">
        <v>0.032198</v>
      </c>
      <c r="J577" s="6">
        <v>0.016991</v>
      </c>
      <c r="K577" s="6">
        <v>0.17568375</v>
      </c>
      <c r="L577" s="6">
        <v>0.12217224</v>
      </c>
      <c r="M577" s="6">
        <v>0.15380974</v>
      </c>
      <c r="N577" s="6">
        <v>0.08450466</v>
      </c>
      <c r="O577" s="6">
        <v>0.13223112</v>
      </c>
      <c r="P577" s="6">
        <v>0.26884422</v>
      </c>
      <c r="Q577" s="6">
        <v>0.23417325</v>
      </c>
      <c r="R577" s="6">
        <v>217.69486</v>
      </c>
      <c r="S577" s="6">
        <v>0.00080702</v>
      </c>
      <c r="T577" s="6">
        <v>169.97573</v>
      </c>
      <c r="U577" s="6">
        <v>0.00071876</v>
      </c>
      <c r="V577" s="6">
        <v>197.11803</v>
      </c>
      <c r="W577" s="6">
        <v>0.00078029</v>
      </c>
      <c r="X577" s="6">
        <v>134.47093</v>
      </c>
      <c r="Y577" s="6">
        <v>0.00062842</v>
      </c>
      <c r="Z577" s="6">
        <v>134.86767</v>
      </c>
      <c r="AA577" s="6">
        <v>0.00098045</v>
      </c>
      <c r="AB577" s="6">
        <v>294.9318</v>
      </c>
      <c r="AC577" s="6">
        <v>0.00091155</v>
      </c>
      <c r="AD577" s="6">
        <v>243.86163</v>
      </c>
      <c r="AE577" s="6">
        <v>0.00096027</v>
      </c>
      <c r="AF577" s="6">
        <v>775</v>
      </c>
      <c r="AG577" s="6">
        <v>-0.00574772</v>
      </c>
      <c r="AH577" s="6">
        <v>-0.00520239</v>
      </c>
      <c r="AI577" s="6">
        <v>-0.00558365</v>
      </c>
      <c r="AJ577" s="6">
        <v>-0.00463292</v>
      </c>
      <c r="AK577" s="6">
        <v>-0.00679207</v>
      </c>
      <c r="AL577" s="6">
        <v>-0.00638116</v>
      </c>
      <c r="AM577" s="6">
        <v>-0.00667225</v>
      </c>
      <c r="AN577" s="6">
        <v>-6.4762184</v>
      </c>
      <c r="AO577" s="6">
        <v>-6.4515561</v>
      </c>
      <c r="AP577" s="6">
        <v>-6.4739881</v>
      </c>
      <c r="AQ577" s="6">
        <v>-6.4253629</v>
      </c>
      <c r="AR577" s="6">
        <v>-6.4020076</v>
      </c>
      <c r="AS577" s="6">
        <v>-6.4618417</v>
      </c>
      <c r="AT577" s="6">
        <v>-6.4506396</v>
      </c>
      <c r="AU577" s="6">
        <v>0.97344833</v>
      </c>
      <c r="AV577" s="6">
        <v>0.96974131</v>
      </c>
      <c r="AW577" s="6">
        <v>0.97311308</v>
      </c>
      <c r="AX577" s="6">
        <v>0.96580418</v>
      </c>
      <c r="AY577" s="6">
        <v>0.96229362</v>
      </c>
      <c r="AZ577" s="6">
        <v>0.97128734</v>
      </c>
      <c r="BA577" s="6">
        <v>0.96960354</v>
      </c>
      <c r="BB577" s="6">
        <v>0.02655167</v>
      </c>
      <c r="BC577" s="6">
        <v>0.03025869</v>
      </c>
      <c r="BD577" s="6">
        <v>0.02688692</v>
      </c>
      <c r="BE577" s="6">
        <v>0.03419582</v>
      </c>
      <c r="BF577" s="6">
        <v>0.03770638</v>
      </c>
      <c r="BG577" s="6">
        <v>0.02871266</v>
      </c>
      <c r="BH577" s="6">
        <v>0.03039646</v>
      </c>
      <c r="BI577" s="6">
        <v>0.21470859</v>
      </c>
      <c r="BJ577" s="6">
        <v>0.12366373</v>
      </c>
      <c r="BK577" s="6">
        <v>0.1409291</v>
      </c>
      <c r="BL577" s="6">
        <v>0.12522516</v>
      </c>
      <c r="BM577" s="6">
        <v>0.1592662</v>
      </c>
      <c r="BN577" s="6">
        <v>0.17561655</v>
      </c>
      <c r="BO577" s="6">
        <v>0.1337285</v>
      </c>
      <c r="BP577" s="6">
        <v>0.14157076</v>
      </c>
      <c r="BQ577" s="6">
        <v>0.02172571</v>
      </c>
      <c r="BR577" s="6">
        <v>0.01721762</v>
      </c>
      <c r="BS577" s="6">
        <v>0.01926085</v>
      </c>
      <c r="BT577" s="6">
        <v>0.01345874</v>
      </c>
      <c r="BU577" s="6">
        <v>0.02322197</v>
      </c>
      <c r="BV577" s="6">
        <v>0.03595213</v>
      </c>
      <c r="BW577" s="6">
        <v>0.03315209</v>
      </c>
      <c r="BX577" s="12">
        <v>2942.6</v>
      </c>
      <c r="BY577" s="13">
        <v>3409.79</v>
      </c>
      <c r="BZ577" s="12">
        <v>3920.07</v>
      </c>
      <c r="CA577" s="6">
        <f t="shared" si="54"/>
        <v>0.862985697066388</v>
      </c>
      <c r="CB577" s="6">
        <f t="shared" si="55"/>
        <v>0.750649860844322</v>
      </c>
      <c r="CC577" s="7">
        <v>73946781.26</v>
      </c>
      <c r="CD577" s="7">
        <f t="shared" si="50"/>
        <v>1.88636379605466</v>
      </c>
      <c r="CE577" s="8">
        <v>824.7</v>
      </c>
      <c r="CF577" s="8">
        <v>2146.7</v>
      </c>
      <c r="CG577" s="8">
        <v>1656.8</v>
      </c>
      <c r="CH577" s="8">
        <v>6966</v>
      </c>
      <c r="CI577" s="14">
        <v>0</v>
      </c>
      <c r="CJ577" s="14">
        <v>0</v>
      </c>
      <c r="CK577" s="14">
        <f t="shared" si="51"/>
        <v>0</v>
      </c>
      <c r="CL577">
        <f t="shared" si="52"/>
        <v>4.53658228674969</v>
      </c>
      <c r="CM577">
        <f t="shared" si="53"/>
        <v>0.584188343378165</v>
      </c>
      <c r="CN577" s="15">
        <v>3463.4</v>
      </c>
      <c r="CO577" s="15">
        <v>2159.61</v>
      </c>
      <c r="CP577" s="15">
        <v>100.16</v>
      </c>
      <c r="CQ577" s="15">
        <v>358.43</v>
      </c>
      <c r="CR577" s="15">
        <v>105.11</v>
      </c>
      <c r="CS577" s="15">
        <v>7.6</v>
      </c>
      <c r="CT577" s="15">
        <v>213.5</v>
      </c>
      <c r="CU577" s="15">
        <v>53.23</v>
      </c>
      <c r="CV577">
        <v>0</v>
      </c>
      <c r="CW577" s="15">
        <v>401.51</v>
      </c>
    </row>
    <row r="578" spans="1:101">
      <c r="A578" s="6">
        <v>2001</v>
      </c>
      <c r="B578" s="6" t="s">
        <v>123</v>
      </c>
      <c r="C578" s="6">
        <v>0.16759672</v>
      </c>
      <c r="D578" s="6">
        <v>0.032245</v>
      </c>
      <c r="E578" s="6">
        <v>0.007958</v>
      </c>
      <c r="F578" s="6">
        <v>0.015372</v>
      </c>
      <c r="G578" s="6">
        <v>0.00471</v>
      </c>
      <c r="H578" s="6">
        <v>0.004204</v>
      </c>
      <c r="I578" s="6">
        <v>0.033279</v>
      </c>
      <c r="J578" s="6">
        <v>0.014153</v>
      </c>
      <c r="K578" s="6">
        <v>0.20136015</v>
      </c>
      <c r="L578" s="6">
        <v>0.1476443</v>
      </c>
      <c r="M578" s="6">
        <v>0.19334824</v>
      </c>
      <c r="N578" s="6">
        <v>0.11075303</v>
      </c>
      <c r="O578" s="6">
        <v>0.0939102</v>
      </c>
      <c r="P578" s="6">
        <v>0.28088799</v>
      </c>
      <c r="Q578" s="6">
        <v>0.18352804</v>
      </c>
      <c r="R578" s="6">
        <v>217.69486</v>
      </c>
      <c r="S578" s="6">
        <v>0.00092497</v>
      </c>
      <c r="T578" s="6">
        <v>169.97573</v>
      </c>
      <c r="U578" s="6">
        <v>0.00086862</v>
      </c>
      <c r="V578" s="6">
        <v>197.11803</v>
      </c>
      <c r="W578" s="6">
        <v>0.00098088</v>
      </c>
      <c r="X578" s="6">
        <v>134.47093</v>
      </c>
      <c r="Y578" s="6">
        <v>0.00082362</v>
      </c>
      <c r="Z578" s="6">
        <v>134.86767</v>
      </c>
      <c r="AA578" s="6">
        <v>0.00069631</v>
      </c>
      <c r="AB578" s="6">
        <v>294.9318</v>
      </c>
      <c r="AC578" s="6">
        <v>0.00095238</v>
      </c>
      <c r="AD578" s="6">
        <v>243.86163</v>
      </c>
      <c r="AE578" s="6">
        <v>0.00075259</v>
      </c>
      <c r="AF578" s="6">
        <v>775</v>
      </c>
      <c r="AG578" s="6">
        <v>-0.00646158</v>
      </c>
      <c r="AH578" s="6">
        <v>-0.00612256</v>
      </c>
      <c r="AI578" s="6">
        <v>-0.00679459</v>
      </c>
      <c r="AJ578" s="6">
        <v>-0.00584919</v>
      </c>
      <c r="AK578" s="6">
        <v>-0.005062</v>
      </c>
      <c r="AL578" s="6">
        <v>-0.00662529</v>
      </c>
      <c r="AM578" s="6">
        <v>-0.00541263</v>
      </c>
      <c r="AN578" s="6">
        <v>-6.4762184</v>
      </c>
      <c r="AO578" s="6">
        <v>-6.4515561</v>
      </c>
      <c r="AP578" s="6">
        <v>-6.4739881</v>
      </c>
      <c r="AQ578" s="6">
        <v>-6.4253629</v>
      </c>
      <c r="AR578" s="6">
        <v>-6.4020076</v>
      </c>
      <c r="AS578" s="6">
        <v>-6.4618417</v>
      </c>
      <c r="AT578" s="6">
        <v>-6.4506396</v>
      </c>
      <c r="AU578" s="6">
        <v>0.97344833</v>
      </c>
      <c r="AV578" s="6">
        <v>0.96974131</v>
      </c>
      <c r="AW578" s="6">
        <v>0.97311308</v>
      </c>
      <c r="AX578" s="6">
        <v>0.96580418</v>
      </c>
      <c r="AY578" s="6">
        <v>0.96229362</v>
      </c>
      <c r="AZ578" s="6">
        <v>0.97128734</v>
      </c>
      <c r="BA578" s="6">
        <v>0.96960354</v>
      </c>
      <c r="BB578" s="6">
        <v>0.02655167</v>
      </c>
      <c r="BC578" s="6">
        <v>0.03025869</v>
      </c>
      <c r="BD578" s="6">
        <v>0.02688692</v>
      </c>
      <c r="BE578" s="6">
        <v>0.03419582</v>
      </c>
      <c r="BF578" s="6">
        <v>0.03770638</v>
      </c>
      <c r="BG578" s="6">
        <v>0.02871266</v>
      </c>
      <c r="BH578" s="6">
        <v>0.03039646</v>
      </c>
      <c r="BI578" s="6">
        <v>0.21470859</v>
      </c>
      <c r="BJ578" s="6">
        <v>0.12366373</v>
      </c>
      <c r="BK578" s="6">
        <v>0.1409291</v>
      </c>
      <c r="BL578" s="6">
        <v>0.12522516</v>
      </c>
      <c r="BM578" s="6">
        <v>0.1592662</v>
      </c>
      <c r="BN578" s="6">
        <v>0.17561655</v>
      </c>
      <c r="BO578" s="6">
        <v>0.1337285</v>
      </c>
      <c r="BP578" s="6">
        <v>0.14157076</v>
      </c>
      <c r="BQ578" s="6">
        <v>0.02490095</v>
      </c>
      <c r="BR578" s="6">
        <v>0.02080738</v>
      </c>
      <c r="BS578" s="6">
        <v>0.02421206</v>
      </c>
      <c r="BT578" s="6">
        <v>0.01763921</v>
      </c>
      <c r="BU578" s="6">
        <v>0.01649219</v>
      </c>
      <c r="BV578" s="6">
        <v>0.03756273</v>
      </c>
      <c r="BW578" s="6">
        <v>0.0259822</v>
      </c>
      <c r="BX578" s="12">
        <v>3163.09</v>
      </c>
      <c r="BY578" s="13">
        <v>3445.38</v>
      </c>
      <c r="BZ578" s="12">
        <v>4072.85</v>
      </c>
      <c r="CA578" s="6">
        <f t="shared" si="54"/>
        <v>0.918067092744487</v>
      </c>
      <c r="CB578" s="6">
        <f t="shared" si="55"/>
        <v>0.776628159642511</v>
      </c>
      <c r="CC578" s="7">
        <v>84458363.83</v>
      </c>
      <c r="CD578" s="7">
        <f t="shared" si="50"/>
        <v>2.07369198055416</v>
      </c>
      <c r="CE578" s="8">
        <v>913.9</v>
      </c>
      <c r="CF578" s="8">
        <v>2293.5</v>
      </c>
      <c r="CG578" s="8">
        <v>1855.4</v>
      </c>
      <c r="CH578" s="8">
        <v>7572</v>
      </c>
      <c r="CI578" s="14">
        <v>0</v>
      </c>
      <c r="CJ578" s="14">
        <v>0</v>
      </c>
      <c r="CK578" s="14">
        <f t="shared" si="51"/>
        <v>0</v>
      </c>
      <c r="CL578">
        <f t="shared" si="52"/>
        <v>4.16809156222866</v>
      </c>
      <c r="CM578">
        <f t="shared" si="53"/>
        <v>0.502484062647279</v>
      </c>
      <c r="CN578" s="15">
        <v>3163</v>
      </c>
      <c r="CO578" s="15">
        <v>2205</v>
      </c>
      <c r="CP578" s="15">
        <v>95.67</v>
      </c>
      <c r="CQ578" s="15">
        <v>334.15</v>
      </c>
      <c r="CR578" s="15">
        <v>106.35</v>
      </c>
      <c r="CS578" s="15">
        <v>7.96</v>
      </c>
      <c r="CT578" s="15">
        <v>214.79</v>
      </c>
      <c r="CU578" s="15">
        <v>49.87</v>
      </c>
      <c r="CV578">
        <v>0</v>
      </c>
      <c r="CW578" s="15">
        <v>439.98</v>
      </c>
    </row>
    <row r="579" spans="1:101">
      <c r="A579" s="6">
        <v>2002</v>
      </c>
      <c r="B579" s="6" t="s">
        <v>123</v>
      </c>
      <c r="C579" s="6">
        <v>0.18726796</v>
      </c>
      <c r="D579" s="6">
        <v>0.035059</v>
      </c>
      <c r="E579" s="6">
        <v>0.009525</v>
      </c>
      <c r="F579" s="6">
        <v>0.015842</v>
      </c>
      <c r="G579" s="6">
        <v>0.005351</v>
      </c>
      <c r="H579" s="6">
        <v>0.00434</v>
      </c>
      <c r="I579" s="6">
        <v>0.033566</v>
      </c>
      <c r="J579" s="6">
        <v>0.016783</v>
      </c>
      <c r="K579" s="6">
        <v>0.22344033</v>
      </c>
      <c r="L579" s="6">
        <v>0.18470816</v>
      </c>
      <c r="M579" s="6">
        <v>0.20057552</v>
      </c>
      <c r="N579" s="6">
        <v>0.12969873</v>
      </c>
      <c r="O579" s="6">
        <v>0.09803329</v>
      </c>
      <c r="P579" s="6">
        <v>0.28408393</v>
      </c>
      <c r="Q579" s="6">
        <v>0.23045456</v>
      </c>
      <c r="R579" s="6">
        <v>217.69486</v>
      </c>
      <c r="S579" s="6">
        <v>0.00102639</v>
      </c>
      <c r="T579" s="6">
        <v>169.97573</v>
      </c>
      <c r="U579" s="6">
        <v>0.00108667</v>
      </c>
      <c r="V579" s="6">
        <v>197.11803</v>
      </c>
      <c r="W579" s="6">
        <v>0.00101754</v>
      </c>
      <c r="X579" s="6">
        <v>134.47093</v>
      </c>
      <c r="Y579" s="6">
        <v>0.00096451</v>
      </c>
      <c r="Z579" s="6">
        <v>134.86767</v>
      </c>
      <c r="AA579" s="6">
        <v>0.00072689</v>
      </c>
      <c r="AB579" s="6">
        <v>294.9318</v>
      </c>
      <c r="AC579" s="6">
        <v>0.00096322</v>
      </c>
      <c r="AD579" s="6">
        <v>243.86163</v>
      </c>
      <c r="AE579" s="6">
        <v>0.00094502</v>
      </c>
      <c r="AF579" s="6">
        <v>775</v>
      </c>
      <c r="AG579" s="6">
        <v>-0.00706333</v>
      </c>
      <c r="AH579" s="6">
        <v>-0.00741615</v>
      </c>
      <c r="AI579" s="6">
        <v>-0.00701123</v>
      </c>
      <c r="AJ579" s="6">
        <v>-0.00669746</v>
      </c>
      <c r="AK579" s="6">
        <v>-0.00525301</v>
      </c>
      <c r="AL579" s="6">
        <v>-0.00668978</v>
      </c>
      <c r="AM579" s="6">
        <v>-0.00658142</v>
      </c>
      <c r="AN579" s="6">
        <v>-6.4762184</v>
      </c>
      <c r="AO579" s="6">
        <v>-6.4515561</v>
      </c>
      <c r="AP579" s="6">
        <v>-6.4739881</v>
      </c>
      <c r="AQ579" s="6">
        <v>-6.4253629</v>
      </c>
      <c r="AR579" s="6">
        <v>-6.4020076</v>
      </c>
      <c r="AS579" s="6">
        <v>-6.4618417</v>
      </c>
      <c r="AT579" s="6">
        <v>-6.4506396</v>
      </c>
      <c r="AU579" s="6">
        <v>0.97344833</v>
      </c>
      <c r="AV579" s="6">
        <v>0.96974131</v>
      </c>
      <c r="AW579" s="6">
        <v>0.97311308</v>
      </c>
      <c r="AX579" s="6">
        <v>0.96580418</v>
      </c>
      <c r="AY579" s="6">
        <v>0.96229362</v>
      </c>
      <c r="AZ579" s="6">
        <v>0.97128734</v>
      </c>
      <c r="BA579" s="6">
        <v>0.96960354</v>
      </c>
      <c r="BB579" s="6">
        <v>0.02655167</v>
      </c>
      <c r="BC579" s="6">
        <v>0.03025869</v>
      </c>
      <c r="BD579" s="6">
        <v>0.02688692</v>
      </c>
      <c r="BE579" s="6">
        <v>0.03419582</v>
      </c>
      <c r="BF579" s="6">
        <v>0.03770638</v>
      </c>
      <c r="BG579" s="6">
        <v>0.02871266</v>
      </c>
      <c r="BH579" s="6">
        <v>0.03039646</v>
      </c>
      <c r="BI579" s="6">
        <v>0.21470859</v>
      </c>
      <c r="BJ579" s="6">
        <v>0.12366373</v>
      </c>
      <c r="BK579" s="6">
        <v>0.1409291</v>
      </c>
      <c r="BL579" s="6">
        <v>0.12522516</v>
      </c>
      <c r="BM579" s="6">
        <v>0.1592662</v>
      </c>
      <c r="BN579" s="6">
        <v>0.17561655</v>
      </c>
      <c r="BO579" s="6">
        <v>0.1337285</v>
      </c>
      <c r="BP579" s="6">
        <v>0.14157076</v>
      </c>
      <c r="BQ579" s="6">
        <v>0.02763147</v>
      </c>
      <c r="BR579" s="6">
        <v>0.02603075</v>
      </c>
      <c r="BS579" s="6">
        <v>0.0251171</v>
      </c>
      <c r="BT579" s="6">
        <v>0.02065662</v>
      </c>
      <c r="BU579" s="6">
        <v>0.01721627</v>
      </c>
      <c r="BV579" s="6">
        <v>0.03799012</v>
      </c>
      <c r="BW579" s="6">
        <v>0.03262563</v>
      </c>
      <c r="BX579" s="12">
        <v>3615.33</v>
      </c>
      <c r="BY579" s="13">
        <v>3476.03</v>
      </c>
      <c r="BZ579" s="12">
        <v>4467.55</v>
      </c>
      <c r="CA579" s="6">
        <f t="shared" si="54"/>
        <v>1.04007445275213</v>
      </c>
      <c r="CB579" s="6">
        <f t="shared" si="55"/>
        <v>0.809242202101823</v>
      </c>
      <c r="CC579" s="7">
        <v>89601104.86</v>
      </c>
      <c r="CD579" s="7">
        <f t="shared" ref="CD579:CD642" si="56">CC579/10000/BZ579</f>
        <v>2.00559825541964</v>
      </c>
      <c r="CE579" s="8">
        <v>957</v>
      </c>
      <c r="CF579" s="8">
        <v>2467.7</v>
      </c>
      <c r="CG579" s="8">
        <v>2094.2</v>
      </c>
      <c r="CH579" s="8">
        <v>8216</v>
      </c>
      <c r="CI579" s="14">
        <v>0</v>
      </c>
      <c r="CJ579" s="14">
        <v>0</v>
      </c>
      <c r="CK579" s="14">
        <f t="shared" ref="CK579:CK642" si="57">CI579*CJ579</f>
        <v>0</v>
      </c>
      <c r="CL579">
        <f t="shared" ref="CL579:CL642" si="58">AVERAGEIF($A:$A,$A579,$CD:$CD)</f>
        <v>4.06804884448575</v>
      </c>
      <c r="CM579">
        <f t="shared" ref="CM579:CM642" si="59">MAX(0,1-CD579/CL579)</f>
        <v>0.506987666055625</v>
      </c>
      <c r="CN579" s="15">
        <v>4236</v>
      </c>
      <c r="CO579" s="15">
        <v>2711</v>
      </c>
      <c r="CP579" s="15">
        <v>95.12</v>
      </c>
      <c r="CQ579" s="15">
        <v>334.15</v>
      </c>
      <c r="CR579" s="15">
        <v>132.76</v>
      </c>
      <c r="CS579" s="15">
        <v>5.3</v>
      </c>
      <c r="CT579" s="15">
        <v>250.13</v>
      </c>
      <c r="CU579" s="15">
        <v>74.77</v>
      </c>
      <c r="CV579">
        <v>0</v>
      </c>
      <c r="CW579" s="15">
        <v>497.86</v>
      </c>
    </row>
    <row r="580" spans="1:101">
      <c r="A580" s="6">
        <v>2003</v>
      </c>
      <c r="B580" s="6" t="s">
        <v>123</v>
      </c>
      <c r="C580" s="6">
        <v>0.22259419</v>
      </c>
      <c r="D580" s="6">
        <v>0.039072</v>
      </c>
      <c r="E580" s="6">
        <v>0.009793</v>
      </c>
      <c r="F580" s="6">
        <v>0.01717</v>
      </c>
      <c r="G580" s="6">
        <v>0.005798</v>
      </c>
      <c r="H580" s="6">
        <v>0.006311</v>
      </c>
      <c r="I580" s="6">
        <v>0.038385</v>
      </c>
      <c r="J580" s="6">
        <v>0.020037</v>
      </c>
      <c r="K580" s="6">
        <v>0.2549136</v>
      </c>
      <c r="L580" s="6">
        <v>0.19103059</v>
      </c>
      <c r="M580" s="6">
        <v>0.22098566</v>
      </c>
      <c r="N580" s="6">
        <v>0.14289235</v>
      </c>
      <c r="O580" s="6">
        <v>0.15775339</v>
      </c>
      <c r="P580" s="6">
        <v>0.33775134</v>
      </c>
      <c r="Q580" s="6">
        <v>0.28852625</v>
      </c>
      <c r="R580" s="6">
        <v>217.69486</v>
      </c>
      <c r="S580" s="6">
        <v>0.00117097</v>
      </c>
      <c r="T580" s="6">
        <v>169.97573</v>
      </c>
      <c r="U580" s="6">
        <v>0.00112387</v>
      </c>
      <c r="V580" s="6">
        <v>197.11803</v>
      </c>
      <c r="W580" s="6">
        <v>0.00112108</v>
      </c>
      <c r="X580" s="6">
        <v>134.47093</v>
      </c>
      <c r="Y580" s="6">
        <v>0.00106263</v>
      </c>
      <c r="Z580" s="6">
        <v>134.86767</v>
      </c>
      <c r="AA580" s="6">
        <v>0.00116969</v>
      </c>
      <c r="AB580" s="6">
        <v>294.9318</v>
      </c>
      <c r="AC580" s="6">
        <v>0.00114518</v>
      </c>
      <c r="AD580" s="6">
        <v>243.86163</v>
      </c>
      <c r="AE580" s="6">
        <v>0.00118316</v>
      </c>
      <c r="AF580" s="6">
        <v>775</v>
      </c>
      <c r="AG580" s="6">
        <v>-0.00790394</v>
      </c>
      <c r="AH580" s="6">
        <v>-0.00763217</v>
      </c>
      <c r="AI580" s="6">
        <v>-0.00761603</v>
      </c>
      <c r="AJ580" s="6">
        <v>-0.00727582</v>
      </c>
      <c r="AK580" s="6">
        <v>-0.0078966</v>
      </c>
      <c r="AL580" s="6">
        <v>-0.00775541</v>
      </c>
      <c r="AM580" s="6">
        <v>-0.00797396</v>
      </c>
      <c r="AN580" s="6">
        <v>-6.4762184</v>
      </c>
      <c r="AO580" s="6">
        <v>-6.4515561</v>
      </c>
      <c r="AP580" s="6">
        <v>-6.4739881</v>
      </c>
      <c r="AQ580" s="6">
        <v>-6.4253629</v>
      </c>
      <c r="AR580" s="6">
        <v>-6.4020076</v>
      </c>
      <c r="AS580" s="6">
        <v>-6.4618417</v>
      </c>
      <c r="AT580" s="6">
        <v>-6.4506396</v>
      </c>
      <c r="AU580" s="6">
        <v>0.97344833</v>
      </c>
      <c r="AV580" s="6">
        <v>0.96974131</v>
      </c>
      <c r="AW580" s="6">
        <v>0.97311308</v>
      </c>
      <c r="AX580" s="6">
        <v>0.96580418</v>
      </c>
      <c r="AY580" s="6">
        <v>0.96229362</v>
      </c>
      <c r="AZ580" s="6">
        <v>0.97128734</v>
      </c>
      <c r="BA580" s="6">
        <v>0.96960354</v>
      </c>
      <c r="BB580" s="6">
        <v>0.02655167</v>
      </c>
      <c r="BC580" s="6">
        <v>0.03025869</v>
      </c>
      <c r="BD580" s="6">
        <v>0.02688692</v>
      </c>
      <c r="BE580" s="6">
        <v>0.03419582</v>
      </c>
      <c r="BF580" s="6">
        <v>0.03770638</v>
      </c>
      <c r="BG580" s="6">
        <v>0.02871266</v>
      </c>
      <c r="BH580" s="6">
        <v>0.03039646</v>
      </c>
      <c r="BI580" s="6">
        <v>0.21470859</v>
      </c>
      <c r="BJ580" s="6">
        <v>0.12366373</v>
      </c>
      <c r="BK580" s="6">
        <v>0.1409291</v>
      </c>
      <c r="BL580" s="6">
        <v>0.12522516</v>
      </c>
      <c r="BM580" s="6">
        <v>0.1592662</v>
      </c>
      <c r="BN580" s="6">
        <v>0.17561655</v>
      </c>
      <c r="BO580" s="6">
        <v>0.1337285</v>
      </c>
      <c r="BP580" s="6">
        <v>0.14157076</v>
      </c>
      <c r="BQ580" s="6">
        <v>0.03152357</v>
      </c>
      <c r="BR580" s="6">
        <v>0.02692177</v>
      </c>
      <c r="BS580" s="6">
        <v>0.02767296</v>
      </c>
      <c r="BT580" s="6">
        <v>0.02275792</v>
      </c>
      <c r="BU580" s="6">
        <v>0.02770411</v>
      </c>
      <c r="BV580" s="6">
        <v>0.04516698</v>
      </c>
      <c r="BW580" s="6">
        <v>0.04084688</v>
      </c>
      <c r="BX580" s="12">
        <v>4062.55</v>
      </c>
      <c r="BY580" s="13">
        <v>3501.98</v>
      </c>
      <c r="BZ580" s="12">
        <v>4983.67</v>
      </c>
      <c r="CA580" s="6">
        <f t="shared" si="54"/>
        <v>1.16007230195489</v>
      </c>
      <c r="CB580" s="6">
        <f t="shared" si="55"/>
        <v>0.815172352904586</v>
      </c>
      <c r="CC580" s="7">
        <v>100084344.7</v>
      </c>
      <c r="CD580" s="7">
        <f t="shared" si="56"/>
        <v>2.00824582486401</v>
      </c>
      <c r="CE580" s="8">
        <v>1064.2</v>
      </c>
      <c r="CF580" s="8">
        <v>2922.7</v>
      </c>
      <c r="CG580" s="8">
        <v>2346.8</v>
      </c>
      <c r="CH580" s="8">
        <v>9380</v>
      </c>
      <c r="CI580" s="14">
        <v>0</v>
      </c>
      <c r="CJ580" s="14">
        <v>0</v>
      </c>
      <c r="CK580" s="14">
        <f t="shared" si="57"/>
        <v>0</v>
      </c>
      <c r="CL580">
        <f t="shared" si="58"/>
        <v>4.08414499624993</v>
      </c>
      <c r="CM580">
        <f t="shared" si="59"/>
        <v>0.508282436909565</v>
      </c>
      <c r="CN580" s="15">
        <v>4808.3</v>
      </c>
      <c r="CO580" s="15">
        <v>3271.96</v>
      </c>
      <c r="CP580" s="15">
        <v>132.33</v>
      </c>
      <c r="CQ580" s="15">
        <v>362.41</v>
      </c>
      <c r="CR580" s="15">
        <v>138.66</v>
      </c>
      <c r="CS580" s="15">
        <v>25.54</v>
      </c>
      <c r="CT580" s="15">
        <v>266.38</v>
      </c>
      <c r="CU580" s="15">
        <v>94.59</v>
      </c>
      <c r="CV580">
        <v>0</v>
      </c>
      <c r="CW580" s="15">
        <v>585.35</v>
      </c>
    </row>
    <row r="581" spans="1:101">
      <c r="A581" s="6">
        <v>2004</v>
      </c>
      <c r="B581" s="6" t="s">
        <v>123</v>
      </c>
      <c r="C581" s="6">
        <v>0.2323614</v>
      </c>
      <c r="D581" s="6">
        <v>0.038492</v>
      </c>
      <c r="E581" s="6">
        <v>0.009575</v>
      </c>
      <c r="F581" s="6">
        <v>0.01676</v>
      </c>
      <c r="G581" s="6">
        <v>0.0056</v>
      </c>
      <c r="H581" s="6">
        <v>0.006558</v>
      </c>
      <c r="I581" s="6">
        <v>0.044157</v>
      </c>
      <c r="J581" s="6">
        <v>0.021173</v>
      </c>
      <c r="K581" s="6">
        <v>0.25036437</v>
      </c>
      <c r="L581" s="6">
        <v>0.18587918</v>
      </c>
      <c r="M581" s="6">
        <v>0.21467166</v>
      </c>
      <c r="N581" s="6">
        <v>0.13703993</v>
      </c>
      <c r="O581" s="6">
        <v>0.16523037</v>
      </c>
      <c r="P581" s="6">
        <v>0.40204333</v>
      </c>
      <c r="Q581" s="6">
        <v>0.30878312</v>
      </c>
      <c r="R581" s="6">
        <v>217.69486</v>
      </c>
      <c r="S581" s="6">
        <v>0.00115007</v>
      </c>
      <c r="T581" s="6">
        <v>169.97573</v>
      </c>
      <c r="U581" s="6">
        <v>0.00109356</v>
      </c>
      <c r="V581" s="6">
        <v>197.11803</v>
      </c>
      <c r="W581" s="6">
        <v>0.00108905</v>
      </c>
      <c r="X581" s="6">
        <v>134.47093</v>
      </c>
      <c r="Y581" s="6">
        <v>0.0010191</v>
      </c>
      <c r="Z581" s="6">
        <v>134.86767</v>
      </c>
      <c r="AA581" s="6">
        <v>0.00122513</v>
      </c>
      <c r="AB581" s="6">
        <v>294.9318</v>
      </c>
      <c r="AC581" s="6">
        <v>0.00136317</v>
      </c>
      <c r="AD581" s="6">
        <v>243.86163</v>
      </c>
      <c r="AE581" s="6">
        <v>0.00126622</v>
      </c>
      <c r="AF581" s="6">
        <v>775</v>
      </c>
      <c r="AG581" s="6">
        <v>-0.0077836</v>
      </c>
      <c r="AH581" s="6">
        <v>-0.00745626</v>
      </c>
      <c r="AI581" s="6">
        <v>-0.00743</v>
      </c>
      <c r="AJ581" s="6">
        <v>-0.00702044</v>
      </c>
      <c r="AK581" s="6">
        <v>-0.00821414</v>
      </c>
      <c r="AL581" s="6">
        <v>-0.00899414</v>
      </c>
      <c r="AM581" s="6">
        <v>-0.00844788</v>
      </c>
      <c r="AN581" s="6">
        <v>-6.4762184</v>
      </c>
      <c r="AO581" s="6">
        <v>-6.4515561</v>
      </c>
      <c r="AP581" s="6">
        <v>-6.4739881</v>
      </c>
      <c r="AQ581" s="6">
        <v>-6.4253629</v>
      </c>
      <c r="AR581" s="6">
        <v>-6.4020076</v>
      </c>
      <c r="AS581" s="6">
        <v>-6.4618417</v>
      </c>
      <c r="AT581" s="6">
        <v>-6.4506396</v>
      </c>
      <c r="AU581" s="6">
        <v>0.97344833</v>
      </c>
      <c r="AV581" s="6">
        <v>0.96974131</v>
      </c>
      <c r="AW581" s="6">
        <v>0.97311308</v>
      </c>
      <c r="AX581" s="6">
        <v>0.96580418</v>
      </c>
      <c r="AY581" s="6">
        <v>0.96229362</v>
      </c>
      <c r="AZ581" s="6">
        <v>0.97128734</v>
      </c>
      <c r="BA581" s="6">
        <v>0.96960354</v>
      </c>
      <c r="BB581" s="6">
        <v>0.02655167</v>
      </c>
      <c r="BC581" s="6">
        <v>0.03025869</v>
      </c>
      <c r="BD581" s="6">
        <v>0.02688692</v>
      </c>
      <c r="BE581" s="6">
        <v>0.03419582</v>
      </c>
      <c r="BF581" s="6">
        <v>0.03770638</v>
      </c>
      <c r="BG581" s="6">
        <v>0.02871266</v>
      </c>
      <c r="BH581" s="6">
        <v>0.03039646</v>
      </c>
      <c r="BI581" s="6">
        <v>0.21470859</v>
      </c>
      <c r="BJ581" s="6">
        <v>0.12366373</v>
      </c>
      <c r="BK581" s="6">
        <v>0.1409291</v>
      </c>
      <c r="BL581" s="6">
        <v>0.12522516</v>
      </c>
      <c r="BM581" s="6">
        <v>0.1592662</v>
      </c>
      <c r="BN581" s="6">
        <v>0.17561655</v>
      </c>
      <c r="BO581" s="6">
        <v>0.1337285</v>
      </c>
      <c r="BP581" s="6">
        <v>0.14157076</v>
      </c>
      <c r="BQ581" s="6">
        <v>0.03096099</v>
      </c>
      <c r="BR581" s="6">
        <v>0.02619578</v>
      </c>
      <c r="BS581" s="6">
        <v>0.02688229</v>
      </c>
      <c r="BT581" s="6">
        <v>0.02182583</v>
      </c>
      <c r="BU581" s="6">
        <v>0.02901719</v>
      </c>
      <c r="BV581" s="6">
        <v>0.05376465</v>
      </c>
      <c r="BW581" s="6">
        <v>0.04371466</v>
      </c>
      <c r="BX581" s="12">
        <v>4527.8</v>
      </c>
      <c r="BY581" s="13">
        <v>3529.1</v>
      </c>
      <c r="BZ581" s="12">
        <v>5763.35</v>
      </c>
      <c r="CA581" s="6">
        <f t="shared" si="54"/>
        <v>1.28298999744977</v>
      </c>
      <c r="CB581" s="6">
        <f t="shared" si="55"/>
        <v>0.78561947478463</v>
      </c>
      <c r="CC581" s="7">
        <v>114054077.9</v>
      </c>
      <c r="CD581" s="7">
        <f t="shared" si="56"/>
        <v>1.97895456461954</v>
      </c>
      <c r="CE581" s="8">
        <v>1333.6</v>
      </c>
      <c r="CF581" s="8">
        <v>3467.9</v>
      </c>
      <c r="CG581" s="8">
        <v>2787.1</v>
      </c>
      <c r="CH581" s="8">
        <v>11178</v>
      </c>
      <c r="CI581" s="14">
        <v>0</v>
      </c>
      <c r="CJ581" s="14">
        <v>0</v>
      </c>
      <c r="CK581" s="14">
        <f t="shared" si="57"/>
        <v>0</v>
      </c>
      <c r="CL581">
        <f t="shared" si="58"/>
        <v>3.89549779892895</v>
      </c>
      <c r="CM581">
        <f t="shared" si="59"/>
        <v>0.491989299759418</v>
      </c>
      <c r="CN581" s="15">
        <v>5448.7</v>
      </c>
      <c r="CO581" s="15">
        <v>3806.12</v>
      </c>
      <c r="CP581" s="15">
        <v>205.91</v>
      </c>
      <c r="CQ581" s="15">
        <v>390.55</v>
      </c>
      <c r="CR581" s="15">
        <v>192.15</v>
      </c>
      <c r="CS581" s="15">
        <v>26.22</v>
      </c>
      <c r="CT581" s="15">
        <v>324.33</v>
      </c>
      <c r="CU581" s="15">
        <v>81.64</v>
      </c>
      <c r="CV581" s="15">
        <v>0.6</v>
      </c>
      <c r="CW581" s="15">
        <v>664.35</v>
      </c>
    </row>
    <row r="582" spans="1:101">
      <c r="A582" s="6">
        <v>2005</v>
      </c>
      <c r="B582" s="6" t="s">
        <v>123</v>
      </c>
      <c r="C582" s="6">
        <v>0.25176406</v>
      </c>
      <c r="D582" s="6">
        <v>0.044443</v>
      </c>
      <c r="E582" s="6">
        <v>0.0106</v>
      </c>
      <c r="F582" s="6">
        <v>0.019532</v>
      </c>
      <c r="G582" s="6">
        <v>0.006012</v>
      </c>
      <c r="H582" s="6">
        <v>0.008299</v>
      </c>
      <c r="I582" s="6">
        <v>0.039686</v>
      </c>
      <c r="J582" s="6">
        <v>0.021303</v>
      </c>
      <c r="K582" s="6">
        <v>0.29704834</v>
      </c>
      <c r="L582" s="6">
        <v>0.21011061</v>
      </c>
      <c r="M582" s="6">
        <v>0.25728746</v>
      </c>
      <c r="N582" s="6">
        <v>0.14922836</v>
      </c>
      <c r="O582" s="6">
        <v>0.21800697</v>
      </c>
      <c r="P582" s="6">
        <v>0.35224317</v>
      </c>
      <c r="Q582" s="6">
        <v>0.31110081</v>
      </c>
      <c r="R582" s="6">
        <v>217.69486</v>
      </c>
      <c r="S582" s="6">
        <v>0.00136452</v>
      </c>
      <c r="T582" s="6">
        <v>169.97573</v>
      </c>
      <c r="U582" s="6">
        <v>0.00123612</v>
      </c>
      <c r="V582" s="6">
        <v>197.11803</v>
      </c>
      <c r="W582" s="6">
        <v>0.00130525</v>
      </c>
      <c r="X582" s="6">
        <v>134.47093</v>
      </c>
      <c r="Y582" s="6">
        <v>0.00110974</v>
      </c>
      <c r="Z582" s="6">
        <v>134.86767</v>
      </c>
      <c r="AA582" s="6">
        <v>0.00161645</v>
      </c>
      <c r="AB582" s="6">
        <v>294.9318</v>
      </c>
      <c r="AC582" s="6">
        <v>0.00119432</v>
      </c>
      <c r="AD582" s="6">
        <v>243.86163</v>
      </c>
      <c r="AE582" s="6">
        <v>0.00127573</v>
      </c>
      <c r="AF582" s="6">
        <v>775</v>
      </c>
      <c r="AG582" s="6">
        <v>-0.00900166</v>
      </c>
      <c r="AH582" s="6">
        <v>-0.00827679</v>
      </c>
      <c r="AI582" s="6">
        <v>-0.00866861</v>
      </c>
      <c r="AJ582" s="6">
        <v>-0.00755029</v>
      </c>
      <c r="AK582" s="6">
        <v>-0.01038977</v>
      </c>
      <c r="AL582" s="6">
        <v>-0.00803799</v>
      </c>
      <c r="AM582" s="6">
        <v>-0.00850175</v>
      </c>
      <c r="AN582" s="6">
        <v>-6.4762184</v>
      </c>
      <c r="AO582" s="6">
        <v>-6.4515561</v>
      </c>
      <c r="AP582" s="6">
        <v>-6.4739881</v>
      </c>
      <c r="AQ582" s="6">
        <v>-6.4253629</v>
      </c>
      <c r="AR582" s="6">
        <v>-6.4020076</v>
      </c>
      <c r="AS582" s="6">
        <v>-6.4618417</v>
      </c>
      <c r="AT582" s="6">
        <v>-6.4506396</v>
      </c>
      <c r="AU582" s="6">
        <v>0.97344833</v>
      </c>
      <c r="AV582" s="6">
        <v>0.96974131</v>
      </c>
      <c r="AW582" s="6">
        <v>0.97311308</v>
      </c>
      <c r="AX582" s="6">
        <v>0.96580418</v>
      </c>
      <c r="AY582" s="6">
        <v>0.96229362</v>
      </c>
      <c r="AZ582" s="6">
        <v>0.97128734</v>
      </c>
      <c r="BA582" s="6">
        <v>0.96960354</v>
      </c>
      <c r="BB582" s="6">
        <v>0.02655167</v>
      </c>
      <c r="BC582" s="6">
        <v>0.03025869</v>
      </c>
      <c r="BD582" s="6">
        <v>0.02688692</v>
      </c>
      <c r="BE582" s="6">
        <v>0.03419582</v>
      </c>
      <c r="BF582" s="6">
        <v>0.03770638</v>
      </c>
      <c r="BG582" s="6">
        <v>0.02871266</v>
      </c>
      <c r="BH582" s="6">
        <v>0.03039646</v>
      </c>
      <c r="BI582" s="6">
        <v>0.21470859</v>
      </c>
      <c r="BJ582" s="6">
        <v>0.12366373</v>
      </c>
      <c r="BK582" s="6">
        <v>0.1409291</v>
      </c>
      <c r="BL582" s="6">
        <v>0.12522516</v>
      </c>
      <c r="BM582" s="6">
        <v>0.1592662</v>
      </c>
      <c r="BN582" s="6">
        <v>0.17561655</v>
      </c>
      <c r="BO582" s="6">
        <v>0.1337285</v>
      </c>
      <c r="BP582" s="6">
        <v>0.14157076</v>
      </c>
      <c r="BQ582" s="6">
        <v>0.03673411</v>
      </c>
      <c r="BR582" s="6">
        <v>0.0296107</v>
      </c>
      <c r="BS582" s="6">
        <v>0.03221886</v>
      </c>
      <c r="BT582" s="6">
        <v>0.02376703</v>
      </c>
      <c r="BU582" s="6">
        <v>0.03828563</v>
      </c>
      <c r="BV582" s="6">
        <v>0.04710495</v>
      </c>
      <c r="BW582" s="6">
        <v>0.04404278</v>
      </c>
      <c r="BX582" s="12">
        <v>5753.99</v>
      </c>
      <c r="BY582" s="13">
        <v>3557</v>
      </c>
      <c r="BZ582" s="12">
        <v>6554.69</v>
      </c>
      <c r="CA582" s="6">
        <f t="shared" si="54"/>
        <v>1.61765251616531</v>
      </c>
      <c r="CB582" s="6">
        <f t="shared" si="55"/>
        <v>0.877843193194491</v>
      </c>
      <c r="CC582" s="7">
        <v>127724017.3</v>
      </c>
      <c r="CD582" s="7">
        <f t="shared" si="56"/>
        <v>1.94858974718865</v>
      </c>
      <c r="CE582" s="8">
        <v>1345.2</v>
      </c>
      <c r="CF582" s="8">
        <v>4123.9</v>
      </c>
      <c r="CG582" s="8">
        <v>3304.2</v>
      </c>
      <c r="CH582" s="8">
        <v>12845</v>
      </c>
      <c r="CI582" s="14">
        <v>0</v>
      </c>
      <c r="CJ582" s="14">
        <v>0</v>
      </c>
      <c r="CK582" s="14">
        <f t="shared" si="57"/>
        <v>0</v>
      </c>
      <c r="CL582">
        <f t="shared" si="58"/>
        <v>3.71995059106252</v>
      </c>
      <c r="CM582">
        <f t="shared" si="59"/>
        <v>0.476178594449536</v>
      </c>
      <c r="CN582" s="15">
        <v>6157.08</v>
      </c>
      <c r="CO582" s="15">
        <v>4857.13</v>
      </c>
      <c r="CP582" s="15">
        <v>280.93</v>
      </c>
      <c r="CQ582" s="15">
        <v>348.4</v>
      </c>
      <c r="CR582" s="15">
        <v>199.81</v>
      </c>
      <c r="CS582" s="15">
        <v>32.77</v>
      </c>
      <c r="CT582" s="15">
        <v>368.96</v>
      </c>
      <c r="CU582" s="15">
        <v>161.62</v>
      </c>
      <c r="CV582" s="15">
        <v>0.51</v>
      </c>
      <c r="CW582" s="15">
        <v>756.59</v>
      </c>
    </row>
    <row r="583" spans="1:101">
      <c r="A583" s="6">
        <v>2006</v>
      </c>
      <c r="B583" s="6" t="s">
        <v>123</v>
      </c>
      <c r="C583" s="6">
        <v>0.23714206</v>
      </c>
      <c r="D583" s="6">
        <v>0.040322</v>
      </c>
      <c r="E583" s="6">
        <v>0.009975</v>
      </c>
      <c r="F583" s="6">
        <v>0.017979</v>
      </c>
      <c r="G583" s="6">
        <v>0.006191</v>
      </c>
      <c r="H583" s="6">
        <v>0.006176</v>
      </c>
      <c r="I583" s="6">
        <v>0.041115</v>
      </c>
      <c r="J583" s="6">
        <v>0.0224</v>
      </c>
      <c r="K583" s="6">
        <v>0.26472085</v>
      </c>
      <c r="L583" s="6">
        <v>0.19534754</v>
      </c>
      <c r="M583" s="6">
        <v>0.23342023</v>
      </c>
      <c r="N583" s="6">
        <v>0.15452024</v>
      </c>
      <c r="O583" s="6">
        <v>0.15367066</v>
      </c>
      <c r="P583" s="6">
        <v>0.36816433</v>
      </c>
      <c r="Q583" s="6">
        <v>0.33067862</v>
      </c>
      <c r="R583" s="6">
        <v>217.69486</v>
      </c>
      <c r="S583" s="6">
        <v>0.00121602</v>
      </c>
      <c r="T583" s="6">
        <v>169.97573</v>
      </c>
      <c r="U583" s="6">
        <v>0.00114927</v>
      </c>
      <c r="V583" s="6">
        <v>197.11803</v>
      </c>
      <c r="W583" s="6">
        <v>0.00118416</v>
      </c>
      <c r="X583" s="6">
        <v>134.47093</v>
      </c>
      <c r="Y583" s="6">
        <v>0.0011491</v>
      </c>
      <c r="Z583" s="6">
        <v>134.86767</v>
      </c>
      <c r="AA583" s="6">
        <v>0.00113942</v>
      </c>
      <c r="AB583" s="6">
        <v>294.9318</v>
      </c>
      <c r="AC583" s="6">
        <v>0.0012483</v>
      </c>
      <c r="AD583" s="6">
        <v>243.86163</v>
      </c>
      <c r="AE583" s="6">
        <v>0.00135601</v>
      </c>
      <c r="AF583" s="6">
        <v>775</v>
      </c>
      <c r="AG583" s="6">
        <v>-0.00816212</v>
      </c>
      <c r="AH583" s="6">
        <v>-0.00777897</v>
      </c>
      <c r="AI583" s="6">
        <v>-0.00797975</v>
      </c>
      <c r="AJ583" s="6">
        <v>-0.00777799</v>
      </c>
      <c r="AK583" s="6">
        <v>-0.00772211</v>
      </c>
      <c r="AL583" s="6">
        <v>-0.00834612</v>
      </c>
      <c r="AM583" s="6">
        <v>-0.00895401</v>
      </c>
      <c r="AN583" s="6">
        <v>-6.4762184</v>
      </c>
      <c r="AO583" s="6">
        <v>-6.4515561</v>
      </c>
      <c r="AP583" s="6">
        <v>-6.4739881</v>
      </c>
      <c r="AQ583" s="6">
        <v>-6.4253629</v>
      </c>
      <c r="AR583" s="6">
        <v>-6.4020076</v>
      </c>
      <c r="AS583" s="6">
        <v>-6.4618417</v>
      </c>
      <c r="AT583" s="6">
        <v>-6.4506396</v>
      </c>
      <c r="AU583" s="6">
        <v>0.97344833</v>
      </c>
      <c r="AV583" s="6">
        <v>0.96974131</v>
      </c>
      <c r="AW583" s="6">
        <v>0.97311308</v>
      </c>
      <c r="AX583" s="6">
        <v>0.96580418</v>
      </c>
      <c r="AY583" s="6">
        <v>0.96229362</v>
      </c>
      <c r="AZ583" s="6">
        <v>0.97128734</v>
      </c>
      <c r="BA583" s="6">
        <v>0.96960354</v>
      </c>
      <c r="BB583" s="6">
        <v>0.02655167</v>
      </c>
      <c r="BC583" s="6">
        <v>0.03025869</v>
      </c>
      <c r="BD583" s="6">
        <v>0.02688692</v>
      </c>
      <c r="BE583" s="6">
        <v>0.03419582</v>
      </c>
      <c r="BF583" s="6">
        <v>0.03770638</v>
      </c>
      <c r="BG583" s="6">
        <v>0.02871266</v>
      </c>
      <c r="BH583" s="6">
        <v>0.03039646</v>
      </c>
      <c r="BI583" s="6">
        <v>0.21470859</v>
      </c>
      <c r="BJ583" s="6">
        <v>0.12366373</v>
      </c>
      <c r="BK583" s="6">
        <v>0.1409291</v>
      </c>
      <c r="BL583" s="6">
        <v>0.12522516</v>
      </c>
      <c r="BM583" s="6">
        <v>0.1592662</v>
      </c>
      <c r="BN583" s="6">
        <v>0.17561655</v>
      </c>
      <c r="BO583" s="6">
        <v>0.1337285</v>
      </c>
      <c r="BP583" s="6">
        <v>0.14157076</v>
      </c>
      <c r="BQ583" s="6">
        <v>0.03273637</v>
      </c>
      <c r="BR583" s="6">
        <v>0.02753015</v>
      </c>
      <c r="BS583" s="6">
        <v>0.02923008</v>
      </c>
      <c r="BT583" s="6">
        <v>0.02460985</v>
      </c>
      <c r="BU583" s="6">
        <v>0.02698711</v>
      </c>
      <c r="BV583" s="6">
        <v>0.04923406</v>
      </c>
      <c r="BW583" s="6">
        <v>0.04681443</v>
      </c>
      <c r="BX583" s="12">
        <v>6396.85</v>
      </c>
      <c r="BY583" s="13">
        <v>3585</v>
      </c>
      <c r="BZ583" s="12">
        <v>7583.85</v>
      </c>
      <c r="CA583" s="6">
        <f t="shared" si="54"/>
        <v>1.78433751743375</v>
      </c>
      <c r="CB583" s="6">
        <f t="shared" si="55"/>
        <v>0.843483191255101</v>
      </c>
      <c r="CC583" s="7">
        <v>155302586.2</v>
      </c>
      <c r="CD583" s="7">
        <f t="shared" si="56"/>
        <v>2.0478066707543</v>
      </c>
      <c r="CE583" s="8">
        <v>1401.8</v>
      </c>
      <c r="CF583" s="8">
        <v>4771.9</v>
      </c>
      <c r="CG583" s="8">
        <v>3869.3</v>
      </c>
      <c r="CH583" s="8">
        <v>14609</v>
      </c>
      <c r="CI583" s="14">
        <v>0</v>
      </c>
      <c r="CJ583" s="14">
        <v>0</v>
      </c>
      <c r="CK583" s="14">
        <f t="shared" si="57"/>
        <v>0</v>
      </c>
      <c r="CL583">
        <f t="shared" si="58"/>
        <v>3.57740717995078</v>
      </c>
      <c r="CM583">
        <f t="shared" si="59"/>
        <v>0.427572381966742</v>
      </c>
      <c r="CN583" s="15">
        <v>6840.28</v>
      </c>
      <c r="CO583" s="15">
        <v>5395.08</v>
      </c>
      <c r="CP583" s="15">
        <v>299.59</v>
      </c>
      <c r="CQ583" s="15">
        <v>375.03</v>
      </c>
      <c r="CR583" s="15">
        <v>208.05</v>
      </c>
      <c r="CS583" s="15">
        <v>36.99</v>
      </c>
      <c r="CT583" s="15">
        <v>380.12</v>
      </c>
      <c r="CU583" s="15">
        <v>173.48</v>
      </c>
      <c r="CV583" s="15">
        <v>0.57</v>
      </c>
      <c r="CW583" s="15">
        <v>866.84</v>
      </c>
    </row>
    <row r="584" spans="1:101">
      <c r="A584" s="6">
        <v>2007</v>
      </c>
      <c r="B584" s="6" t="s">
        <v>123</v>
      </c>
      <c r="C584" s="6">
        <v>0.24647184</v>
      </c>
      <c r="D584" s="6">
        <v>0.040837</v>
      </c>
      <c r="E584" s="6">
        <v>0.009764</v>
      </c>
      <c r="F584" s="6">
        <v>0.019574</v>
      </c>
      <c r="G584" s="6">
        <v>0.005718</v>
      </c>
      <c r="H584" s="6">
        <v>0.00578</v>
      </c>
      <c r="I584" s="6">
        <v>0.048485</v>
      </c>
      <c r="J584" s="6">
        <v>0.02233</v>
      </c>
      <c r="K584" s="6">
        <v>0.26875708</v>
      </c>
      <c r="L584" s="6">
        <v>0.19035782</v>
      </c>
      <c r="M584" s="6">
        <v>0.25793653</v>
      </c>
      <c r="N584" s="6">
        <v>0.14053798</v>
      </c>
      <c r="O584" s="6">
        <v>0.14165523</v>
      </c>
      <c r="P584" s="6">
        <v>0.45025689</v>
      </c>
      <c r="Q584" s="6">
        <v>0.32942613</v>
      </c>
      <c r="R584" s="6">
        <v>217.69486</v>
      </c>
      <c r="S584" s="6">
        <v>0.00123456</v>
      </c>
      <c r="T584" s="6">
        <v>169.97573</v>
      </c>
      <c r="U584" s="6">
        <v>0.00111991</v>
      </c>
      <c r="V584" s="6">
        <v>197.11803</v>
      </c>
      <c r="W584" s="6">
        <v>0.00130854</v>
      </c>
      <c r="X584" s="6">
        <v>134.47093</v>
      </c>
      <c r="Y584" s="6">
        <v>0.00104512</v>
      </c>
      <c r="Z584" s="6">
        <v>134.86767</v>
      </c>
      <c r="AA584" s="6">
        <v>0.00105033</v>
      </c>
      <c r="AB584" s="6">
        <v>294.9318</v>
      </c>
      <c r="AC584" s="6">
        <v>0.00152665</v>
      </c>
      <c r="AD584" s="6">
        <v>243.86163</v>
      </c>
      <c r="AE584" s="6">
        <v>0.00135087</v>
      </c>
      <c r="AF584" s="6">
        <v>775</v>
      </c>
      <c r="AG584" s="6">
        <v>-0.00826789</v>
      </c>
      <c r="AH584" s="6">
        <v>-0.00760925</v>
      </c>
      <c r="AI584" s="6">
        <v>-0.00868718</v>
      </c>
      <c r="AJ584" s="6">
        <v>-0.0071733</v>
      </c>
      <c r="AK584" s="6">
        <v>-0.00720383</v>
      </c>
      <c r="AL584" s="6">
        <v>-0.00989982</v>
      </c>
      <c r="AM584" s="6">
        <v>-0.00892522</v>
      </c>
      <c r="AN584" s="6">
        <v>-6.4762184</v>
      </c>
      <c r="AO584" s="6">
        <v>-6.4515561</v>
      </c>
      <c r="AP584" s="6">
        <v>-6.4739881</v>
      </c>
      <c r="AQ584" s="6">
        <v>-6.4253629</v>
      </c>
      <c r="AR584" s="6">
        <v>-6.4020076</v>
      </c>
      <c r="AS584" s="6">
        <v>-6.4618417</v>
      </c>
      <c r="AT584" s="6">
        <v>-6.4506396</v>
      </c>
      <c r="AU584" s="6">
        <v>0.97344833</v>
      </c>
      <c r="AV584" s="6">
        <v>0.96974131</v>
      </c>
      <c r="AW584" s="6">
        <v>0.97311308</v>
      </c>
      <c r="AX584" s="6">
        <v>0.96580418</v>
      </c>
      <c r="AY584" s="6">
        <v>0.96229362</v>
      </c>
      <c r="AZ584" s="6">
        <v>0.97128734</v>
      </c>
      <c r="BA584" s="6">
        <v>0.96960354</v>
      </c>
      <c r="BB584" s="6">
        <v>0.02655167</v>
      </c>
      <c r="BC584" s="6">
        <v>0.03025869</v>
      </c>
      <c r="BD584" s="6">
        <v>0.02688692</v>
      </c>
      <c r="BE584" s="6">
        <v>0.03419582</v>
      </c>
      <c r="BF584" s="6">
        <v>0.03770638</v>
      </c>
      <c r="BG584" s="6">
        <v>0.02871266</v>
      </c>
      <c r="BH584" s="6">
        <v>0.03039646</v>
      </c>
      <c r="BI584" s="6">
        <v>0.21470859</v>
      </c>
      <c r="BJ584" s="6">
        <v>0.12366373</v>
      </c>
      <c r="BK584" s="6">
        <v>0.1409291</v>
      </c>
      <c r="BL584" s="6">
        <v>0.12522516</v>
      </c>
      <c r="BM584" s="6">
        <v>0.1592662</v>
      </c>
      <c r="BN584" s="6">
        <v>0.17561655</v>
      </c>
      <c r="BO584" s="6">
        <v>0.1337285</v>
      </c>
      <c r="BP584" s="6">
        <v>0.14157076</v>
      </c>
      <c r="BQ584" s="6">
        <v>0.0332355</v>
      </c>
      <c r="BR584" s="6">
        <v>0.02682696</v>
      </c>
      <c r="BS584" s="6">
        <v>0.03230014</v>
      </c>
      <c r="BT584" s="6">
        <v>0.02238295</v>
      </c>
      <c r="BU584" s="6">
        <v>0.024877</v>
      </c>
      <c r="BV584" s="6">
        <v>0.06021218</v>
      </c>
      <c r="BW584" s="6">
        <v>0.04663711</v>
      </c>
      <c r="BX584" s="12">
        <v>7109.26</v>
      </c>
      <c r="BY584" s="13">
        <v>3612</v>
      </c>
      <c r="BZ584" s="12">
        <v>9248.53</v>
      </c>
      <c r="CA584" s="6">
        <f t="shared" si="54"/>
        <v>1.96823366555925</v>
      </c>
      <c r="CB584" s="6">
        <f t="shared" si="55"/>
        <v>0.768690808160864</v>
      </c>
      <c r="CC584" s="7">
        <v>162236730.5</v>
      </c>
      <c r="CD584" s="7">
        <f t="shared" si="56"/>
        <v>1.75418937387888</v>
      </c>
      <c r="CE584" s="8">
        <v>1737.1</v>
      </c>
      <c r="CF584" s="8">
        <v>5849.5</v>
      </c>
      <c r="CG584" s="8">
        <v>4566.4</v>
      </c>
      <c r="CH584" s="8">
        <v>17561</v>
      </c>
      <c r="CI584" s="14">
        <v>0</v>
      </c>
      <c r="CJ584" s="14">
        <v>0</v>
      </c>
      <c r="CK584" s="14">
        <f t="shared" si="57"/>
        <v>0</v>
      </c>
      <c r="CL584">
        <f t="shared" si="58"/>
        <v>3.23986794305777</v>
      </c>
      <c r="CM584">
        <f t="shared" si="59"/>
        <v>0.45856145845769</v>
      </c>
      <c r="CN584" s="15">
        <v>7574.16</v>
      </c>
      <c r="CO584" s="15">
        <v>6117.15</v>
      </c>
      <c r="CP584" s="15">
        <v>356.02</v>
      </c>
      <c r="CQ584" s="15">
        <v>352.33</v>
      </c>
      <c r="CR584" s="15">
        <v>264.17</v>
      </c>
      <c r="CS584" s="15">
        <v>49.09</v>
      </c>
      <c r="CT584" s="15">
        <v>467.13</v>
      </c>
      <c r="CU584" s="15">
        <v>124.94</v>
      </c>
      <c r="CV584" s="15">
        <v>0.48</v>
      </c>
      <c r="CW584" s="15">
        <v>1000.33</v>
      </c>
    </row>
    <row r="585" spans="1:101">
      <c r="A585" s="6">
        <v>2008</v>
      </c>
      <c r="B585" s="6" t="s">
        <v>123</v>
      </c>
      <c r="C585" s="6">
        <v>0.29334405</v>
      </c>
      <c r="D585" s="6">
        <v>0.049443</v>
      </c>
      <c r="E585" s="6">
        <v>0.012524</v>
      </c>
      <c r="F585" s="6">
        <v>0.021848</v>
      </c>
      <c r="G585" s="6">
        <v>0.007849</v>
      </c>
      <c r="H585" s="6">
        <v>0.007221</v>
      </c>
      <c r="I585" s="6">
        <v>0.047472</v>
      </c>
      <c r="J585" s="6">
        <v>0.025797</v>
      </c>
      <c r="K585" s="6">
        <v>0.33626185</v>
      </c>
      <c r="L585" s="6">
        <v>0.25559549</v>
      </c>
      <c r="M585" s="6">
        <v>0.29288687</v>
      </c>
      <c r="N585" s="6">
        <v>0.20352262</v>
      </c>
      <c r="O585" s="6">
        <v>0.18534706</v>
      </c>
      <c r="P585" s="6">
        <v>0.43896531</v>
      </c>
      <c r="Q585" s="6">
        <v>0.39129936</v>
      </c>
      <c r="R585" s="6">
        <v>217.69486</v>
      </c>
      <c r="S585" s="6">
        <v>0.00154465</v>
      </c>
      <c r="T585" s="6">
        <v>169.97573</v>
      </c>
      <c r="U585" s="6">
        <v>0.00150372</v>
      </c>
      <c r="V585" s="6">
        <v>197.11803</v>
      </c>
      <c r="W585" s="6">
        <v>0.00148585</v>
      </c>
      <c r="X585" s="6">
        <v>134.47093</v>
      </c>
      <c r="Y585" s="6">
        <v>0.00151351</v>
      </c>
      <c r="Z585" s="6">
        <v>134.86767</v>
      </c>
      <c r="AA585" s="6">
        <v>0.00137429</v>
      </c>
      <c r="AB585" s="6">
        <v>294.9318</v>
      </c>
      <c r="AC585" s="6">
        <v>0.00148836</v>
      </c>
      <c r="AD585" s="6">
        <v>243.86163</v>
      </c>
      <c r="AE585" s="6">
        <v>0.0016046</v>
      </c>
      <c r="AF585" s="6">
        <v>775</v>
      </c>
      <c r="AG585" s="6">
        <v>-0.00999844</v>
      </c>
      <c r="AH585" s="6">
        <v>-0.00977389</v>
      </c>
      <c r="AI585" s="6">
        <v>-0.00967548</v>
      </c>
      <c r="AJ585" s="6">
        <v>-0.00982769</v>
      </c>
      <c r="AK585" s="6">
        <v>-0.00905631</v>
      </c>
      <c r="AL585" s="6">
        <v>-0.00968935</v>
      </c>
      <c r="AM585" s="6">
        <v>-0.01032539</v>
      </c>
      <c r="AN585" s="6">
        <v>-6.4762184</v>
      </c>
      <c r="AO585" s="6">
        <v>-6.4515561</v>
      </c>
      <c r="AP585" s="6">
        <v>-6.4739881</v>
      </c>
      <c r="AQ585" s="6">
        <v>-6.4253629</v>
      </c>
      <c r="AR585" s="6">
        <v>-6.4020076</v>
      </c>
      <c r="AS585" s="6">
        <v>-6.4618417</v>
      </c>
      <c r="AT585" s="6">
        <v>-6.4506396</v>
      </c>
      <c r="AU585" s="6">
        <v>0.97344833</v>
      </c>
      <c r="AV585" s="6">
        <v>0.96974131</v>
      </c>
      <c r="AW585" s="6">
        <v>0.97311308</v>
      </c>
      <c r="AX585" s="6">
        <v>0.96580418</v>
      </c>
      <c r="AY585" s="6">
        <v>0.96229362</v>
      </c>
      <c r="AZ585" s="6">
        <v>0.97128734</v>
      </c>
      <c r="BA585" s="6">
        <v>0.96960354</v>
      </c>
      <c r="BB585" s="6">
        <v>0.02655167</v>
      </c>
      <c r="BC585" s="6">
        <v>0.03025869</v>
      </c>
      <c r="BD585" s="6">
        <v>0.02688692</v>
      </c>
      <c r="BE585" s="6">
        <v>0.03419582</v>
      </c>
      <c r="BF585" s="6">
        <v>0.03770638</v>
      </c>
      <c r="BG585" s="6">
        <v>0.02871266</v>
      </c>
      <c r="BH585" s="6">
        <v>0.03039646</v>
      </c>
      <c r="BI585" s="6">
        <v>0.21470859</v>
      </c>
      <c r="BJ585" s="6">
        <v>0.12366373</v>
      </c>
      <c r="BK585" s="6">
        <v>0.1409291</v>
      </c>
      <c r="BL585" s="6">
        <v>0.12522516</v>
      </c>
      <c r="BM585" s="6">
        <v>0.1592662</v>
      </c>
      <c r="BN585" s="6">
        <v>0.17561655</v>
      </c>
      <c r="BO585" s="6">
        <v>0.1337285</v>
      </c>
      <c r="BP585" s="6">
        <v>0.14157076</v>
      </c>
      <c r="BQ585" s="6">
        <v>0.0415834</v>
      </c>
      <c r="BR585" s="6">
        <v>0.03602084</v>
      </c>
      <c r="BS585" s="6">
        <v>0.0366768</v>
      </c>
      <c r="BT585" s="6">
        <v>0.03241427</v>
      </c>
      <c r="BU585" s="6">
        <v>0.03255001</v>
      </c>
      <c r="BV585" s="6">
        <v>0.05870217</v>
      </c>
      <c r="BW585" s="6">
        <v>0.05539655</v>
      </c>
      <c r="BX585" s="12">
        <v>7734.2</v>
      </c>
      <c r="BY585" s="13">
        <v>3639</v>
      </c>
      <c r="BZ585" s="12">
        <v>10823.01</v>
      </c>
      <c r="CA585" s="6">
        <f t="shared" si="54"/>
        <v>2.12536411101951</v>
      </c>
      <c r="CB585" s="6">
        <f t="shared" si="55"/>
        <v>0.714607119461222</v>
      </c>
      <c r="CC585" s="7">
        <v>171410242.7</v>
      </c>
      <c r="CD585" s="7">
        <f t="shared" si="56"/>
        <v>1.58375759331277</v>
      </c>
      <c r="CE585" s="8">
        <v>1956.8</v>
      </c>
      <c r="CF585" s="8">
        <v>6981.5</v>
      </c>
      <c r="CG585" s="8">
        <v>5261.8</v>
      </c>
      <c r="CH585" s="8">
        <v>20385</v>
      </c>
      <c r="CI585" s="14">
        <v>0</v>
      </c>
      <c r="CJ585" s="14">
        <v>0</v>
      </c>
      <c r="CK585" s="14">
        <f t="shared" si="57"/>
        <v>0</v>
      </c>
      <c r="CL585">
        <f t="shared" si="58"/>
        <v>2.71728515287532</v>
      </c>
      <c r="CM585">
        <f t="shared" si="59"/>
        <v>0.417154437532291</v>
      </c>
      <c r="CN585" s="15">
        <v>8254</v>
      </c>
      <c r="CO585" s="15">
        <v>6596</v>
      </c>
      <c r="CP585" s="15">
        <v>368.04</v>
      </c>
      <c r="CQ585" s="15">
        <v>310.96</v>
      </c>
      <c r="CR585" s="15">
        <v>250.48</v>
      </c>
      <c r="CS585" s="15">
        <v>51.95</v>
      </c>
      <c r="CT585" s="15">
        <v>433.08</v>
      </c>
      <c r="CU585" s="15">
        <v>142.32</v>
      </c>
      <c r="CV585" s="15">
        <v>1.53</v>
      </c>
      <c r="CW585" s="15">
        <v>1149.77</v>
      </c>
    </row>
    <row r="586" spans="1:101">
      <c r="A586" s="6">
        <v>2009</v>
      </c>
      <c r="B586" s="6" t="s">
        <v>123</v>
      </c>
      <c r="C586" s="6">
        <v>0.30693321</v>
      </c>
      <c r="D586" s="6">
        <v>0.051319</v>
      </c>
      <c r="E586" s="6">
        <v>0.012664</v>
      </c>
      <c r="F586" s="6">
        <v>0.022394</v>
      </c>
      <c r="G586" s="6">
        <v>0.008137</v>
      </c>
      <c r="H586" s="6">
        <v>0.008124</v>
      </c>
      <c r="I586" s="6">
        <v>0.054704</v>
      </c>
      <c r="J586" s="6">
        <v>0.023152</v>
      </c>
      <c r="K586" s="6">
        <v>0.3509805</v>
      </c>
      <c r="L586" s="6">
        <v>0.25890349</v>
      </c>
      <c r="M586" s="6">
        <v>0.30127255</v>
      </c>
      <c r="N586" s="6">
        <v>0.21203626</v>
      </c>
      <c r="O586" s="6">
        <v>0.21270827</v>
      </c>
      <c r="P586" s="6">
        <v>0.51952509</v>
      </c>
      <c r="Q586" s="6">
        <v>0.34410424</v>
      </c>
      <c r="R586" s="6">
        <v>217.69486</v>
      </c>
      <c r="S586" s="6">
        <v>0.00161226</v>
      </c>
      <c r="T586" s="6">
        <v>169.97573</v>
      </c>
      <c r="U586" s="6">
        <v>0.00152318</v>
      </c>
      <c r="V586" s="6">
        <v>197.11803</v>
      </c>
      <c r="W586" s="6">
        <v>0.00152839</v>
      </c>
      <c r="X586" s="6">
        <v>134.47093</v>
      </c>
      <c r="Y586" s="6">
        <v>0.00157682</v>
      </c>
      <c r="Z586" s="6">
        <v>134.86767</v>
      </c>
      <c r="AA586" s="6">
        <v>0.00157716</v>
      </c>
      <c r="AB586" s="6">
        <v>294.9318</v>
      </c>
      <c r="AC586" s="6">
        <v>0.00176151</v>
      </c>
      <c r="AD586" s="6">
        <v>243.86163</v>
      </c>
      <c r="AE586" s="6">
        <v>0.00141106</v>
      </c>
      <c r="AF586" s="6">
        <v>775</v>
      </c>
      <c r="AG586" s="6">
        <v>-0.01036702</v>
      </c>
      <c r="AH586" s="6">
        <v>-0.0098808</v>
      </c>
      <c r="AI586" s="6">
        <v>-0.00990936</v>
      </c>
      <c r="AJ586" s="6">
        <v>-0.01017418</v>
      </c>
      <c r="AK586" s="6">
        <v>-0.01017606</v>
      </c>
      <c r="AL586" s="6">
        <v>-0.01117076</v>
      </c>
      <c r="AM586" s="6">
        <v>-0.00926139</v>
      </c>
      <c r="AN586" s="6">
        <v>-6.4762184</v>
      </c>
      <c r="AO586" s="6">
        <v>-6.4515561</v>
      </c>
      <c r="AP586" s="6">
        <v>-6.4739881</v>
      </c>
      <c r="AQ586" s="6">
        <v>-6.4253629</v>
      </c>
      <c r="AR586" s="6">
        <v>-6.4020076</v>
      </c>
      <c r="AS586" s="6">
        <v>-6.4618417</v>
      </c>
      <c r="AT586" s="6">
        <v>-6.4506396</v>
      </c>
      <c r="AU586" s="6">
        <v>0.97344833</v>
      </c>
      <c r="AV586" s="6">
        <v>0.96974131</v>
      </c>
      <c r="AW586" s="6">
        <v>0.97311308</v>
      </c>
      <c r="AX586" s="6">
        <v>0.96580418</v>
      </c>
      <c r="AY586" s="6">
        <v>0.96229362</v>
      </c>
      <c r="AZ586" s="6">
        <v>0.97128734</v>
      </c>
      <c r="BA586" s="6">
        <v>0.96960354</v>
      </c>
      <c r="BB586" s="6">
        <v>0.02655167</v>
      </c>
      <c r="BC586" s="6">
        <v>0.03025869</v>
      </c>
      <c r="BD586" s="6">
        <v>0.02688692</v>
      </c>
      <c r="BE586" s="6">
        <v>0.03419582</v>
      </c>
      <c r="BF586" s="6">
        <v>0.03770638</v>
      </c>
      <c r="BG586" s="6">
        <v>0.02871266</v>
      </c>
      <c r="BH586" s="6">
        <v>0.03039646</v>
      </c>
      <c r="BI586" s="6">
        <v>0.21470859</v>
      </c>
      <c r="BJ586" s="6">
        <v>0.12366373</v>
      </c>
      <c r="BK586" s="6">
        <v>0.1409291</v>
      </c>
      <c r="BL586" s="6">
        <v>0.12522516</v>
      </c>
      <c r="BM586" s="6">
        <v>0.1592662</v>
      </c>
      <c r="BN586" s="6">
        <v>0.17561655</v>
      </c>
      <c r="BO586" s="6">
        <v>0.1337285</v>
      </c>
      <c r="BP586" s="6">
        <v>0.14157076</v>
      </c>
      <c r="BQ586" s="6">
        <v>0.04340356</v>
      </c>
      <c r="BR586" s="6">
        <v>0.03648704</v>
      </c>
      <c r="BS586" s="6">
        <v>0.0377269</v>
      </c>
      <c r="BT586" s="6">
        <v>0.03377021</v>
      </c>
      <c r="BU586" s="6">
        <v>0.03735509</v>
      </c>
      <c r="BV586" s="6">
        <v>0.06947531</v>
      </c>
      <c r="BW586" s="6">
        <v>0.0487151</v>
      </c>
      <c r="BX586" s="12">
        <v>8353.67</v>
      </c>
      <c r="BY586" s="13">
        <v>3666</v>
      </c>
      <c r="BZ586" s="12">
        <v>12236.53</v>
      </c>
      <c r="CA586" s="6">
        <f t="shared" si="54"/>
        <v>2.27868794326241</v>
      </c>
      <c r="CB586" s="6">
        <f t="shared" si="55"/>
        <v>0.682682917461078</v>
      </c>
      <c r="CC586" s="7">
        <v>182221328.9</v>
      </c>
      <c r="CD586" s="7">
        <f t="shared" si="56"/>
        <v>1.48915851879577</v>
      </c>
      <c r="CE586" s="8">
        <v>2121.8</v>
      </c>
      <c r="CF586" s="8">
        <v>7164.4</v>
      </c>
      <c r="CG586" s="8">
        <v>6020.7</v>
      </c>
      <c r="CH586" s="8">
        <v>21831</v>
      </c>
      <c r="CI586" s="14">
        <v>0</v>
      </c>
      <c r="CJ586" s="14">
        <v>0</v>
      </c>
      <c r="CK586" s="14">
        <f t="shared" si="57"/>
        <v>0</v>
      </c>
      <c r="CL586">
        <f t="shared" si="58"/>
        <v>2.66960201713366</v>
      </c>
      <c r="CM586">
        <f t="shared" si="59"/>
        <v>0.442179579863116</v>
      </c>
      <c r="CN586" s="15">
        <v>8916</v>
      </c>
      <c r="CO586" s="15">
        <v>7109</v>
      </c>
      <c r="CP586" s="15">
        <v>653.08</v>
      </c>
      <c r="CQ586" s="15">
        <v>706.01</v>
      </c>
      <c r="CR586" s="15">
        <v>263.64</v>
      </c>
      <c r="CS586" s="15">
        <v>50.96</v>
      </c>
      <c r="CT586" s="15">
        <v>413.09</v>
      </c>
      <c r="CU586" s="15">
        <v>165.83</v>
      </c>
      <c r="CV586" s="15">
        <v>8.49</v>
      </c>
      <c r="CW586" s="15">
        <v>1215.51</v>
      </c>
    </row>
    <row r="587" spans="1:101">
      <c r="A587" s="6">
        <v>2010</v>
      </c>
      <c r="B587" s="6" t="s">
        <v>123</v>
      </c>
      <c r="C587" s="6">
        <v>0.29896009</v>
      </c>
      <c r="D587" s="6">
        <v>0.053301</v>
      </c>
      <c r="E587" s="6">
        <v>0.013708</v>
      </c>
      <c r="F587" s="6">
        <v>0.023599</v>
      </c>
      <c r="G587" s="6">
        <v>0.007793</v>
      </c>
      <c r="H587" s="6">
        <v>0.008202</v>
      </c>
      <c r="I587" s="6">
        <v>0.047756</v>
      </c>
      <c r="J587" s="6">
        <v>0.021514</v>
      </c>
      <c r="K587" s="6">
        <v>0.3665305</v>
      </c>
      <c r="L587" s="6">
        <v>0.28359036</v>
      </c>
      <c r="M587" s="6">
        <v>0.31978615</v>
      </c>
      <c r="N587" s="6">
        <v>0.20187327</v>
      </c>
      <c r="O587" s="6">
        <v>0.21505633</v>
      </c>
      <c r="P587" s="6">
        <v>0.44213481</v>
      </c>
      <c r="Q587" s="6">
        <v>0.31487503</v>
      </c>
      <c r="R587" s="6">
        <v>217.69486</v>
      </c>
      <c r="S587" s="6">
        <v>0.00168369</v>
      </c>
      <c r="T587" s="6">
        <v>169.97573</v>
      </c>
      <c r="U587" s="6">
        <v>0.00166842</v>
      </c>
      <c r="V587" s="6">
        <v>197.11803</v>
      </c>
      <c r="W587" s="6">
        <v>0.00162231</v>
      </c>
      <c r="X587" s="6">
        <v>134.47093</v>
      </c>
      <c r="Y587" s="6">
        <v>0.00150124</v>
      </c>
      <c r="Z587" s="6">
        <v>134.86767</v>
      </c>
      <c r="AA587" s="6">
        <v>0.00159457</v>
      </c>
      <c r="AB587" s="6">
        <v>294.9318</v>
      </c>
      <c r="AC587" s="6">
        <v>0.00149911</v>
      </c>
      <c r="AD587" s="6">
        <v>243.86163</v>
      </c>
      <c r="AE587" s="6">
        <v>0.0012912</v>
      </c>
      <c r="AF587" s="6">
        <v>775</v>
      </c>
      <c r="AG587" s="6">
        <v>-0.01075333</v>
      </c>
      <c r="AH587" s="6">
        <v>-0.01067099</v>
      </c>
      <c r="AI587" s="6">
        <v>-0.01042155</v>
      </c>
      <c r="AJ587" s="6">
        <v>-0.00976026</v>
      </c>
      <c r="AK587" s="6">
        <v>-0.01027088</v>
      </c>
      <c r="AL587" s="6">
        <v>-0.00974853</v>
      </c>
      <c r="AM587" s="6">
        <v>-0.00858932</v>
      </c>
      <c r="AN587" s="6">
        <v>-6.4762184</v>
      </c>
      <c r="AO587" s="6">
        <v>-6.4515561</v>
      </c>
      <c r="AP587" s="6">
        <v>-6.4739881</v>
      </c>
      <c r="AQ587" s="6">
        <v>-6.4253629</v>
      </c>
      <c r="AR587" s="6">
        <v>-6.4020076</v>
      </c>
      <c r="AS587" s="6">
        <v>-6.4618417</v>
      </c>
      <c r="AT587" s="6">
        <v>-6.4506396</v>
      </c>
      <c r="AU587" s="6">
        <v>0.97344833</v>
      </c>
      <c r="AV587" s="6">
        <v>0.96974131</v>
      </c>
      <c r="AW587" s="6">
        <v>0.97311308</v>
      </c>
      <c r="AX587" s="6">
        <v>0.96580418</v>
      </c>
      <c r="AY587" s="6">
        <v>0.96229362</v>
      </c>
      <c r="AZ587" s="6">
        <v>0.97128734</v>
      </c>
      <c r="BA587" s="6">
        <v>0.96960354</v>
      </c>
      <c r="BB587" s="6">
        <v>0.02655167</v>
      </c>
      <c r="BC587" s="6">
        <v>0.03025869</v>
      </c>
      <c r="BD587" s="6">
        <v>0.02688692</v>
      </c>
      <c r="BE587" s="6">
        <v>0.03419582</v>
      </c>
      <c r="BF587" s="6">
        <v>0.03770638</v>
      </c>
      <c r="BG587" s="6">
        <v>0.02871266</v>
      </c>
      <c r="BH587" s="6">
        <v>0.03039646</v>
      </c>
      <c r="BI587" s="6">
        <v>0.21470859</v>
      </c>
      <c r="BJ587" s="6">
        <v>0.12366373</v>
      </c>
      <c r="BK587" s="6">
        <v>0.1409291</v>
      </c>
      <c r="BL587" s="6">
        <v>0.12522516</v>
      </c>
      <c r="BM587" s="6">
        <v>0.1592662</v>
      </c>
      <c r="BN587" s="6">
        <v>0.17561655</v>
      </c>
      <c r="BO587" s="6">
        <v>0.1337285</v>
      </c>
      <c r="BP587" s="6">
        <v>0.14157076</v>
      </c>
      <c r="BQ587" s="6">
        <v>0.04532653</v>
      </c>
      <c r="BR587" s="6">
        <v>0.03996613</v>
      </c>
      <c r="BS587" s="6">
        <v>0.04004527</v>
      </c>
      <c r="BT587" s="6">
        <v>0.03215159</v>
      </c>
      <c r="BU587" s="6">
        <v>0.03776745</v>
      </c>
      <c r="BV587" s="6">
        <v>0.05912602</v>
      </c>
      <c r="BW587" s="6">
        <v>0.0445771</v>
      </c>
      <c r="BX587" s="12">
        <v>9189.42</v>
      </c>
      <c r="BY587" s="13">
        <v>3693</v>
      </c>
      <c r="BZ587" s="12">
        <v>14737.12</v>
      </c>
      <c r="CA587" s="6">
        <f t="shared" si="54"/>
        <v>2.48833468724614</v>
      </c>
      <c r="CB587" s="6">
        <f t="shared" si="55"/>
        <v>0.623556027229201</v>
      </c>
      <c r="CC587" s="7">
        <v>201281954</v>
      </c>
      <c r="CD587" s="7">
        <f t="shared" si="56"/>
        <v>1.36581607532544</v>
      </c>
      <c r="CE587" s="8">
        <v>2473.1</v>
      </c>
      <c r="CF587" s="8">
        <v>8470.5</v>
      </c>
      <c r="CG587" s="8">
        <v>7060</v>
      </c>
      <c r="CH587" s="8">
        <v>25308</v>
      </c>
      <c r="CI587" s="14">
        <v>0</v>
      </c>
      <c r="CJ587" s="14">
        <v>0</v>
      </c>
      <c r="CK587" s="14">
        <f t="shared" si="57"/>
        <v>0</v>
      </c>
      <c r="CL587">
        <f t="shared" si="58"/>
        <v>2.40850270516871</v>
      </c>
      <c r="CM587">
        <f t="shared" si="59"/>
        <v>0.432919019607342</v>
      </c>
      <c r="CN587" s="15">
        <v>9808.52</v>
      </c>
      <c r="CO587" s="15">
        <v>7026.24</v>
      </c>
      <c r="CP587" s="15">
        <v>684.54</v>
      </c>
      <c r="CQ587" s="15">
        <v>1141.74</v>
      </c>
      <c r="CR587" s="15">
        <v>333.2</v>
      </c>
      <c r="CS587" s="15">
        <v>56.5</v>
      </c>
      <c r="CT587" s="15">
        <v>510.57</v>
      </c>
      <c r="CU587" s="15">
        <v>182.75</v>
      </c>
      <c r="CV587" s="15">
        <v>29.1</v>
      </c>
      <c r="CW587" s="15">
        <v>1315.09</v>
      </c>
    </row>
    <row r="588" spans="1:101">
      <c r="A588" s="6">
        <v>2011</v>
      </c>
      <c r="B588" s="6" t="s">
        <v>123</v>
      </c>
      <c r="C588" s="6">
        <v>0.32733862</v>
      </c>
      <c r="D588" s="6">
        <v>0.057592</v>
      </c>
      <c r="E588" s="6">
        <v>0.013776</v>
      </c>
      <c r="F588" s="6">
        <v>0.02571</v>
      </c>
      <c r="G588" s="6">
        <v>0.008793</v>
      </c>
      <c r="H588" s="6">
        <v>0.009312</v>
      </c>
      <c r="I588" s="6">
        <v>0.050314</v>
      </c>
      <c r="J588" s="6">
        <v>0.023691</v>
      </c>
      <c r="K588" s="6">
        <v>0.40018407</v>
      </c>
      <c r="L588" s="6">
        <v>0.28520999</v>
      </c>
      <c r="M588" s="6">
        <v>0.35223904</v>
      </c>
      <c r="N588" s="6">
        <v>0.23143611</v>
      </c>
      <c r="O588" s="6">
        <v>0.24870074</v>
      </c>
      <c r="P588" s="6">
        <v>0.47062088</v>
      </c>
      <c r="Q588" s="6">
        <v>0.35371322</v>
      </c>
      <c r="R588" s="6">
        <v>217.69486</v>
      </c>
      <c r="S588" s="6">
        <v>0.00183828</v>
      </c>
      <c r="T588" s="6">
        <v>169.97573</v>
      </c>
      <c r="U588" s="6">
        <v>0.00167795</v>
      </c>
      <c r="V588" s="6">
        <v>197.11803</v>
      </c>
      <c r="W588" s="6">
        <v>0.00178694</v>
      </c>
      <c r="X588" s="6">
        <v>134.47093</v>
      </c>
      <c r="Y588" s="6">
        <v>0.00172109</v>
      </c>
      <c r="Z588" s="6">
        <v>134.86767</v>
      </c>
      <c r="AA588" s="6">
        <v>0.00184404</v>
      </c>
      <c r="AB588" s="6">
        <v>294.9318</v>
      </c>
      <c r="AC588" s="6">
        <v>0.00159569</v>
      </c>
      <c r="AD588" s="6">
        <v>243.86163</v>
      </c>
      <c r="AE588" s="6">
        <v>0.00145047</v>
      </c>
      <c r="AF588" s="6">
        <v>775</v>
      </c>
      <c r="AG588" s="6">
        <v>-0.01157919</v>
      </c>
      <c r="AH588" s="6">
        <v>-0.01072238</v>
      </c>
      <c r="AI588" s="6">
        <v>-0.01130644</v>
      </c>
      <c r="AJ588" s="6">
        <v>-0.01095437</v>
      </c>
      <c r="AK588" s="6">
        <v>-0.01160968</v>
      </c>
      <c r="AL588" s="6">
        <v>-0.01027698</v>
      </c>
      <c r="AM588" s="6">
        <v>-0.00948006</v>
      </c>
      <c r="AN588" s="6">
        <v>-6.4762184</v>
      </c>
      <c r="AO588" s="6">
        <v>-6.4515561</v>
      </c>
      <c r="AP588" s="6">
        <v>-6.4739881</v>
      </c>
      <c r="AQ588" s="6">
        <v>-6.4253629</v>
      </c>
      <c r="AR588" s="6">
        <v>-6.4020076</v>
      </c>
      <c r="AS588" s="6">
        <v>-6.4618417</v>
      </c>
      <c r="AT588" s="6">
        <v>-6.4506396</v>
      </c>
      <c r="AU588" s="6">
        <v>0.97344833</v>
      </c>
      <c r="AV588" s="6">
        <v>0.96974131</v>
      </c>
      <c r="AW588" s="6">
        <v>0.97311308</v>
      </c>
      <c r="AX588" s="6">
        <v>0.96580418</v>
      </c>
      <c r="AY588" s="6">
        <v>0.96229362</v>
      </c>
      <c r="AZ588" s="6">
        <v>0.97128734</v>
      </c>
      <c r="BA588" s="6">
        <v>0.96960354</v>
      </c>
      <c r="BB588" s="6">
        <v>0.02655167</v>
      </c>
      <c r="BC588" s="6">
        <v>0.03025869</v>
      </c>
      <c r="BD588" s="6">
        <v>0.02688692</v>
      </c>
      <c r="BE588" s="6">
        <v>0.03419582</v>
      </c>
      <c r="BF588" s="6">
        <v>0.03770638</v>
      </c>
      <c r="BG588" s="6">
        <v>0.02871266</v>
      </c>
      <c r="BH588" s="6">
        <v>0.03039646</v>
      </c>
      <c r="BI588" s="6">
        <v>0.21470859</v>
      </c>
      <c r="BJ588" s="6">
        <v>0.12366373</v>
      </c>
      <c r="BK588" s="6">
        <v>0.1409291</v>
      </c>
      <c r="BL588" s="6">
        <v>0.12522516</v>
      </c>
      <c r="BM588" s="6">
        <v>0.1592662</v>
      </c>
      <c r="BN588" s="6">
        <v>0.17561655</v>
      </c>
      <c r="BO588" s="6">
        <v>0.1337285</v>
      </c>
      <c r="BP588" s="6">
        <v>0.14157076</v>
      </c>
      <c r="BQ588" s="6">
        <v>0.04948826</v>
      </c>
      <c r="BR588" s="6">
        <v>0.04019439</v>
      </c>
      <c r="BS588" s="6">
        <v>0.04410919</v>
      </c>
      <c r="BT588" s="6">
        <v>0.03685995</v>
      </c>
      <c r="BU588" s="6">
        <v>0.04367597</v>
      </c>
      <c r="BV588" s="6">
        <v>0.06293542</v>
      </c>
      <c r="BW588" s="6">
        <v>0.05007545</v>
      </c>
      <c r="BX588" s="12">
        <v>9980.23</v>
      </c>
      <c r="BY588" s="13">
        <v>3784</v>
      </c>
      <c r="BZ588" s="12">
        <v>17560.18</v>
      </c>
      <c r="CA588" s="6">
        <f t="shared" si="54"/>
        <v>2.63748150105708</v>
      </c>
      <c r="CB588" s="6">
        <f t="shared" si="55"/>
        <v>0.568344401936654</v>
      </c>
      <c r="CC588" s="7">
        <v>222829975.2</v>
      </c>
      <c r="CD588" s="7">
        <f t="shared" si="56"/>
        <v>1.2689504048364</v>
      </c>
      <c r="CE588" s="8">
        <v>2702.8</v>
      </c>
      <c r="CF588" s="8">
        <v>10275.5</v>
      </c>
      <c r="CG588" s="8">
        <v>8406.4</v>
      </c>
      <c r="CH588" s="8">
        <v>29647</v>
      </c>
      <c r="CI588" s="14">
        <v>0</v>
      </c>
      <c r="CJ588" s="14">
        <v>0</v>
      </c>
      <c r="CK588" s="14">
        <f t="shared" si="57"/>
        <v>0</v>
      </c>
      <c r="CL588">
        <f t="shared" si="58"/>
        <v>2.18035126729488</v>
      </c>
      <c r="CM588">
        <f t="shared" si="59"/>
        <v>0.418006435994709</v>
      </c>
      <c r="CN588" s="15">
        <v>10653</v>
      </c>
      <c r="CO588" s="15">
        <v>8714</v>
      </c>
      <c r="CP588" s="15">
        <v>728.65</v>
      </c>
      <c r="CQ588" s="15">
        <v>963</v>
      </c>
      <c r="CR588" s="15">
        <v>374.01</v>
      </c>
      <c r="CS588" s="15">
        <v>64.39</v>
      </c>
      <c r="CT588" s="15">
        <v>531.36</v>
      </c>
      <c r="CU588" s="15">
        <v>189.66</v>
      </c>
      <c r="CV588" s="15">
        <v>37.89</v>
      </c>
      <c r="CW588" s="15">
        <v>1520</v>
      </c>
    </row>
    <row r="589" spans="1:101">
      <c r="A589" s="6">
        <v>2012</v>
      </c>
      <c r="B589" s="6" t="s">
        <v>123</v>
      </c>
      <c r="C589" s="6">
        <v>0.29832748</v>
      </c>
      <c r="D589" s="6">
        <v>0.048535</v>
      </c>
      <c r="E589" s="6">
        <v>0.01156</v>
      </c>
      <c r="F589" s="6">
        <v>0.02234</v>
      </c>
      <c r="G589" s="6">
        <v>0.006969</v>
      </c>
      <c r="H589" s="6">
        <v>0.007666</v>
      </c>
      <c r="I589" s="6">
        <v>0.051601</v>
      </c>
      <c r="J589" s="6">
        <v>0.027284</v>
      </c>
      <c r="K589" s="6">
        <v>0.32914153</v>
      </c>
      <c r="L589" s="6">
        <v>0.23281134</v>
      </c>
      <c r="M589" s="6">
        <v>0.30043778</v>
      </c>
      <c r="N589" s="6">
        <v>0.17752524</v>
      </c>
      <c r="O589" s="6">
        <v>0.19880726</v>
      </c>
      <c r="P589" s="6">
        <v>0.48495784</v>
      </c>
      <c r="Q589" s="6">
        <v>0.41782676</v>
      </c>
      <c r="R589" s="6">
        <v>217.69486</v>
      </c>
      <c r="S589" s="6">
        <v>0.00151194</v>
      </c>
      <c r="T589" s="6">
        <v>169.97573</v>
      </c>
      <c r="U589" s="6">
        <v>0.00136967</v>
      </c>
      <c r="V589" s="6">
        <v>197.11803</v>
      </c>
      <c r="W589" s="6">
        <v>0.00152415</v>
      </c>
      <c r="X589" s="6">
        <v>134.47093</v>
      </c>
      <c r="Y589" s="6">
        <v>0.00132018</v>
      </c>
      <c r="Z589" s="6">
        <v>134.86767</v>
      </c>
      <c r="AA589" s="6">
        <v>0.00147409</v>
      </c>
      <c r="AB589" s="6">
        <v>294.9318</v>
      </c>
      <c r="AC589" s="6">
        <v>0.00164431</v>
      </c>
      <c r="AD589" s="6">
        <v>243.86163</v>
      </c>
      <c r="AE589" s="6">
        <v>0.00171338</v>
      </c>
      <c r="AF589" s="6">
        <v>775</v>
      </c>
      <c r="AG589" s="6">
        <v>-0.00981908</v>
      </c>
      <c r="AH589" s="6">
        <v>-0.00903051</v>
      </c>
      <c r="AI589" s="6">
        <v>-0.00988613</v>
      </c>
      <c r="AJ589" s="6">
        <v>-0.00875275</v>
      </c>
      <c r="AK589" s="6">
        <v>-0.00961065</v>
      </c>
      <c r="AL589" s="6">
        <v>-0.01054071</v>
      </c>
      <c r="AM589" s="6">
        <v>-0.01091299</v>
      </c>
      <c r="AN589" s="6">
        <v>-6.4762184</v>
      </c>
      <c r="AO589" s="6">
        <v>-6.4515561</v>
      </c>
      <c r="AP589" s="6">
        <v>-6.4739881</v>
      </c>
      <c r="AQ589" s="6">
        <v>-6.4253629</v>
      </c>
      <c r="AR589" s="6">
        <v>-6.4020076</v>
      </c>
      <c r="AS589" s="6">
        <v>-6.4618417</v>
      </c>
      <c r="AT589" s="6">
        <v>-6.4506396</v>
      </c>
      <c r="AU589" s="6">
        <v>0.97344833</v>
      </c>
      <c r="AV589" s="6">
        <v>0.96974131</v>
      </c>
      <c r="AW589" s="6">
        <v>0.97311308</v>
      </c>
      <c r="AX589" s="6">
        <v>0.96580418</v>
      </c>
      <c r="AY589" s="6">
        <v>0.96229362</v>
      </c>
      <c r="AZ589" s="6">
        <v>0.97128734</v>
      </c>
      <c r="BA589" s="6">
        <v>0.96960354</v>
      </c>
      <c r="BB589" s="6">
        <v>0.02655167</v>
      </c>
      <c r="BC589" s="6">
        <v>0.03025869</v>
      </c>
      <c r="BD589" s="6">
        <v>0.02688692</v>
      </c>
      <c r="BE589" s="6">
        <v>0.03419582</v>
      </c>
      <c r="BF589" s="6">
        <v>0.03770638</v>
      </c>
      <c r="BG589" s="6">
        <v>0.02871266</v>
      </c>
      <c r="BH589" s="6">
        <v>0.03039646</v>
      </c>
      <c r="BI589" s="6">
        <v>0.21470859</v>
      </c>
      <c r="BJ589" s="6">
        <v>0.12366373</v>
      </c>
      <c r="BK589" s="6">
        <v>0.1409291</v>
      </c>
      <c r="BL589" s="6">
        <v>0.12522516</v>
      </c>
      <c r="BM589" s="6">
        <v>0.1592662</v>
      </c>
      <c r="BN589" s="6">
        <v>0.17561655</v>
      </c>
      <c r="BO589" s="6">
        <v>0.1337285</v>
      </c>
      <c r="BP589" s="6">
        <v>0.14157076</v>
      </c>
      <c r="BQ589" s="6">
        <v>0.04070287</v>
      </c>
      <c r="BR589" s="6">
        <v>0.03280989</v>
      </c>
      <c r="BS589" s="6">
        <v>0.03762237</v>
      </c>
      <c r="BT589" s="6">
        <v>0.02827377</v>
      </c>
      <c r="BU589" s="6">
        <v>0.03491384</v>
      </c>
      <c r="BV589" s="6">
        <v>0.06485268</v>
      </c>
      <c r="BW589" s="6">
        <v>0.05915205</v>
      </c>
      <c r="BX589" s="12">
        <v>10206.54</v>
      </c>
      <c r="BY589" s="13">
        <v>3841</v>
      </c>
      <c r="BZ589" s="12">
        <v>19701.78</v>
      </c>
      <c r="CA589" s="6">
        <f t="shared" si="54"/>
        <v>2.65726112991408</v>
      </c>
      <c r="CB589" s="6">
        <f t="shared" si="55"/>
        <v>0.518051668427929</v>
      </c>
      <c r="CC589" s="7">
        <v>228164492.3</v>
      </c>
      <c r="CD589" s="7">
        <f t="shared" si="56"/>
        <v>1.15809075271371</v>
      </c>
      <c r="CE589" s="8">
        <v>2914</v>
      </c>
      <c r="CF589" s="8">
        <v>10919.7</v>
      </c>
      <c r="CG589" s="8">
        <v>9243.8</v>
      </c>
      <c r="CH589" s="8">
        <v>31844</v>
      </c>
      <c r="CI589" s="14">
        <v>0</v>
      </c>
      <c r="CJ589" s="14">
        <v>0</v>
      </c>
      <c r="CK589" s="14">
        <f t="shared" si="57"/>
        <v>0</v>
      </c>
      <c r="CL589">
        <f t="shared" si="58"/>
        <v>2.01609935715007</v>
      </c>
      <c r="CM589">
        <f t="shared" si="59"/>
        <v>0.425578531828526</v>
      </c>
      <c r="CN589" s="15">
        <v>11185.44</v>
      </c>
      <c r="CO589" s="15">
        <v>8485</v>
      </c>
      <c r="CP589" s="15">
        <v>650</v>
      </c>
      <c r="CQ589" s="15">
        <v>1104.55</v>
      </c>
      <c r="CR589" s="15">
        <v>397.62</v>
      </c>
      <c r="CS589" s="15">
        <v>74.36</v>
      </c>
      <c r="CT589" s="15">
        <v>516.39</v>
      </c>
      <c r="CU589" s="15">
        <v>186.3</v>
      </c>
      <c r="CV589" s="15">
        <v>37.49</v>
      </c>
      <c r="CW589" s="15">
        <v>1579.51</v>
      </c>
    </row>
    <row r="590" spans="1:101">
      <c r="A590" s="6">
        <v>2013</v>
      </c>
      <c r="B590" s="6" t="s">
        <v>123</v>
      </c>
      <c r="C590" s="6">
        <v>0.33982339</v>
      </c>
      <c r="D590" s="6">
        <v>0.053146</v>
      </c>
      <c r="E590" s="6">
        <v>0.013338</v>
      </c>
      <c r="F590" s="6">
        <v>0.023495</v>
      </c>
      <c r="G590" s="6">
        <v>0.007683</v>
      </c>
      <c r="H590" s="6">
        <v>0.00863</v>
      </c>
      <c r="I590" s="6">
        <v>0.057505</v>
      </c>
      <c r="J590" s="6">
        <v>0.031873</v>
      </c>
      <c r="K590" s="6">
        <v>0.36530965</v>
      </c>
      <c r="L590" s="6">
        <v>0.27483787</v>
      </c>
      <c r="M590" s="6">
        <v>0.3181965</v>
      </c>
      <c r="N590" s="6">
        <v>0.19861527</v>
      </c>
      <c r="O590" s="6">
        <v>0.22803296</v>
      </c>
      <c r="P590" s="6">
        <v>0.55071934</v>
      </c>
      <c r="Q590" s="6">
        <v>0.49970097</v>
      </c>
      <c r="R590" s="6">
        <v>217.69486</v>
      </c>
      <c r="S590" s="6">
        <v>0.00167808</v>
      </c>
      <c r="T590" s="6">
        <v>169.97573</v>
      </c>
      <c r="U590" s="6">
        <v>0.00161692</v>
      </c>
      <c r="V590" s="6">
        <v>197.11803</v>
      </c>
      <c r="W590" s="6">
        <v>0.00161424</v>
      </c>
      <c r="X590" s="6">
        <v>134.47093</v>
      </c>
      <c r="Y590" s="6">
        <v>0.00147701</v>
      </c>
      <c r="Z590" s="6">
        <v>134.86767</v>
      </c>
      <c r="AA590" s="6">
        <v>0.00169079</v>
      </c>
      <c r="AB590" s="6">
        <v>294.9318</v>
      </c>
      <c r="AC590" s="6">
        <v>0.00186728</v>
      </c>
      <c r="AD590" s="6">
        <v>243.86163</v>
      </c>
      <c r="AE590" s="6">
        <v>0.00204912</v>
      </c>
      <c r="AF590" s="6">
        <v>775</v>
      </c>
      <c r="AG590" s="6">
        <v>-0.01072311</v>
      </c>
      <c r="AH590" s="6">
        <v>-0.01039234</v>
      </c>
      <c r="AI590" s="6">
        <v>-0.01037779</v>
      </c>
      <c r="AJ590" s="6">
        <v>-0.00962678</v>
      </c>
      <c r="AK590" s="6">
        <v>-0.01079157</v>
      </c>
      <c r="AL590" s="6">
        <v>-0.01173261</v>
      </c>
      <c r="AM590" s="6">
        <v>-0.01268474</v>
      </c>
      <c r="AN590" s="6">
        <v>-6.4762184</v>
      </c>
      <c r="AO590" s="6">
        <v>-6.4515561</v>
      </c>
      <c r="AP590" s="6">
        <v>-6.4739881</v>
      </c>
      <c r="AQ590" s="6">
        <v>-6.4253629</v>
      </c>
      <c r="AR590" s="6">
        <v>-6.4020076</v>
      </c>
      <c r="AS590" s="6">
        <v>-6.4618417</v>
      </c>
      <c r="AT590" s="6">
        <v>-6.4506396</v>
      </c>
      <c r="AU590" s="6">
        <v>0.97344833</v>
      </c>
      <c r="AV590" s="6">
        <v>0.96974131</v>
      </c>
      <c r="AW590" s="6">
        <v>0.97311308</v>
      </c>
      <c r="AX590" s="6">
        <v>0.96580418</v>
      </c>
      <c r="AY590" s="6">
        <v>0.96229362</v>
      </c>
      <c r="AZ590" s="6">
        <v>0.97128734</v>
      </c>
      <c r="BA590" s="6">
        <v>0.96960354</v>
      </c>
      <c r="BB590" s="6">
        <v>0.02655167</v>
      </c>
      <c r="BC590" s="6">
        <v>0.03025869</v>
      </c>
      <c r="BD590" s="6">
        <v>0.02688692</v>
      </c>
      <c r="BE590" s="6">
        <v>0.03419582</v>
      </c>
      <c r="BF590" s="6">
        <v>0.03770638</v>
      </c>
      <c r="BG590" s="6">
        <v>0.02871266</v>
      </c>
      <c r="BH590" s="6">
        <v>0.03039646</v>
      </c>
      <c r="BI590" s="6">
        <v>0.21470859</v>
      </c>
      <c r="BJ590" s="6">
        <v>0.12366373</v>
      </c>
      <c r="BK590" s="6">
        <v>0.1409291</v>
      </c>
      <c r="BL590" s="6">
        <v>0.12522516</v>
      </c>
      <c r="BM590" s="6">
        <v>0.1592662</v>
      </c>
      <c r="BN590" s="6">
        <v>0.17561655</v>
      </c>
      <c r="BO590" s="6">
        <v>0.1337285</v>
      </c>
      <c r="BP590" s="6">
        <v>0.14157076</v>
      </c>
      <c r="BQ590" s="6">
        <v>0.04517556</v>
      </c>
      <c r="BR590" s="6">
        <v>0.03873265</v>
      </c>
      <c r="BS590" s="6">
        <v>0.03984621</v>
      </c>
      <c r="BT590" s="6">
        <v>0.0316327</v>
      </c>
      <c r="BU590" s="6">
        <v>0.04004636</v>
      </c>
      <c r="BV590" s="6">
        <v>0.07364687</v>
      </c>
      <c r="BW590" s="6">
        <v>0.07074305</v>
      </c>
      <c r="BX590" s="12">
        <v>10898.51</v>
      </c>
      <c r="BY590" s="13">
        <v>3885</v>
      </c>
      <c r="BZ590" s="12">
        <v>21868.49</v>
      </c>
      <c r="CA590" s="6">
        <f t="shared" si="54"/>
        <v>2.80527927927928</v>
      </c>
      <c r="CB590" s="6">
        <f t="shared" si="55"/>
        <v>0.498365913695916</v>
      </c>
      <c r="CC590" s="7">
        <v>231372090.8</v>
      </c>
      <c r="CD590" s="7">
        <f t="shared" si="56"/>
        <v>1.05801585203185</v>
      </c>
      <c r="CE590" s="8">
        <v>3141.9</v>
      </c>
      <c r="CF590" s="8">
        <v>11178.4</v>
      </c>
      <c r="CG590" s="8">
        <v>9939.3</v>
      </c>
      <c r="CH590" s="8">
        <v>33346</v>
      </c>
      <c r="CI590" s="14">
        <v>0</v>
      </c>
      <c r="CJ590" s="14">
        <v>0</v>
      </c>
      <c r="CK590" s="14">
        <f t="shared" si="57"/>
        <v>0</v>
      </c>
      <c r="CL590">
        <f t="shared" si="58"/>
        <v>1.91398219724656</v>
      </c>
      <c r="CM590">
        <f t="shared" si="59"/>
        <v>0.447217506226597</v>
      </c>
      <c r="CN590" s="15">
        <v>11190</v>
      </c>
      <c r="CO590" s="15">
        <v>8078.64</v>
      </c>
      <c r="CP590" s="15">
        <v>655.38</v>
      </c>
      <c r="CQ590" s="15">
        <v>1007.11</v>
      </c>
      <c r="CR590" s="15">
        <v>409.56</v>
      </c>
      <c r="CS590" s="15">
        <v>85.41</v>
      </c>
      <c r="CT590" s="15">
        <v>521.6</v>
      </c>
      <c r="CU590" s="15">
        <v>182.94</v>
      </c>
      <c r="CV590" s="15">
        <v>49.39</v>
      </c>
      <c r="CW590" s="15">
        <v>1700.73</v>
      </c>
    </row>
    <row r="591" spans="1:101">
      <c r="A591" s="6">
        <v>2014</v>
      </c>
      <c r="B591" s="6" t="s">
        <v>123</v>
      </c>
      <c r="C591" s="6">
        <v>0.31394697</v>
      </c>
      <c r="D591" s="6">
        <v>0.051171</v>
      </c>
      <c r="E591" s="6">
        <v>0.01229</v>
      </c>
      <c r="F591" s="6">
        <v>0.023463</v>
      </c>
      <c r="G591" s="6">
        <v>0.007359</v>
      </c>
      <c r="H591" s="6">
        <v>0.008058</v>
      </c>
      <c r="I591" s="6">
        <v>0.055989</v>
      </c>
      <c r="J591" s="6">
        <v>0.026495</v>
      </c>
      <c r="K591" s="6">
        <v>0.34981643</v>
      </c>
      <c r="L591" s="6">
        <v>0.25007859</v>
      </c>
      <c r="M591" s="6">
        <v>0.31770076</v>
      </c>
      <c r="N591" s="6">
        <v>0.18904849</v>
      </c>
      <c r="O591" s="6">
        <v>0.21069802</v>
      </c>
      <c r="P591" s="6">
        <v>0.53383884</v>
      </c>
      <c r="Q591" s="6">
        <v>0.40375094</v>
      </c>
      <c r="R591" s="6">
        <v>217.69486</v>
      </c>
      <c r="S591" s="6">
        <v>0.00160691</v>
      </c>
      <c r="T591" s="6">
        <v>169.97573</v>
      </c>
      <c r="U591" s="6">
        <v>0.00147126</v>
      </c>
      <c r="V591" s="6">
        <v>197.11803</v>
      </c>
      <c r="W591" s="6">
        <v>0.00161173</v>
      </c>
      <c r="X591" s="6">
        <v>134.47093</v>
      </c>
      <c r="Y591" s="6">
        <v>0.00140587</v>
      </c>
      <c r="Z591" s="6">
        <v>134.86767</v>
      </c>
      <c r="AA591" s="6">
        <v>0.00156226</v>
      </c>
      <c r="AB591" s="6">
        <v>294.9318</v>
      </c>
      <c r="AC591" s="6">
        <v>0.00181004</v>
      </c>
      <c r="AD591" s="6">
        <v>243.86163</v>
      </c>
      <c r="AE591" s="6">
        <v>0.00165566</v>
      </c>
      <c r="AF591" s="6">
        <v>775</v>
      </c>
      <c r="AG591" s="6">
        <v>-0.01033797</v>
      </c>
      <c r="AH591" s="6">
        <v>-0.00959503</v>
      </c>
      <c r="AI591" s="6">
        <v>-0.01036414</v>
      </c>
      <c r="AJ591" s="6">
        <v>-0.00923248</v>
      </c>
      <c r="AK591" s="6">
        <v>-0.01009472</v>
      </c>
      <c r="AL591" s="6">
        <v>-0.01142934</v>
      </c>
      <c r="AM591" s="6">
        <v>-0.01060209</v>
      </c>
      <c r="AN591" s="6">
        <v>-6.4762184</v>
      </c>
      <c r="AO591" s="6">
        <v>-6.4515561</v>
      </c>
      <c r="AP591" s="6">
        <v>-6.4739881</v>
      </c>
      <c r="AQ591" s="6">
        <v>-6.4253629</v>
      </c>
      <c r="AR591" s="6">
        <v>-6.4020076</v>
      </c>
      <c r="AS591" s="6">
        <v>-6.4618417</v>
      </c>
      <c r="AT591" s="6">
        <v>-6.4506396</v>
      </c>
      <c r="AU591" s="6">
        <v>0.97344833</v>
      </c>
      <c r="AV591" s="6">
        <v>0.96974131</v>
      </c>
      <c r="AW591" s="6">
        <v>0.97311308</v>
      </c>
      <c r="AX591" s="6">
        <v>0.96580418</v>
      </c>
      <c r="AY591" s="6">
        <v>0.96229362</v>
      </c>
      <c r="AZ591" s="6">
        <v>0.97128734</v>
      </c>
      <c r="BA591" s="6">
        <v>0.96960354</v>
      </c>
      <c r="BB591" s="6">
        <v>0.02655167</v>
      </c>
      <c r="BC591" s="6">
        <v>0.03025869</v>
      </c>
      <c r="BD591" s="6">
        <v>0.02688692</v>
      </c>
      <c r="BE591" s="6">
        <v>0.03419582</v>
      </c>
      <c r="BF591" s="6">
        <v>0.03770638</v>
      </c>
      <c r="BG591" s="6">
        <v>0.02871266</v>
      </c>
      <c r="BH591" s="6">
        <v>0.03039646</v>
      </c>
      <c r="BI591" s="6">
        <v>0.21470859</v>
      </c>
      <c r="BJ591" s="6">
        <v>0.12366373</v>
      </c>
      <c r="BK591" s="6">
        <v>0.1409291</v>
      </c>
      <c r="BL591" s="6">
        <v>0.12522516</v>
      </c>
      <c r="BM591" s="6">
        <v>0.1592662</v>
      </c>
      <c r="BN591" s="6">
        <v>0.17561655</v>
      </c>
      <c r="BO591" s="6">
        <v>0.1337285</v>
      </c>
      <c r="BP591" s="6">
        <v>0.14157076</v>
      </c>
      <c r="BQ591" s="6">
        <v>0.04325961</v>
      </c>
      <c r="BR591" s="6">
        <v>0.03524335</v>
      </c>
      <c r="BS591" s="6">
        <v>0.03978413</v>
      </c>
      <c r="BT591" s="6">
        <v>0.03010904</v>
      </c>
      <c r="BU591" s="6">
        <v>0.03700206</v>
      </c>
      <c r="BV591" s="6">
        <v>0.07138947</v>
      </c>
      <c r="BW591" s="6">
        <v>0.05715933</v>
      </c>
      <c r="BX591" s="12">
        <v>11794.37</v>
      </c>
      <c r="BY591" s="13">
        <v>3945</v>
      </c>
      <c r="BZ591" s="12">
        <v>24055.76</v>
      </c>
      <c r="CA591" s="6">
        <f t="shared" si="54"/>
        <v>2.98970088719899</v>
      </c>
      <c r="CB591" s="6">
        <f t="shared" si="55"/>
        <v>0.490292969334579</v>
      </c>
      <c r="CC591" s="7">
        <v>234368299.8</v>
      </c>
      <c r="CD591" s="7">
        <f t="shared" si="56"/>
        <v>0.974271026149247</v>
      </c>
      <c r="CE591" s="8">
        <v>3164.7</v>
      </c>
      <c r="CF591" s="8">
        <v>11476.9</v>
      </c>
      <c r="CG591" s="8">
        <v>10567.3</v>
      </c>
      <c r="CH591" s="8">
        <v>34507</v>
      </c>
      <c r="CI591" s="14">
        <v>0</v>
      </c>
      <c r="CJ591" s="14">
        <v>0</v>
      </c>
      <c r="CK591" s="14">
        <f t="shared" si="57"/>
        <v>0</v>
      </c>
      <c r="CL591">
        <f t="shared" si="58"/>
        <v>1.79640226266579</v>
      </c>
      <c r="CM591">
        <f t="shared" si="59"/>
        <v>0.457654309172674</v>
      </c>
      <c r="CN591" s="15">
        <v>12109.72</v>
      </c>
      <c r="CO591" s="15">
        <v>8198.3</v>
      </c>
      <c r="CP591" s="15">
        <v>674.69</v>
      </c>
      <c r="CQ591" s="15">
        <v>2044.45</v>
      </c>
      <c r="CR591" s="15">
        <v>440.45</v>
      </c>
      <c r="CS591" s="15">
        <v>97.33</v>
      </c>
      <c r="CT591" s="15">
        <v>515.59</v>
      </c>
      <c r="CU591" s="15">
        <v>189.36</v>
      </c>
      <c r="CV591" s="15">
        <v>50.26</v>
      </c>
      <c r="CW591" s="15">
        <v>1855.79</v>
      </c>
    </row>
    <row r="592" spans="1:101">
      <c r="A592" s="6">
        <v>2015</v>
      </c>
      <c r="B592" s="6" t="s">
        <v>123</v>
      </c>
      <c r="C592" s="6">
        <v>0.35351778</v>
      </c>
      <c r="D592" s="6">
        <v>0.05751</v>
      </c>
      <c r="E592" s="6">
        <v>0.014572</v>
      </c>
      <c r="F592" s="6">
        <v>0.025887</v>
      </c>
      <c r="G592" s="6">
        <v>0.008384</v>
      </c>
      <c r="H592" s="6">
        <v>0.008668</v>
      </c>
      <c r="I592" s="6">
        <v>0.061625</v>
      </c>
      <c r="J592" s="6">
        <v>0.028354</v>
      </c>
      <c r="K592" s="6">
        <v>0.3995408</v>
      </c>
      <c r="L592" s="6">
        <v>0.30401728</v>
      </c>
      <c r="M592" s="6">
        <v>0.35495432</v>
      </c>
      <c r="N592" s="6">
        <v>0.21932868</v>
      </c>
      <c r="O592" s="6">
        <v>0.22916768</v>
      </c>
      <c r="P592" s="6">
        <v>0.59660514</v>
      </c>
      <c r="Q592" s="6">
        <v>0.43691641</v>
      </c>
      <c r="R592" s="6">
        <v>217.69486</v>
      </c>
      <c r="S592" s="6">
        <v>0.00183532</v>
      </c>
      <c r="T592" s="6">
        <v>169.97573</v>
      </c>
      <c r="U592" s="6">
        <v>0.00178859</v>
      </c>
      <c r="V592" s="6">
        <v>197.11803</v>
      </c>
      <c r="W592" s="6">
        <v>0.00180072</v>
      </c>
      <c r="X592" s="6">
        <v>134.47093</v>
      </c>
      <c r="Y592" s="6">
        <v>0.00163105</v>
      </c>
      <c r="Z592" s="6">
        <v>134.86767</v>
      </c>
      <c r="AA592" s="6">
        <v>0.0016992</v>
      </c>
      <c r="AB592" s="6">
        <v>294.9318</v>
      </c>
      <c r="AC592" s="6">
        <v>0.00202286</v>
      </c>
      <c r="AD592" s="6">
        <v>243.86163</v>
      </c>
      <c r="AE592" s="6">
        <v>0.00179166</v>
      </c>
      <c r="AF592" s="6">
        <v>775</v>
      </c>
      <c r="AG592" s="6">
        <v>-0.01156353</v>
      </c>
      <c r="AH592" s="6">
        <v>-0.01131522</v>
      </c>
      <c r="AI592" s="6">
        <v>-0.01137977</v>
      </c>
      <c r="AJ592" s="6">
        <v>-0.01046894</v>
      </c>
      <c r="AK592" s="6">
        <v>-0.01083684</v>
      </c>
      <c r="AL592" s="6">
        <v>-0.01254828</v>
      </c>
      <c r="AM592" s="6">
        <v>-0.01133154</v>
      </c>
      <c r="AN592" s="6">
        <v>-6.4762184</v>
      </c>
      <c r="AO592" s="6">
        <v>-6.4515561</v>
      </c>
      <c r="AP592" s="6">
        <v>-6.4739881</v>
      </c>
      <c r="AQ592" s="6">
        <v>-6.4253629</v>
      </c>
      <c r="AR592" s="6">
        <v>-6.4020076</v>
      </c>
      <c r="AS592" s="6">
        <v>-6.4618417</v>
      </c>
      <c r="AT592" s="6">
        <v>-6.4506396</v>
      </c>
      <c r="AU592" s="6">
        <v>0.97344833</v>
      </c>
      <c r="AV592" s="6">
        <v>0.96974131</v>
      </c>
      <c r="AW592" s="6">
        <v>0.97311308</v>
      </c>
      <c r="AX592" s="6">
        <v>0.96580418</v>
      </c>
      <c r="AY592" s="6">
        <v>0.96229362</v>
      </c>
      <c r="AZ592" s="6">
        <v>0.97128734</v>
      </c>
      <c r="BA592" s="6">
        <v>0.96960354</v>
      </c>
      <c r="BB592" s="6">
        <v>0.02655167</v>
      </c>
      <c r="BC592" s="6">
        <v>0.03025869</v>
      </c>
      <c r="BD592" s="6">
        <v>0.02688692</v>
      </c>
      <c r="BE592" s="6">
        <v>0.03419582</v>
      </c>
      <c r="BF592" s="6">
        <v>0.03770638</v>
      </c>
      <c r="BG592" s="6">
        <v>0.02871266</v>
      </c>
      <c r="BH592" s="6">
        <v>0.03039646</v>
      </c>
      <c r="BI592" s="6">
        <v>0.21470859</v>
      </c>
      <c r="BJ592" s="6">
        <v>0.12366373</v>
      </c>
      <c r="BK592" s="6">
        <v>0.1409291</v>
      </c>
      <c r="BL592" s="6">
        <v>0.12522516</v>
      </c>
      <c r="BM592" s="6">
        <v>0.1592662</v>
      </c>
      <c r="BN592" s="6">
        <v>0.17561655</v>
      </c>
      <c r="BO592" s="6">
        <v>0.1337285</v>
      </c>
      <c r="BP592" s="6">
        <v>0.14157076</v>
      </c>
      <c r="BQ592" s="6">
        <v>0.04940871</v>
      </c>
      <c r="BR592" s="6">
        <v>0.04284488</v>
      </c>
      <c r="BS592" s="6">
        <v>0.04444921</v>
      </c>
      <c r="BT592" s="6">
        <v>0.03493165</v>
      </c>
      <c r="BU592" s="6">
        <v>0.04024564</v>
      </c>
      <c r="BV592" s="6">
        <v>0.07978311</v>
      </c>
      <c r="BW592" s="6">
        <v>0.06185459</v>
      </c>
      <c r="BX592" s="12">
        <v>11862.79</v>
      </c>
      <c r="BY592" s="13">
        <v>3984</v>
      </c>
      <c r="BZ592" s="12">
        <v>25979.82</v>
      </c>
      <c r="CA592" s="6">
        <f t="shared" si="54"/>
        <v>2.97760793172691</v>
      </c>
      <c r="CB592" s="6">
        <f t="shared" si="55"/>
        <v>0.456615557767529</v>
      </c>
      <c r="CC592" s="7">
        <v>230664613.2</v>
      </c>
      <c r="CD592" s="7">
        <f t="shared" si="56"/>
        <v>0.887860705732372</v>
      </c>
      <c r="CE592" s="8">
        <v>3100.5</v>
      </c>
      <c r="CF592" s="8">
        <v>11519.5</v>
      </c>
      <c r="CG592" s="8">
        <v>11778.4</v>
      </c>
      <c r="CH592" s="8">
        <v>35994</v>
      </c>
      <c r="CI592" s="14">
        <v>0</v>
      </c>
      <c r="CJ592" s="14">
        <v>0</v>
      </c>
      <c r="CK592" s="14">
        <f t="shared" si="57"/>
        <v>0</v>
      </c>
      <c r="CL592">
        <f t="shared" si="58"/>
        <v>1.71577514742415</v>
      </c>
      <c r="CM592">
        <f t="shared" si="59"/>
        <v>0.482530850813816</v>
      </c>
      <c r="CN592" s="15">
        <v>11863</v>
      </c>
      <c r="CO592" s="15">
        <v>7659.95</v>
      </c>
      <c r="CP592" s="15">
        <v>625.6</v>
      </c>
      <c r="CQ592" s="15">
        <v>2164.85</v>
      </c>
      <c r="CR592" s="15">
        <v>465.09</v>
      </c>
      <c r="CS592" s="15">
        <v>111.81</v>
      </c>
      <c r="CT592" s="15">
        <v>445.3</v>
      </c>
      <c r="CU592" s="15">
        <v>174.86</v>
      </c>
      <c r="CV592" s="15">
        <v>45.38</v>
      </c>
      <c r="CW592" s="15">
        <v>1852</v>
      </c>
    </row>
    <row r="593" spans="1:101">
      <c r="A593" s="6">
        <v>2016</v>
      </c>
      <c r="B593" s="6" t="s">
        <v>123</v>
      </c>
      <c r="C593" s="6">
        <v>0.33830342</v>
      </c>
      <c r="D593" s="6">
        <v>0.056514</v>
      </c>
      <c r="E593" s="6">
        <v>0.014534</v>
      </c>
      <c r="F593" s="6">
        <v>0.025033</v>
      </c>
      <c r="G593" s="6">
        <v>0.007912</v>
      </c>
      <c r="H593" s="6">
        <v>0.009034</v>
      </c>
      <c r="I593" s="6">
        <v>0.053308</v>
      </c>
      <c r="J593" s="6">
        <v>0.028423</v>
      </c>
      <c r="K593" s="6">
        <v>0.39172757</v>
      </c>
      <c r="L593" s="6">
        <v>0.30313349</v>
      </c>
      <c r="M593" s="6">
        <v>0.34182631</v>
      </c>
      <c r="N593" s="6">
        <v>0.20539809</v>
      </c>
      <c r="O593" s="6">
        <v>0.24028158</v>
      </c>
      <c r="P593" s="6">
        <v>0.50397124</v>
      </c>
      <c r="Q593" s="6">
        <v>0.43815281</v>
      </c>
      <c r="R593" s="6">
        <v>217.69486</v>
      </c>
      <c r="S593" s="6">
        <v>0.00179943</v>
      </c>
      <c r="T593" s="6">
        <v>169.97573</v>
      </c>
      <c r="U593" s="6">
        <v>0.00178339</v>
      </c>
      <c r="V593" s="6">
        <v>197.11803</v>
      </c>
      <c r="W593" s="6">
        <v>0.00173412</v>
      </c>
      <c r="X593" s="6">
        <v>134.47093</v>
      </c>
      <c r="Y593" s="6">
        <v>0.00152745</v>
      </c>
      <c r="Z593" s="6">
        <v>134.86767</v>
      </c>
      <c r="AA593" s="6">
        <v>0.00178161</v>
      </c>
      <c r="AB593" s="6">
        <v>294.9318</v>
      </c>
      <c r="AC593" s="6">
        <v>0.00170877</v>
      </c>
      <c r="AD593" s="6">
        <v>243.86163</v>
      </c>
      <c r="AE593" s="6">
        <v>0.00179673</v>
      </c>
      <c r="AF593" s="6">
        <v>775</v>
      </c>
      <c r="AG593" s="6">
        <v>-0.01137293</v>
      </c>
      <c r="AH593" s="6">
        <v>-0.01128752</v>
      </c>
      <c r="AI593" s="6">
        <v>-0.01102424</v>
      </c>
      <c r="AJ593" s="6">
        <v>-0.00990424</v>
      </c>
      <c r="AK593" s="6">
        <v>-0.01127802</v>
      </c>
      <c r="AL593" s="6">
        <v>-0.01088826</v>
      </c>
      <c r="AM593" s="6">
        <v>-0.01135853</v>
      </c>
      <c r="AN593" s="6">
        <v>-6.4762184</v>
      </c>
      <c r="AO593" s="6">
        <v>-6.4515561</v>
      </c>
      <c r="AP593" s="6">
        <v>-6.4739881</v>
      </c>
      <c r="AQ593" s="6">
        <v>-6.4253629</v>
      </c>
      <c r="AR593" s="6">
        <v>-6.4020076</v>
      </c>
      <c r="AS593" s="6">
        <v>-6.4618417</v>
      </c>
      <c r="AT593" s="6">
        <v>-6.4506396</v>
      </c>
      <c r="AU593" s="6">
        <v>0.97344833</v>
      </c>
      <c r="AV593" s="6">
        <v>0.96974131</v>
      </c>
      <c r="AW593" s="6">
        <v>0.97311308</v>
      </c>
      <c r="AX593" s="6">
        <v>0.96580418</v>
      </c>
      <c r="AY593" s="6">
        <v>0.96229362</v>
      </c>
      <c r="AZ593" s="6">
        <v>0.97128734</v>
      </c>
      <c r="BA593" s="6">
        <v>0.96960354</v>
      </c>
      <c r="BB593" s="6">
        <v>0.02655167</v>
      </c>
      <c r="BC593" s="6">
        <v>0.03025869</v>
      </c>
      <c r="BD593" s="6">
        <v>0.02688692</v>
      </c>
      <c r="BE593" s="6">
        <v>0.03419582</v>
      </c>
      <c r="BF593" s="6">
        <v>0.03770638</v>
      </c>
      <c r="BG593" s="6">
        <v>0.02871266</v>
      </c>
      <c r="BH593" s="6">
        <v>0.03039646</v>
      </c>
      <c r="BI593" s="6">
        <v>0.21470859</v>
      </c>
      <c r="BJ593" s="6">
        <v>0.12366373</v>
      </c>
      <c r="BK593" s="6">
        <v>0.1409291</v>
      </c>
      <c r="BL593" s="6">
        <v>0.12522516</v>
      </c>
      <c r="BM593" s="6">
        <v>0.1592662</v>
      </c>
      <c r="BN593" s="6">
        <v>0.17561655</v>
      </c>
      <c r="BO593" s="6">
        <v>0.1337285</v>
      </c>
      <c r="BP593" s="6">
        <v>0.14157076</v>
      </c>
      <c r="BQ593" s="6">
        <v>0.04844249</v>
      </c>
      <c r="BR593" s="6">
        <v>0.04272033</v>
      </c>
      <c r="BS593" s="6">
        <v>0.04280525</v>
      </c>
      <c r="BT593" s="6">
        <v>0.03271297</v>
      </c>
      <c r="BU593" s="6">
        <v>0.04219742</v>
      </c>
      <c r="BV593" s="6">
        <v>0.06739532</v>
      </c>
      <c r="BW593" s="6">
        <v>0.06202963</v>
      </c>
      <c r="BX593" s="12">
        <v>12035.99</v>
      </c>
      <c r="BY593" s="13">
        <v>4016</v>
      </c>
      <c r="BZ593" s="12">
        <v>28810.58</v>
      </c>
      <c r="CA593" s="6">
        <f t="shared" si="54"/>
        <v>2.99700946215139</v>
      </c>
      <c r="CB593" s="6">
        <f t="shared" si="55"/>
        <v>0.417762849619827</v>
      </c>
      <c r="CC593" s="7">
        <v>227677608.3</v>
      </c>
      <c r="CD593" s="7">
        <f t="shared" si="56"/>
        <v>0.79025694137362</v>
      </c>
      <c r="CE593" s="8">
        <v>3082.5</v>
      </c>
      <c r="CF593" s="8">
        <v>12332.3</v>
      </c>
      <c r="CG593" s="8">
        <v>13059.3</v>
      </c>
      <c r="CH593" s="8">
        <v>38688</v>
      </c>
      <c r="CI593" s="14">
        <v>0</v>
      </c>
      <c r="CJ593" s="14">
        <v>0</v>
      </c>
      <c r="CK593" s="14">
        <f t="shared" si="57"/>
        <v>0</v>
      </c>
      <c r="CL593">
        <f t="shared" si="58"/>
        <v>1.62438398605541</v>
      </c>
      <c r="CM593">
        <f t="shared" si="59"/>
        <v>0.513503612349288</v>
      </c>
      <c r="CN593" s="15">
        <v>12036</v>
      </c>
      <c r="CO593" s="15">
        <v>6826.5</v>
      </c>
      <c r="CP593" s="15">
        <v>608.65</v>
      </c>
      <c r="CQ593" s="15">
        <v>2089.38</v>
      </c>
      <c r="CR593" s="15">
        <v>494.76</v>
      </c>
      <c r="CS593" s="15">
        <v>124.22</v>
      </c>
      <c r="CT593" s="15">
        <v>429.53</v>
      </c>
      <c r="CU593" s="15">
        <v>178.23</v>
      </c>
      <c r="CV593" s="15">
        <v>48.55</v>
      </c>
      <c r="CW593" s="15">
        <v>1968.58</v>
      </c>
    </row>
    <row r="594" spans="1:101">
      <c r="A594" s="6">
        <v>2017</v>
      </c>
      <c r="B594" s="6" t="s">
        <v>123</v>
      </c>
      <c r="C594" s="6">
        <v>0.34885525</v>
      </c>
      <c r="D594" s="6">
        <v>0.057146</v>
      </c>
      <c r="E594" s="6">
        <v>0.014465</v>
      </c>
      <c r="F594" s="6">
        <v>0.026329</v>
      </c>
      <c r="G594" s="6">
        <v>0.008496</v>
      </c>
      <c r="H594" s="6">
        <v>0.007855</v>
      </c>
      <c r="I594" s="6">
        <v>0.062901</v>
      </c>
      <c r="J594" s="6">
        <v>0.027201</v>
      </c>
      <c r="K594" s="6">
        <v>0.39668483</v>
      </c>
      <c r="L594" s="6">
        <v>0.30150598</v>
      </c>
      <c r="M594" s="6">
        <v>0.36175134</v>
      </c>
      <c r="N594" s="6">
        <v>0.22265136</v>
      </c>
      <c r="O594" s="6">
        <v>0.20454458</v>
      </c>
      <c r="P594" s="6">
        <v>0.61082434</v>
      </c>
      <c r="Q594" s="6">
        <v>0.4163396</v>
      </c>
      <c r="R594" s="6">
        <v>217.69486</v>
      </c>
      <c r="S594" s="6">
        <v>0.00182221</v>
      </c>
      <c r="T594" s="6">
        <v>169.97573</v>
      </c>
      <c r="U594" s="6">
        <v>0.00177382</v>
      </c>
      <c r="V594" s="6">
        <v>197.11803</v>
      </c>
      <c r="W594" s="6">
        <v>0.0018352</v>
      </c>
      <c r="X594" s="6">
        <v>134.47093</v>
      </c>
      <c r="Y594" s="6">
        <v>0.00165576</v>
      </c>
      <c r="Z594" s="6">
        <v>134.86767</v>
      </c>
      <c r="AA594" s="6">
        <v>0.00151663</v>
      </c>
      <c r="AB594" s="6">
        <v>294.9318</v>
      </c>
      <c r="AC594" s="6">
        <v>0.00207107</v>
      </c>
      <c r="AD594" s="6">
        <v>243.86163</v>
      </c>
      <c r="AE594" s="6">
        <v>0.00170728</v>
      </c>
      <c r="AF594" s="6">
        <v>775</v>
      </c>
      <c r="AG594" s="6">
        <v>-0.01149394</v>
      </c>
      <c r="AH594" s="6">
        <v>-0.01123646</v>
      </c>
      <c r="AI594" s="6">
        <v>-0.01156287</v>
      </c>
      <c r="AJ594" s="6">
        <v>-0.01060264</v>
      </c>
      <c r="AK594" s="6">
        <v>-0.00984486</v>
      </c>
      <c r="AL594" s="6">
        <v>-0.01279857</v>
      </c>
      <c r="AM594" s="6">
        <v>-0.01088024</v>
      </c>
      <c r="AN594" s="6">
        <v>-6.4762184</v>
      </c>
      <c r="AO594" s="6">
        <v>-6.4515561</v>
      </c>
      <c r="AP594" s="6">
        <v>-6.4739881</v>
      </c>
      <c r="AQ594" s="6">
        <v>-6.4253629</v>
      </c>
      <c r="AR594" s="6">
        <v>-6.4020076</v>
      </c>
      <c r="AS594" s="6">
        <v>-6.4618417</v>
      </c>
      <c r="AT594" s="6">
        <v>-6.4506396</v>
      </c>
      <c r="AU594" s="6">
        <v>0.97344833</v>
      </c>
      <c r="AV594" s="6">
        <v>0.96974131</v>
      </c>
      <c r="AW594" s="6">
        <v>0.97311308</v>
      </c>
      <c r="AX594" s="6">
        <v>0.96580418</v>
      </c>
      <c r="AY594" s="6">
        <v>0.96229362</v>
      </c>
      <c r="AZ594" s="6">
        <v>0.97128734</v>
      </c>
      <c r="BA594" s="6">
        <v>0.96960354</v>
      </c>
      <c r="BB594" s="6">
        <v>0.02655167</v>
      </c>
      <c r="BC594" s="6">
        <v>0.03025869</v>
      </c>
      <c r="BD594" s="6">
        <v>0.02688692</v>
      </c>
      <c r="BE594" s="6">
        <v>0.03419582</v>
      </c>
      <c r="BF594" s="6">
        <v>0.03770638</v>
      </c>
      <c r="BG594" s="6">
        <v>0.02871266</v>
      </c>
      <c r="BH594" s="6">
        <v>0.03039646</v>
      </c>
      <c r="BI594" s="6">
        <v>0.21470859</v>
      </c>
      <c r="BJ594" s="6">
        <v>0.12366373</v>
      </c>
      <c r="BK594" s="6">
        <v>0.1409291</v>
      </c>
      <c r="BL594" s="6">
        <v>0.12522516</v>
      </c>
      <c r="BM594" s="6">
        <v>0.1592662</v>
      </c>
      <c r="BN594" s="6">
        <v>0.17561655</v>
      </c>
      <c r="BO594" s="6">
        <v>0.1337285</v>
      </c>
      <c r="BP594" s="6">
        <v>0.14157076</v>
      </c>
      <c r="BQ594" s="6">
        <v>0.04905553</v>
      </c>
      <c r="BR594" s="6">
        <v>0.04249097</v>
      </c>
      <c r="BS594" s="6">
        <v>0.04530037</v>
      </c>
      <c r="BT594" s="6">
        <v>0.03546084</v>
      </c>
      <c r="BU594" s="6">
        <v>0.03592141</v>
      </c>
      <c r="BV594" s="6">
        <v>0.08168462</v>
      </c>
      <c r="BW594" s="6">
        <v>0.05894151</v>
      </c>
      <c r="BX594" s="12">
        <v>12554.74</v>
      </c>
      <c r="BY594" s="13">
        <v>4065</v>
      </c>
      <c r="BZ594" s="12">
        <v>32182.09</v>
      </c>
      <c r="CA594" s="6">
        <f t="shared" si="54"/>
        <v>3.08849692496925</v>
      </c>
      <c r="CB594" s="6">
        <f t="shared" si="55"/>
        <v>0.39011574450261</v>
      </c>
      <c r="CC594" s="7">
        <v>235449451.1</v>
      </c>
      <c r="CD594" s="7">
        <f t="shared" si="56"/>
        <v>0.731616408691915</v>
      </c>
      <c r="CE594" s="8">
        <v>3130</v>
      </c>
      <c r="CF594" s="8">
        <v>12778</v>
      </c>
      <c r="CG594" s="8">
        <v>14732.8</v>
      </c>
      <c r="CH594" s="8">
        <v>41451</v>
      </c>
      <c r="CI594" s="14">
        <v>1</v>
      </c>
      <c r="CJ594" s="14">
        <v>0</v>
      </c>
      <c r="CK594" s="14">
        <f t="shared" si="57"/>
        <v>0</v>
      </c>
      <c r="CL594">
        <f t="shared" si="58"/>
        <v>1.56738551218677</v>
      </c>
      <c r="CM594">
        <f t="shared" si="59"/>
        <v>0.533224976878097</v>
      </c>
      <c r="CN594" s="15">
        <v>12890</v>
      </c>
      <c r="CO594" s="15">
        <v>7426.08</v>
      </c>
      <c r="CP594" s="15">
        <v>660.1</v>
      </c>
      <c r="CQ594" s="15">
        <v>2083.69</v>
      </c>
      <c r="CR594" s="15">
        <v>531.87</v>
      </c>
      <c r="CS594" s="15">
        <v>140.86</v>
      </c>
      <c r="CT594" s="15">
        <v>433.74</v>
      </c>
      <c r="CU594" s="15">
        <v>154.09</v>
      </c>
      <c r="CV594" s="15">
        <v>50.16</v>
      </c>
      <c r="CW594" s="15">
        <v>2112.72</v>
      </c>
    </row>
    <row r="595" spans="1:101">
      <c r="A595" s="6">
        <v>2018</v>
      </c>
      <c r="B595" s="6" t="s">
        <v>123</v>
      </c>
      <c r="C595" s="6">
        <v>0.37416999</v>
      </c>
      <c r="D595" s="6">
        <v>0.057702</v>
      </c>
      <c r="E595" s="6">
        <v>0.014714</v>
      </c>
      <c r="F595" s="6">
        <v>0.026266</v>
      </c>
      <c r="G595" s="6">
        <v>0.007928</v>
      </c>
      <c r="H595" s="6">
        <v>0.008794</v>
      </c>
      <c r="I595" s="6">
        <v>0.067279</v>
      </c>
      <c r="J595" s="6">
        <v>0.033228</v>
      </c>
      <c r="K595" s="6">
        <v>0.40105126</v>
      </c>
      <c r="L595" s="6">
        <v>0.30738145</v>
      </c>
      <c r="M595" s="6">
        <v>0.36078851</v>
      </c>
      <c r="N595" s="6">
        <v>0.20585656</v>
      </c>
      <c r="O595" s="6">
        <v>0.23299942</v>
      </c>
      <c r="P595" s="6">
        <v>0.65958224</v>
      </c>
      <c r="Q595" s="6">
        <v>0.52388089</v>
      </c>
      <c r="R595" s="6">
        <v>217.69486</v>
      </c>
      <c r="S595" s="6">
        <v>0.00184226</v>
      </c>
      <c r="T595" s="6">
        <v>169.97573</v>
      </c>
      <c r="U595" s="6">
        <v>0.00180838</v>
      </c>
      <c r="V595" s="6">
        <v>197.11803</v>
      </c>
      <c r="W595" s="6">
        <v>0.00183032</v>
      </c>
      <c r="X595" s="6">
        <v>134.47093</v>
      </c>
      <c r="Y595" s="6">
        <v>0.00153086</v>
      </c>
      <c r="Z595" s="6">
        <v>134.86767</v>
      </c>
      <c r="AA595" s="6">
        <v>0.00172762</v>
      </c>
      <c r="AB595" s="6">
        <v>294.9318</v>
      </c>
      <c r="AC595" s="6">
        <v>0.00223639</v>
      </c>
      <c r="AD595" s="6">
        <v>243.86163</v>
      </c>
      <c r="AE595" s="6">
        <v>0.00214827</v>
      </c>
      <c r="AF595" s="6">
        <v>775</v>
      </c>
      <c r="AG595" s="6">
        <v>-0.01160029</v>
      </c>
      <c r="AH595" s="6">
        <v>-0.01142053</v>
      </c>
      <c r="AI595" s="6">
        <v>-0.01153698</v>
      </c>
      <c r="AJ595" s="6">
        <v>-0.00992294</v>
      </c>
      <c r="AK595" s="6">
        <v>-0.01098938</v>
      </c>
      <c r="AL595" s="6">
        <v>-0.01364844</v>
      </c>
      <c r="AM595" s="6">
        <v>-0.01319703</v>
      </c>
      <c r="AN595" s="6">
        <v>-6.4762184</v>
      </c>
      <c r="AO595" s="6">
        <v>-6.4515561</v>
      </c>
      <c r="AP595" s="6">
        <v>-6.4739881</v>
      </c>
      <c r="AQ595" s="6">
        <v>-6.4253629</v>
      </c>
      <c r="AR595" s="6">
        <v>-6.4020076</v>
      </c>
      <c r="AS595" s="6">
        <v>-6.4618417</v>
      </c>
      <c r="AT595" s="6">
        <v>-6.4506396</v>
      </c>
      <c r="AU595" s="6">
        <v>0.97344833</v>
      </c>
      <c r="AV595" s="6">
        <v>0.96974131</v>
      </c>
      <c r="AW595" s="6">
        <v>0.97311308</v>
      </c>
      <c r="AX595" s="6">
        <v>0.96580418</v>
      </c>
      <c r="AY595" s="6">
        <v>0.96229362</v>
      </c>
      <c r="AZ595" s="6">
        <v>0.97128734</v>
      </c>
      <c r="BA595" s="6">
        <v>0.96960354</v>
      </c>
      <c r="BB595" s="6">
        <v>0.02655167</v>
      </c>
      <c r="BC595" s="6">
        <v>0.03025869</v>
      </c>
      <c r="BD595" s="6">
        <v>0.02688692</v>
      </c>
      <c r="BE595" s="6">
        <v>0.03419582</v>
      </c>
      <c r="BF595" s="6">
        <v>0.03770638</v>
      </c>
      <c r="BG595" s="6">
        <v>0.02871266</v>
      </c>
      <c r="BH595" s="6">
        <v>0.03039646</v>
      </c>
      <c r="BI595" s="6">
        <v>0.21470859</v>
      </c>
      <c r="BJ595" s="6">
        <v>0.12366373</v>
      </c>
      <c r="BK595" s="6">
        <v>0.1409291</v>
      </c>
      <c r="BL595" s="6">
        <v>0.12522516</v>
      </c>
      <c r="BM595" s="6">
        <v>0.1592662</v>
      </c>
      <c r="BN595" s="6">
        <v>0.17561655</v>
      </c>
      <c r="BO595" s="6">
        <v>0.1337285</v>
      </c>
      <c r="BP595" s="6">
        <v>0.14157076</v>
      </c>
      <c r="BQ595" s="6">
        <v>0.0495955</v>
      </c>
      <c r="BR595" s="6">
        <v>0.04331899</v>
      </c>
      <c r="BS595" s="6">
        <v>0.0451798</v>
      </c>
      <c r="BT595" s="6">
        <v>0.03278599</v>
      </c>
      <c r="BU595" s="6">
        <v>0.04091855</v>
      </c>
      <c r="BV595" s="6">
        <v>0.08820494</v>
      </c>
      <c r="BW595" s="6">
        <v>0.07416622</v>
      </c>
      <c r="BX595" s="12">
        <v>13131.01</v>
      </c>
      <c r="BY595" s="13">
        <v>4104</v>
      </c>
      <c r="BZ595" s="12">
        <v>35804.04</v>
      </c>
      <c r="CA595" s="6">
        <f t="shared" si="54"/>
        <v>3.19956384015595</v>
      </c>
      <c r="CB595" s="6">
        <f t="shared" si="55"/>
        <v>0.366746601780134</v>
      </c>
      <c r="CC595" s="7">
        <v>247167211.6</v>
      </c>
      <c r="CD595" s="7">
        <f t="shared" si="56"/>
        <v>0.690333302051947</v>
      </c>
      <c r="CE595" s="8">
        <v>3338.6</v>
      </c>
      <c r="CF595" s="8">
        <v>12904.1</v>
      </c>
      <c r="CG595" s="8">
        <v>16252</v>
      </c>
      <c r="CH595" s="8">
        <v>43808</v>
      </c>
      <c r="CI595" s="14">
        <v>1</v>
      </c>
      <c r="CJ595" s="14">
        <v>0</v>
      </c>
      <c r="CK595" s="14">
        <f t="shared" si="57"/>
        <v>0</v>
      </c>
      <c r="CL595">
        <f t="shared" si="58"/>
        <v>1.51591455826218</v>
      </c>
      <c r="CM595">
        <f t="shared" si="59"/>
        <v>0.544609359221844</v>
      </c>
      <c r="CN595" s="15">
        <v>13131</v>
      </c>
      <c r="CO595" s="15">
        <v>8558.85</v>
      </c>
      <c r="CP595" s="15">
        <v>781.86</v>
      </c>
      <c r="CQ595" s="15">
        <v>2144.17</v>
      </c>
      <c r="CR595" s="15">
        <v>547.86</v>
      </c>
      <c r="CS595" s="15">
        <v>165.3</v>
      </c>
      <c r="CT595" s="15">
        <v>438.9</v>
      </c>
      <c r="CU595" s="15">
        <v>176.13</v>
      </c>
      <c r="CV595" s="15">
        <v>51.92</v>
      </c>
      <c r="CW595" s="15">
        <v>2313.82</v>
      </c>
    </row>
    <row r="596" spans="1:101">
      <c r="A596" s="6">
        <v>2019</v>
      </c>
      <c r="B596" s="6" t="s">
        <v>123</v>
      </c>
      <c r="C596" s="6">
        <v>0.39907202</v>
      </c>
      <c r="D596" s="6">
        <v>0.06363</v>
      </c>
      <c r="E596" s="6">
        <v>0.016219</v>
      </c>
      <c r="F596" s="6">
        <v>0.028691</v>
      </c>
      <c r="G596" s="6">
        <v>0.009489</v>
      </c>
      <c r="H596" s="6">
        <v>0.009231</v>
      </c>
      <c r="I596" s="6">
        <v>0.063652</v>
      </c>
      <c r="J596" s="6">
        <v>0.035286</v>
      </c>
      <c r="K596" s="6">
        <v>0.44754751</v>
      </c>
      <c r="L596" s="6">
        <v>0.34295221</v>
      </c>
      <c r="M596" s="6">
        <v>0.39805138</v>
      </c>
      <c r="N596" s="6">
        <v>0.25200368</v>
      </c>
      <c r="O596" s="6">
        <v>0.24625592</v>
      </c>
      <c r="P596" s="6">
        <v>0.61918205</v>
      </c>
      <c r="Q596" s="6">
        <v>0.56059639</v>
      </c>
      <c r="R596" s="6">
        <v>217.69486</v>
      </c>
      <c r="S596" s="6">
        <v>0.00205585</v>
      </c>
      <c r="T596" s="6">
        <v>169.97573</v>
      </c>
      <c r="U596" s="6">
        <v>0.00201765</v>
      </c>
      <c r="V596" s="6">
        <v>197.11803</v>
      </c>
      <c r="W596" s="6">
        <v>0.00201936</v>
      </c>
      <c r="X596" s="6">
        <v>134.47093</v>
      </c>
      <c r="Y596" s="6">
        <v>0.00187404</v>
      </c>
      <c r="Z596" s="6">
        <v>134.86767</v>
      </c>
      <c r="AA596" s="6">
        <v>0.00182591</v>
      </c>
      <c r="AB596" s="6">
        <v>294.9318</v>
      </c>
      <c r="AC596" s="6">
        <v>0.00209941</v>
      </c>
      <c r="AD596" s="6">
        <v>243.86163</v>
      </c>
      <c r="AE596" s="6">
        <v>0.00229883</v>
      </c>
      <c r="AF596" s="6">
        <v>775</v>
      </c>
      <c r="AG596" s="6">
        <v>-0.01271967</v>
      </c>
      <c r="AH596" s="6">
        <v>-0.0125212</v>
      </c>
      <c r="AI596" s="6">
        <v>-0.01253005</v>
      </c>
      <c r="AJ596" s="6">
        <v>-0.01176832</v>
      </c>
      <c r="AK596" s="6">
        <v>-0.01151359</v>
      </c>
      <c r="AL596" s="6">
        <v>-0.01294516</v>
      </c>
      <c r="AM596" s="6">
        <v>-0.01396621</v>
      </c>
      <c r="AN596" s="6">
        <v>-6.4762184</v>
      </c>
      <c r="AO596" s="6">
        <v>-6.4515561</v>
      </c>
      <c r="AP596" s="6">
        <v>-6.4739881</v>
      </c>
      <c r="AQ596" s="6">
        <v>-6.4253629</v>
      </c>
      <c r="AR596" s="6">
        <v>-6.4020076</v>
      </c>
      <c r="AS596" s="6">
        <v>-6.4618417</v>
      </c>
      <c r="AT596" s="6">
        <v>-6.4506396</v>
      </c>
      <c r="AU596" s="6">
        <v>0.97344833</v>
      </c>
      <c r="AV596" s="6">
        <v>0.96974131</v>
      </c>
      <c r="AW596" s="6">
        <v>0.97311308</v>
      </c>
      <c r="AX596" s="6">
        <v>0.96580418</v>
      </c>
      <c r="AY596" s="6">
        <v>0.96229362</v>
      </c>
      <c r="AZ596" s="6">
        <v>0.97128734</v>
      </c>
      <c r="BA596" s="6">
        <v>0.96960354</v>
      </c>
      <c r="BB596" s="6">
        <v>0.02655167</v>
      </c>
      <c r="BC596" s="6">
        <v>0.03025869</v>
      </c>
      <c r="BD596" s="6">
        <v>0.02688692</v>
      </c>
      <c r="BE596" s="6">
        <v>0.03419582</v>
      </c>
      <c r="BF596" s="6">
        <v>0.03770638</v>
      </c>
      <c r="BG596" s="6">
        <v>0.02871266</v>
      </c>
      <c r="BH596" s="6">
        <v>0.03039646</v>
      </c>
      <c r="BI596" s="6">
        <v>0.21470859</v>
      </c>
      <c r="BJ596" s="6">
        <v>0.12366373</v>
      </c>
      <c r="BK596" s="6">
        <v>0.1409291</v>
      </c>
      <c r="BL596" s="6">
        <v>0.12522516</v>
      </c>
      <c r="BM596" s="6">
        <v>0.1592662</v>
      </c>
      <c r="BN596" s="6">
        <v>0.17561655</v>
      </c>
      <c r="BO596" s="6">
        <v>0.1337285</v>
      </c>
      <c r="BP596" s="6">
        <v>0.14157076</v>
      </c>
      <c r="BQ596" s="6">
        <v>0.0553454</v>
      </c>
      <c r="BR596" s="6">
        <v>0.04833195</v>
      </c>
      <c r="BS596" s="6">
        <v>0.04984605</v>
      </c>
      <c r="BT596" s="6">
        <v>0.04013567</v>
      </c>
      <c r="BU596" s="6">
        <v>0.04324661</v>
      </c>
      <c r="BV596" s="6">
        <v>0.08280228</v>
      </c>
      <c r="BW596" s="6">
        <v>0.07936406</v>
      </c>
      <c r="BX596" s="12">
        <v>13906.6948</v>
      </c>
      <c r="BY596" s="13">
        <v>4137</v>
      </c>
      <c r="BZ596" s="12">
        <v>42395</v>
      </c>
      <c r="CA596" s="6">
        <f t="shared" si="54"/>
        <v>3.36154092337443</v>
      </c>
      <c r="CB596" s="6">
        <f t="shared" si="55"/>
        <v>0.328026767307465</v>
      </c>
      <c r="CC596" s="7">
        <v>251051176.1</v>
      </c>
      <c r="CD596" s="7">
        <f t="shared" si="56"/>
        <v>0.592171661988442</v>
      </c>
      <c r="CE596" s="8">
        <v>3518.4</v>
      </c>
      <c r="CF596" s="8">
        <v>13393.7</v>
      </c>
      <c r="CG596" s="8">
        <v>18066.4</v>
      </c>
      <c r="CH596" s="8">
        <v>47036</v>
      </c>
      <c r="CI596" s="14">
        <v>1</v>
      </c>
      <c r="CJ596" s="14">
        <v>0</v>
      </c>
      <c r="CK596" s="14">
        <f t="shared" si="57"/>
        <v>0</v>
      </c>
      <c r="CL596">
        <f t="shared" si="58"/>
        <v>1.5000536746505</v>
      </c>
      <c r="CM596">
        <f t="shared" si="59"/>
        <v>0.60523301799423</v>
      </c>
      <c r="CN596" s="15">
        <v>13718</v>
      </c>
      <c r="CO596" s="15">
        <v>8718.32</v>
      </c>
      <c r="CP596" s="15">
        <v>871.35</v>
      </c>
      <c r="CQ596" s="15">
        <v>2559.36</v>
      </c>
      <c r="CR596" s="15">
        <v>562.43</v>
      </c>
      <c r="CS596" s="15">
        <v>171.78</v>
      </c>
      <c r="CT596" s="15">
        <v>453.58</v>
      </c>
      <c r="CU596" s="15">
        <v>180.18</v>
      </c>
      <c r="CV596" s="15">
        <v>52.77</v>
      </c>
      <c r="CW596" s="15">
        <v>2402.34</v>
      </c>
    </row>
    <row r="597" spans="1:101">
      <c r="A597" s="6">
        <v>2020</v>
      </c>
      <c r="B597" s="6" t="s">
        <v>123</v>
      </c>
      <c r="C597" s="6">
        <v>0.35204546</v>
      </c>
      <c r="D597" s="6">
        <v>0.06145</v>
      </c>
      <c r="E597" s="6">
        <v>0.014631</v>
      </c>
      <c r="F597" s="6">
        <v>0.028164</v>
      </c>
      <c r="G597" s="6">
        <v>0.010573</v>
      </c>
      <c r="H597" s="6">
        <v>0.008082</v>
      </c>
      <c r="I597" s="6">
        <v>0.056775</v>
      </c>
      <c r="J597" s="6">
        <v>0.024458</v>
      </c>
      <c r="K597" s="6">
        <v>0.43044822</v>
      </c>
      <c r="L597" s="6">
        <v>0.30542541</v>
      </c>
      <c r="M597" s="6">
        <v>0.38995731</v>
      </c>
      <c r="N597" s="6">
        <v>0.28403237</v>
      </c>
      <c r="O597" s="6">
        <v>0.21141884</v>
      </c>
      <c r="P597" s="6">
        <v>0.54258586</v>
      </c>
      <c r="Q597" s="6">
        <v>0.36740805</v>
      </c>
      <c r="R597" s="6">
        <v>217.69486</v>
      </c>
      <c r="S597" s="6">
        <v>0.0019773</v>
      </c>
      <c r="T597" s="6">
        <v>169.97573</v>
      </c>
      <c r="U597" s="6">
        <v>0.00179688</v>
      </c>
      <c r="V597" s="6">
        <v>197.11803</v>
      </c>
      <c r="W597" s="6">
        <v>0.00197829</v>
      </c>
      <c r="X597" s="6">
        <v>134.47093</v>
      </c>
      <c r="Y597" s="6">
        <v>0.00211222</v>
      </c>
      <c r="Z597" s="6">
        <v>134.86767</v>
      </c>
      <c r="AA597" s="6">
        <v>0.0015676</v>
      </c>
      <c r="AB597" s="6">
        <v>294.9318</v>
      </c>
      <c r="AC597" s="6">
        <v>0.0018397</v>
      </c>
      <c r="AD597" s="6">
        <v>243.86163</v>
      </c>
      <c r="AE597" s="6">
        <v>0.00150663</v>
      </c>
      <c r="AF597" s="6">
        <v>775</v>
      </c>
      <c r="AG597" s="6">
        <v>-0.01231072</v>
      </c>
      <c r="AH597" s="6">
        <v>-0.01135932</v>
      </c>
      <c r="AI597" s="6">
        <v>-0.01231591</v>
      </c>
      <c r="AJ597" s="6">
        <v>-0.01301132</v>
      </c>
      <c r="AK597" s="6">
        <v>-0.0101239</v>
      </c>
      <c r="AL597" s="6">
        <v>-0.01158671</v>
      </c>
      <c r="AM597" s="6">
        <v>-0.00978987</v>
      </c>
      <c r="AN597" s="6">
        <v>-6.4762184</v>
      </c>
      <c r="AO597" s="6">
        <v>-6.4515561</v>
      </c>
      <c r="AP597" s="6">
        <v>-6.4739881</v>
      </c>
      <c r="AQ597" s="6">
        <v>-6.4253629</v>
      </c>
      <c r="AR597" s="6">
        <v>-6.4020076</v>
      </c>
      <c r="AS597" s="6">
        <v>-6.4618417</v>
      </c>
      <c r="AT597" s="6">
        <v>-6.4506396</v>
      </c>
      <c r="AU597" s="6">
        <v>0.97344833</v>
      </c>
      <c r="AV597" s="6">
        <v>0.96974131</v>
      </c>
      <c r="AW597" s="6">
        <v>0.97311308</v>
      </c>
      <c r="AX597" s="6">
        <v>0.96580418</v>
      </c>
      <c r="AY597" s="6">
        <v>0.96229362</v>
      </c>
      <c r="AZ597" s="6">
        <v>0.97128734</v>
      </c>
      <c r="BA597" s="6">
        <v>0.96960354</v>
      </c>
      <c r="BB597" s="6">
        <v>0.02655167</v>
      </c>
      <c r="BC597" s="6">
        <v>0.03025869</v>
      </c>
      <c r="BD597" s="6">
        <v>0.02688692</v>
      </c>
      <c r="BE597" s="6">
        <v>0.03419582</v>
      </c>
      <c r="BF597" s="6">
        <v>0.03770638</v>
      </c>
      <c r="BG597" s="6">
        <v>0.02871266</v>
      </c>
      <c r="BH597" s="6">
        <v>0.03039646</v>
      </c>
      <c r="BI597" s="6">
        <v>0.21470859</v>
      </c>
      <c r="BJ597" s="6">
        <v>0.12366373</v>
      </c>
      <c r="BK597" s="6">
        <v>0.1409291</v>
      </c>
      <c r="BL597" s="6">
        <v>0.12522516</v>
      </c>
      <c r="BM597" s="6">
        <v>0.1592662</v>
      </c>
      <c r="BN597" s="6">
        <v>0.17561655</v>
      </c>
      <c r="BO597" s="6">
        <v>0.1337285</v>
      </c>
      <c r="BP597" s="6">
        <v>0.14157076</v>
      </c>
      <c r="BQ597" s="6">
        <v>0.05323083</v>
      </c>
      <c r="BR597" s="6">
        <v>0.04304333</v>
      </c>
      <c r="BS597" s="6">
        <v>0.04883247</v>
      </c>
      <c r="BT597" s="6">
        <v>0.04523676</v>
      </c>
      <c r="BU597" s="6">
        <v>0.03712865</v>
      </c>
      <c r="BV597" s="6">
        <v>0.07255919</v>
      </c>
      <c r="BW597" s="6">
        <v>0.05201424</v>
      </c>
      <c r="BX597" s="12">
        <v>14365.9199</v>
      </c>
      <c r="BY597" s="13">
        <v>4161.44</v>
      </c>
      <c r="BZ597" s="12">
        <v>43903.89</v>
      </c>
      <c r="CA597" s="6">
        <f t="shared" si="54"/>
        <v>3.45215115440809</v>
      </c>
      <c r="CB597" s="6">
        <f t="shared" si="55"/>
        <v>0.32721291666866</v>
      </c>
      <c r="CC597" s="7">
        <v>250501261.6</v>
      </c>
      <c r="CD597" s="7">
        <f t="shared" si="56"/>
        <v>0.570567349726869</v>
      </c>
      <c r="CE597" s="8">
        <v>3880.4</v>
      </c>
      <c r="CF597" s="8">
        <v>13765.1</v>
      </c>
      <c r="CG597" s="8">
        <v>18368.4</v>
      </c>
      <c r="CH597" s="8">
        <v>48302</v>
      </c>
      <c r="CI597" s="14">
        <v>1</v>
      </c>
      <c r="CJ597" s="14">
        <v>0</v>
      </c>
      <c r="CK597" s="14">
        <f t="shared" si="57"/>
        <v>0</v>
      </c>
      <c r="CL597">
        <f t="shared" si="58"/>
        <v>1.47141701078949</v>
      </c>
      <c r="CM597">
        <f t="shared" si="59"/>
        <v>0.612232735150499</v>
      </c>
      <c r="CN597" s="15">
        <v>13905.19</v>
      </c>
      <c r="CO597" s="15">
        <v>8960.56</v>
      </c>
      <c r="CP597" s="15">
        <v>878.05</v>
      </c>
      <c r="CQ597" s="15">
        <v>2528.74</v>
      </c>
      <c r="CR597" s="15">
        <v>530.9</v>
      </c>
      <c r="CS597" s="15">
        <v>123.51</v>
      </c>
      <c r="CT597" s="15">
        <v>406.41</v>
      </c>
      <c r="CU597" s="15">
        <v>163.18</v>
      </c>
      <c r="CV597" s="15">
        <v>51.14</v>
      </c>
      <c r="CW597" s="15">
        <v>2483</v>
      </c>
    </row>
    <row r="598" spans="1:101">
      <c r="A598" s="6">
        <v>2021</v>
      </c>
      <c r="B598" s="6" t="s">
        <v>123</v>
      </c>
      <c r="C598" s="6">
        <v>0.39405635</v>
      </c>
      <c r="D598" s="6">
        <v>0.06554</v>
      </c>
      <c r="E598" s="6">
        <v>0.015875</v>
      </c>
      <c r="F598" s="6">
        <v>0.029488</v>
      </c>
      <c r="G598" s="6">
        <v>0.009815</v>
      </c>
      <c r="H598" s="6">
        <v>0.010363</v>
      </c>
      <c r="I598" s="6">
        <v>0.064178</v>
      </c>
      <c r="J598" s="6">
        <v>0.029112</v>
      </c>
      <c r="K598" s="6">
        <v>0.46252949</v>
      </c>
      <c r="L598" s="6">
        <v>0.33482909</v>
      </c>
      <c r="M598" s="6">
        <v>0.41030025</v>
      </c>
      <c r="N598" s="6">
        <v>0.26162482</v>
      </c>
      <c r="O598" s="6">
        <v>0.28053408</v>
      </c>
      <c r="P598" s="6">
        <v>0.62504688</v>
      </c>
      <c r="Q598" s="6">
        <v>0.45044721</v>
      </c>
      <c r="R598" s="6">
        <v>217.69486</v>
      </c>
      <c r="S598" s="6">
        <v>0.00212467</v>
      </c>
      <c r="T598" s="6">
        <v>169.97573</v>
      </c>
      <c r="U598" s="6">
        <v>0.00196986</v>
      </c>
      <c r="V598" s="6">
        <v>197.11803</v>
      </c>
      <c r="W598" s="6">
        <v>0.0020815</v>
      </c>
      <c r="X598" s="6">
        <v>134.47093</v>
      </c>
      <c r="Y598" s="6">
        <v>0.00194559</v>
      </c>
      <c r="Z598" s="6">
        <v>134.86767</v>
      </c>
      <c r="AA598" s="6">
        <v>0.00208007</v>
      </c>
      <c r="AB598" s="6">
        <v>294.9318</v>
      </c>
      <c r="AC598" s="6">
        <v>0.00211929</v>
      </c>
      <c r="AD598" s="6">
        <v>243.86163</v>
      </c>
      <c r="AE598" s="6">
        <v>0.00184714</v>
      </c>
      <c r="AF598" s="6">
        <v>775</v>
      </c>
      <c r="AG598" s="6">
        <v>-0.01307551</v>
      </c>
      <c r="AH598" s="6">
        <v>-0.01227184</v>
      </c>
      <c r="AI598" s="6">
        <v>-0.01285254</v>
      </c>
      <c r="AJ598" s="6">
        <v>-0.01214472</v>
      </c>
      <c r="AK598" s="6">
        <v>-0.01284516</v>
      </c>
      <c r="AL598" s="6">
        <v>-0.01304779</v>
      </c>
      <c r="AM598" s="6">
        <v>-0.01162613</v>
      </c>
      <c r="AN598" s="6">
        <v>-6.4762184</v>
      </c>
      <c r="AO598" s="6">
        <v>-6.4515561</v>
      </c>
      <c r="AP598" s="6">
        <v>-6.4739881</v>
      </c>
      <c r="AQ598" s="6">
        <v>-6.4253629</v>
      </c>
      <c r="AR598" s="6">
        <v>-6.4020076</v>
      </c>
      <c r="AS598" s="6">
        <v>-6.4618417</v>
      </c>
      <c r="AT598" s="6">
        <v>-6.4506396</v>
      </c>
      <c r="AU598" s="6">
        <v>0.97344833</v>
      </c>
      <c r="AV598" s="6">
        <v>0.96974131</v>
      </c>
      <c r="AW598" s="6">
        <v>0.97311308</v>
      </c>
      <c r="AX598" s="6">
        <v>0.96580418</v>
      </c>
      <c r="AY598" s="6">
        <v>0.96229362</v>
      </c>
      <c r="AZ598" s="6">
        <v>0.97128734</v>
      </c>
      <c r="BA598" s="6">
        <v>0.96960354</v>
      </c>
      <c r="BB598" s="6">
        <v>0.02655167</v>
      </c>
      <c r="BC598" s="6">
        <v>0.03025869</v>
      </c>
      <c r="BD598" s="6">
        <v>0.02688692</v>
      </c>
      <c r="BE598" s="6">
        <v>0.03419582</v>
      </c>
      <c r="BF598" s="6">
        <v>0.03770638</v>
      </c>
      <c r="BG598" s="6">
        <v>0.02871266</v>
      </c>
      <c r="BH598" s="6">
        <v>0.03039646</v>
      </c>
      <c r="BI598" s="6">
        <v>0.21470859</v>
      </c>
      <c r="BJ598" s="6">
        <v>0.12366373</v>
      </c>
      <c r="BK598" s="6">
        <v>0.1409291</v>
      </c>
      <c r="BL598" s="6">
        <v>0.12522516</v>
      </c>
      <c r="BM598" s="6">
        <v>0.1592662</v>
      </c>
      <c r="BN598" s="6">
        <v>0.17561655</v>
      </c>
      <c r="BO598" s="6">
        <v>0.1337285</v>
      </c>
      <c r="BP598" s="6">
        <v>0.14157076</v>
      </c>
      <c r="BQ598" s="6">
        <v>0.05719812</v>
      </c>
      <c r="BR598" s="6">
        <v>0.04718716</v>
      </c>
      <c r="BS598" s="6">
        <v>0.05137991</v>
      </c>
      <c r="BT598" s="6">
        <v>0.04166799</v>
      </c>
      <c r="BU598" s="6">
        <v>0.04926643</v>
      </c>
      <c r="BV598" s="6">
        <v>0.08358658</v>
      </c>
      <c r="BW598" s="6">
        <v>0.06377016</v>
      </c>
      <c r="BX598" s="12">
        <v>15843.3744</v>
      </c>
      <c r="BY598" s="13">
        <v>4187</v>
      </c>
      <c r="BZ598" s="12">
        <v>48810.4</v>
      </c>
      <c r="CA598" s="6">
        <f t="shared" si="54"/>
        <v>3.78394420826367</v>
      </c>
      <c r="CB598" s="6">
        <f t="shared" si="55"/>
        <v>0.324590136528281</v>
      </c>
      <c r="CC598" s="7">
        <v>268199779.3</v>
      </c>
      <c r="CD598" s="7">
        <f t="shared" si="56"/>
        <v>0.549472610959959</v>
      </c>
      <c r="CE598" s="8">
        <v>4030.4</v>
      </c>
      <c r="CF598" s="8">
        <v>16355.8</v>
      </c>
      <c r="CG598" s="8">
        <v>20010.9</v>
      </c>
      <c r="CH598" s="8">
        <v>54181</v>
      </c>
      <c r="CI598" s="14">
        <v>1</v>
      </c>
      <c r="CJ598" s="14">
        <v>0</v>
      </c>
      <c r="CK598" s="14">
        <f t="shared" si="57"/>
        <v>0</v>
      </c>
      <c r="CL598">
        <f t="shared" si="58"/>
        <v>1.36781889095748</v>
      </c>
      <c r="CM598">
        <f t="shared" si="59"/>
        <v>0.598285551842813</v>
      </c>
      <c r="CN598" s="15">
        <v>15157.51</v>
      </c>
      <c r="CO598" s="15">
        <v>9946.32</v>
      </c>
      <c r="CP598" s="15">
        <v>858.85</v>
      </c>
      <c r="CQ598" s="15">
        <v>2839.74</v>
      </c>
      <c r="CR598" s="15">
        <v>540.19</v>
      </c>
      <c r="CS598" s="15">
        <v>117.24</v>
      </c>
      <c r="CT598" s="15">
        <v>429.63</v>
      </c>
      <c r="CU598" s="15">
        <v>189.03</v>
      </c>
      <c r="CV598" s="15">
        <v>60.04</v>
      </c>
      <c r="CW598" s="15">
        <v>2837</v>
      </c>
    </row>
    <row r="599" spans="1:101">
      <c r="A599" s="6">
        <v>2022</v>
      </c>
      <c r="B599" s="6" t="s">
        <v>123</v>
      </c>
      <c r="C599" s="6">
        <v>0.39580976</v>
      </c>
      <c r="D599" s="6">
        <v>0.065604</v>
      </c>
      <c r="E599" s="6">
        <v>0.015951</v>
      </c>
      <c r="F599" s="6">
        <v>0.029526</v>
      </c>
      <c r="G599" s="6">
        <v>0.009318</v>
      </c>
      <c r="H599" s="6">
        <v>0.010809</v>
      </c>
      <c r="I599" s="6">
        <v>0.0632</v>
      </c>
      <c r="J599" s="6">
        <v>0.030214</v>
      </c>
      <c r="K599" s="6">
        <v>0.46303507</v>
      </c>
      <c r="L599" s="6">
        <v>0.3366369</v>
      </c>
      <c r="M599" s="6">
        <v>0.41088966</v>
      </c>
      <c r="N599" s="6">
        <v>0.246941</v>
      </c>
      <c r="O599" s="6">
        <v>0.29406198</v>
      </c>
      <c r="P599" s="6">
        <v>0.61414969</v>
      </c>
      <c r="Q599" s="6">
        <v>0.47010155</v>
      </c>
      <c r="R599" s="6">
        <v>217.69486</v>
      </c>
      <c r="S599" s="6">
        <v>0.00212699</v>
      </c>
      <c r="T599" s="6">
        <v>169.97573</v>
      </c>
      <c r="U599" s="6">
        <v>0.0019805</v>
      </c>
      <c r="V599" s="6">
        <v>197.11803</v>
      </c>
      <c r="W599" s="6">
        <v>0.00208449</v>
      </c>
      <c r="X599" s="6">
        <v>134.47093</v>
      </c>
      <c r="Y599" s="6">
        <v>0.00183639</v>
      </c>
      <c r="Z599" s="6">
        <v>134.86767</v>
      </c>
      <c r="AA599" s="6">
        <v>0.00218037</v>
      </c>
      <c r="AB599" s="6">
        <v>294.9318</v>
      </c>
      <c r="AC599" s="6">
        <v>0.00208234</v>
      </c>
      <c r="AD599" s="6">
        <v>243.86163</v>
      </c>
      <c r="AE599" s="6">
        <v>0.00192774</v>
      </c>
      <c r="AF599" s="6">
        <v>775</v>
      </c>
      <c r="AG599" s="6">
        <v>-0.01308748</v>
      </c>
      <c r="AH599" s="6">
        <v>-0.01232743</v>
      </c>
      <c r="AI599" s="6">
        <v>-0.01286801</v>
      </c>
      <c r="AJ599" s="6">
        <v>-0.01156917</v>
      </c>
      <c r="AK599" s="6">
        <v>-0.0133619</v>
      </c>
      <c r="AL599" s="6">
        <v>-0.01285694</v>
      </c>
      <c r="AM599" s="6">
        <v>-0.01205108</v>
      </c>
      <c r="AN599" s="6">
        <v>-6.4762184</v>
      </c>
      <c r="AO599" s="6">
        <v>-6.4515561</v>
      </c>
      <c r="AP599" s="6">
        <v>-6.4739881</v>
      </c>
      <c r="AQ599" s="6">
        <v>-6.4253629</v>
      </c>
      <c r="AR599" s="6">
        <v>-6.4020076</v>
      </c>
      <c r="AS599" s="6">
        <v>-6.4618417</v>
      </c>
      <c r="AT599" s="6">
        <v>-6.4506396</v>
      </c>
      <c r="AU599" s="6">
        <v>0.97344833</v>
      </c>
      <c r="AV599" s="6">
        <v>0.96974131</v>
      </c>
      <c r="AW599" s="6">
        <v>0.97311308</v>
      </c>
      <c r="AX599" s="6">
        <v>0.96580418</v>
      </c>
      <c r="AY599" s="6">
        <v>0.96229362</v>
      </c>
      <c r="AZ599" s="6">
        <v>0.97128734</v>
      </c>
      <c r="BA599" s="6">
        <v>0.96960354</v>
      </c>
      <c r="BB599" s="6">
        <v>0.02655167</v>
      </c>
      <c r="BC599" s="6">
        <v>0.03025869</v>
      </c>
      <c r="BD599" s="6">
        <v>0.02688692</v>
      </c>
      <c r="BE599" s="6">
        <v>0.03419582</v>
      </c>
      <c r="BF599" s="6">
        <v>0.03770638</v>
      </c>
      <c r="BG599" s="6">
        <v>0.02871266</v>
      </c>
      <c r="BH599" s="6">
        <v>0.03039646</v>
      </c>
      <c r="BI599" s="6">
        <v>0.21470859</v>
      </c>
      <c r="BJ599" s="6">
        <v>0.12366373</v>
      </c>
      <c r="BK599" s="6">
        <v>0.1409291</v>
      </c>
      <c r="BL599" s="6">
        <v>0.12522516</v>
      </c>
      <c r="BM599" s="6">
        <v>0.1592662</v>
      </c>
      <c r="BN599" s="6">
        <v>0.17561655</v>
      </c>
      <c r="BO599" s="6">
        <v>0.1337285</v>
      </c>
      <c r="BP599" s="6">
        <v>0.14157076</v>
      </c>
      <c r="BQ599" s="6">
        <v>0.05726065</v>
      </c>
      <c r="BR599" s="6">
        <v>0.04744193</v>
      </c>
      <c r="BS599" s="6">
        <v>0.05145372</v>
      </c>
      <c r="BT599" s="6">
        <v>0.03932936</v>
      </c>
      <c r="BU599" s="6">
        <v>0.05164215</v>
      </c>
      <c r="BV599" s="6">
        <v>0.08212931</v>
      </c>
      <c r="BW599" s="6">
        <v>0.06655264</v>
      </c>
      <c r="BX599" s="12">
        <v>16302.419</v>
      </c>
      <c r="BY599" s="13">
        <v>4188</v>
      </c>
      <c r="BZ599" s="12">
        <v>53109.9</v>
      </c>
      <c r="CA599" s="6">
        <f t="shared" si="54"/>
        <v>3.89265019102197</v>
      </c>
      <c r="CB599" s="6">
        <f t="shared" si="55"/>
        <v>0.306956311346849</v>
      </c>
      <c r="CC599" s="7">
        <v>266276522.2</v>
      </c>
      <c r="CD599" s="7">
        <f t="shared" si="56"/>
        <v>0.501368901466582</v>
      </c>
      <c r="CE599" s="8">
        <v>4408.6</v>
      </c>
      <c r="CF599" s="8">
        <v>16129.6</v>
      </c>
      <c r="CG599" s="8">
        <v>21449.8</v>
      </c>
      <c r="CH599" s="8">
        <v>56481</v>
      </c>
      <c r="CI599" s="14">
        <v>1</v>
      </c>
      <c r="CJ599" s="14">
        <v>0</v>
      </c>
      <c r="CK599" s="14">
        <f t="shared" si="57"/>
        <v>0</v>
      </c>
      <c r="CL599">
        <f t="shared" si="58"/>
        <v>1.27047633725244</v>
      </c>
      <c r="CM599">
        <f t="shared" si="59"/>
        <v>0.605369351033444</v>
      </c>
      <c r="CN599" s="15">
        <v>15784.1645556962</v>
      </c>
      <c r="CO599" s="15">
        <v>9538.63</v>
      </c>
      <c r="CP599" s="15">
        <v>990.44</v>
      </c>
      <c r="CQ599" s="15">
        <v>2580.98</v>
      </c>
      <c r="CR599" s="15">
        <v>502.06</v>
      </c>
      <c r="CS599" s="15">
        <v>89.96</v>
      </c>
      <c r="CT599" s="15">
        <v>412.45</v>
      </c>
      <c r="CU599" s="15">
        <v>196.92</v>
      </c>
      <c r="CV599" s="15">
        <v>55.41</v>
      </c>
      <c r="CW599" s="15">
        <v>2914.45</v>
      </c>
    </row>
    <row r="600" spans="1:101">
      <c r="A600" s="6">
        <v>2023</v>
      </c>
      <c r="B600" s="6" t="s">
        <v>123</v>
      </c>
      <c r="C600" s="6">
        <v>0.53447942</v>
      </c>
      <c r="D600" s="6">
        <v>0.072423</v>
      </c>
      <c r="E600" s="6">
        <v>0.022782</v>
      </c>
      <c r="F600" s="6">
        <v>0.036319</v>
      </c>
      <c r="G600" s="6">
        <v>0.015575</v>
      </c>
      <c r="H600" s="6">
        <v>0.018009</v>
      </c>
      <c r="I600" s="6">
        <v>0.068975</v>
      </c>
      <c r="J600" s="6">
        <v>0.038069</v>
      </c>
      <c r="K600" s="6">
        <v>0.51651928</v>
      </c>
      <c r="L600" s="6">
        <v>0.4981268</v>
      </c>
      <c r="M600" s="6">
        <v>0.51528513</v>
      </c>
      <c r="N600" s="6">
        <v>0.4319007</v>
      </c>
      <c r="O600" s="6">
        <v>0.51226696</v>
      </c>
      <c r="P600" s="6">
        <v>0.67848027</v>
      </c>
      <c r="Q600" s="6">
        <v>0.61026449</v>
      </c>
      <c r="R600" s="6">
        <v>217.69486</v>
      </c>
      <c r="S600" s="6">
        <v>0.00237268</v>
      </c>
      <c r="T600" s="6">
        <v>169.97573</v>
      </c>
      <c r="U600" s="6">
        <v>0.00293058</v>
      </c>
      <c r="V600" s="6">
        <v>197.11803</v>
      </c>
      <c r="W600" s="6">
        <v>0.00261409</v>
      </c>
      <c r="X600" s="6">
        <v>134.47093</v>
      </c>
      <c r="Y600" s="6">
        <v>0.00321185</v>
      </c>
      <c r="Z600" s="6">
        <v>134.86767</v>
      </c>
      <c r="AA600" s="6">
        <v>0.00379829</v>
      </c>
      <c r="AB600" s="6">
        <v>294.9318</v>
      </c>
      <c r="AC600" s="6">
        <v>0.00230046</v>
      </c>
      <c r="AD600" s="6">
        <v>243.86163</v>
      </c>
      <c r="AE600" s="6">
        <v>0.0025025</v>
      </c>
      <c r="AF600" s="6">
        <v>775</v>
      </c>
      <c r="AG600" s="6">
        <v>-0.01433983</v>
      </c>
      <c r="AH600" s="6">
        <v>-0.01709275</v>
      </c>
      <c r="AI600" s="6">
        <v>-0.01554559</v>
      </c>
      <c r="AJ600" s="6">
        <v>-0.01843894</v>
      </c>
      <c r="AK600" s="6">
        <v>-0.02116866</v>
      </c>
      <c r="AL600" s="6">
        <v>-0.01397451</v>
      </c>
      <c r="AM600" s="6">
        <v>-0.01499115</v>
      </c>
      <c r="AN600" s="6">
        <v>-6.4762184</v>
      </c>
      <c r="AO600" s="6">
        <v>-6.4515561</v>
      </c>
      <c r="AP600" s="6">
        <v>-6.4739881</v>
      </c>
      <c r="AQ600" s="6">
        <v>-6.4253629</v>
      </c>
      <c r="AR600" s="6">
        <v>-6.4020076</v>
      </c>
      <c r="AS600" s="6">
        <v>-6.4618417</v>
      </c>
      <c r="AT600" s="6">
        <v>-6.4506396</v>
      </c>
      <c r="AU600" s="6">
        <v>0.97344833</v>
      </c>
      <c r="AV600" s="6">
        <v>0.96974131</v>
      </c>
      <c r="AW600" s="6">
        <v>0.97311308</v>
      </c>
      <c r="AX600" s="6">
        <v>0.96580418</v>
      </c>
      <c r="AY600" s="6">
        <v>0.96229362</v>
      </c>
      <c r="AZ600" s="6">
        <v>0.97128734</v>
      </c>
      <c r="BA600" s="6">
        <v>0.96960354</v>
      </c>
      <c r="BB600" s="6">
        <v>0.02655167</v>
      </c>
      <c r="BC600" s="6">
        <v>0.03025869</v>
      </c>
      <c r="BD600" s="6">
        <v>0.02688692</v>
      </c>
      <c r="BE600" s="6">
        <v>0.03419582</v>
      </c>
      <c r="BF600" s="6">
        <v>0.03770638</v>
      </c>
      <c r="BG600" s="6">
        <v>0.02871266</v>
      </c>
      <c r="BH600" s="6">
        <v>0.03039646</v>
      </c>
      <c r="BI600" s="6">
        <v>0.21470859</v>
      </c>
      <c r="BJ600" s="6">
        <v>0.12366373</v>
      </c>
      <c r="BK600" s="6">
        <v>0.1409291</v>
      </c>
      <c r="BL600" s="6">
        <v>0.12522516</v>
      </c>
      <c r="BM600" s="6">
        <v>0.1592662</v>
      </c>
      <c r="BN600" s="6">
        <v>0.17561655</v>
      </c>
      <c r="BO600" s="6">
        <v>0.1337285</v>
      </c>
      <c r="BP600" s="6">
        <v>0.14157076</v>
      </c>
      <c r="BQ600" s="6">
        <v>0.0638747</v>
      </c>
      <c r="BR600" s="6">
        <v>0.07020056</v>
      </c>
      <c r="BS600" s="6">
        <v>0.06452666</v>
      </c>
      <c r="BT600" s="6">
        <v>0.06878718</v>
      </c>
      <c r="BU600" s="6">
        <v>0.08996256</v>
      </c>
      <c r="BV600" s="6">
        <v>0.09073215</v>
      </c>
      <c r="BW600" s="6">
        <v>0.08639561</v>
      </c>
      <c r="BX600" s="12">
        <v>17215.7667</v>
      </c>
      <c r="BY600" s="13">
        <v>4183</v>
      </c>
      <c r="BZ600" s="12">
        <v>54355.1</v>
      </c>
      <c r="CA600" s="6">
        <f t="shared" si="54"/>
        <v>4.1156506574229</v>
      </c>
      <c r="CB600" s="6">
        <f t="shared" si="55"/>
        <v>0.316727716442431</v>
      </c>
      <c r="CC600" s="7">
        <v>269347880.9</v>
      </c>
      <c r="CD600" s="7">
        <f t="shared" si="56"/>
        <v>0.49553377861507</v>
      </c>
      <c r="CE600" s="8">
        <v>4466.2</v>
      </c>
      <c r="CF600" s="8">
        <v>16435.3</v>
      </c>
      <c r="CG600" s="8">
        <v>23042.6</v>
      </c>
      <c r="CH600" s="8">
        <v>59332</v>
      </c>
      <c r="CI600" s="14">
        <v>1</v>
      </c>
      <c r="CJ600" s="14">
        <v>0</v>
      </c>
      <c r="CK600" s="14">
        <f t="shared" si="57"/>
        <v>0</v>
      </c>
      <c r="CL600">
        <f t="shared" si="58"/>
        <v>1.2756783895882</v>
      </c>
      <c r="CM600">
        <f t="shared" si="59"/>
        <v>0.611552737226321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</row>
    <row r="601" spans="1:101">
      <c r="A601" s="6">
        <v>2024</v>
      </c>
      <c r="B601" s="6" t="s">
        <v>123</v>
      </c>
      <c r="C601" s="6">
        <v>0.58648808</v>
      </c>
      <c r="D601" s="6">
        <v>0.075898</v>
      </c>
      <c r="E601" s="6">
        <v>0.025162</v>
      </c>
      <c r="F601" s="6">
        <v>0.038877</v>
      </c>
      <c r="G601" s="6">
        <v>0.018255</v>
      </c>
      <c r="H601" s="6">
        <v>0.021311</v>
      </c>
      <c r="I601" s="6">
        <v>0.069591</v>
      </c>
      <c r="J601" s="6">
        <v>0.039921</v>
      </c>
      <c r="K601" s="6">
        <v>0.54378074</v>
      </c>
      <c r="L601" s="6">
        <v>0.55440278</v>
      </c>
      <c r="M601" s="6">
        <v>0.55461457</v>
      </c>
      <c r="N601" s="6">
        <v>0.51111797</v>
      </c>
      <c r="O601" s="6">
        <v>0.61232167</v>
      </c>
      <c r="P601" s="6">
        <v>0.6853318</v>
      </c>
      <c r="Q601" s="6">
        <v>0.6433031</v>
      </c>
      <c r="R601" s="6">
        <v>217.69486</v>
      </c>
      <c r="S601" s="6">
        <v>0.0024979</v>
      </c>
      <c r="T601" s="6">
        <v>169.97573</v>
      </c>
      <c r="U601" s="6">
        <v>0.00326166</v>
      </c>
      <c r="V601" s="6">
        <v>197.11803</v>
      </c>
      <c r="W601" s="6">
        <v>0.00281362</v>
      </c>
      <c r="X601" s="6">
        <v>134.47093</v>
      </c>
      <c r="Y601" s="6">
        <v>0.00380096</v>
      </c>
      <c r="Z601" s="6">
        <v>134.86767</v>
      </c>
      <c r="AA601" s="6">
        <v>0.00454017</v>
      </c>
      <c r="AB601" s="6">
        <v>294.9318</v>
      </c>
      <c r="AC601" s="6">
        <v>0.0023237</v>
      </c>
      <c r="AD601" s="6">
        <v>243.86163</v>
      </c>
      <c r="AE601" s="6">
        <v>0.00263798</v>
      </c>
      <c r="AF601" s="6">
        <v>775</v>
      </c>
      <c r="AG601" s="6">
        <v>-0.0149682</v>
      </c>
      <c r="AH601" s="6">
        <v>-0.01867469</v>
      </c>
      <c r="AI601" s="6">
        <v>-0.01652517</v>
      </c>
      <c r="AJ601" s="6">
        <v>-0.02118083</v>
      </c>
      <c r="AK601" s="6">
        <v>-0.02449325</v>
      </c>
      <c r="AL601" s="6">
        <v>-0.01409228</v>
      </c>
      <c r="AM601" s="6">
        <v>-0.01566366</v>
      </c>
      <c r="AN601" s="6">
        <v>-6.4762184</v>
      </c>
      <c r="AO601" s="6">
        <v>-6.4515561</v>
      </c>
      <c r="AP601" s="6">
        <v>-6.4739881</v>
      </c>
      <c r="AQ601" s="6">
        <v>-6.4253629</v>
      </c>
      <c r="AR601" s="6">
        <v>-6.4020076</v>
      </c>
      <c r="AS601" s="6">
        <v>-6.4618417</v>
      </c>
      <c r="AT601" s="6">
        <v>-6.4506396</v>
      </c>
      <c r="AU601" s="6">
        <v>0.97344833</v>
      </c>
      <c r="AV601" s="6">
        <v>0.96974131</v>
      </c>
      <c r="AW601" s="6">
        <v>0.97311308</v>
      </c>
      <c r="AX601" s="6">
        <v>0.96580418</v>
      </c>
      <c r="AY601" s="6">
        <v>0.96229362</v>
      </c>
      <c r="AZ601" s="6">
        <v>0.97128734</v>
      </c>
      <c r="BA601" s="6">
        <v>0.96960354</v>
      </c>
      <c r="BB601" s="6">
        <v>0.02655167</v>
      </c>
      <c r="BC601" s="6">
        <v>0.03025869</v>
      </c>
      <c r="BD601" s="6">
        <v>0.02688692</v>
      </c>
      <c r="BE601" s="6">
        <v>0.03419582</v>
      </c>
      <c r="BF601" s="6">
        <v>0.03770638</v>
      </c>
      <c r="BG601" s="6">
        <v>0.02871266</v>
      </c>
      <c r="BH601" s="6">
        <v>0.03039646</v>
      </c>
      <c r="BI601" s="6">
        <v>0.21470859</v>
      </c>
      <c r="BJ601" s="6">
        <v>0.12366373</v>
      </c>
      <c r="BK601" s="6">
        <v>0.1409291</v>
      </c>
      <c r="BL601" s="6">
        <v>0.12522516</v>
      </c>
      <c r="BM601" s="6">
        <v>0.1592662</v>
      </c>
      <c r="BN601" s="6">
        <v>0.17561655</v>
      </c>
      <c r="BO601" s="6">
        <v>0.1337285</v>
      </c>
      <c r="BP601" s="6">
        <v>0.14157076</v>
      </c>
      <c r="BQ601" s="6">
        <v>0.06724596</v>
      </c>
      <c r="BR601" s="6">
        <v>0.07813148</v>
      </c>
      <c r="BS601" s="6">
        <v>0.0694517</v>
      </c>
      <c r="BT601" s="6">
        <v>0.08140382</v>
      </c>
      <c r="BU601" s="6">
        <v>0.10753382</v>
      </c>
      <c r="BV601" s="6">
        <v>0.09164839</v>
      </c>
      <c r="BW601" s="6">
        <v>0.09107291</v>
      </c>
      <c r="BX601" s="12">
        <v>18162.4899</v>
      </c>
      <c r="BY601" s="13">
        <v>4193</v>
      </c>
      <c r="BZ601" s="12">
        <v>57761</v>
      </c>
      <c r="CA601" s="6">
        <f t="shared" si="54"/>
        <v>4.33162172668734</v>
      </c>
      <c r="CB601" s="6">
        <f t="shared" si="55"/>
        <v>0.314442095877841</v>
      </c>
      <c r="CC601" s="7">
        <v>271418291.9</v>
      </c>
      <c r="CD601" s="7">
        <f t="shared" si="56"/>
        <v>0.469898879693911</v>
      </c>
      <c r="CE601" s="8">
        <v>4522.3</v>
      </c>
      <c r="CF601" s="8">
        <v>17470.5</v>
      </c>
      <c r="CG601" s="8">
        <v>25534.1</v>
      </c>
      <c r="CH601" s="8">
        <v>64352</v>
      </c>
      <c r="CI601" s="14">
        <v>1</v>
      </c>
      <c r="CJ601" s="14">
        <v>0</v>
      </c>
      <c r="CK601" s="14">
        <f t="shared" si="57"/>
        <v>0</v>
      </c>
      <c r="CL601">
        <f t="shared" si="58"/>
        <v>1.21200651315194</v>
      </c>
      <c r="CM601">
        <f t="shared" si="59"/>
        <v>0.612296737191706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</row>
    <row r="602" spans="1:101">
      <c r="A602" s="6">
        <v>2000</v>
      </c>
      <c r="B602" s="6" t="s">
        <v>124</v>
      </c>
      <c r="C602" s="6">
        <v>0.16506732</v>
      </c>
      <c r="D602" s="6">
        <v>0.030383</v>
      </c>
      <c r="E602" s="6">
        <v>0.007724</v>
      </c>
      <c r="F602" s="6">
        <v>0.01342</v>
      </c>
      <c r="G602" s="6">
        <v>0.0043</v>
      </c>
      <c r="H602" s="6">
        <v>0.004938</v>
      </c>
      <c r="I602" s="6">
        <v>0.030563</v>
      </c>
      <c r="J602" s="6">
        <v>0.016482</v>
      </c>
      <c r="K602" s="6">
        <v>0.18675502</v>
      </c>
      <c r="L602" s="6">
        <v>0.14211735</v>
      </c>
      <c r="M602" s="6">
        <v>0.16335123</v>
      </c>
      <c r="N602" s="6">
        <v>0.09863031</v>
      </c>
      <c r="O602" s="6">
        <v>0.11614351</v>
      </c>
      <c r="P602" s="6">
        <v>0.25062695</v>
      </c>
      <c r="Q602" s="6">
        <v>0.22509721</v>
      </c>
      <c r="R602" s="6">
        <v>217.69486</v>
      </c>
      <c r="S602" s="6">
        <v>0.00085788</v>
      </c>
      <c r="T602" s="6">
        <v>169.97573</v>
      </c>
      <c r="U602" s="6">
        <v>0.0008361</v>
      </c>
      <c r="V602" s="6">
        <v>197.11803</v>
      </c>
      <c r="W602" s="6">
        <v>0.0008287</v>
      </c>
      <c r="X602" s="6">
        <v>134.47093</v>
      </c>
      <c r="Y602" s="6">
        <v>0.00073347</v>
      </c>
      <c r="Z602" s="6">
        <v>134.86767</v>
      </c>
      <c r="AA602" s="6">
        <v>0.00086117</v>
      </c>
      <c r="AB602" s="6">
        <v>294.9318</v>
      </c>
      <c r="AC602" s="6">
        <v>0.00084978</v>
      </c>
      <c r="AD602" s="6">
        <v>243.86163</v>
      </c>
      <c r="AE602" s="6">
        <v>0.00092305</v>
      </c>
      <c r="AF602" s="6">
        <v>775</v>
      </c>
      <c r="AG602" s="6">
        <v>-0.0060575</v>
      </c>
      <c r="AH602" s="6">
        <v>-0.00592526</v>
      </c>
      <c r="AI602" s="6">
        <v>-0.00588015</v>
      </c>
      <c r="AJ602" s="6">
        <v>-0.00529398</v>
      </c>
      <c r="AK602" s="6">
        <v>-0.00607744</v>
      </c>
      <c r="AL602" s="6">
        <v>-0.00600839</v>
      </c>
      <c r="AM602" s="6">
        <v>-0.00645013</v>
      </c>
      <c r="AN602" s="6">
        <v>-6.4762184</v>
      </c>
      <c r="AO602" s="6">
        <v>-6.4515561</v>
      </c>
      <c r="AP602" s="6">
        <v>-6.4739881</v>
      </c>
      <c r="AQ602" s="6">
        <v>-6.4253629</v>
      </c>
      <c r="AR602" s="6">
        <v>-6.4020076</v>
      </c>
      <c r="AS602" s="6">
        <v>-6.4618417</v>
      </c>
      <c r="AT602" s="6">
        <v>-6.4506396</v>
      </c>
      <c r="AU602" s="6">
        <v>0.97344833</v>
      </c>
      <c r="AV602" s="6">
        <v>0.96974131</v>
      </c>
      <c r="AW602" s="6">
        <v>0.97311308</v>
      </c>
      <c r="AX602" s="6">
        <v>0.96580418</v>
      </c>
      <c r="AY602" s="6">
        <v>0.96229362</v>
      </c>
      <c r="AZ602" s="6">
        <v>0.97128734</v>
      </c>
      <c r="BA602" s="6">
        <v>0.96960354</v>
      </c>
      <c r="BB602" s="6">
        <v>0.02655167</v>
      </c>
      <c r="BC602" s="6">
        <v>0.03025869</v>
      </c>
      <c r="BD602" s="6">
        <v>0.02688692</v>
      </c>
      <c r="BE602" s="6">
        <v>0.03419582</v>
      </c>
      <c r="BF602" s="6">
        <v>0.03770638</v>
      </c>
      <c r="BG602" s="6">
        <v>0.02871266</v>
      </c>
      <c r="BH602" s="6">
        <v>0.03039646</v>
      </c>
      <c r="BI602" s="6">
        <v>0.21470859</v>
      </c>
      <c r="BJ602" s="6">
        <v>0.12366373</v>
      </c>
      <c r="BK602" s="6">
        <v>0.1409291</v>
      </c>
      <c r="BL602" s="6">
        <v>0.12522516</v>
      </c>
      <c r="BM602" s="6">
        <v>0.1592662</v>
      </c>
      <c r="BN602" s="6">
        <v>0.17561655</v>
      </c>
      <c r="BO602" s="6">
        <v>0.1337285</v>
      </c>
      <c r="BP602" s="6">
        <v>0.14157076</v>
      </c>
      <c r="BQ602" s="6">
        <v>0.02309482</v>
      </c>
      <c r="BR602" s="6">
        <v>0.02002847</v>
      </c>
      <c r="BS602" s="6">
        <v>0.02045568</v>
      </c>
      <c r="BT602" s="6">
        <v>0.01570848</v>
      </c>
      <c r="BU602" s="6">
        <v>0.02039672</v>
      </c>
      <c r="BV602" s="6">
        <v>0.03351597</v>
      </c>
      <c r="BW602" s="6">
        <v>0.03186718</v>
      </c>
      <c r="BX602" s="12">
        <v>4279</v>
      </c>
      <c r="BY602" s="13">
        <v>3755.72</v>
      </c>
      <c r="BZ602" s="12">
        <v>993.53</v>
      </c>
      <c r="CA602" s="6">
        <f t="shared" ref="CA602:CA665" si="60">BX602/BY602</f>
        <v>1.13932881045445</v>
      </c>
      <c r="CB602" s="6">
        <f t="shared" ref="CB602:CB665" si="61">BX602/BZ602</f>
        <v>4.30686541926263</v>
      </c>
      <c r="CC602" s="7">
        <v>53914078.44</v>
      </c>
      <c r="CD602" s="7">
        <f t="shared" si="56"/>
        <v>5.4265174116534</v>
      </c>
      <c r="CE602" s="8">
        <v>395.3</v>
      </c>
      <c r="CF602" s="8">
        <v>675.7</v>
      </c>
      <c r="CG602" s="8">
        <v>680.3</v>
      </c>
      <c r="CH602" s="8">
        <v>6646</v>
      </c>
      <c r="CI602" s="14">
        <v>0</v>
      </c>
      <c r="CJ602" s="14">
        <v>1</v>
      </c>
      <c r="CK602" s="14">
        <f t="shared" si="57"/>
        <v>0</v>
      </c>
      <c r="CL602">
        <f t="shared" si="58"/>
        <v>4.53658228674969</v>
      </c>
      <c r="CM602">
        <f t="shared" si="59"/>
        <v>0</v>
      </c>
      <c r="CN602" s="15">
        <v>4278.61</v>
      </c>
      <c r="CO602" s="15">
        <v>5146.3</v>
      </c>
      <c r="CP602" s="15">
        <v>238.86</v>
      </c>
      <c r="CQ602">
        <v>0</v>
      </c>
      <c r="CR602" s="15">
        <v>46.46</v>
      </c>
      <c r="CS602" s="15">
        <v>9.37</v>
      </c>
      <c r="CT602" s="15">
        <v>57.81</v>
      </c>
      <c r="CU602" s="15">
        <v>7.51</v>
      </c>
      <c r="CV602" s="15">
        <v>5.72</v>
      </c>
      <c r="CW602" s="15">
        <v>287.78</v>
      </c>
    </row>
    <row r="603" spans="1:101">
      <c r="A603" s="6">
        <v>2001</v>
      </c>
      <c r="B603" s="6" t="s">
        <v>124</v>
      </c>
      <c r="C603" s="6">
        <v>0.1900944</v>
      </c>
      <c r="D603" s="6">
        <v>0.035894</v>
      </c>
      <c r="E603" s="6">
        <v>0.009528</v>
      </c>
      <c r="F603" s="6">
        <v>0.016356</v>
      </c>
      <c r="G603" s="6">
        <v>0.005064</v>
      </c>
      <c r="H603" s="6">
        <v>0.004947</v>
      </c>
      <c r="I603" s="6">
        <v>0.034065</v>
      </c>
      <c r="J603" s="6">
        <v>0.01615</v>
      </c>
      <c r="K603" s="6">
        <v>0.2299899</v>
      </c>
      <c r="L603" s="6">
        <v>0.18476088</v>
      </c>
      <c r="M603" s="6">
        <v>0.20847242</v>
      </c>
      <c r="N603" s="6">
        <v>0.121196</v>
      </c>
      <c r="O603" s="6">
        <v>0.11641589</v>
      </c>
      <c r="P603" s="6">
        <v>0.28964219</v>
      </c>
      <c r="Q603" s="6">
        <v>0.21917244</v>
      </c>
      <c r="R603" s="6">
        <v>217.69486</v>
      </c>
      <c r="S603" s="6">
        <v>0.00105648</v>
      </c>
      <c r="T603" s="6">
        <v>169.97573</v>
      </c>
      <c r="U603" s="6">
        <v>0.00108698</v>
      </c>
      <c r="V603" s="6">
        <v>197.11803</v>
      </c>
      <c r="W603" s="6">
        <v>0.0010576</v>
      </c>
      <c r="X603" s="6">
        <v>134.47093</v>
      </c>
      <c r="Y603" s="6">
        <v>0.00090128</v>
      </c>
      <c r="Z603" s="6">
        <v>134.86767</v>
      </c>
      <c r="AA603" s="6">
        <v>0.00086319</v>
      </c>
      <c r="AB603" s="6">
        <v>294.9318</v>
      </c>
      <c r="AC603" s="6">
        <v>0.00098206</v>
      </c>
      <c r="AD603" s="6">
        <v>243.86163</v>
      </c>
      <c r="AE603" s="6">
        <v>0.00089876</v>
      </c>
      <c r="AF603" s="6">
        <v>775</v>
      </c>
      <c r="AG603" s="6">
        <v>-0.00723985</v>
      </c>
      <c r="AH603" s="6">
        <v>-0.00741796</v>
      </c>
      <c r="AI603" s="6">
        <v>-0.00724643</v>
      </c>
      <c r="AJ603" s="6">
        <v>-0.0063195</v>
      </c>
      <c r="AK603" s="6">
        <v>-0.00608967</v>
      </c>
      <c r="AL603" s="6">
        <v>-0.00680164</v>
      </c>
      <c r="AM603" s="6">
        <v>-0.00630433</v>
      </c>
      <c r="AN603" s="6">
        <v>-6.4762184</v>
      </c>
      <c r="AO603" s="6">
        <v>-6.4515561</v>
      </c>
      <c r="AP603" s="6">
        <v>-6.4739881</v>
      </c>
      <c r="AQ603" s="6">
        <v>-6.4253629</v>
      </c>
      <c r="AR603" s="6">
        <v>-6.4020076</v>
      </c>
      <c r="AS603" s="6">
        <v>-6.4618417</v>
      </c>
      <c r="AT603" s="6">
        <v>-6.4506396</v>
      </c>
      <c r="AU603" s="6">
        <v>0.97344833</v>
      </c>
      <c r="AV603" s="6">
        <v>0.96974131</v>
      </c>
      <c r="AW603" s="6">
        <v>0.97311308</v>
      </c>
      <c r="AX603" s="6">
        <v>0.96580418</v>
      </c>
      <c r="AY603" s="6">
        <v>0.96229362</v>
      </c>
      <c r="AZ603" s="6">
        <v>0.97128734</v>
      </c>
      <c r="BA603" s="6">
        <v>0.96960354</v>
      </c>
      <c r="BB603" s="6">
        <v>0.02655167</v>
      </c>
      <c r="BC603" s="6">
        <v>0.03025869</v>
      </c>
      <c r="BD603" s="6">
        <v>0.02688692</v>
      </c>
      <c r="BE603" s="6">
        <v>0.03419582</v>
      </c>
      <c r="BF603" s="6">
        <v>0.03770638</v>
      </c>
      <c r="BG603" s="6">
        <v>0.02871266</v>
      </c>
      <c r="BH603" s="6">
        <v>0.03039646</v>
      </c>
      <c r="BI603" s="6">
        <v>0.21470859</v>
      </c>
      <c r="BJ603" s="6">
        <v>0.12366373</v>
      </c>
      <c r="BK603" s="6">
        <v>0.1409291</v>
      </c>
      <c r="BL603" s="6">
        <v>0.12522516</v>
      </c>
      <c r="BM603" s="6">
        <v>0.1592662</v>
      </c>
      <c r="BN603" s="6">
        <v>0.17561655</v>
      </c>
      <c r="BO603" s="6">
        <v>0.1337285</v>
      </c>
      <c r="BP603" s="6">
        <v>0.14157076</v>
      </c>
      <c r="BQ603" s="6">
        <v>0.02844141</v>
      </c>
      <c r="BR603" s="6">
        <v>0.02603818</v>
      </c>
      <c r="BS603" s="6">
        <v>0.02610599</v>
      </c>
      <c r="BT603" s="6">
        <v>0.01930243</v>
      </c>
      <c r="BU603" s="6">
        <v>0.02044456</v>
      </c>
      <c r="BV603" s="6">
        <v>0.03873341</v>
      </c>
      <c r="BW603" s="6">
        <v>0.03102841</v>
      </c>
      <c r="BX603" s="12">
        <v>4438</v>
      </c>
      <c r="BY603" s="13">
        <v>3798.51</v>
      </c>
      <c r="BZ603" s="12">
        <v>1133.27</v>
      </c>
      <c r="CA603" s="6">
        <f t="shared" si="60"/>
        <v>1.16835285414544</v>
      </c>
      <c r="CB603" s="6">
        <f t="shared" si="61"/>
        <v>3.91610119389025</v>
      </c>
      <c r="CC603" s="7">
        <v>56735951.87</v>
      </c>
      <c r="CD603" s="7">
        <f t="shared" si="56"/>
        <v>5.00639316932417</v>
      </c>
      <c r="CE603" s="8">
        <v>405.3</v>
      </c>
      <c r="CF603" s="8">
        <v>747.5</v>
      </c>
      <c r="CG603" s="8">
        <v>748</v>
      </c>
      <c r="CH603" s="8">
        <v>7076</v>
      </c>
      <c r="CI603" s="14">
        <v>0</v>
      </c>
      <c r="CJ603" s="14">
        <v>1</v>
      </c>
      <c r="CK603" s="14">
        <f t="shared" si="57"/>
        <v>0</v>
      </c>
      <c r="CL603">
        <f t="shared" si="58"/>
        <v>4.16809156222866</v>
      </c>
      <c r="CM603">
        <f t="shared" si="59"/>
        <v>0</v>
      </c>
      <c r="CN603" s="15">
        <v>4438</v>
      </c>
      <c r="CO603" s="15">
        <v>4946</v>
      </c>
      <c r="CP603" s="15">
        <v>225.34</v>
      </c>
      <c r="CQ603">
        <v>0</v>
      </c>
      <c r="CR603" s="15">
        <v>47.83</v>
      </c>
      <c r="CS603" s="15">
        <v>2.36</v>
      </c>
      <c r="CT603" s="15">
        <v>82.85</v>
      </c>
      <c r="CU603" s="15">
        <v>7.46</v>
      </c>
      <c r="CV603" s="15">
        <v>6</v>
      </c>
      <c r="CW603" s="15">
        <v>449.05</v>
      </c>
    </row>
    <row r="604" spans="1:101">
      <c r="A604" s="6">
        <v>2002</v>
      </c>
      <c r="B604" s="6" t="s">
        <v>124</v>
      </c>
      <c r="C604" s="6">
        <v>0.1918495</v>
      </c>
      <c r="D604" s="6">
        <v>0.031151</v>
      </c>
      <c r="E604" s="6">
        <v>0.007629</v>
      </c>
      <c r="F604" s="6">
        <v>0.013731</v>
      </c>
      <c r="G604" s="6">
        <v>0.004965</v>
      </c>
      <c r="H604" s="6">
        <v>0.004826</v>
      </c>
      <c r="I604" s="6">
        <v>0.039671</v>
      </c>
      <c r="J604" s="6">
        <v>0.020305</v>
      </c>
      <c r="K604" s="6">
        <v>0.19278112</v>
      </c>
      <c r="L604" s="6">
        <v>0.13987851</v>
      </c>
      <c r="M604" s="6">
        <v>0.16812375</v>
      </c>
      <c r="N604" s="6">
        <v>0.11827123</v>
      </c>
      <c r="O604" s="6">
        <v>0.11274816</v>
      </c>
      <c r="P604" s="6">
        <v>0.35208051</v>
      </c>
      <c r="Q604" s="6">
        <v>0.29330169</v>
      </c>
      <c r="R604" s="6">
        <v>217.69486</v>
      </c>
      <c r="S604" s="6">
        <v>0.00088556</v>
      </c>
      <c r="T604" s="6">
        <v>169.97573</v>
      </c>
      <c r="U604" s="6">
        <v>0.00082293</v>
      </c>
      <c r="V604" s="6">
        <v>197.11803</v>
      </c>
      <c r="W604" s="6">
        <v>0.00085291</v>
      </c>
      <c r="X604" s="6">
        <v>134.47093</v>
      </c>
      <c r="Y604" s="6">
        <v>0.00087953</v>
      </c>
      <c r="Z604" s="6">
        <v>134.86767</v>
      </c>
      <c r="AA604" s="6">
        <v>0.00083599</v>
      </c>
      <c r="AB604" s="6">
        <v>294.9318</v>
      </c>
      <c r="AC604" s="6">
        <v>0.00119377</v>
      </c>
      <c r="AD604" s="6">
        <v>243.86163</v>
      </c>
      <c r="AE604" s="6">
        <v>0.00120274</v>
      </c>
      <c r="AF604" s="6">
        <v>775</v>
      </c>
      <c r="AG604" s="6">
        <v>-0.00622484</v>
      </c>
      <c r="AH604" s="6">
        <v>-0.00584499</v>
      </c>
      <c r="AI604" s="6">
        <v>-0.00602739</v>
      </c>
      <c r="AJ604" s="6">
        <v>-0.00618848</v>
      </c>
      <c r="AK604" s="6">
        <v>-0.00592458</v>
      </c>
      <c r="AL604" s="6">
        <v>-0.00803483</v>
      </c>
      <c r="AM604" s="6">
        <v>-0.00808619</v>
      </c>
      <c r="AN604" s="6">
        <v>-6.4762184</v>
      </c>
      <c r="AO604" s="6">
        <v>-6.4515561</v>
      </c>
      <c r="AP604" s="6">
        <v>-6.4739881</v>
      </c>
      <c r="AQ604" s="6">
        <v>-6.4253629</v>
      </c>
      <c r="AR604" s="6">
        <v>-6.4020076</v>
      </c>
      <c r="AS604" s="6">
        <v>-6.4618417</v>
      </c>
      <c r="AT604" s="6">
        <v>-6.4506396</v>
      </c>
      <c r="AU604" s="6">
        <v>0.97344833</v>
      </c>
      <c r="AV604" s="6">
        <v>0.96974131</v>
      </c>
      <c r="AW604" s="6">
        <v>0.97311308</v>
      </c>
      <c r="AX604" s="6">
        <v>0.96580418</v>
      </c>
      <c r="AY604" s="6">
        <v>0.96229362</v>
      </c>
      <c r="AZ604" s="6">
        <v>0.97128734</v>
      </c>
      <c r="BA604" s="6">
        <v>0.96960354</v>
      </c>
      <c r="BB604" s="6">
        <v>0.02655167</v>
      </c>
      <c r="BC604" s="6">
        <v>0.03025869</v>
      </c>
      <c r="BD604" s="6">
        <v>0.02688692</v>
      </c>
      <c r="BE604" s="6">
        <v>0.03419582</v>
      </c>
      <c r="BF604" s="6">
        <v>0.03770638</v>
      </c>
      <c r="BG604" s="6">
        <v>0.02871266</v>
      </c>
      <c r="BH604" s="6">
        <v>0.03039646</v>
      </c>
      <c r="BI604" s="6">
        <v>0.21470859</v>
      </c>
      <c r="BJ604" s="6">
        <v>0.12366373</v>
      </c>
      <c r="BK604" s="6">
        <v>0.1409291</v>
      </c>
      <c r="BL604" s="6">
        <v>0.12522516</v>
      </c>
      <c r="BM604" s="6">
        <v>0.1592662</v>
      </c>
      <c r="BN604" s="6">
        <v>0.17561655</v>
      </c>
      <c r="BO604" s="6">
        <v>0.1337285</v>
      </c>
      <c r="BP604" s="6">
        <v>0.14157076</v>
      </c>
      <c r="BQ604" s="6">
        <v>0.02384003</v>
      </c>
      <c r="BR604" s="6">
        <v>0.01971295</v>
      </c>
      <c r="BS604" s="6">
        <v>0.02105332</v>
      </c>
      <c r="BT604" s="6">
        <v>0.01883661</v>
      </c>
      <c r="BU604" s="6">
        <v>0.01980044</v>
      </c>
      <c r="BV604" s="6">
        <v>0.0470832</v>
      </c>
      <c r="BW604" s="6">
        <v>0.04152294</v>
      </c>
      <c r="BX604" s="12">
        <v>4470</v>
      </c>
      <c r="BY604" s="13">
        <v>3837.28</v>
      </c>
      <c r="BZ604" s="12">
        <v>1243.43</v>
      </c>
      <c r="CA604" s="6">
        <f t="shared" si="60"/>
        <v>1.16488762873702</v>
      </c>
      <c r="CB604" s="6">
        <f t="shared" si="61"/>
        <v>3.5948947668948</v>
      </c>
      <c r="CC604" s="7">
        <v>63423654.5</v>
      </c>
      <c r="CD604" s="7">
        <f t="shared" si="56"/>
        <v>5.10070164786116</v>
      </c>
      <c r="CE604" s="8">
        <v>441.6</v>
      </c>
      <c r="CF604" s="8">
        <v>793.5</v>
      </c>
      <c r="CG604" s="8">
        <v>808</v>
      </c>
      <c r="CH604" s="8">
        <v>7581</v>
      </c>
      <c r="CI604" s="14">
        <v>0</v>
      </c>
      <c r="CJ604" s="14">
        <v>1</v>
      </c>
      <c r="CK604" s="14">
        <f t="shared" si="57"/>
        <v>0</v>
      </c>
      <c r="CL604">
        <f t="shared" si="58"/>
        <v>4.06804884448575</v>
      </c>
      <c r="CM604">
        <f t="shared" si="59"/>
        <v>0</v>
      </c>
      <c r="CN604" s="15">
        <v>4470</v>
      </c>
      <c r="CO604" s="15">
        <v>5199</v>
      </c>
      <c r="CP604" s="15">
        <v>234.4</v>
      </c>
      <c r="CQ604">
        <v>0</v>
      </c>
      <c r="CR604" s="15">
        <v>50.48</v>
      </c>
      <c r="CS604" s="15">
        <v>2.29</v>
      </c>
      <c r="CT604" s="15">
        <v>89.23</v>
      </c>
      <c r="CU604" s="15">
        <v>7.67</v>
      </c>
      <c r="CV604" s="15">
        <v>5.48</v>
      </c>
      <c r="CW604" s="15">
        <v>491.67</v>
      </c>
    </row>
    <row r="605" spans="1:101">
      <c r="A605" s="6">
        <v>2003</v>
      </c>
      <c r="B605" s="6" t="s">
        <v>124</v>
      </c>
      <c r="C605" s="6">
        <v>0.23160364</v>
      </c>
      <c r="D605" s="6">
        <v>0.042036</v>
      </c>
      <c r="E605" s="6">
        <v>0.010277</v>
      </c>
      <c r="F605" s="6">
        <v>0.018607</v>
      </c>
      <c r="G605" s="6">
        <v>0.006087</v>
      </c>
      <c r="H605" s="6">
        <v>0.007065</v>
      </c>
      <c r="I605" s="6">
        <v>0.037827</v>
      </c>
      <c r="J605" s="6">
        <v>0.018934</v>
      </c>
      <c r="K605" s="6">
        <v>0.27816572</v>
      </c>
      <c r="L605" s="6">
        <v>0.20248264</v>
      </c>
      <c r="M605" s="6">
        <v>0.24307273</v>
      </c>
      <c r="N605" s="6">
        <v>0.15143431</v>
      </c>
      <c r="O605" s="6">
        <v>0.18059943</v>
      </c>
      <c r="P605" s="6">
        <v>0.33154063</v>
      </c>
      <c r="Q605" s="6">
        <v>0.26883427</v>
      </c>
      <c r="R605" s="6">
        <v>217.69486</v>
      </c>
      <c r="S605" s="6">
        <v>0.00127778</v>
      </c>
      <c r="T605" s="6">
        <v>169.97573</v>
      </c>
      <c r="U605" s="6">
        <v>0.00119124</v>
      </c>
      <c r="V605" s="6">
        <v>197.11803</v>
      </c>
      <c r="W605" s="6">
        <v>0.00123313</v>
      </c>
      <c r="X605" s="6">
        <v>134.47093</v>
      </c>
      <c r="Y605" s="6">
        <v>0.00112615</v>
      </c>
      <c r="Z605" s="6">
        <v>134.86767</v>
      </c>
      <c r="AA605" s="6">
        <v>0.00133909</v>
      </c>
      <c r="AB605" s="6">
        <v>294.9318</v>
      </c>
      <c r="AC605" s="6">
        <v>0.00112413</v>
      </c>
      <c r="AD605" s="6">
        <v>243.86163</v>
      </c>
      <c r="AE605" s="6">
        <v>0.0011024</v>
      </c>
      <c r="AF605" s="6">
        <v>775</v>
      </c>
      <c r="AG605" s="6">
        <v>-0.00851337</v>
      </c>
      <c r="AH605" s="6">
        <v>-0.00802036</v>
      </c>
      <c r="AI605" s="6">
        <v>-0.00825977</v>
      </c>
      <c r="AJ605" s="6">
        <v>-0.00764537</v>
      </c>
      <c r="AK605" s="6">
        <v>-0.00885908</v>
      </c>
      <c r="AL605" s="6">
        <v>-0.00763366</v>
      </c>
      <c r="AM605" s="6">
        <v>-0.00750767</v>
      </c>
      <c r="AN605" s="6">
        <v>-6.4762184</v>
      </c>
      <c r="AO605" s="6">
        <v>-6.4515561</v>
      </c>
      <c r="AP605" s="6">
        <v>-6.4739881</v>
      </c>
      <c r="AQ605" s="6">
        <v>-6.4253629</v>
      </c>
      <c r="AR605" s="6">
        <v>-6.4020076</v>
      </c>
      <c r="AS605" s="6">
        <v>-6.4618417</v>
      </c>
      <c r="AT605" s="6">
        <v>-6.4506396</v>
      </c>
      <c r="AU605" s="6">
        <v>0.97344833</v>
      </c>
      <c r="AV605" s="6">
        <v>0.96974131</v>
      </c>
      <c r="AW605" s="6">
        <v>0.97311308</v>
      </c>
      <c r="AX605" s="6">
        <v>0.96580418</v>
      </c>
      <c r="AY605" s="6">
        <v>0.96229362</v>
      </c>
      <c r="AZ605" s="6">
        <v>0.97128734</v>
      </c>
      <c r="BA605" s="6">
        <v>0.96960354</v>
      </c>
      <c r="BB605" s="6">
        <v>0.02655167</v>
      </c>
      <c r="BC605" s="6">
        <v>0.03025869</v>
      </c>
      <c r="BD605" s="6">
        <v>0.02688692</v>
      </c>
      <c r="BE605" s="6">
        <v>0.03419582</v>
      </c>
      <c r="BF605" s="6">
        <v>0.03770638</v>
      </c>
      <c r="BG605" s="6">
        <v>0.02871266</v>
      </c>
      <c r="BH605" s="6">
        <v>0.03039646</v>
      </c>
      <c r="BI605" s="6">
        <v>0.21470859</v>
      </c>
      <c r="BJ605" s="6">
        <v>0.12366373</v>
      </c>
      <c r="BK605" s="6">
        <v>0.1409291</v>
      </c>
      <c r="BL605" s="6">
        <v>0.12522516</v>
      </c>
      <c r="BM605" s="6">
        <v>0.1592662</v>
      </c>
      <c r="BN605" s="6">
        <v>0.17561655</v>
      </c>
      <c r="BO605" s="6">
        <v>0.1337285</v>
      </c>
      <c r="BP605" s="6">
        <v>0.14157076</v>
      </c>
      <c r="BQ605" s="6">
        <v>0.03439901</v>
      </c>
      <c r="BR605" s="6">
        <v>0.0285357</v>
      </c>
      <c r="BS605" s="6">
        <v>0.03043882</v>
      </c>
      <c r="BT605" s="6">
        <v>0.02411837</v>
      </c>
      <c r="BU605" s="6">
        <v>0.03171625</v>
      </c>
      <c r="BV605" s="6">
        <v>0.04433643</v>
      </c>
      <c r="BW605" s="6">
        <v>0.03805907</v>
      </c>
      <c r="BX605" s="12">
        <v>5534</v>
      </c>
      <c r="BY605" s="13">
        <v>3869.66</v>
      </c>
      <c r="BZ605" s="12">
        <v>1426.34</v>
      </c>
      <c r="CA605" s="6">
        <f t="shared" si="60"/>
        <v>1.43009980204979</v>
      </c>
      <c r="CB605" s="6">
        <f t="shared" si="61"/>
        <v>3.87986034185398</v>
      </c>
      <c r="CC605" s="7">
        <v>82908641.21</v>
      </c>
      <c r="CD605" s="7">
        <f t="shared" si="56"/>
        <v>5.81268429757281</v>
      </c>
      <c r="CE605" s="8">
        <v>486.7</v>
      </c>
      <c r="CF605" s="8">
        <v>805.7</v>
      </c>
      <c r="CG605" s="8">
        <v>848.6</v>
      </c>
      <c r="CH605" s="8">
        <v>7925</v>
      </c>
      <c r="CI605" s="14">
        <v>0</v>
      </c>
      <c r="CJ605" s="14">
        <v>1</v>
      </c>
      <c r="CK605" s="14">
        <f t="shared" si="57"/>
        <v>0</v>
      </c>
      <c r="CL605">
        <f t="shared" si="58"/>
        <v>4.08414499624993</v>
      </c>
      <c r="CM605">
        <f t="shared" si="59"/>
        <v>0</v>
      </c>
      <c r="CN605" s="15">
        <v>5534.49</v>
      </c>
      <c r="CO605" s="15">
        <v>6793.62</v>
      </c>
      <c r="CP605" s="15">
        <v>239.99</v>
      </c>
      <c r="CQ605">
        <v>0</v>
      </c>
      <c r="CR605" s="15">
        <v>58.94</v>
      </c>
      <c r="CS605" s="15">
        <v>2.55</v>
      </c>
      <c r="CT605" s="15">
        <v>104.41</v>
      </c>
      <c r="CU605" s="15">
        <v>9.94</v>
      </c>
      <c r="CV605" s="15">
        <v>5.45</v>
      </c>
      <c r="CW605" s="15">
        <v>551.07</v>
      </c>
    </row>
    <row r="606" spans="1:101">
      <c r="A606" s="6">
        <v>2004</v>
      </c>
      <c r="B606" s="6" t="s">
        <v>124</v>
      </c>
      <c r="C606" s="6">
        <v>0.23385036</v>
      </c>
      <c r="D606" s="6">
        <v>0.042154</v>
      </c>
      <c r="E606" s="6">
        <v>0.011092</v>
      </c>
      <c r="F606" s="6">
        <v>0.01945</v>
      </c>
      <c r="G606" s="6">
        <v>0.006424</v>
      </c>
      <c r="H606" s="6">
        <v>0.005188</v>
      </c>
      <c r="I606" s="6">
        <v>0.039814</v>
      </c>
      <c r="J606" s="6">
        <v>0.020215</v>
      </c>
      <c r="K606" s="6">
        <v>0.27908876</v>
      </c>
      <c r="L606" s="6">
        <v>0.22174655</v>
      </c>
      <c r="M606" s="6">
        <v>0.25602339</v>
      </c>
      <c r="N606" s="6">
        <v>0.16138911</v>
      </c>
      <c r="O606" s="6">
        <v>0.12373247</v>
      </c>
      <c r="P606" s="6">
        <v>0.3536778</v>
      </c>
      <c r="Q606" s="6">
        <v>0.29169855</v>
      </c>
      <c r="R606" s="6">
        <v>217.69486</v>
      </c>
      <c r="S606" s="6">
        <v>0.00128202</v>
      </c>
      <c r="T606" s="6">
        <v>169.97573</v>
      </c>
      <c r="U606" s="6">
        <v>0.00130458</v>
      </c>
      <c r="V606" s="6">
        <v>197.11803</v>
      </c>
      <c r="W606" s="6">
        <v>0.00129883</v>
      </c>
      <c r="X606" s="6">
        <v>134.47093</v>
      </c>
      <c r="Y606" s="6">
        <v>0.00120018</v>
      </c>
      <c r="Z606" s="6">
        <v>134.86767</v>
      </c>
      <c r="AA606" s="6">
        <v>0.00091744</v>
      </c>
      <c r="AB606" s="6">
        <v>294.9318</v>
      </c>
      <c r="AC606" s="6">
        <v>0.00119919</v>
      </c>
      <c r="AD606" s="6">
        <v>243.86163</v>
      </c>
      <c r="AE606" s="6">
        <v>0.00119616</v>
      </c>
      <c r="AF606" s="6">
        <v>775</v>
      </c>
      <c r="AG606" s="6">
        <v>-0.00853737</v>
      </c>
      <c r="AH606" s="6">
        <v>-0.00866484</v>
      </c>
      <c r="AI606" s="6">
        <v>-0.00863242</v>
      </c>
      <c r="AJ606" s="6">
        <v>-0.00807154</v>
      </c>
      <c r="AK606" s="6">
        <v>-0.00641648</v>
      </c>
      <c r="AL606" s="6">
        <v>-0.00806585</v>
      </c>
      <c r="AM606" s="6">
        <v>-0.00804855</v>
      </c>
      <c r="AN606" s="6">
        <v>-6.4762184</v>
      </c>
      <c r="AO606" s="6">
        <v>-6.4515561</v>
      </c>
      <c r="AP606" s="6">
        <v>-6.4739881</v>
      </c>
      <c r="AQ606" s="6">
        <v>-6.4253629</v>
      </c>
      <c r="AR606" s="6">
        <v>-6.4020076</v>
      </c>
      <c r="AS606" s="6">
        <v>-6.4618417</v>
      </c>
      <c r="AT606" s="6">
        <v>-6.4506396</v>
      </c>
      <c r="AU606" s="6">
        <v>0.97344833</v>
      </c>
      <c r="AV606" s="6">
        <v>0.96974131</v>
      </c>
      <c r="AW606" s="6">
        <v>0.97311308</v>
      </c>
      <c r="AX606" s="6">
        <v>0.96580418</v>
      </c>
      <c r="AY606" s="6">
        <v>0.96229362</v>
      </c>
      <c r="AZ606" s="6">
        <v>0.97128734</v>
      </c>
      <c r="BA606" s="6">
        <v>0.96960354</v>
      </c>
      <c r="BB606" s="6">
        <v>0.02655167</v>
      </c>
      <c r="BC606" s="6">
        <v>0.03025869</v>
      </c>
      <c r="BD606" s="6">
        <v>0.02688692</v>
      </c>
      <c r="BE606" s="6">
        <v>0.03419582</v>
      </c>
      <c r="BF606" s="6">
        <v>0.03770638</v>
      </c>
      <c r="BG606" s="6">
        <v>0.02871266</v>
      </c>
      <c r="BH606" s="6">
        <v>0.03039646</v>
      </c>
      <c r="BI606" s="6">
        <v>0.21470859</v>
      </c>
      <c r="BJ606" s="6">
        <v>0.12366373</v>
      </c>
      <c r="BK606" s="6">
        <v>0.1409291</v>
      </c>
      <c r="BL606" s="6">
        <v>0.12522516</v>
      </c>
      <c r="BM606" s="6">
        <v>0.1592662</v>
      </c>
      <c r="BN606" s="6">
        <v>0.17561655</v>
      </c>
      <c r="BO606" s="6">
        <v>0.1337285</v>
      </c>
      <c r="BP606" s="6">
        <v>0.14157076</v>
      </c>
      <c r="BQ606" s="6">
        <v>0.03451316</v>
      </c>
      <c r="BR606" s="6">
        <v>0.03125054</v>
      </c>
      <c r="BS606" s="6">
        <v>0.03206057</v>
      </c>
      <c r="BT606" s="6">
        <v>0.02570383</v>
      </c>
      <c r="BU606" s="6">
        <v>0.02172947</v>
      </c>
      <c r="BV606" s="6">
        <v>0.0472968</v>
      </c>
      <c r="BW606" s="6">
        <v>0.04129599</v>
      </c>
      <c r="BX606" s="12">
        <v>6282</v>
      </c>
      <c r="BY606" s="13">
        <v>3903.7</v>
      </c>
      <c r="BZ606" s="12">
        <v>1677.8</v>
      </c>
      <c r="CA606" s="6">
        <f t="shared" si="60"/>
        <v>1.60924251351282</v>
      </c>
      <c r="CB606" s="6">
        <f t="shared" si="61"/>
        <v>3.74418881869114</v>
      </c>
      <c r="CC606" s="7">
        <v>98376936.28</v>
      </c>
      <c r="CD606" s="7">
        <f t="shared" si="56"/>
        <v>5.86344834187627</v>
      </c>
      <c r="CE606" s="8">
        <v>562.3</v>
      </c>
      <c r="CF606" s="8">
        <v>903.4</v>
      </c>
      <c r="CG606" s="8">
        <v>989.5</v>
      </c>
      <c r="CH606" s="8">
        <v>9073</v>
      </c>
      <c r="CI606" s="14">
        <v>0</v>
      </c>
      <c r="CJ606" s="14">
        <v>1</v>
      </c>
      <c r="CK606" s="14">
        <f t="shared" si="57"/>
        <v>0</v>
      </c>
      <c r="CL606">
        <f t="shared" si="58"/>
        <v>3.89549779892895</v>
      </c>
      <c r="CM606">
        <f t="shared" si="59"/>
        <v>0</v>
      </c>
      <c r="CN606" s="15">
        <v>6021</v>
      </c>
      <c r="CO606" s="15">
        <v>7993.74</v>
      </c>
      <c r="CP606" s="15">
        <v>269.06</v>
      </c>
      <c r="CQ606">
        <v>0</v>
      </c>
      <c r="CR606" s="15">
        <v>67.23</v>
      </c>
      <c r="CS606" s="15">
        <v>2.69</v>
      </c>
      <c r="CT606" s="15">
        <v>108.4</v>
      </c>
      <c r="CU606" s="15">
        <v>10.34</v>
      </c>
      <c r="CV606" s="15">
        <v>4.99</v>
      </c>
      <c r="CW606" s="15">
        <v>583.26</v>
      </c>
    </row>
    <row r="607" spans="1:101">
      <c r="A607" s="6">
        <v>2005</v>
      </c>
      <c r="B607" s="6" t="s">
        <v>124</v>
      </c>
      <c r="C607" s="6">
        <v>0.23921872</v>
      </c>
      <c r="D607" s="6">
        <v>0.041812</v>
      </c>
      <c r="E607" s="6">
        <v>0.00985</v>
      </c>
      <c r="F607" s="6">
        <v>0.019026</v>
      </c>
      <c r="G607" s="6">
        <v>0.006508</v>
      </c>
      <c r="H607" s="6">
        <v>0.006427</v>
      </c>
      <c r="I607" s="6">
        <v>0.041628</v>
      </c>
      <c r="J607" s="6">
        <v>0.020595</v>
      </c>
      <c r="K607" s="6">
        <v>0.27640773</v>
      </c>
      <c r="L607" s="6">
        <v>0.19238486</v>
      </c>
      <c r="M607" s="6">
        <v>0.24951075</v>
      </c>
      <c r="N607" s="6">
        <v>0.16389462</v>
      </c>
      <c r="O607" s="6">
        <v>0.1612822</v>
      </c>
      <c r="P607" s="6">
        <v>0.37387991</v>
      </c>
      <c r="Q607" s="6">
        <v>0.29846819</v>
      </c>
      <c r="R607" s="6">
        <v>217.69486</v>
      </c>
      <c r="S607" s="6">
        <v>0.0012697</v>
      </c>
      <c r="T607" s="6">
        <v>169.97573</v>
      </c>
      <c r="U607" s="6">
        <v>0.00113184</v>
      </c>
      <c r="V607" s="6">
        <v>197.11803</v>
      </c>
      <c r="W607" s="6">
        <v>0.00126579</v>
      </c>
      <c r="X607" s="6">
        <v>134.47093</v>
      </c>
      <c r="Y607" s="6">
        <v>0.00121881</v>
      </c>
      <c r="Z607" s="6">
        <v>134.86767</v>
      </c>
      <c r="AA607" s="6">
        <v>0.00119586</v>
      </c>
      <c r="AB607" s="6">
        <v>294.9318</v>
      </c>
      <c r="AC607" s="6">
        <v>0.00126768</v>
      </c>
      <c r="AD607" s="6">
        <v>243.86163</v>
      </c>
      <c r="AE607" s="6">
        <v>0.00122392</v>
      </c>
      <c r="AF607" s="6">
        <v>775</v>
      </c>
      <c r="AG607" s="6">
        <v>-0.00846761</v>
      </c>
      <c r="AH607" s="6">
        <v>-0.00767829</v>
      </c>
      <c r="AI607" s="6">
        <v>-0.00844545</v>
      </c>
      <c r="AJ607" s="6">
        <v>-0.00817807</v>
      </c>
      <c r="AK607" s="6">
        <v>-0.00804678</v>
      </c>
      <c r="AL607" s="6">
        <v>-0.00845616</v>
      </c>
      <c r="AM607" s="6">
        <v>-0.00820726</v>
      </c>
      <c r="AN607" s="6">
        <v>-6.4762184</v>
      </c>
      <c r="AO607" s="6">
        <v>-6.4515561</v>
      </c>
      <c r="AP607" s="6">
        <v>-6.4739881</v>
      </c>
      <c r="AQ607" s="6">
        <v>-6.4253629</v>
      </c>
      <c r="AR607" s="6">
        <v>-6.4020076</v>
      </c>
      <c r="AS607" s="6">
        <v>-6.4618417</v>
      </c>
      <c r="AT607" s="6">
        <v>-6.4506396</v>
      </c>
      <c r="AU607" s="6">
        <v>0.97344833</v>
      </c>
      <c r="AV607" s="6">
        <v>0.96974131</v>
      </c>
      <c r="AW607" s="6">
        <v>0.97311308</v>
      </c>
      <c r="AX607" s="6">
        <v>0.96580418</v>
      </c>
      <c r="AY607" s="6">
        <v>0.96229362</v>
      </c>
      <c r="AZ607" s="6">
        <v>0.97128734</v>
      </c>
      <c r="BA607" s="6">
        <v>0.96960354</v>
      </c>
      <c r="BB607" s="6">
        <v>0.02655167</v>
      </c>
      <c r="BC607" s="6">
        <v>0.03025869</v>
      </c>
      <c r="BD607" s="6">
        <v>0.02688692</v>
      </c>
      <c r="BE607" s="6">
        <v>0.03419582</v>
      </c>
      <c r="BF607" s="6">
        <v>0.03770638</v>
      </c>
      <c r="BG607" s="6">
        <v>0.02871266</v>
      </c>
      <c r="BH607" s="6">
        <v>0.03039646</v>
      </c>
      <c r="BI607" s="6">
        <v>0.21470859</v>
      </c>
      <c r="BJ607" s="6">
        <v>0.12366373</v>
      </c>
      <c r="BK607" s="6">
        <v>0.1409291</v>
      </c>
      <c r="BL607" s="6">
        <v>0.12522516</v>
      </c>
      <c r="BM607" s="6">
        <v>0.1592662</v>
      </c>
      <c r="BN607" s="6">
        <v>0.17561655</v>
      </c>
      <c r="BO607" s="6">
        <v>0.1337285</v>
      </c>
      <c r="BP607" s="6">
        <v>0.14157076</v>
      </c>
      <c r="BQ607" s="6">
        <v>0.03418161</v>
      </c>
      <c r="BR607" s="6">
        <v>0.02711262</v>
      </c>
      <c r="BS607" s="6">
        <v>0.03124502</v>
      </c>
      <c r="BT607" s="6">
        <v>0.02610287</v>
      </c>
      <c r="BU607" s="6">
        <v>0.02832382</v>
      </c>
      <c r="BV607" s="6">
        <v>0.0499984</v>
      </c>
      <c r="BW607" s="6">
        <v>0.04225437</v>
      </c>
      <c r="BX607" s="12">
        <v>5641</v>
      </c>
      <c r="BY607" s="13">
        <v>3730</v>
      </c>
      <c r="BZ607" s="12">
        <v>2005.42</v>
      </c>
      <c r="CA607" s="6">
        <f t="shared" si="60"/>
        <v>1.51233243967828</v>
      </c>
      <c r="CB607" s="6">
        <f t="shared" si="61"/>
        <v>2.81287710305073</v>
      </c>
      <c r="CC607" s="7">
        <v>112836575.3</v>
      </c>
      <c r="CD607" s="7">
        <f t="shared" si="56"/>
        <v>5.6265807312184</v>
      </c>
      <c r="CE607" s="8">
        <v>618.7</v>
      </c>
      <c r="CF607" s="8">
        <v>1002.4</v>
      </c>
      <c r="CG607" s="8">
        <v>1155.5</v>
      </c>
      <c r="CH607" s="8">
        <v>10237</v>
      </c>
      <c r="CI607" s="14">
        <v>0</v>
      </c>
      <c r="CJ607" s="14">
        <v>1</v>
      </c>
      <c r="CK607" s="14">
        <f t="shared" si="57"/>
        <v>0</v>
      </c>
      <c r="CL607">
        <f t="shared" si="58"/>
        <v>3.71995059106252</v>
      </c>
      <c r="CM607">
        <f t="shared" si="59"/>
        <v>0</v>
      </c>
      <c r="CN607" s="15">
        <v>6428.6</v>
      </c>
      <c r="CO607" s="15">
        <v>8651.44</v>
      </c>
      <c r="CP607" s="15">
        <v>333.86</v>
      </c>
      <c r="CQ607">
        <v>0</v>
      </c>
      <c r="CR607" s="15">
        <v>67.52</v>
      </c>
      <c r="CS607" s="15">
        <v>8.41</v>
      </c>
      <c r="CT607" s="15">
        <v>139.04</v>
      </c>
      <c r="CU607" s="15">
        <v>10.39</v>
      </c>
      <c r="CV607" s="15">
        <v>5.44</v>
      </c>
      <c r="CW607" s="15">
        <v>486.97</v>
      </c>
    </row>
    <row r="608" spans="1:101">
      <c r="A608" s="6">
        <v>2006</v>
      </c>
      <c r="B608" s="6" t="s">
        <v>124</v>
      </c>
      <c r="C608" s="6">
        <v>0.26236356</v>
      </c>
      <c r="D608" s="6">
        <v>0.047421</v>
      </c>
      <c r="E608" s="6">
        <v>0.011324</v>
      </c>
      <c r="F608" s="6">
        <v>0.021831</v>
      </c>
      <c r="G608" s="6">
        <v>0.007294</v>
      </c>
      <c r="H608" s="6">
        <v>0.006972</v>
      </c>
      <c r="I608" s="6">
        <v>0.042065</v>
      </c>
      <c r="J608" s="6">
        <v>0.020652</v>
      </c>
      <c r="K608" s="6">
        <v>0.32040458</v>
      </c>
      <c r="L608" s="6">
        <v>0.2272258</v>
      </c>
      <c r="M608" s="6">
        <v>0.29261298</v>
      </c>
      <c r="N608" s="6">
        <v>0.18712453</v>
      </c>
      <c r="O608" s="6">
        <v>0.17779947</v>
      </c>
      <c r="P608" s="6">
        <v>0.37874351</v>
      </c>
      <c r="Q608" s="6">
        <v>0.29949655</v>
      </c>
      <c r="R608" s="6">
        <v>217.69486</v>
      </c>
      <c r="S608" s="6">
        <v>0.00147181</v>
      </c>
      <c r="T608" s="6">
        <v>169.97573</v>
      </c>
      <c r="U608" s="6">
        <v>0.00133681</v>
      </c>
      <c r="V608" s="6">
        <v>197.11803</v>
      </c>
      <c r="W608" s="6">
        <v>0.00148446</v>
      </c>
      <c r="X608" s="6">
        <v>134.47093</v>
      </c>
      <c r="Y608" s="6">
        <v>0.00139156</v>
      </c>
      <c r="Z608" s="6">
        <v>134.86767</v>
      </c>
      <c r="AA608" s="6">
        <v>0.00131833</v>
      </c>
      <c r="AB608" s="6">
        <v>294.9318</v>
      </c>
      <c r="AC608" s="6">
        <v>0.00128417</v>
      </c>
      <c r="AD608" s="6">
        <v>243.86163</v>
      </c>
      <c r="AE608" s="6">
        <v>0.00122814</v>
      </c>
      <c r="AF608" s="6">
        <v>775</v>
      </c>
      <c r="AG608" s="6">
        <v>-0.00959804</v>
      </c>
      <c r="AH608" s="6">
        <v>-0.00884632</v>
      </c>
      <c r="AI608" s="6">
        <v>-0.00966783</v>
      </c>
      <c r="AJ608" s="6">
        <v>-0.00915276</v>
      </c>
      <c r="AK608" s="6">
        <v>-0.00874233</v>
      </c>
      <c r="AL608" s="6">
        <v>-0.00854956</v>
      </c>
      <c r="AM608" s="6">
        <v>-0.00823131</v>
      </c>
      <c r="AN608" s="6">
        <v>-6.4762184</v>
      </c>
      <c r="AO608" s="6">
        <v>-6.4515561</v>
      </c>
      <c r="AP608" s="6">
        <v>-6.4739881</v>
      </c>
      <c r="AQ608" s="6">
        <v>-6.4253629</v>
      </c>
      <c r="AR608" s="6">
        <v>-6.4020076</v>
      </c>
      <c r="AS608" s="6">
        <v>-6.4618417</v>
      </c>
      <c r="AT608" s="6">
        <v>-6.4506396</v>
      </c>
      <c r="AU608" s="6">
        <v>0.97344833</v>
      </c>
      <c r="AV608" s="6">
        <v>0.96974131</v>
      </c>
      <c r="AW608" s="6">
        <v>0.97311308</v>
      </c>
      <c r="AX608" s="6">
        <v>0.96580418</v>
      </c>
      <c r="AY608" s="6">
        <v>0.96229362</v>
      </c>
      <c r="AZ608" s="6">
        <v>0.97128734</v>
      </c>
      <c r="BA608" s="6">
        <v>0.96960354</v>
      </c>
      <c r="BB608" s="6">
        <v>0.02655167</v>
      </c>
      <c r="BC608" s="6">
        <v>0.03025869</v>
      </c>
      <c r="BD608" s="6">
        <v>0.02688692</v>
      </c>
      <c r="BE608" s="6">
        <v>0.03419582</v>
      </c>
      <c r="BF608" s="6">
        <v>0.03770638</v>
      </c>
      <c r="BG608" s="6">
        <v>0.02871266</v>
      </c>
      <c r="BH608" s="6">
        <v>0.03039646</v>
      </c>
      <c r="BI608" s="6">
        <v>0.21470859</v>
      </c>
      <c r="BJ608" s="6">
        <v>0.12366373</v>
      </c>
      <c r="BK608" s="6">
        <v>0.1409291</v>
      </c>
      <c r="BL608" s="6">
        <v>0.12522516</v>
      </c>
      <c r="BM608" s="6">
        <v>0.1592662</v>
      </c>
      <c r="BN608" s="6">
        <v>0.17561655</v>
      </c>
      <c r="BO608" s="6">
        <v>0.1337285</v>
      </c>
      <c r="BP608" s="6">
        <v>0.14157076</v>
      </c>
      <c r="BQ608" s="6">
        <v>0.03962243</v>
      </c>
      <c r="BR608" s="6">
        <v>0.03202273</v>
      </c>
      <c r="BS608" s="6">
        <v>0.03664251</v>
      </c>
      <c r="BT608" s="6">
        <v>0.02980261</v>
      </c>
      <c r="BU608" s="6">
        <v>0.03122453</v>
      </c>
      <c r="BV608" s="6">
        <v>0.0506488</v>
      </c>
      <c r="BW608" s="6">
        <v>0.04239996</v>
      </c>
      <c r="BX608" s="12">
        <v>6172</v>
      </c>
      <c r="BY608" s="13">
        <v>3690</v>
      </c>
      <c r="BZ608" s="12">
        <v>2338.98</v>
      </c>
      <c r="CA608" s="6">
        <f t="shared" si="60"/>
        <v>1.67262872628726</v>
      </c>
      <c r="CB608" s="6">
        <f t="shared" si="61"/>
        <v>2.63875706504545</v>
      </c>
      <c r="CC608" s="7">
        <v>131473075.8</v>
      </c>
      <c r="CD608" s="7">
        <f t="shared" si="56"/>
        <v>5.62095767385784</v>
      </c>
      <c r="CE608" s="8">
        <v>640.2</v>
      </c>
      <c r="CF608" s="8">
        <v>1097.2</v>
      </c>
      <c r="CG608" s="8">
        <v>1489.1</v>
      </c>
      <c r="CH608" s="8">
        <v>11864</v>
      </c>
      <c r="CI608" s="14">
        <v>0</v>
      </c>
      <c r="CJ608" s="14">
        <v>1</v>
      </c>
      <c r="CK608" s="14">
        <f t="shared" si="57"/>
        <v>0</v>
      </c>
      <c r="CL608">
        <f t="shared" si="58"/>
        <v>3.57740717995078</v>
      </c>
      <c r="CM608">
        <f t="shared" si="59"/>
        <v>0</v>
      </c>
      <c r="CN608" s="15">
        <v>7045.34</v>
      </c>
      <c r="CO608" s="15">
        <v>9938.99</v>
      </c>
      <c r="CP608" s="15">
        <v>477.05</v>
      </c>
      <c r="CQ608">
        <v>0</v>
      </c>
      <c r="CR608" s="15">
        <v>78.94</v>
      </c>
      <c r="CS608" s="15">
        <v>9.63</v>
      </c>
      <c r="CT608" s="15">
        <v>169.73</v>
      </c>
      <c r="CU608" s="15">
        <v>12.01</v>
      </c>
      <c r="CV608" s="15">
        <v>4.95</v>
      </c>
      <c r="CW608" s="15">
        <v>619.59</v>
      </c>
    </row>
    <row r="609" spans="1:101">
      <c r="A609" s="6">
        <v>2007</v>
      </c>
      <c r="B609" s="6" t="s">
        <v>124</v>
      </c>
      <c r="C609" s="6">
        <v>0.25578526</v>
      </c>
      <c r="D609" s="6">
        <v>0.047545</v>
      </c>
      <c r="E609" s="6">
        <v>0.01176</v>
      </c>
      <c r="F609" s="6">
        <v>0.021695</v>
      </c>
      <c r="G609" s="6">
        <v>0.007091</v>
      </c>
      <c r="H609" s="6">
        <v>0.006999</v>
      </c>
      <c r="I609" s="6">
        <v>0.038054</v>
      </c>
      <c r="J609" s="6">
        <v>0.020216</v>
      </c>
      <c r="K609" s="6">
        <v>0.32137813</v>
      </c>
      <c r="L609" s="6">
        <v>0.23754964</v>
      </c>
      <c r="M609" s="6">
        <v>0.29052341</v>
      </c>
      <c r="N609" s="6">
        <v>0.18112379</v>
      </c>
      <c r="O609" s="6">
        <v>0.17859987</v>
      </c>
      <c r="P609" s="6">
        <v>0.33407241</v>
      </c>
      <c r="Q609" s="6">
        <v>0.29170538</v>
      </c>
      <c r="R609" s="6">
        <v>217.69486</v>
      </c>
      <c r="S609" s="6">
        <v>0.00147628</v>
      </c>
      <c r="T609" s="6">
        <v>169.97573</v>
      </c>
      <c r="U609" s="6">
        <v>0.00139755</v>
      </c>
      <c r="V609" s="6">
        <v>197.11803</v>
      </c>
      <c r="W609" s="6">
        <v>0.00147386</v>
      </c>
      <c r="X609" s="6">
        <v>134.47093</v>
      </c>
      <c r="Y609" s="6">
        <v>0.00134694</v>
      </c>
      <c r="Z609" s="6">
        <v>134.86767</v>
      </c>
      <c r="AA609" s="6">
        <v>0.00132426</v>
      </c>
      <c r="AB609" s="6">
        <v>294.9318</v>
      </c>
      <c r="AC609" s="6">
        <v>0.00113271</v>
      </c>
      <c r="AD609" s="6">
        <v>243.86163</v>
      </c>
      <c r="AE609" s="6">
        <v>0.00119619</v>
      </c>
      <c r="AF609" s="6">
        <v>775</v>
      </c>
      <c r="AG609" s="6">
        <v>-0.00962272</v>
      </c>
      <c r="AH609" s="6">
        <v>-0.00918615</v>
      </c>
      <c r="AI609" s="6">
        <v>-0.00960935</v>
      </c>
      <c r="AJ609" s="6">
        <v>-0.00890315</v>
      </c>
      <c r="AK609" s="6">
        <v>-0.00877574</v>
      </c>
      <c r="AL609" s="6">
        <v>-0.00768334</v>
      </c>
      <c r="AM609" s="6">
        <v>-0.00804871</v>
      </c>
      <c r="AN609" s="6">
        <v>-6.4762184</v>
      </c>
      <c r="AO609" s="6">
        <v>-6.4515561</v>
      </c>
      <c r="AP609" s="6">
        <v>-6.4739881</v>
      </c>
      <c r="AQ609" s="6">
        <v>-6.4253629</v>
      </c>
      <c r="AR609" s="6">
        <v>-6.4020076</v>
      </c>
      <c r="AS609" s="6">
        <v>-6.4618417</v>
      </c>
      <c r="AT609" s="6">
        <v>-6.4506396</v>
      </c>
      <c r="AU609" s="6">
        <v>0.97344833</v>
      </c>
      <c r="AV609" s="6">
        <v>0.96974131</v>
      </c>
      <c r="AW609" s="6">
        <v>0.97311308</v>
      </c>
      <c r="AX609" s="6">
        <v>0.96580418</v>
      </c>
      <c r="AY609" s="6">
        <v>0.96229362</v>
      </c>
      <c r="AZ609" s="6">
        <v>0.97128734</v>
      </c>
      <c r="BA609" s="6">
        <v>0.96960354</v>
      </c>
      <c r="BB609" s="6">
        <v>0.02655167</v>
      </c>
      <c r="BC609" s="6">
        <v>0.03025869</v>
      </c>
      <c r="BD609" s="6">
        <v>0.02688692</v>
      </c>
      <c r="BE609" s="6">
        <v>0.03419582</v>
      </c>
      <c r="BF609" s="6">
        <v>0.03770638</v>
      </c>
      <c r="BG609" s="6">
        <v>0.02871266</v>
      </c>
      <c r="BH609" s="6">
        <v>0.03039646</v>
      </c>
      <c r="BI609" s="6">
        <v>0.21470859</v>
      </c>
      <c r="BJ609" s="6">
        <v>0.12366373</v>
      </c>
      <c r="BK609" s="6">
        <v>0.1409291</v>
      </c>
      <c r="BL609" s="6">
        <v>0.12522516</v>
      </c>
      <c r="BM609" s="6">
        <v>0.1592662</v>
      </c>
      <c r="BN609" s="6">
        <v>0.17561655</v>
      </c>
      <c r="BO609" s="6">
        <v>0.1337285</v>
      </c>
      <c r="BP609" s="6">
        <v>0.14157076</v>
      </c>
      <c r="BQ609" s="6">
        <v>0.03974282</v>
      </c>
      <c r="BR609" s="6">
        <v>0.03347766</v>
      </c>
      <c r="BS609" s="6">
        <v>0.03638084</v>
      </c>
      <c r="BT609" s="6">
        <v>0.0288469</v>
      </c>
      <c r="BU609" s="6">
        <v>0.03136509</v>
      </c>
      <c r="BV609" s="6">
        <v>0.044675</v>
      </c>
      <c r="BW609" s="6">
        <v>0.04129695</v>
      </c>
      <c r="BX609" s="12">
        <v>6800</v>
      </c>
      <c r="BY609" s="13">
        <v>3631.98</v>
      </c>
      <c r="BZ609" s="12">
        <v>2884.11</v>
      </c>
      <c r="CA609" s="6">
        <f t="shared" si="60"/>
        <v>1.87225700582052</v>
      </c>
      <c r="CB609" s="6">
        <f t="shared" si="61"/>
        <v>2.35774641050445</v>
      </c>
      <c r="CC609" s="7">
        <v>138781659.8</v>
      </c>
      <c r="CD609" s="7">
        <f t="shared" si="56"/>
        <v>4.811940591725</v>
      </c>
      <c r="CE609" s="8">
        <v>755.2</v>
      </c>
      <c r="CF609" s="8">
        <v>1477.7</v>
      </c>
      <c r="CG609" s="8">
        <v>1847.5</v>
      </c>
      <c r="CH609" s="8">
        <v>14966</v>
      </c>
      <c r="CI609" s="14">
        <v>0</v>
      </c>
      <c r="CJ609" s="14">
        <v>1</v>
      </c>
      <c r="CK609" s="14">
        <f t="shared" si="57"/>
        <v>0</v>
      </c>
      <c r="CL609">
        <f t="shared" si="58"/>
        <v>3.23986794305777</v>
      </c>
      <c r="CM609">
        <f t="shared" si="59"/>
        <v>0</v>
      </c>
      <c r="CN609" s="15">
        <v>7691.96</v>
      </c>
      <c r="CO609" s="15">
        <v>10630.35</v>
      </c>
      <c r="CP609" s="15">
        <v>486.06</v>
      </c>
      <c r="CQ609">
        <v>0</v>
      </c>
      <c r="CR609" s="15">
        <v>85.65</v>
      </c>
      <c r="CS609" s="15">
        <v>9.73</v>
      </c>
      <c r="CT609" s="15">
        <v>183.5</v>
      </c>
      <c r="CU609" s="15">
        <v>34.35</v>
      </c>
      <c r="CV609" s="15">
        <v>5.14</v>
      </c>
      <c r="CW609" s="15">
        <v>714.09</v>
      </c>
    </row>
    <row r="610" spans="1:101">
      <c r="A610" s="6">
        <v>2008</v>
      </c>
      <c r="B610" s="6" t="s">
        <v>124</v>
      </c>
      <c r="C610" s="6">
        <v>0.27172886</v>
      </c>
      <c r="D610" s="6">
        <v>0.045578</v>
      </c>
      <c r="E610" s="6">
        <v>0.010719</v>
      </c>
      <c r="F610" s="6">
        <v>0.020915</v>
      </c>
      <c r="G610" s="6">
        <v>0.00688</v>
      </c>
      <c r="H610" s="6">
        <v>0.007064</v>
      </c>
      <c r="I610" s="6">
        <v>0.045377</v>
      </c>
      <c r="J610" s="6">
        <v>0.025188</v>
      </c>
      <c r="K610" s="6">
        <v>0.30595047</v>
      </c>
      <c r="L610" s="6">
        <v>0.21293281</v>
      </c>
      <c r="M610" s="6">
        <v>0.27853553</v>
      </c>
      <c r="N610" s="6">
        <v>0.17489464</v>
      </c>
      <c r="O610" s="6">
        <v>0.18057315</v>
      </c>
      <c r="P610" s="6">
        <v>0.41563743</v>
      </c>
      <c r="Q610" s="6">
        <v>0.38042311</v>
      </c>
      <c r="R610" s="6">
        <v>217.69486</v>
      </c>
      <c r="S610" s="6">
        <v>0.00140541</v>
      </c>
      <c r="T610" s="6">
        <v>169.97573</v>
      </c>
      <c r="U610" s="6">
        <v>0.00125272</v>
      </c>
      <c r="V610" s="6">
        <v>197.11803</v>
      </c>
      <c r="W610" s="6">
        <v>0.00141304</v>
      </c>
      <c r="X610" s="6">
        <v>134.47093</v>
      </c>
      <c r="Y610" s="6">
        <v>0.00130061</v>
      </c>
      <c r="Z610" s="6">
        <v>134.86767</v>
      </c>
      <c r="AA610" s="6">
        <v>0.00133889</v>
      </c>
      <c r="AB610" s="6">
        <v>294.9318</v>
      </c>
      <c r="AC610" s="6">
        <v>0.00140927</v>
      </c>
      <c r="AD610" s="6">
        <v>243.86163</v>
      </c>
      <c r="AE610" s="6">
        <v>0.00156</v>
      </c>
      <c r="AF610" s="6">
        <v>775</v>
      </c>
      <c r="AG610" s="6">
        <v>-0.00922992</v>
      </c>
      <c r="AH610" s="6">
        <v>-0.00837125</v>
      </c>
      <c r="AI610" s="6">
        <v>-0.00927238</v>
      </c>
      <c r="AJ610" s="6">
        <v>-0.00864247</v>
      </c>
      <c r="AK610" s="6">
        <v>-0.00885799</v>
      </c>
      <c r="AL610" s="6">
        <v>-0.00925139</v>
      </c>
      <c r="AM610" s="6">
        <v>-0.01008237</v>
      </c>
      <c r="AN610" s="6">
        <v>-6.4762184</v>
      </c>
      <c r="AO610" s="6">
        <v>-6.4515561</v>
      </c>
      <c r="AP610" s="6">
        <v>-6.4739881</v>
      </c>
      <c r="AQ610" s="6">
        <v>-6.4253629</v>
      </c>
      <c r="AR610" s="6">
        <v>-6.4020076</v>
      </c>
      <c r="AS610" s="6">
        <v>-6.4618417</v>
      </c>
      <c r="AT610" s="6">
        <v>-6.4506396</v>
      </c>
      <c r="AU610" s="6">
        <v>0.97344833</v>
      </c>
      <c r="AV610" s="6">
        <v>0.96974131</v>
      </c>
      <c r="AW610" s="6">
        <v>0.97311308</v>
      </c>
      <c r="AX610" s="6">
        <v>0.96580418</v>
      </c>
      <c r="AY610" s="6">
        <v>0.96229362</v>
      </c>
      <c r="AZ610" s="6">
        <v>0.97128734</v>
      </c>
      <c r="BA610" s="6">
        <v>0.96960354</v>
      </c>
      <c r="BB610" s="6">
        <v>0.02655167</v>
      </c>
      <c r="BC610" s="6">
        <v>0.03025869</v>
      </c>
      <c r="BD610" s="6">
        <v>0.02688692</v>
      </c>
      <c r="BE610" s="6">
        <v>0.03419582</v>
      </c>
      <c r="BF610" s="6">
        <v>0.03770638</v>
      </c>
      <c r="BG610" s="6">
        <v>0.02871266</v>
      </c>
      <c r="BH610" s="6">
        <v>0.03039646</v>
      </c>
      <c r="BI610" s="6">
        <v>0.21470859</v>
      </c>
      <c r="BJ610" s="6">
        <v>0.12366373</v>
      </c>
      <c r="BK610" s="6">
        <v>0.1409291</v>
      </c>
      <c r="BL610" s="6">
        <v>0.12522516</v>
      </c>
      <c r="BM610" s="6">
        <v>0.1592662</v>
      </c>
      <c r="BN610" s="6">
        <v>0.17561655</v>
      </c>
      <c r="BO610" s="6">
        <v>0.1337285</v>
      </c>
      <c r="BP610" s="6">
        <v>0.14157076</v>
      </c>
      <c r="BQ610" s="6">
        <v>0.03783498</v>
      </c>
      <c r="BR610" s="6">
        <v>0.03000843</v>
      </c>
      <c r="BS610" s="6">
        <v>0.03487966</v>
      </c>
      <c r="BT610" s="6">
        <v>0.02785481</v>
      </c>
      <c r="BU610" s="6">
        <v>0.03171163</v>
      </c>
      <c r="BV610" s="6">
        <v>0.05558257</v>
      </c>
      <c r="BW610" s="6">
        <v>0.05385679</v>
      </c>
      <c r="BX610" s="12">
        <v>7084</v>
      </c>
      <c r="BY610" s="13">
        <v>3595.98</v>
      </c>
      <c r="BZ610" s="12">
        <v>3561.56</v>
      </c>
      <c r="CA610" s="6">
        <f t="shared" si="60"/>
        <v>1.96997758608224</v>
      </c>
      <c r="CB610" s="6">
        <f t="shared" si="61"/>
        <v>1.989016049147</v>
      </c>
      <c r="CC610" s="7">
        <v>133498262.3</v>
      </c>
      <c r="CD610" s="7">
        <f t="shared" si="56"/>
        <v>3.74830867091948</v>
      </c>
      <c r="CE610" s="8">
        <v>863.6</v>
      </c>
      <c r="CF610" s="8">
        <v>1788</v>
      </c>
      <c r="CG610" s="8">
        <v>2183.2</v>
      </c>
      <c r="CH610" s="8">
        <v>17696</v>
      </c>
      <c r="CI610" s="14">
        <v>0</v>
      </c>
      <c r="CJ610" s="14">
        <v>1</v>
      </c>
      <c r="CK610" s="14">
        <f t="shared" si="57"/>
        <v>0</v>
      </c>
      <c r="CL610">
        <f t="shared" si="58"/>
        <v>2.71728515287532</v>
      </c>
      <c r="CM610">
        <f t="shared" si="59"/>
        <v>0</v>
      </c>
      <c r="CN610" s="15">
        <v>7084</v>
      </c>
      <c r="CO610" s="15">
        <v>9732</v>
      </c>
      <c r="CP610" s="15">
        <v>450.97</v>
      </c>
      <c r="CQ610">
        <v>0</v>
      </c>
      <c r="CR610" s="15">
        <v>123.42</v>
      </c>
      <c r="CS610" s="15">
        <v>2.95</v>
      </c>
      <c r="CT610" s="15">
        <v>226.46</v>
      </c>
      <c r="CU610" s="15">
        <v>23.16</v>
      </c>
      <c r="CV610" s="15">
        <v>4.74</v>
      </c>
      <c r="CW610" s="15">
        <v>679.18</v>
      </c>
    </row>
    <row r="611" spans="1:101">
      <c r="A611" s="6">
        <v>2009</v>
      </c>
      <c r="B611" s="6" t="s">
        <v>124</v>
      </c>
      <c r="C611" s="6">
        <v>0.27887664</v>
      </c>
      <c r="D611" s="6">
        <v>0.047632</v>
      </c>
      <c r="E611" s="6">
        <v>0.01191</v>
      </c>
      <c r="F611" s="6">
        <v>0.021569</v>
      </c>
      <c r="G611" s="6">
        <v>0.006377</v>
      </c>
      <c r="H611" s="6">
        <v>0.007775</v>
      </c>
      <c r="I611" s="6">
        <v>0.049079</v>
      </c>
      <c r="J611" s="6">
        <v>0.022416</v>
      </c>
      <c r="K611" s="6">
        <v>0.32205819</v>
      </c>
      <c r="L611" s="6">
        <v>0.24109081</v>
      </c>
      <c r="M611" s="6">
        <v>0.28859551</v>
      </c>
      <c r="N611" s="6">
        <v>0.16001056</v>
      </c>
      <c r="O611" s="6">
        <v>0.20213504</v>
      </c>
      <c r="P611" s="6">
        <v>0.45687321</v>
      </c>
      <c r="Q611" s="6">
        <v>0.33095886</v>
      </c>
      <c r="R611" s="6">
        <v>217.69486</v>
      </c>
      <c r="S611" s="6">
        <v>0.0014794</v>
      </c>
      <c r="T611" s="6">
        <v>169.97573</v>
      </c>
      <c r="U611" s="6">
        <v>0.00141838</v>
      </c>
      <c r="V611" s="6">
        <v>197.11803</v>
      </c>
      <c r="W611" s="6">
        <v>0.00146407</v>
      </c>
      <c r="X611" s="6">
        <v>134.47093</v>
      </c>
      <c r="Y611" s="6">
        <v>0.00118993</v>
      </c>
      <c r="Z611" s="6">
        <v>134.86767</v>
      </c>
      <c r="AA611" s="6">
        <v>0.00149877</v>
      </c>
      <c r="AB611" s="6">
        <v>294.9318</v>
      </c>
      <c r="AC611" s="6">
        <v>0.00154908</v>
      </c>
      <c r="AD611" s="6">
        <v>243.86163</v>
      </c>
      <c r="AE611" s="6">
        <v>0.00135716</v>
      </c>
      <c r="AF611" s="6">
        <v>775</v>
      </c>
      <c r="AG611" s="6">
        <v>-0.00963996</v>
      </c>
      <c r="AH611" s="6">
        <v>-0.0093021</v>
      </c>
      <c r="AI611" s="6">
        <v>-0.00955533</v>
      </c>
      <c r="AJ611" s="6">
        <v>-0.0080128</v>
      </c>
      <c r="AK611" s="6">
        <v>-0.00974664</v>
      </c>
      <c r="AL611" s="6">
        <v>-0.0100227</v>
      </c>
      <c r="AM611" s="6">
        <v>-0.00896045</v>
      </c>
      <c r="AN611" s="6">
        <v>-6.4762184</v>
      </c>
      <c r="AO611" s="6">
        <v>-6.4515561</v>
      </c>
      <c r="AP611" s="6">
        <v>-6.4739881</v>
      </c>
      <c r="AQ611" s="6">
        <v>-6.4253629</v>
      </c>
      <c r="AR611" s="6">
        <v>-6.4020076</v>
      </c>
      <c r="AS611" s="6">
        <v>-6.4618417</v>
      </c>
      <c r="AT611" s="6">
        <v>-6.4506396</v>
      </c>
      <c r="AU611" s="6">
        <v>0.97344833</v>
      </c>
      <c r="AV611" s="6">
        <v>0.96974131</v>
      </c>
      <c r="AW611" s="6">
        <v>0.97311308</v>
      </c>
      <c r="AX611" s="6">
        <v>0.96580418</v>
      </c>
      <c r="AY611" s="6">
        <v>0.96229362</v>
      </c>
      <c r="AZ611" s="6">
        <v>0.97128734</v>
      </c>
      <c r="BA611" s="6">
        <v>0.96960354</v>
      </c>
      <c r="BB611" s="6">
        <v>0.02655167</v>
      </c>
      <c r="BC611" s="6">
        <v>0.03025869</v>
      </c>
      <c r="BD611" s="6">
        <v>0.02688692</v>
      </c>
      <c r="BE611" s="6">
        <v>0.03419582</v>
      </c>
      <c r="BF611" s="6">
        <v>0.03770638</v>
      </c>
      <c r="BG611" s="6">
        <v>0.02871266</v>
      </c>
      <c r="BH611" s="6">
        <v>0.03039646</v>
      </c>
      <c r="BI611" s="6">
        <v>0.21470859</v>
      </c>
      <c r="BJ611" s="6">
        <v>0.12366373</v>
      </c>
      <c r="BK611" s="6">
        <v>0.1409291</v>
      </c>
      <c r="BL611" s="6">
        <v>0.12522516</v>
      </c>
      <c r="BM611" s="6">
        <v>0.1592662</v>
      </c>
      <c r="BN611" s="6">
        <v>0.17561655</v>
      </c>
      <c r="BO611" s="6">
        <v>0.1337285</v>
      </c>
      <c r="BP611" s="6">
        <v>0.14157076</v>
      </c>
      <c r="BQ611" s="6">
        <v>0.03982692</v>
      </c>
      <c r="BR611" s="6">
        <v>0.03397671</v>
      </c>
      <c r="BS611" s="6">
        <v>0.03613942</v>
      </c>
      <c r="BT611" s="6">
        <v>0.02548427</v>
      </c>
      <c r="BU611" s="6">
        <v>0.03549826</v>
      </c>
      <c r="BV611" s="6">
        <v>0.06109697</v>
      </c>
      <c r="BW611" s="6">
        <v>0.0468541</v>
      </c>
      <c r="BX611" s="12">
        <v>7566</v>
      </c>
      <c r="BY611" s="13">
        <v>3537</v>
      </c>
      <c r="BZ611" s="12">
        <v>3912.68</v>
      </c>
      <c r="CA611" s="6">
        <f t="shared" si="60"/>
        <v>2.13910093299406</v>
      </c>
      <c r="CB611" s="6">
        <f t="shared" si="61"/>
        <v>1.93371295378104</v>
      </c>
      <c r="CC611" s="7">
        <v>145437965</v>
      </c>
      <c r="CD611" s="7">
        <f t="shared" si="56"/>
        <v>3.71709327110829</v>
      </c>
      <c r="CE611" s="8">
        <v>888.6</v>
      </c>
      <c r="CF611" s="8">
        <v>2055.1</v>
      </c>
      <c r="CG611" s="8">
        <v>2491.1</v>
      </c>
      <c r="CH611" s="8">
        <v>19858</v>
      </c>
      <c r="CI611" s="14">
        <v>0</v>
      </c>
      <c r="CJ611" s="14">
        <v>1</v>
      </c>
      <c r="CK611" s="14">
        <f t="shared" si="57"/>
        <v>0</v>
      </c>
      <c r="CL611">
        <f t="shared" si="58"/>
        <v>2.66960201713366</v>
      </c>
      <c r="CM611">
        <f t="shared" si="59"/>
        <v>0</v>
      </c>
      <c r="CN611" s="15">
        <v>7566</v>
      </c>
      <c r="CO611" s="15">
        <v>10912</v>
      </c>
      <c r="CP611" s="15">
        <v>367.79</v>
      </c>
      <c r="CQ611">
        <v>0</v>
      </c>
      <c r="CR611" s="15">
        <v>129.99</v>
      </c>
      <c r="CS611" s="15">
        <v>2.95</v>
      </c>
      <c r="CT611" s="15">
        <v>234.69</v>
      </c>
      <c r="CU611" s="15">
        <v>13.47</v>
      </c>
      <c r="CV611" s="15">
        <v>4.18</v>
      </c>
      <c r="CW611" s="15">
        <v>750.3</v>
      </c>
    </row>
    <row r="612" spans="1:101">
      <c r="A612" s="6">
        <v>2010</v>
      </c>
      <c r="B612" s="6" t="s">
        <v>124</v>
      </c>
      <c r="C612" s="6">
        <v>0.31362201</v>
      </c>
      <c r="D612" s="6">
        <v>0.049917</v>
      </c>
      <c r="E612" s="6">
        <v>0.012341</v>
      </c>
      <c r="F612" s="6">
        <v>0.022656</v>
      </c>
      <c r="G612" s="6">
        <v>0.007835</v>
      </c>
      <c r="H612" s="6">
        <v>0.007085</v>
      </c>
      <c r="I612" s="6">
        <v>0.053816</v>
      </c>
      <c r="J612" s="6">
        <v>0.029842</v>
      </c>
      <c r="K612" s="6">
        <v>0.33997981</v>
      </c>
      <c r="L612" s="6">
        <v>0.2512824</v>
      </c>
      <c r="M612" s="6">
        <v>0.30529148</v>
      </c>
      <c r="N612" s="6">
        <v>0.20311517</v>
      </c>
      <c r="O612" s="6">
        <v>0.18119864</v>
      </c>
      <c r="P612" s="6">
        <v>0.50962474</v>
      </c>
      <c r="Q612" s="6">
        <v>0.46346754</v>
      </c>
      <c r="R612" s="6">
        <v>217.69486</v>
      </c>
      <c r="S612" s="6">
        <v>0.00156173</v>
      </c>
      <c r="T612" s="6">
        <v>169.97573</v>
      </c>
      <c r="U612" s="6">
        <v>0.00147834</v>
      </c>
      <c r="V612" s="6">
        <v>197.11803</v>
      </c>
      <c r="W612" s="6">
        <v>0.00154878</v>
      </c>
      <c r="X612" s="6">
        <v>134.47093</v>
      </c>
      <c r="Y612" s="6">
        <v>0.00151048</v>
      </c>
      <c r="Z612" s="6">
        <v>134.86767</v>
      </c>
      <c r="AA612" s="6">
        <v>0.00134353</v>
      </c>
      <c r="AB612" s="6">
        <v>294.9318</v>
      </c>
      <c r="AC612" s="6">
        <v>0.00172794</v>
      </c>
      <c r="AD612" s="6">
        <v>243.86163</v>
      </c>
      <c r="AE612" s="6">
        <v>0.00190053</v>
      </c>
      <c r="AF612" s="6">
        <v>775</v>
      </c>
      <c r="AG612" s="6">
        <v>-0.01009182</v>
      </c>
      <c r="AH612" s="6">
        <v>-0.00963411</v>
      </c>
      <c r="AI612" s="6">
        <v>-0.01002102</v>
      </c>
      <c r="AJ612" s="6">
        <v>-0.00981104</v>
      </c>
      <c r="AK612" s="6">
        <v>-0.00888403</v>
      </c>
      <c r="AL612" s="6">
        <v>-0.01099113</v>
      </c>
      <c r="AM612" s="6">
        <v>-0.01190803</v>
      </c>
      <c r="AN612" s="6">
        <v>-6.4762184</v>
      </c>
      <c r="AO612" s="6">
        <v>-6.4515561</v>
      </c>
      <c r="AP612" s="6">
        <v>-6.4739881</v>
      </c>
      <c r="AQ612" s="6">
        <v>-6.4253629</v>
      </c>
      <c r="AR612" s="6">
        <v>-6.4020076</v>
      </c>
      <c r="AS612" s="6">
        <v>-6.4618417</v>
      </c>
      <c r="AT612" s="6">
        <v>-6.4506396</v>
      </c>
      <c r="AU612" s="6">
        <v>0.97344833</v>
      </c>
      <c r="AV612" s="6">
        <v>0.96974131</v>
      </c>
      <c r="AW612" s="6">
        <v>0.97311308</v>
      </c>
      <c r="AX612" s="6">
        <v>0.96580418</v>
      </c>
      <c r="AY612" s="6">
        <v>0.96229362</v>
      </c>
      <c r="AZ612" s="6">
        <v>0.97128734</v>
      </c>
      <c r="BA612" s="6">
        <v>0.96960354</v>
      </c>
      <c r="BB612" s="6">
        <v>0.02655167</v>
      </c>
      <c r="BC612" s="6">
        <v>0.03025869</v>
      </c>
      <c r="BD612" s="6">
        <v>0.02688692</v>
      </c>
      <c r="BE612" s="6">
        <v>0.03419582</v>
      </c>
      <c r="BF612" s="6">
        <v>0.03770638</v>
      </c>
      <c r="BG612" s="6">
        <v>0.02871266</v>
      </c>
      <c r="BH612" s="6">
        <v>0.03039646</v>
      </c>
      <c r="BI612" s="6">
        <v>0.21470859</v>
      </c>
      <c r="BJ612" s="6">
        <v>0.12366373</v>
      </c>
      <c r="BK612" s="6">
        <v>0.1409291</v>
      </c>
      <c r="BL612" s="6">
        <v>0.12522516</v>
      </c>
      <c r="BM612" s="6">
        <v>0.1592662</v>
      </c>
      <c r="BN612" s="6">
        <v>0.17561655</v>
      </c>
      <c r="BO612" s="6">
        <v>0.1337285</v>
      </c>
      <c r="BP612" s="6">
        <v>0.14157076</v>
      </c>
      <c r="BQ612" s="6">
        <v>0.04204317</v>
      </c>
      <c r="BR612" s="6">
        <v>0.035413</v>
      </c>
      <c r="BS612" s="6">
        <v>0.03823017</v>
      </c>
      <c r="BT612" s="6">
        <v>0.03234938</v>
      </c>
      <c r="BU612" s="6">
        <v>0.03182148</v>
      </c>
      <c r="BV612" s="6">
        <v>0.06815135</v>
      </c>
      <c r="BW612" s="6">
        <v>0.06561345</v>
      </c>
      <c r="BX612" s="12">
        <v>8175</v>
      </c>
      <c r="BY612" s="13">
        <v>3479</v>
      </c>
      <c r="BZ612" s="12">
        <v>4602.16</v>
      </c>
      <c r="CA612" s="6">
        <f t="shared" si="60"/>
        <v>2.3498131647025</v>
      </c>
      <c r="CB612" s="6">
        <f t="shared" si="61"/>
        <v>1.77633980565647</v>
      </c>
      <c r="CC612" s="7">
        <v>147723402.3</v>
      </c>
      <c r="CD612" s="7">
        <f t="shared" si="56"/>
        <v>3.20987106706416</v>
      </c>
      <c r="CE612" s="8">
        <v>928.4</v>
      </c>
      <c r="CF612" s="8">
        <v>2485.8</v>
      </c>
      <c r="CG612" s="8">
        <v>2996.3</v>
      </c>
      <c r="CH612" s="8">
        <v>23370</v>
      </c>
      <c r="CI612" s="14">
        <v>0</v>
      </c>
      <c r="CJ612" s="14">
        <v>1</v>
      </c>
      <c r="CK612" s="14">
        <f t="shared" si="57"/>
        <v>0</v>
      </c>
      <c r="CL612">
        <f t="shared" si="58"/>
        <v>2.40850270516871</v>
      </c>
      <c r="CM612">
        <f t="shared" si="59"/>
        <v>0</v>
      </c>
      <c r="CN612" s="15">
        <v>8175.43</v>
      </c>
      <c r="CO612" s="15">
        <v>10908.1</v>
      </c>
      <c r="CP612" s="15">
        <v>380.44</v>
      </c>
      <c r="CQ612">
        <v>0</v>
      </c>
      <c r="CR612" s="15">
        <v>143.36</v>
      </c>
      <c r="CS612" s="15">
        <v>8.94</v>
      </c>
      <c r="CT612" s="15">
        <v>264.66</v>
      </c>
      <c r="CU612" s="15">
        <v>14.43</v>
      </c>
      <c r="CV612" s="15">
        <v>4.14</v>
      </c>
      <c r="CW612" s="15">
        <v>835.38</v>
      </c>
    </row>
    <row r="613" spans="1:101">
      <c r="A613" s="6">
        <v>2011</v>
      </c>
      <c r="B613" s="6" t="s">
        <v>124</v>
      </c>
      <c r="C613" s="6">
        <v>0.30882314</v>
      </c>
      <c r="D613" s="6">
        <v>0.050057</v>
      </c>
      <c r="E613" s="6">
        <v>0.012408</v>
      </c>
      <c r="F613" s="6">
        <v>0.023193</v>
      </c>
      <c r="G613" s="6">
        <v>0.007622</v>
      </c>
      <c r="H613" s="6">
        <v>0.006833</v>
      </c>
      <c r="I613" s="6">
        <v>0.055627</v>
      </c>
      <c r="J613" s="6">
        <v>0.027248</v>
      </c>
      <c r="K613" s="6">
        <v>0.34108285</v>
      </c>
      <c r="L613" s="6">
        <v>0.25286673</v>
      </c>
      <c r="M613" s="6">
        <v>0.31355854</v>
      </c>
      <c r="N613" s="6">
        <v>0.1968165</v>
      </c>
      <c r="O613" s="6">
        <v>0.1735864</v>
      </c>
      <c r="P613" s="6">
        <v>0.52980021</v>
      </c>
      <c r="Q613" s="6">
        <v>0.41718797</v>
      </c>
      <c r="R613" s="6">
        <v>217.69486</v>
      </c>
      <c r="S613" s="6">
        <v>0.00156679</v>
      </c>
      <c r="T613" s="6">
        <v>169.97573</v>
      </c>
      <c r="U613" s="6">
        <v>0.00148766</v>
      </c>
      <c r="V613" s="6">
        <v>197.11803</v>
      </c>
      <c r="W613" s="6">
        <v>0.00159071</v>
      </c>
      <c r="X613" s="6">
        <v>134.47093</v>
      </c>
      <c r="Y613" s="6">
        <v>0.00146364</v>
      </c>
      <c r="Z613" s="6">
        <v>134.86767</v>
      </c>
      <c r="AA613" s="6">
        <v>0.00128709</v>
      </c>
      <c r="AB613" s="6">
        <v>294.9318</v>
      </c>
      <c r="AC613" s="6">
        <v>0.00179635</v>
      </c>
      <c r="AD613" s="6">
        <v>243.86163</v>
      </c>
      <c r="AE613" s="6">
        <v>0.00171076</v>
      </c>
      <c r="AF613" s="6">
        <v>775</v>
      </c>
      <c r="AG613" s="6">
        <v>-0.01011949</v>
      </c>
      <c r="AH613" s="6">
        <v>-0.00968551</v>
      </c>
      <c r="AI613" s="6">
        <v>-0.01024988</v>
      </c>
      <c r="AJ613" s="6">
        <v>-0.00955291</v>
      </c>
      <c r="AK613" s="6">
        <v>-0.00856604</v>
      </c>
      <c r="AL613" s="6">
        <v>-0.01135651</v>
      </c>
      <c r="AM613" s="6">
        <v>-0.01089892</v>
      </c>
      <c r="AN613" s="6">
        <v>-6.4762184</v>
      </c>
      <c r="AO613" s="6">
        <v>-6.4515561</v>
      </c>
      <c r="AP613" s="6">
        <v>-6.4739881</v>
      </c>
      <c r="AQ613" s="6">
        <v>-6.4253629</v>
      </c>
      <c r="AR613" s="6">
        <v>-6.4020076</v>
      </c>
      <c r="AS613" s="6">
        <v>-6.4618417</v>
      </c>
      <c r="AT613" s="6">
        <v>-6.4506396</v>
      </c>
      <c r="AU613" s="6">
        <v>0.97344833</v>
      </c>
      <c r="AV613" s="6">
        <v>0.96974131</v>
      </c>
      <c r="AW613" s="6">
        <v>0.97311308</v>
      </c>
      <c r="AX613" s="6">
        <v>0.96580418</v>
      </c>
      <c r="AY613" s="6">
        <v>0.96229362</v>
      </c>
      <c r="AZ613" s="6">
        <v>0.97128734</v>
      </c>
      <c r="BA613" s="6">
        <v>0.96960354</v>
      </c>
      <c r="BB613" s="6">
        <v>0.02655167</v>
      </c>
      <c r="BC613" s="6">
        <v>0.03025869</v>
      </c>
      <c r="BD613" s="6">
        <v>0.02688692</v>
      </c>
      <c r="BE613" s="6">
        <v>0.03419582</v>
      </c>
      <c r="BF613" s="6">
        <v>0.03770638</v>
      </c>
      <c r="BG613" s="6">
        <v>0.02871266</v>
      </c>
      <c r="BH613" s="6">
        <v>0.03039646</v>
      </c>
      <c r="BI613" s="6">
        <v>0.21470859</v>
      </c>
      <c r="BJ613" s="6">
        <v>0.12366373</v>
      </c>
      <c r="BK613" s="6">
        <v>0.1409291</v>
      </c>
      <c r="BL613" s="6">
        <v>0.12522516</v>
      </c>
      <c r="BM613" s="6">
        <v>0.1592662</v>
      </c>
      <c r="BN613" s="6">
        <v>0.17561655</v>
      </c>
      <c r="BO613" s="6">
        <v>0.1337285</v>
      </c>
      <c r="BP613" s="6">
        <v>0.14157076</v>
      </c>
      <c r="BQ613" s="6">
        <v>0.04217958</v>
      </c>
      <c r="BR613" s="6">
        <v>0.03563628</v>
      </c>
      <c r="BS613" s="6">
        <v>0.03926542</v>
      </c>
      <c r="BT613" s="6">
        <v>0.03134622</v>
      </c>
      <c r="BU613" s="6">
        <v>0.03048464</v>
      </c>
      <c r="BV613" s="6">
        <v>0.07084939</v>
      </c>
      <c r="BW613" s="6">
        <v>0.05906162</v>
      </c>
      <c r="BX613" s="12">
        <v>9068</v>
      </c>
      <c r="BY613" s="13">
        <v>3530</v>
      </c>
      <c r="BZ613" s="12">
        <v>5701.84</v>
      </c>
      <c r="CA613" s="6">
        <f t="shared" si="60"/>
        <v>2.56883852691218</v>
      </c>
      <c r="CB613" s="6">
        <f t="shared" si="61"/>
        <v>1.59036381238337</v>
      </c>
      <c r="CC613" s="7">
        <v>161327047.2</v>
      </c>
      <c r="CD613" s="7">
        <f t="shared" si="56"/>
        <v>2.82938572811584</v>
      </c>
      <c r="CE613" s="8">
        <v>1105.9</v>
      </c>
      <c r="CF613" s="8">
        <v>2931.4</v>
      </c>
      <c r="CG613" s="8">
        <v>3697.4</v>
      </c>
      <c r="CH613" s="8">
        <v>28270</v>
      </c>
      <c r="CI613" s="14">
        <v>0</v>
      </c>
      <c r="CJ613" s="14">
        <v>1</v>
      </c>
      <c r="CK613" s="14">
        <f t="shared" si="57"/>
        <v>0</v>
      </c>
      <c r="CL613">
        <f t="shared" si="58"/>
        <v>2.18035126729488</v>
      </c>
      <c r="CM613">
        <f t="shared" si="59"/>
        <v>0</v>
      </c>
      <c r="CN613" s="15">
        <v>9068</v>
      </c>
      <c r="CO613" s="15">
        <v>12085</v>
      </c>
      <c r="CP613" s="15">
        <v>402.88</v>
      </c>
      <c r="CQ613">
        <v>0</v>
      </c>
      <c r="CR613" s="15">
        <v>145.23</v>
      </c>
      <c r="CS613" s="15">
        <v>10.84</v>
      </c>
      <c r="CT613" s="15">
        <v>304.97</v>
      </c>
      <c r="CU613" s="15">
        <v>16.04</v>
      </c>
      <c r="CV613" s="15">
        <v>4.76</v>
      </c>
      <c r="CW613" s="15">
        <v>944</v>
      </c>
    </row>
    <row r="614" spans="1:101">
      <c r="A614" s="6">
        <v>2012</v>
      </c>
      <c r="B614" s="6" t="s">
        <v>124</v>
      </c>
      <c r="C614" s="6">
        <v>0.32436133</v>
      </c>
      <c r="D614" s="6">
        <v>0.050913</v>
      </c>
      <c r="E614" s="6">
        <v>0.012152</v>
      </c>
      <c r="F614" s="6">
        <v>0.023482</v>
      </c>
      <c r="G614" s="6">
        <v>0.007959</v>
      </c>
      <c r="H614" s="6">
        <v>0.007321</v>
      </c>
      <c r="I614" s="6">
        <v>0.060321</v>
      </c>
      <c r="J614" s="6">
        <v>0.028767</v>
      </c>
      <c r="K614" s="6">
        <v>0.34780005</v>
      </c>
      <c r="L614" s="6">
        <v>0.24680546</v>
      </c>
      <c r="M614" s="6">
        <v>0.31799718</v>
      </c>
      <c r="N614" s="6">
        <v>0.20677018</v>
      </c>
      <c r="O614" s="6">
        <v>0.18835037</v>
      </c>
      <c r="P614" s="6">
        <v>0.58208603</v>
      </c>
      <c r="Q614" s="6">
        <v>0.44428193</v>
      </c>
      <c r="R614" s="6">
        <v>217.69486</v>
      </c>
      <c r="S614" s="6">
        <v>0.00159765</v>
      </c>
      <c r="T614" s="6">
        <v>169.97573</v>
      </c>
      <c r="U614" s="6">
        <v>0.001452</v>
      </c>
      <c r="V614" s="6">
        <v>197.11803</v>
      </c>
      <c r="W614" s="6">
        <v>0.00161323</v>
      </c>
      <c r="X614" s="6">
        <v>134.47093</v>
      </c>
      <c r="Y614" s="6">
        <v>0.00153766</v>
      </c>
      <c r="Z614" s="6">
        <v>134.86767</v>
      </c>
      <c r="AA614" s="6">
        <v>0.00139656</v>
      </c>
      <c r="AB614" s="6">
        <v>294.9318</v>
      </c>
      <c r="AC614" s="6">
        <v>0.00197363</v>
      </c>
      <c r="AD614" s="6">
        <v>243.86163</v>
      </c>
      <c r="AE614" s="6">
        <v>0.00182186</v>
      </c>
      <c r="AF614" s="6">
        <v>775</v>
      </c>
      <c r="AG614" s="6">
        <v>-0.01028762</v>
      </c>
      <c r="AH614" s="6">
        <v>-0.00948857</v>
      </c>
      <c r="AI614" s="6">
        <v>-0.0103723</v>
      </c>
      <c r="AJ614" s="6">
        <v>-0.00996017</v>
      </c>
      <c r="AK614" s="6">
        <v>-0.00918061</v>
      </c>
      <c r="AL614" s="6">
        <v>-0.01229153</v>
      </c>
      <c r="AM614" s="6">
        <v>-0.01149211</v>
      </c>
      <c r="AN614" s="6">
        <v>-6.4762184</v>
      </c>
      <c r="AO614" s="6">
        <v>-6.4515561</v>
      </c>
      <c r="AP614" s="6">
        <v>-6.4739881</v>
      </c>
      <c r="AQ614" s="6">
        <v>-6.4253629</v>
      </c>
      <c r="AR614" s="6">
        <v>-6.4020076</v>
      </c>
      <c r="AS614" s="6">
        <v>-6.4618417</v>
      </c>
      <c r="AT614" s="6">
        <v>-6.4506396</v>
      </c>
      <c r="AU614" s="6">
        <v>0.97344833</v>
      </c>
      <c r="AV614" s="6">
        <v>0.96974131</v>
      </c>
      <c r="AW614" s="6">
        <v>0.97311308</v>
      </c>
      <c r="AX614" s="6">
        <v>0.96580418</v>
      </c>
      <c r="AY614" s="6">
        <v>0.96229362</v>
      </c>
      <c r="AZ614" s="6">
        <v>0.97128734</v>
      </c>
      <c r="BA614" s="6">
        <v>0.96960354</v>
      </c>
      <c r="BB614" s="6">
        <v>0.02655167</v>
      </c>
      <c r="BC614" s="6">
        <v>0.03025869</v>
      </c>
      <c r="BD614" s="6">
        <v>0.02688692</v>
      </c>
      <c r="BE614" s="6">
        <v>0.03419582</v>
      </c>
      <c r="BF614" s="6">
        <v>0.03770638</v>
      </c>
      <c r="BG614" s="6">
        <v>0.02871266</v>
      </c>
      <c r="BH614" s="6">
        <v>0.03039646</v>
      </c>
      <c r="BI614" s="6">
        <v>0.21470859</v>
      </c>
      <c r="BJ614" s="6">
        <v>0.12366373</v>
      </c>
      <c r="BK614" s="6">
        <v>0.1409291</v>
      </c>
      <c r="BL614" s="6">
        <v>0.12522516</v>
      </c>
      <c r="BM614" s="6">
        <v>0.1592662</v>
      </c>
      <c r="BN614" s="6">
        <v>0.17561655</v>
      </c>
      <c r="BO614" s="6">
        <v>0.1337285</v>
      </c>
      <c r="BP614" s="6">
        <v>0.14157076</v>
      </c>
      <c r="BQ614" s="6">
        <v>0.04301025</v>
      </c>
      <c r="BR614" s="6">
        <v>0.03478207</v>
      </c>
      <c r="BS614" s="6">
        <v>0.03982125</v>
      </c>
      <c r="BT614" s="6">
        <v>0.0329315</v>
      </c>
      <c r="BU614" s="6">
        <v>0.03307744</v>
      </c>
      <c r="BV614" s="6">
        <v>0.07784149</v>
      </c>
      <c r="BW614" s="6">
        <v>0.06289733</v>
      </c>
      <c r="BX614" s="12">
        <v>9878</v>
      </c>
      <c r="BY614" s="13">
        <v>3587</v>
      </c>
      <c r="BZ614" s="12">
        <v>6852.2</v>
      </c>
      <c r="CA614" s="6">
        <f t="shared" si="60"/>
        <v>2.75383328686925</v>
      </c>
      <c r="CB614" s="6">
        <f t="shared" si="61"/>
        <v>1.44158080616444</v>
      </c>
      <c r="CC614" s="7">
        <v>164305566.1</v>
      </c>
      <c r="CD614" s="7">
        <f t="shared" si="56"/>
        <v>2.39785129009661</v>
      </c>
      <c r="CE614" s="8">
        <v>1195.6</v>
      </c>
      <c r="CF614" s="8">
        <v>3315.2</v>
      </c>
      <c r="CG614" s="8">
        <v>4167.2</v>
      </c>
      <c r="CH614" s="8">
        <v>32005</v>
      </c>
      <c r="CI614" s="14">
        <v>0</v>
      </c>
      <c r="CJ614" s="14">
        <v>1</v>
      </c>
      <c r="CK614" s="14">
        <f t="shared" si="57"/>
        <v>0</v>
      </c>
      <c r="CL614">
        <f t="shared" si="58"/>
        <v>2.01609935715007</v>
      </c>
      <c r="CM614">
        <f t="shared" si="59"/>
        <v>0</v>
      </c>
      <c r="CN614" s="15">
        <v>9878.38</v>
      </c>
      <c r="CO614" s="15">
        <v>13328</v>
      </c>
      <c r="CP614" s="15">
        <v>382.26</v>
      </c>
      <c r="CQ614">
        <v>0</v>
      </c>
      <c r="CR614" s="15">
        <v>158.3</v>
      </c>
      <c r="CS614" s="15">
        <v>13.27</v>
      </c>
      <c r="CT614" s="15">
        <v>336.03</v>
      </c>
      <c r="CU614" s="15">
        <v>4.68</v>
      </c>
      <c r="CV614" s="15">
        <v>5.26</v>
      </c>
      <c r="CW614" s="15">
        <v>1046.72</v>
      </c>
    </row>
    <row r="615" spans="1:101">
      <c r="A615" s="6">
        <v>2013</v>
      </c>
      <c r="B615" s="6" t="s">
        <v>124</v>
      </c>
      <c r="C615" s="6">
        <v>0.30009743</v>
      </c>
      <c r="D615" s="6">
        <v>0.050383</v>
      </c>
      <c r="E615" s="6">
        <v>0.011904</v>
      </c>
      <c r="F615" s="6">
        <v>0.023035</v>
      </c>
      <c r="G615" s="6">
        <v>0.007178</v>
      </c>
      <c r="H615" s="6">
        <v>0.008266</v>
      </c>
      <c r="I615" s="6">
        <v>0.04984</v>
      </c>
      <c r="J615" s="6">
        <v>0.025676</v>
      </c>
      <c r="K615" s="6">
        <v>0.34363986</v>
      </c>
      <c r="L615" s="6">
        <v>0.24093786</v>
      </c>
      <c r="M615" s="6">
        <v>0.31112882</v>
      </c>
      <c r="N615" s="6">
        <v>0.18368797</v>
      </c>
      <c r="O615" s="6">
        <v>0.21700564</v>
      </c>
      <c r="P615" s="6">
        <v>0.46534927</v>
      </c>
      <c r="Q615" s="6">
        <v>0.38913261</v>
      </c>
      <c r="R615" s="6">
        <v>217.69486</v>
      </c>
      <c r="S615" s="6">
        <v>0.00157854</v>
      </c>
      <c r="T615" s="6">
        <v>169.97573</v>
      </c>
      <c r="U615" s="6">
        <v>0.00141748</v>
      </c>
      <c r="V615" s="6">
        <v>197.11803</v>
      </c>
      <c r="W615" s="6">
        <v>0.00157839</v>
      </c>
      <c r="X615" s="6">
        <v>134.47093</v>
      </c>
      <c r="Y615" s="6">
        <v>0.00136601</v>
      </c>
      <c r="Z615" s="6">
        <v>134.86767</v>
      </c>
      <c r="AA615" s="6">
        <v>0.00160903</v>
      </c>
      <c r="AB615" s="6">
        <v>294.9318</v>
      </c>
      <c r="AC615" s="6">
        <v>0.00157782</v>
      </c>
      <c r="AD615" s="6">
        <v>243.86163</v>
      </c>
      <c r="AE615" s="6">
        <v>0.00159571</v>
      </c>
      <c r="AF615" s="6">
        <v>775</v>
      </c>
      <c r="AG615" s="6">
        <v>-0.01018356</v>
      </c>
      <c r="AH615" s="6">
        <v>-0.0092971</v>
      </c>
      <c r="AI615" s="6">
        <v>-0.01018274</v>
      </c>
      <c r="AJ615" s="6">
        <v>-0.00900998</v>
      </c>
      <c r="AK615" s="6">
        <v>-0.01034946</v>
      </c>
      <c r="AL615" s="6">
        <v>-0.01017964</v>
      </c>
      <c r="AM615" s="6">
        <v>-0.01027707</v>
      </c>
      <c r="AN615" s="6">
        <v>-6.4762184</v>
      </c>
      <c r="AO615" s="6">
        <v>-6.4515561</v>
      </c>
      <c r="AP615" s="6">
        <v>-6.4739881</v>
      </c>
      <c r="AQ615" s="6">
        <v>-6.4253629</v>
      </c>
      <c r="AR615" s="6">
        <v>-6.4020076</v>
      </c>
      <c r="AS615" s="6">
        <v>-6.4618417</v>
      </c>
      <c r="AT615" s="6">
        <v>-6.4506396</v>
      </c>
      <c r="AU615" s="6">
        <v>0.97344833</v>
      </c>
      <c r="AV615" s="6">
        <v>0.96974131</v>
      </c>
      <c r="AW615" s="6">
        <v>0.97311308</v>
      </c>
      <c r="AX615" s="6">
        <v>0.96580418</v>
      </c>
      <c r="AY615" s="6">
        <v>0.96229362</v>
      </c>
      <c r="AZ615" s="6">
        <v>0.97128734</v>
      </c>
      <c r="BA615" s="6">
        <v>0.96960354</v>
      </c>
      <c r="BB615" s="6">
        <v>0.02655167</v>
      </c>
      <c r="BC615" s="6">
        <v>0.03025869</v>
      </c>
      <c r="BD615" s="6">
        <v>0.02688692</v>
      </c>
      <c r="BE615" s="6">
        <v>0.03419582</v>
      </c>
      <c r="BF615" s="6">
        <v>0.03770638</v>
      </c>
      <c r="BG615" s="6">
        <v>0.02871266</v>
      </c>
      <c r="BH615" s="6">
        <v>0.03039646</v>
      </c>
      <c r="BI615" s="6">
        <v>0.21470859</v>
      </c>
      <c r="BJ615" s="6">
        <v>0.12366373</v>
      </c>
      <c r="BK615" s="6">
        <v>0.1409291</v>
      </c>
      <c r="BL615" s="6">
        <v>0.12522516</v>
      </c>
      <c r="BM615" s="6">
        <v>0.1592662</v>
      </c>
      <c r="BN615" s="6">
        <v>0.17561655</v>
      </c>
      <c r="BO615" s="6">
        <v>0.1337285</v>
      </c>
      <c r="BP615" s="6">
        <v>0.14157076</v>
      </c>
      <c r="BQ615" s="6">
        <v>0.04249579</v>
      </c>
      <c r="BR615" s="6">
        <v>0.03395516</v>
      </c>
      <c r="BS615" s="6">
        <v>0.03896116</v>
      </c>
      <c r="BT615" s="6">
        <v>0.02925529</v>
      </c>
      <c r="BU615" s="6">
        <v>0.03810978</v>
      </c>
      <c r="BV615" s="6">
        <v>0.06223046</v>
      </c>
      <c r="BW615" s="6">
        <v>0.0550898</v>
      </c>
      <c r="BX615" s="12">
        <v>9299</v>
      </c>
      <c r="BY615" s="13">
        <v>3632</v>
      </c>
      <c r="BZ615" s="12">
        <v>8086.86</v>
      </c>
      <c r="CA615" s="6">
        <f t="shared" si="60"/>
        <v>2.56029735682819</v>
      </c>
      <c r="CB615" s="6">
        <f t="shared" si="61"/>
        <v>1.14989006858039</v>
      </c>
      <c r="CC615" s="7">
        <v>183800967</v>
      </c>
      <c r="CD615" s="7">
        <f t="shared" si="56"/>
        <v>2.27283478383452</v>
      </c>
      <c r="CE615" s="8">
        <v>1250.2</v>
      </c>
      <c r="CF615" s="8">
        <v>3572.1</v>
      </c>
      <c r="CG615" s="8">
        <v>4605.5</v>
      </c>
      <c r="CH615" s="8">
        <v>35139</v>
      </c>
      <c r="CI615" s="14">
        <v>0</v>
      </c>
      <c r="CJ615" s="14">
        <v>1</v>
      </c>
      <c r="CK615" s="14">
        <f t="shared" si="57"/>
        <v>0</v>
      </c>
      <c r="CL615">
        <f t="shared" si="58"/>
        <v>1.91398219724656</v>
      </c>
      <c r="CM615">
        <f t="shared" si="59"/>
        <v>0</v>
      </c>
      <c r="CN615" s="15">
        <v>9299</v>
      </c>
      <c r="CO615" s="15">
        <v>13650.74</v>
      </c>
      <c r="CP615" s="15">
        <v>423.46</v>
      </c>
      <c r="CQ615">
        <v>0</v>
      </c>
      <c r="CR615" s="15">
        <v>195.4</v>
      </c>
      <c r="CS615" s="15">
        <v>21.8</v>
      </c>
      <c r="CT615" s="15">
        <v>378.7</v>
      </c>
      <c r="CU615" s="15">
        <v>0.51</v>
      </c>
      <c r="CV615" s="15">
        <v>8.42</v>
      </c>
      <c r="CW615" s="15">
        <v>1126.27</v>
      </c>
    </row>
    <row r="616" spans="1:101">
      <c r="A616" s="6">
        <v>2014</v>
      </c>
      <c r="B616" s="6" t="s">
        <v>124</v>
      </c>
      <c r="C616" s="6">
        <v>0.33445218</v>
      </c>
      <c r="D616" s="6">
        <v>0.055052</v>
      </c>
      <c r="E616" s="6">
        <v>0.013128</v>
      </c>
      <c r="F616" s="6">
        <v>0.024197</v>
      </c>
      <c r="G616" s="6">
        <v>0.009358</v>
      </c>
      <c r="H616" s="6">
        <v>0.008369</v>
      </c>
      <c r="I616" s="6">
        <v>0.053205</v>
      </c>
      <c r="J616" s="6">
        <v>0.02872</v>
      </c>
      <c r="K616" s="6">
        <v>0.3802605</v>
      </c>
      <c r="L616" s="6">
        <v>0.26988361</v>
      </c>
      <c r="M616" s="6">
        <v>0.3289785</v>
      </c>
      <c r="N616" s="6">
        <v>0.24813419</v>
      </c>
      <c r="O616" s="6">
        <v>0.22011759</v>
      </c>
      <c r="P616" s="6">
        <v>0.5028279</v>
      </c>
      <c r="Q616" s="6">
        <v>0.44344474</v>
      </c>
      <c r="R616" s="6">
        <v>217.69486</v>
      </c>
      <c r="S616" s="6">
        <v>0.00174676</v>
      </c>
      <c r="T616" s="6">
        <v>169.97573</v>
      </c>
      <c r="U616" s="6">
        <v>0.00158778</v>
      </c>
      <c r="V616" s="6">
        <v>197.11803</v>
      </c>
      <c r="W616" s="6">
        <v>0.00166894</v>
      </c>
      <c r="X616" s="6">
        <v>134.47093</v>
      </c>
      <c r="Y616" s="6">
        <v>0.00184526</v>
      </c>
      <c r="Z616" s="6">
        <v>134.86767</v>
      </c>
      <c r="AA616" s="6">
        <v>0.0016321</v>
      </c>
      <c r="AB616" s="6">
        <v>294.9318</v>
      </c>
      <c r="AC616" s="6">
        <v>0.0017049</v>
      </c>
      <c r="AD616" s="6">
        <v>243.86163</v>
      </c>
      <c r="AE616" s="6">
        <v>0.00181843</v>
      </c>
      <c r="AF616" s="6">
        <v>775</v>
      </c>
      <c r="AG616" s="6">
        <v>-0.01109191</v>
      </c>
      <c r="AH616" s="6">
        <v>-0.01023389</v>
      </c>
      <c r="AI616" s="6">
        <v>-0.01067383</v>
      </c>
      <c r="AJ616" s="6">
        <v>-0.01161618</v>
      </c>
      <c r="AK616" s="6">
        <v>-0.01047464</v>
      </c>
      <c r="AL616" s="6">
        <v>-0.01086743</v>
      </c>
      <c r="AM616" s="6">
        <v>-0.01147388</v>
      </c>
      <c r="AN616" s="6">
        <v>-6.4762184</v>
      </c>
      <c r="AO616" s="6">
        <v>-6.4515561</v>
      </c>
      <c r="AP616" s="6">
        <v>-6.4739881</v>
      </c>
      <c r="AQ616" s="6">
        <v>-6.4253629</v>
      </c>
      <c r="AR616" s="6">
        <v>-6.4020076</v>
      </c>
      <c r="AS616" s="6">
        <v>-6.4618417</v>
      </c>
      <c r="AT616" s="6">
        <v>-6.4506396</v>
      </c>
      <c r="AU616" s="6">
        <v>0.97344833</v>
      </c>
      <c r="AV616" s="6">
        <v>0.96974131</v>
      </c>
      <c r="AW616" s="6">
        <v>0.97311308</v>
      </c>
      <c r="AX616" s="6">
        <v>0.96580418</v>
      </c>
      <c r="AY616" s="6">
        <v>0.96229362</v>
      </c>
      <c r="AZ616" s="6">
        <v>0.97128734</v>
      </c>
      <c r="BA616" s="6">
        <v>0.96960354</v>
      </c>
      <c r="BB616" s="6">
        <v>0.02655167</v>
      </c>
      <c r="BC616" s="6">
        <v>0.03025869</v>
      </c>
      <c r="BD616" s="6">
        <v>0.02688692</v>
      </c>
      <c r="BE616" s="6">
        <v>0.03419582</v>
      </c>
      <c r="BF616" s="6">
        <v>0.03770638</v>
      </c>
      <c r="BG616" s="6">
        <v>0.02871266</v>
      </c>
      <c r="BH616" s="6">
        <v>0.03039646</v>
      </c>
      <c r="BI616" s="6">
        <v>0.21470859</v>
      </c>
      <c r="BJ616" s="6">
        <v>0.12366373</v>
      </c>
      <c r="BK616" s="6">
        <v>0.1409291</v>
      </c>
      <c r="BL616" s="6">
        <v>0.12522516</v>
      </c>
      <c r="BM616" s="6">
        <v>0.1592662</v>
      </c>
      <c r="BN616" s="6">
        <v>0.17561655</v>
      </c>
      <c r="BO616" s="6">
        <v>0.1337285</v>
      </c>
      <c r="BP616" s="6">
        <v>0.14157076</v>
      </c>
      <c r="BQ616" s="6">
        <v>0.04702443</v>
      </c>
      <c r="BR616" s="6">
        <v>0.03803445</v>
      </c>
      <c r="BS616" s="6">
        <v>0.04119639</v>
      </c>
      <c r="BT616" s="6">
        <v>0.03951939</v>
      </c>
      <c r="BU616" s="6">
        <v>0.03865629</v>
      </c>
      <c r="BV616" s="6">
        <v>0.06724242</v>
      </c>
      <c r="BW616" s="6">
        <v>0.06277881</v>
      </c>
      <c r="BX616" s="12">
        <v>9709</v>
      </c>
      <c r="BY616" s="13">
        <v>3677</v>
      </c>
      <c r="BZ616" s="12">
        <v>9266.39</v>
      </c>
      <c r="CA616" s="6">
        <f t="shared" si="60"/>
        <v>2.64046777264074</v>
      </c>
      <c r="CB616" s="6">
        <f t="shared" si="61"/>
        <v>1.04776509514493</v>
      </c>
      <c r="CC616" s="7">
        <v>183829383.6</v>
      </c>
      <c r="CD616" s="7">
        <f t="shared" si="56"/>
        <v>1.98382955606229</v>
      </c>
      <c r="CE616" s="8">
        <v>1270.2</v>
      </c>
      <c r="CF616" s="8">
        <v>3804.9</v>
      </c>
      <c r="CG616" s="8">
        <v>4891.5</v>
      </c>
      <c r="CH616" s="8">
        <v>37539</v>
      </c>
      <c r="CI616" s="14">
        <v>0</v>
      </c>
      <c r="CJ616" s="14">
        <v>1</v>
      </c>
      <c r="CK616" s="14">
        <f t="shared" si="57"/>
        <v>0</v>
      </c>
      <c r="CL616">
        <f t="shared" si="58"/>
        <v>1.79640226266579</v>
      </c>
      <c r="CM616">
        <f t="shared" si="59"/>
        <v>0</v>
      </c>
      <c r="CN616" s="15">
        <v>9708.78</v>
      </c>
      <c r="CO616" s="15">
        <v>13117.6</v>
      </c>
      <c r="CP616" s="15">
        <v>375.31</v>
      </c>
      <c r="CQ616">
        <v>0</v>
      </c>
      <c r="CR616" s="15">
        <v>217.38</v>
      </c>
      <c r="CS616" s="15">
        <v>30.1</v>
      </c>
      <c r="CT616" s="15">
        <v>380.34</v>
      </c>
      <c r="CU616" s="15">
        <v>0.12</v>
      </c>
      <c r="CV616" s="15">
        <v>10.62</v>
      </c>
      <c r="CW616" s="15">
        <v>1173.74</v>
      </c>
    </row>
    <row r="617" spans="1:101">
      <c r="A617" s="6">
        <v>2015</v>
      </c>
      <c r="B617" s="6" t="s">
        <v>124</v>
      </c>
      <c r="C617" s="6">
        <v>0.35143304</v>
      </c>
      <c r="D617" s="6">
        <v>0.054887</v>
      </c>
      <c r="E617" s="6">
        <v>0.013297</v>
      </c>
      <c r="F617" s="6">
        <v>0.024407</v>
      </c>
      <c r="G617" s="6">
        <v>0.008143</v>
      </c>
      <c r="H617" s="6">
        <v>0.00904</v>
      </c>
      <c r="I617" s="6">
        <v>0.062063</v>
      </c>
      <c r="J617" s="6">
        <v>0.03075</v>
      </c>
      <c r="K617" s="6">
        <v>0.37896736</v>
      </c>
      <c r="L617" s="6">
        <v>0.2738802</v>
      </c>
      <c r="M617" s="6">
        <v>0.33220825</v>
      </c>
      <c r="N617" s="6">
        <v>0.21222434</v>
      </c>
      <c r="O617" s="6">
        <v>0.24044599</v>
      </c>
      <c r="P617" s="6">
        <v>0.6014856</v>
      </c>
      <c r="Q617" s="6">
        <v>0.47967374</v>
      </c>
      <c r="R617" s="6">
        <v>217.69486</v>
      </c>
      <c r="S617" s="6">
        <v>0.00174082</v>
      </c>
      <c r="T617" s="6">
        <v>169.97573</v>
      </c>
      <c r="U617" s="6">
        <v>0.00161129</v>
      </c>
      <c r="V617" s="6">
        <v>197.11803</v>
      </c>
      <c r="W617" s="6">
        <v>0.00168533</v>
      </c>
      <c r="X617" s="6">
        <v>134.47093</v>
      </c>
      <c r="Y617" s="6">
        <v>0.00157822</v>
      </c>
      <c r="Z617" s="6">
        <v>134.86767</v>
      </c>
      <c r="AA617" s="6">
        <v>0.00178283</v>
      </c>
      <c r="AB617" s="6">
        <v>294.9318</v>
      </c>
      <c r="AC617" s="6">
        <v>0.00203941</v>
      </c>
      <c r="AD617" s="6">
        <v>243.86163</v>
      </c>
      <c r="AE617" s="6">
        <v>0.00196699</v>
      </c>
      <c r="AF617" s="6">
        <v>775</v>
      </c>
      <c r="AG617" s="6">
        <v>-0.01106012</v>
      </c>
      <c r="AH617" s="6">
        <v>-0.01036176</v>
      </c>
      <c r="AI617" s="6">
        <v>-0.01076215</v>
      </c>
      <c r="AJ617" s="6">
        <v>-0.0101818</v>
      </c>
      <c r="AK617" s="6">
        <v>-0.01128451</v>
      </c>
      <c r="AL617" s="6">
        <v>-0.01263432</v>
      </c>
      <c r="AM617" s="6">
        <v>-0.01225682</v>
      </c>
      <c r="AN617" s="6">
        <v>-6.4762184</v>
      </c>
      <c r="AO617" s="6">
        <v>-6.4515561</v>
      </c>
      <c r="AP617" s="6">
        <v>-6.4739881</v>
      </c>
      <c r="AQ617" s="6">
        <v>-6.4253629</v>
      </c>
      <c r="AR617" s="6">
        <v>-6.4020076</v>
      </c>
      <c r="AS617" s="6">
        <v>-6.4618417</v>
      </c>
      <c r="AT617" s="6">
        <v>-6.4506396</v>
      </c>
      <c r="AU617" s="6">
        <v>0.97344833</v>
      </c>
      <c r="AV617" s="6">
        <v>0.96974131</v>
      </c>
      <c r="AW617" s="6">
        <v>0.97311308</v>
      </c>
      <c r="AX617" s="6">
        <v>0.96580418</v>
      </c>
      <c r="AY617" s="6">
        <v>0.96229362</v>
      </c>
      <c r="AZ617" s="6">
        <v>0.97128734</v>
      </c>
      <c r="BA617" s="6">
        <v>0.96960354</v>
      </c>
      <c r="BB617" s="6">
        <v>0.02655167</v>
      </c>
      <c r="BC617" s="6">
        <v>0.03025869</v>
      </c>
      <c r="BD617" s="6">
        <v>0.02688692</v>
      </c>
      <c r="BE617" s="6">
        <v>0.03419582</v>
      </c>
      <c r="BF617" s="6">
        <v>0.03770638</v>
      </c>
      <c r="BG617" s="6">
        <v>0.02871266</v>
      </c>
      <c r="BH617" s="6">
        <v>0.03039646</v>
      </c>
      <c r="BI617" s="6">
        <v>0.21470859</v>
      </c>
      <c r="BJ617" s="6">
        <v>0.12366373</v>
      </c>
      <c r="BK617" s="6">
        <v>0.1409291</v>
      </c>
      <c r="BL617" s="6">
        <v>0.12522516</v>
      </c>
      <c r="BM617" s="6">
        <v>0.1592662</v>
      </c>
      <c r="BN617" s="6">
        <v>0.17561655</v>
      </c>
      <c r="BO617" s="6">
        <v>0.1337285</v>
      </c>
      <c r="BP617" s="6">
        <v>0.14157076</v>
      </c>
      <c r="BQ617" s="6">
        <v>0.04686452</v>
      </c>
      <c r="BR617" s="6">
        <v>0.03859769</v>
      </c>
      <c r="BS617" s="6">
        <v>0.04160083</v>
      </c>
      <c r="BT617" s="6">
        <v>0.03380017</v>
      </c>
      <c r="BU617" s="6">
        <v>0.04222629</v>
      </c>
      <c r="BV617" s="6">
        <v>0.08043576</v>
      </c>
      <c r="BW617" s="6">
        <v>0.06790778</v>
      </c>
      <c r="BX617" s="12">
        <v>9344</v>
      </c>
      <c r="BY617" s="13">
        <v>3708</v>
      </c>
      <c r="BZ617" s="12">
        <v>10502.56</v>
      </c>
      <c r="CA617" s="6">
        <f t="shared" si="60"/>
        <v>2.51995685005394</v>
      </c>
      <c r="CB617" s="6">
        <f t="shared" si="61"/>
        <v>0.889687847534316</v>
      </c>
      <c r="CC617" s="7">
        <v>177974564.7</v>
      </c>
      <c r="CD617" s="7">
        <f t="shared" si="56"/>
        <v>1.69458269888484</v>
      </c>
      <c r="CE617" s="8">
        <v>1270.6</v>
      </c>
      <c r="CF617" s="8">
        <v>3837.8</v>
      </c>
      <c r="CG617" s="8">
        <v>4909.6</v>
      </c>
      <c r="CH617" s="8">
        <v>38128</v>
      </c>
      <c r="CI617" s="14">
        <v>0</v>
      </c>
      <c r="CJ617" s="14">
        <v>1</v>
      </c>
      <c r="CK617" s="14">
        <f t="shared" si="57"/>
        <v>0</v>
      </c>
      <c r="CL617">
        <f t="shared" si="58"/>
        <v>1.71577514742415</v>
      </c>
      <c r="CM617">
        <f t="shared" si="59"/>
        <v>0.0123515301938725</v>
      </c>
      <c r="CN617" s="15">
        <v>9344</v>
      </c>
      <c r="CO617" s="15">
        <v>12956.77</v>
      </c>
      <c r="CP617" s="15">
        <v>310.42</v>
      </c>
      <c r="CQ617" s="15">
        <v>0.02</v>
      </c>
      <c r="CR617" s="15">
        <v>290.47</v>
      </c>
      <c r="CS617" s="15">
        <v>31.5</v>
      </c>
      <c r="CT617" s="15">
        <v>453.96</v>
      </c>
      <c r="CU617" s="15">
        <v>0.42</v>
      </c>
      <c r="CV617" s="15">
        <v>13.32</v>
      </c>
      <c r="CW617" s="15">
        <v>1174</v>
      </c>
    </row>
    <row r="618" spans="1:101">
      <c r="A618" s="6">
        <v>2016</v>
      </c>
      <c r="B618" s="6" t="s">
        <v>124</v>
      </c>
      <c r="C618" s="6">
        <v>0.35589303</v>
      </c>
      <c r="D618" s="6">
        <v>0.053992</v>
      </c>
      <c r="E618" s="6">
        <v>0.013987</v>
      </c>
      <c r="F618" s="6">
        <v>0.024101</v>
      </c>
      <c r="G618" s="6">
        <v>0.009182</v>
      </c>
      <c r="H618" s="6">
        <v>0.006722</v>
      </c>
      <c r="I618" s="6">
        <v>0.064277</v>
      </c>
      <c r="J618" s="6">
        <v>0.033824</v>
      </c>
      <c r="K618" s="6">
        <v>0.37194518</v>
      </c>
      <c r="L618" s="6">
        <v>0.29018253</v>
      </c>
      <c r="M618" s="6">
        <v>0.3275058</v>
      </c>
      <c r="N618" s="6">
        <v>0.24291848</v>
      </c>
      <c r="O618" s="6">
        <v>0.17022454</v>
      </c>
      <c r="P618" s="6">
        <v>0.62615073</v>
      </c>
      <c r="Q618" s="6">
        <v>0.53452157</v>
      </c>
      <c r="R618" s="6">
        <v>217.69486</v>
      </c>
      <c r="S618" s="6">
        <v>0.00170856</v>
      </c>
      <c r="T618" s="6">
        <v>169.97573</v>
      </c>
      <c r="U618" s="6">
        <v>0.0017072</v>
      </c>
      <c r="V618" s="6">
        <v>197.11803</v>
      </c>
      <c r="W618" s="6">
        <v>0.00166147</v>
      </c>
      <c r="X618" s="6">
        <v>134.47093</v>
      </c>
      <c r="Y618" s="6">
        <v>0.00180648</v>
      </c>
      <c r="Z618" s="6">
        <v>134.86767</v>
      </c>
      <c r="AA618" s="6">
        <v>0.00126216</v>
      </c>
      <c r="AB618" s="6">
        <v>294.9318</v>
      </c>
      <c r="AC618" s="6">
        <v>0.00212304</v>
      </c>
      <c r="AD618" s="6">
        <v>243.86163</v>
      </c>
      <c r="AE618" s="6">
        <v>0.00219191</v>
      </c>
      <c r="AF618" s="6">
        <v>775</v>
      </c>
      <c r="AG618" s="6">
        <v>-0.01088713</v>
      </c>
      <c r="AH618" s="6">
        <v>-0.01087981</v>
      </c>
      <c r="AI618" s="6">
        <v>-0.0106335</v>
      </c>
      <c r="AJ618" s="6">
        <v>-0.01141038</v>
      </c>
      <c r="AK618" s="6">
        <v>-0.00842483</v>
      </c>
      <c r="AL618" s="6">
        <v>-0.01306709</v>
      </c>
      <c r="AM618" s="6">
        <v>-0.013421</v>
      </c>
      <c r="AN618" s="6">
        <v>-6.4762184</v>
      </c>
      <c r="AO618" s="6">
        <v>-6.4515561</v>
      </c>
      <c r="AP618" s="6">
        <v>-6.4739881</v>
      </c>
      <c r="AQ618" s="6">
        <v>-6.4253629</v>
      </c>
      <c r="AR618" s="6">
        <v>-6.4020076</v>
      </c>
      <c r="AS618" s="6">
        <v>-6.4618417</v>
      </c>
      <c r="AT618" s="6">
        <v>-6.4506396</v>
      </c>
      <c r="AU618" s="6">
        <v>0.97344833</v>
      </c>
      <c r="AV618" s="6">
        <v>0.96974131</v>
      </c>
      <c r="AW618" s="6">
        <v>0.97311308</v>
      </c>
      <c r="AX618" s="6">
        <v>0.96580418</v>
      </c>
      <c r="AY618" s="6">
        <v>0.96229362</v>
      </c>
      <c r="AZ618" s="6">
        <v>0.97128734</v>
      </c>
      <c r="BA618" s="6">
        <v>0.96960354</v>
      </c>
      <c r="BB618" s="6">
        <v>0.02655167</v>
      </c>
      <c r="BC618" s="6">
        <v>0.03025869</v>
      </c>
      <c r="BD618" s="6">
        <v>0.02688692</v>
      </c>
      <c r="BE618" s="6">
        <v>0.03419582</v>
      </c>
      <c r="BF618" s="6">
        <v>0.03770638</v>
      </c>
      <c r="BG618" s="6">
        <v>0.02871266</v>
      </c>
      <c r="BH618" s="6">
        <v>0.03039646</v>
      </c>
      <c r="BI618" s="6">
        <v>0.21470859</v>
      </c>
      <c r="BJ618" s="6">
        <v>0.12366373</v>
      </c>
      <c r="BK618" s="6">
        <v>0.1409291</v>
      </c>
      <c r="BL618" s="6">
        <v>0.12522516</v>
      </c>
      <c r="BM618" s="6">
        <v>0.1592662</v>
      </c>
      <c r="BN618" s="6">
        <v>0.17561655</v>
      </c>
      <c r="BO618" s="6">
        <v>0.1337285</v>
      </c>
      <c r="BP618" s="6">
        <v>0.14157076</v>
      </c>
      <c r="BQ618" s="6">
        <v>0.04599613</v>
      </c>
      <c r="BR618" s="6">
        <v>0.04089516</v>
      </c>
      <c r="BS618" s="6">
        <v>0.04101197</v>
      </c>
      <c r="BT618" s="6">
        <v>0.0386887</v>
      </c>
      <c r="BU618" s="6">
        <v>0.02989425</v>
      </c>
      <c r="BV618" s="6">
        <v>0.0837342</v>
      </c>
      <c r="BW618" s="6">
        <v>0.07567263</v>
      </c>
      <c r="BX618" s="12">
        <v>9606</v>
      </c>
      <c r="BY618" s="13">
        <v>3758</v>
      </c>
      <c r="BZ618" s="12">
        <v>11776.73</v>
      </c>
      <c r="CA618" s="6">
        <f t="shared" si="60"/>
        <v>2.55614688664183</v>
      </c>
      <c r="CB618" s="6">
        <f t="shared" si="61"/>
        <v>0.815676337998748</v>
      </c>
      <c r="CC618" s="7">
        <v>191920774.1</v>
      </c>
      <c r="CD618" s="7">
        <f t="shared" si="56"/>
        <v>1.62966098484044</v>
      </c>
      <c r="CE618" s="8">
        <v>1130.1</v>
      </c>
      <c r="CF618" s="8">
        <v>3901.4</v>
      </c>
      <c r="CG618" s="8">
        <v>5395.5</v>
      </c>
      <c r="CH618" s="8">
        <v>40259</v>
      </c>
      <c r="CI618" s="14">
        <v>0</v>
      </c>
      <c r="CJ618" s="14">
        <v>1</v>
      </c>
      <c r="CK618" s="14">
        <f t="shared" si="57"/>
        <v>0</v>
      </c>
      <c r="CL618">
        <f t="shared" si="58"/>
        <v>1.62438398605541</v>
      </c>
      <c r="CM618">
        <f t="shared" si="59"/>
        <v>0</v>
      </c>
      <c r="CN618" s="15">
        <v>9606</v>
      </c>
      <c r="CO618" s="15">
        <v>13678.92</v>
      </c>
      <c r="CP618" s="15">
        <v>253.42</v>
      </c>
      <c r="CQ618" s="15">
        <v>0.02</v>
      </c>
      <c r="CR618" s="15">
        <v>313.65</v>
      </c>
      <c r="CS618" s="15">
        <v>38.64</v>
      </c>
      <c r="CT618" s="15">
        <v>440.49</v>
      </c>
      <c r="CU618" s="15">
        <v>0.52</v>
      </c>
      <c r="CV618" s="15">
        <v>17.11</v>
      </c>
      <c r="CW618" s="15">
        <v>1241.78</v>
      </c>
    </row>
    <row r="619" spans="1:101">
      <c r="A619" s="6">
        <v>2017</v>
      </c>
      <c r="B619" s="6" t="s">
        <v>124</v>
      </c>
      <c r="C619" s="6">
        <v>0.38557406</v>
      </c>
      <c r="D619" s="6">
        <v>0.062544</v>
      </c>
      <c r="E619" s="6">
        <v>0.016197</v>
      </c>
      <c r="F619" s="6">
        <v>0.027637</v>
      </c>
      <c r="G619" s="6">
        <v>0.008592</v>
      </c>
      <c r="H619" s="6">
        <v>0.010116</v>
      </c>
      <c r="I619" s="6">
        <v>0.062187</v>
      </c>
      <c r="J619" s="6">
        <v>0.03186</v>
      </c>
      <c r="K619" s="6">
        <v>0.43902691</v>
      </c>
      <c r="L619" s="6">
        <v>0.3424504</v>
      </c>
      <c r="M619" s="6">
        <v>0.38185867</v>
      </c>
      <c r="N619" s="6">
        <v>0.22550158</v>
      </c>
      <c r="O619" s="6">
        <v>0.27307858</v>
      </c>
      <c r="P619" s="6">
        <v>0.60286962</v>
      </c>
      <c r="Q619" s="6">
        <v>0.49946803</v>
      </c>
      <c r="R619" s="6">
        <v>217.69486</v>
      </c>
      <c r="S619" s="6">
        <v>0.00201671</v>
      </c>
      <c r="T619" s="6">
        <v>169.97573</v>
      </c>
      <c r="U619" s="6">
        <v>0.0020147</v>
      </c>
      <c r="V619" s="6">
        <v>197.11803</v>
      </c>
      <c r="W619" s="6">
        <v>0.00193721</v>
      </c>
      <c r="X619" s="6">
        <v>134.47093</v>
      </c>
      <c r="Y619" s="6">
        <v>0.00167695</v>
      </c>
      <c r="Z619" s="6">
        <v>134.86767</v>
      </c>
      <c r="AA619" s="6">
        <v>0.00202479</v>
      </c>
      <c r="AB619" s="6">
        <v>294.9318</v>
      </c>
      <c r="AC619" s="6">
        <v>0.0020441</v>
      </c>
      <c r="AD619" s="6">
        <v>243.86163</v>
      </c>
      <c r="AE619" s="6">
        <v>0.00204816</v>
      </c>
      <c r="AF619" s="6">
        <v>775</v>
      </c>
      <c r="AG619" s="6">
        <v>-0.01251627</v>
      </c>
      <c r="AH619" s="6">
        <v>-0.01250583</v>
      </c>
      <c r="AI619" s="6">
        <v>-0.01210079</v>
      </c>
      <c r="AJ619" s="6">
        <v>-0.01071704</v>
      </c>
      <c r="AK619" s="6">
        <v>-0.01255833</v>
      </c>
      <c r="AL619" s="6">
        <v>-0.01265869</v>
      </c>
      <c r="AM619" s="6">
        <v>-0.01267979</v>
      </c>
      <c r="AN619" s="6">
        <v>-6.4762184</v>
      </c>
      <c r="AO619" s="6">
        <v>-6.4515561</v>
      </c>
      <c r="AP619" s="6">
        <v>-6.4739881</v>
      </c>
      <c r="AQ619" s="6">
        <v>-6.4253629</v>
      </c>
      <c r="AR619" s="6">
        <v>-6.4020076</v>
      </c>
      <c r="AS619" s="6">
        <v>-6.4618417</v>
      </c>
      <c r="AT619" s="6">
        <v>-6.4506396</v>
      </c>
      <c r="AU619" s="6">
        <v>0.97344833</v>
      </c>
      <c r="AV619" s="6">
        <v>0.96974131</v>
      </c>
      <c r="AW619" s="6">
        <v>0.97311308</v>
      </c>
      <c r="AX619" s="6">
        <v>0.96580418</v>
      </c>
      <c r="AY619" s="6">
        <v>0.96229362</v>
      </c>
      <c r="AZ619" s="6">
        <v>0.97128734</v>
      </c>
      <c r="BA619" s="6">
        <v>0.96960354</v>
      </c>
      <c r="BB619" s="6">
        <v>0.02655167</v>
      </c>
      <c r="BC619" s="6">
        <v>0.03025869</v>
      </c>
      <c r="BD619" s="6">
        <v>0.02688692</v>
      </c>
      <c r="BE619" s="6">
        <v>0.03419582</v>
      </c>
      <c r="BF619" s="6">
        <v>0.03770638</v>
      </c>
      <c r="BG619" s="6">
        <v>0.02871266</v>
      </c>
      <c r="BH619" s="6">
        <v>0.03039646</v>
      </c>
      <c r="BI619" s="6">
        <v>0.21470859</v>
      </c>
      <c r="BJ619" s="6">
        <v>0.12366373</v>
      </c>
      <c r="BK619" s="6">
        <v>0.1409291</v>
      </c>
      <c r="BL619" s="6">
        <v>0.12522516</v>
      </c>
      <c r="BM619" s="6">
        <v>0.1592662</v>
      </c>
      <c r="BN619" s="6">
        <v>0.17561655</v>
      </c>
      <c r="BO619" s="6">
        <v>0.1337285</v>
      </c>
      <c r="BP619" s="6">
        <v>0.14157076</v>
      </c>
      <c r="BQ619" s="6">
        <v>0.05429171</v>
      </c>
      <c r="BR619" s="6">
        <v>0.04826123</v>
      </c>
      <c r="BS619" s="6">
        <v>0.04781831</v>
      </c>
      <c r="BT619" s="6">
        <v>0.03591478</v>
      </c>
      <c r="BU619" s="6">
        <v>0.04795712</v>
      </c>
      <c r="BV619" s="6">
        <v>0.08062085</v>
      </c>
      <c r="BW619" s="6">
        <v>0.07071007</v>
      </c>
      <c r="BX619" s="12">
        <v>9846</v>
      </c>
      <c r="BY619" s="13">
        <v>3803</v>
      </c>
      <c r="BZ619" s="12">
        <v>13540.8256</v>
      </c>
      <c r="CA619" s="6">
        <f t="shared" si="60"/>
        <v>2.58900867735998</v>
      </c>
      <c r="CB619" s="6">
        <f t="shared" si="61"/>
        <v>0.727134392750764</v>
      </c>
      <c r="CC619" s="7">
        <v>198911518.4</v>
      </c>
      <c r="CD619" s="7">
        <f t="shared" si="56"/>
        <v>1.46897629639363</v>
      </c>
      <c r="CE619" s="8">
        <v>1095.4</v>
      </c>
      <c r="CF619" s="8">
        <v>3995.5</v>
      </c>
      <c r="CG619" s="8">
        <v>5831.2</v>
      </c>
      <c r="CH619" s="8">
        <v>42890</v>
      </c>
      <c r="CI619" s="14">
        <v>1</v>
      </c>
      <c r="CJ619" s="14">
        <v>1</v>
      </c>
      <c r="CK619" s="14">
        <f t="shared" si="57"/>
        <v>1</v>
      </c>
      <c r="CL619">
        <f t="shared" si="58"/>
        <v>1.56738551218677</v>
      </c>
      <c r="CM619">
        <f t="shared" si="59"/>
        <v>0.0627855846745974</v>
      </c>
      <c r="CN619" s="15">
        <v>9846</v>
      </c>
      <c r="CO619" s="15">
        <v>13634.1</v>
      </c>
      <c r="CP619" s="15">
        <v>214.9</v>
      </c>
      <c r="CQ619">
        <v>0</v>
      </c>
      <c r="CR619" s="15">
        <v>380.41</v>
      </c>
      <c r="CS619" s="15">
        <v>48.57</v>
      </c>
      <c r="CT619" s="15">
        <v>480.92</v>
      </c>
      <c r="CU619" s="15">
        <v>0.32</v>
      </c>
      <c r="CV619" s="15">
        <v>17.73</v>
      </c>
      <c r="CW619" s="15">
        <v>1384.89</v>
      </c>
    </row>
    <row r="620" spans="1:101">
      <c r="A620" s="6">
        <v>2018</v>
      </c>
      <c r="B620" s="6" t="s">
        <v>124</v>
      </c>
      <c r="C620" s="6">
        <v>0.38837797</v>
      </c>
      <c r="D620" s="6">
        <v>0.06327</v>
      </c>
      <c r="E620" s="6">
        <v>0.014652</v>
      </c>
      <c r="F620" s="6">
        <v>0.028708</v>
      </c>
      <c r="G620" s="6">
        <v>0.009936</v>
      </c>
      <c r="H620" s="6">
        <v>0.009974</v>
      </c>
      <c r="I620" s="6">
        <v>0.064052</v>
      </c>
      <c r="J620" s="6">
        <v>0.03061</v>
      </c>
      <c r="K620" s="6">
        <v>0.44472713</v>
      </c>
      <c r="L620" s="6">
        <v>0.30592136</v>
      </c>
      <c r="M620" s="6">
        <v>0.39832017</v>
      </c>
      <c r="N620" s="6">
        <v>0.26521394</v>
      </c>
      <c r="O620" s="6">
        <v>0.26875173</v>
      </c>
      <c r="P620" s="6">
        <v>0.62364026</v>
      </c>
      <c r="Q620" s="6">
        <v>0.47716832</v>
      </c>
      <c r="R620" s="6">
        <v>217.69486</v>
      </c>
      <c r="S620" s="6">
        <v>0.00204289</v>
      </c>
      <c r="T620" s="6">
        <v>169.97573</v>
      </c>
      <c r="U620" s="6">
        <v>0.00179979</v>
      </c>
      <c r="V620" s="6">
        <v>197.11803</v>
      </c>
      <c r="W620" s="6">
        <v>0.00202072</v>
      </c>
      <c r="X620" s="6">
        <v>134.47093</v>
      </c>
      <c r="Y620" s="6">
        <v>0.00197228</v>
      </c>
      <c r="Z620" s="6">
        <v>134.86767</v>
      </c>
      <c r="AA620" s="6">
        <v>0.00199271</v>
      </c>
      <c r="AB620" s="6">
        <v>294.9318</v>
      </c>
      <c r="AC620" s="6">
        <v>0.00211452</v>
      </c>
      <c r="AD620" s="6">
        <v>243.86163</v>
      </c>
      <c r="AE620" s="6">
        <v>0.00195672</v>
      </c>
      <c r="AF620" s="6">
        <v>775</v>
      </c>
      <c r="AG620" s="6">
        <v>-0.01265243</v>
      </c>
      <c r="AH620" s="6">
        <v>-0.01137485</v>
      </c>
      <c r="AI620" s="6">
        <v>-0.01253715</v>
      </c>
      <c r="AJ620" s="6">
        <v>-0.01228446</v>
      </c>
      <c r="AK620" s="6">
        <v>-0.01239117</v>
      </c>
      <c r="AL620" s="6">
        <v>-0.01302319</v>
      </c>
      <c r="AM620" s="6">
        <v>-0.01220304</v>
      </c>
      <c r="AN620" s="6">
        <v>-6.4762184</v>
      </c>
      <c r="AO620" s="6">
        <v>-6.4515561</v>
      </c>
      <c r="AP620" s="6">
        <v>-6.4739881</v>
      </c>
      <c r="AQ620" s="6">
        <v>-6.4253629</v>
      </c>
      <c r="AR620" s="6">
        <v>-6.4020076</v>
      </c>
      <c r="AS620" s="6">
        <v>-6.4618417</v>
      </c>
      <c r="AT620" s="6">
        <v>-6.4506396</v>
      </c>
      <c r="AU620" s="6">
        <v>0.97344833</v>
      </c>
      <c r="AV620" s="6">
        <v>0.96974131</v>
      </c>
      <c r="AW620" s="6">
        <v>0.97311308</v>
      </c>
      <c r="AX620" s="6">
        <v>0.96580418</v>
      </c>
      <c r="AY620" s="6">
        <v>0.96229362</v>
      </c>
      <c r="AZ620" s="6">
        <v>0.97128734</v>
      </c>
      <c r="BA620" s="6">
        <v>0.96960354</v>
      </c>
      <c r="BB620" s="6">
        <v>0.02655167</v>
      </c>
      <c r="BC620" s="6">
        <v>0.03025869</v>
      </c>
      <c r="BD620" s="6">
        <v>0.02688692</v>
      </c>
      <c r="BE620" s="6">
        <v>0.03419582</v>
      </c>
      <c r="BF620" s="6">
        <v>0.03770638</v>
      </c>
      <c r="BG620" s="6">
        <v>0.02871266</v>
      </c>
      <c r="BH620" s="6">
        <v>0.03039646</v>
      </c>
      <c r="BI620" s="6">
        <v>0.21470859</v>
      </c>
      <c r="BJ620" s="6">
        <v>0.12366373</v>
      </c>
      <c r="BK620" s="6">
        <v>0.1409291</v>
      </c>
      <c r="BL620" s="6">
        <v>0.12522516</v>
      </c>
      <c r="BM620" s="6">
        <v>0.1592662</v>
      </c>
      <c r="BN620" s="6">
        <v>0.17561655</v>
      </c>
      <c r="BO620" s="6">
        <v>0.1337285</v>
      </c>
      <c r="BP620" s="6">
        <v>0.14157076</v>
      </c>
      <c r="BQ620" s="6">
        <v>0.05499662</v>
      </c>
      <c r="BR620" s="6">
        <v>0.04311322</v>
      </c>
      <c r="BS620" s="6">
        <v>0.04987971</v>
      </c>
      <c r="BT620" s="6">
        <v>0.04223962</v>
      </c>
      <c r="BU620" s="6">
        <v>0.04719725</v>
      </c>
      <c r="BV620" s="6">
        <v>0.08339847</v>
      </c>
      <c r="BW620" s="6">
        <v>0.06755308</v>
      </c>
      <c r="BX620" s="12">
        <v>10036</v>
      </c>
      <c r="BY620" s="13">
        <v>3822</v>
      </c>
      <c r="BZ620" s="12">
        <v>14806.45</v>
      </c>
      <c r="CA620" s="6">
        <f t="shared" si="60"/>
        <v>2.62585034013605</v>
      </c>
      <c r="CB620" s="6">
        <f t="shared" si="61"/>
        <v>0.677812710001385</v>
      </c>
      <c r="CC620" s="7">
        <v>208486248.2</v>
      </c>
      <c r="CD620" s="7">
        <f t="shared" si="56"/>
        <v>1.40807721094523</v>
      </c>
      <c r="CE620" s="8">
        <v>1160.7</v>
      </c>
      <c r="CF620" s="8">
        <v>4051.5</v>
      </c>
      <c r="CG620" s="8">
        <v>6041.6</v>
      </c>
      <c r="CH620" s="8">
        <v>44925</v>
      </c>
      <c r="CI620" s="14">
        <v>1</v>
      </c>
      <c r="CJ620" s="14">
        <v>1</v>
      </c>
      <c r="CK620" s="14">
        <f t="shared" si="57"/>
        <v>1</v>
      </c>
      <c r="CL620">
        <f t="shared" si="58"/>
        <v>1.51591455826218</v>
      </c>
      <c r="CM620">
        <f t="shared" si="59"/>
        <v>0.0711368241232337</v>
      </c>
      <c r="CN620" s="15">
        <v>10036</v>
      </c>
      <c r="CO620" s="15">
        <v>12008.04</v>
      </c>
      <c r="CP620" s="15">
        <v>209.54</v>
      </c>
      <c r="CQ620">
        <v>0</v>
      </c>
      <c r="CR620" s="15">
        <v>437.87</v>
      </c>
      <c r="CS620" s="15">
        <v>56.68</v>
      </c>
      <c r="CT620" s="15">
        <v>571.07</v>
      </c>
      <c r="CU620" s="15">
        <v>0.4</v>
      </c>
      <c r="CV620" s="15">
        <v>30.82</v>
      </c>
      <c r="CW620" s="15">
        <v>1482.12</v>
      </c>
    </row>
    <row r="621" spans="1:101">
      <c r="A621" s="6">
        <v>2019</v>
      </c>
      <c r="B621" s="6" t="s">
        <v>124</v>
      </c>
      <c r="C621" s="6">
        <v>0.34209519</v>
      </c>
      <c r="D621" s="6">
        <v>0.059545</v>
      </c>
      <c r="E621" s="6">
        <v>0.014318</v>
      </c>
      <c r="F621" s="6">
        <v>0.027119</v>
      </c>
      <c r="G621" s="6">
        <v>0.009297</v>
      </c>
      <c r="H621" s="6">
        <v>0.008811</v>
      </c>
      <c r="I621" s="6">
        <v>0.052467</v>
      </c>
      <c r="J621" s="6">
        <v>0.025842</v>
      </c>
      <c r="K621" s="6">
        <v>0.41550296</v>
      </c>
      <c r="L621" s="6">
        <v>0.2980261</v>
      </c>
      <c r="M621" s="6">
        <v>0.37388899</v>
      </c>
      <c r="N621" s="6">
        <v>0.2463233</v>
      </c>
      <c r="O621" s="6">
        <v>0.23350591</v>
      </c>
      <c r="P621" s="6">
        <v>0.49460748</v>
      </c>
      <c r="Q621" s="6">
        <v>0.3921014</v>
      </c>
      <c r="R621" s="6">
        <v>217.69486</v>
      </c>
      <c r="S621" s="6">
        <v>0.00190865</v>
      </c>
      <c r="T621" s="6">
        <v>169.97573</v>
      </c>
      <c r="U621" s="6">
        <v>0.00175334</v>
      </c>
      <c r="V621" s="6">
        <v>197.11803</v>
      </c>
      <c r="W621" s="6">
        <v>0.00189678</v>
      </c>
      <c r="X621" s="6">
        <v>134.47093</v>
      </c>
      <c r="Y621" s="6">
        <v>0.0018318</v>
      </c>
      <c r="Z621" s="6">
        <v>134.86767</v>
      </c>
      <c r="AA621" s="6">
        <v>0.00173137</v>
      </c>
      <c r="AB621" s="6">
        <v>294.9318</v>
      </c>
      <c r="AC621" s="6">
        <v>0.00167702</v>
      </c>
      <c r="AD621" s="6">
        <v>243.86163</v>
      </c>
      <c r="AE621" s="6">
        <v>0.00160788</v>
      </c>
      <c r="AF621" s="6">
        <v>775</v>
      </c>
      <c r="AG621" s="6">
        <v>-0.01195074</v>
      </c>
      <c r="AH621" s="6">
        <v>-0.01112713</v>
      </c>
      <c r="AI621" s="6">
        <v>-0.01188824</v>
      </c>
      <c r="AJ621" s="6">
        <v>-0.01154482</v>
      </c>
      <c r="AK621" s="6">
        <v>-0.01100951</v>
      </c>
      <c r="AL621" s="6">
        <v>-0.01071741</v>
      </c>
      <c r="AM621" s="6">
        <v>-0.01034326</v>
      </c>
      <c r="AN621" s="6">
        <v>-6.4762184</v>
      </c>
      <c r="AO621" s="6">
        <v>-6.4515561</v>
      </c>
      <c r="AP621" s="6">
        <v>-6.4739881</v>
      </c>
      <c r="AQ621" s="6">
        <v>-6.4253629</v>
      </c>
      <c r="AR621" s="6">
        <v>-6.4020076</v>
      </c>
      <c r="AS621" s="6">
        <v>-6.4618417</v>
      </c>
      <c r="AT621" s="6">
        <v>-6.4506396</v>
      </c>
      <c r="AU621" s="6">
        <v>0.97344833</v>
      </c>
      <c r="AV621" s="6">
        <v>0.96974131</v>
      </c>
      <c r="AW621" s="6">
        <v>0.97311308</v>
      </c>
      <c r="AX621" s="6">
        <v>0.96580418</v>
      </c>
      <c r="AY621" s="6">
        <v>0.96229362</v>
      </c>
      <c r="AZ621" s="6">
        <v>0.97128734</v>
      </c>
      <c r="BA621" s="6">
        <v>0.96960354</v>
      </c>
      <c r="BB621" s="6">
        <v>0.02655167</v>
      </c>
      <c r="BC621" s="6">
        <v>0.03025869</v>
      </c>
      <c r="BD621" s="6">
        <v>0.02688692</v>
      </c>
      <c r="BE621" s="6">
        <v>0.03419582</v>
      </c>
      <c r="BF621" s="6">
        <v>0.03770638</v>
      </c>
      <c r="BG621" s="6">
        <v>0.02871266</v>
      </c>
      <c r="BH621" s="6">
        <v>0.03039646</v>
      </c>
      <c r="BI621" s="6">
        <v>0.21470859</v>
      </c>
      <c r="BJ621" s="6">
        <v>0.12366373</v>
      </c>
      <c r="BK621" s="6">
        <v>0.1409291</v>
      </c>
      <c r="BL621" s="6">
        <v>0.12522516</v>
      </c>
      <c r="BM621" s="6">
        <v>0.1592662</v>
      </c>
      <c r="BN621" s="6">
        <v>0.17561655</v>
      </c>
      <c r="BO621" s="6">
        <v>0.1337285</v>
      </c>
      <c r="BP621" s="6">
        <v>0.14157076</v>
      </c>
      <c r="BQ621" s="6">
        <v>0.05138265</v>
      </c>
      <c r="BR621" s="6">
        <v>0.04200055</v>
      </c>
      <c r="BS621" s="6">
        <v>0.04682031</v>
      </c>
      <c r="BT621" s="6">
        <v>0.03923098</v>
      </c>
      <c r="BU621" s="6">
        <v>0.0410075</v>
      </c>
      <c r="BV621" s="6">
        <v>0.06614311</v>
      </c>
      <c r="BW621" s="6">
        <v>0.05551009</v>
      </c>
      <c r="BX621" s="12">
        <v>10423</v>
      </c>
      <c r="BY621" s="13">
        <v>3848</v>
      </c>
      <c r="BZ621" s="12">
        <v>16769.34</v>
      </c>
      <c r="CA621" s="6">
        <f t="shared" si="60"/>
        <v>2.70867983367983</v>
      </c>
      <c r="CB621" s="6">
        <f t="shared" si="61"/>
        <v>0.621550997236624</v>
      </c>
      <c r="CC621" s="7">
        <v>213655104.9</v>
      </c>
      <c r="CD621" s="7">
        <f t="shared" si="56"/>
        <v>1.27408177602696</v>
      </c>
      <c r="CE621" s="8">
        <v>1287.3</v>
      </c>
      <c r="CF621" s="8">
        <v>4134.8</v>
      </c>
      <c r="CG621" s="8">
        <v>6304.7</v>
      </c>
      <c r="CH621" s="8">
        <v>47554</v>
      </c>
      <c r="CI621" s="14">
        <v>1</v>
      </c>
      <c r="CJ621" s="14">
        <v>1</v>
      </c>
      <c r="CK621" s="14">
        <f t="shared" si="57"/>
        <v>1</v>
      </c>
      <c r="CL621">
        <f t="shared" si="58"/>
        <v>1.5000536746505</v>
      </c>
      <c r="CM621">
        <f t="shared" si="59"/>
        <v>0.150642541958499</v>
      </c>
      <c r="CN621" s="15">
        <v>10423</v>
      </c>
      <c r="CO621" s="15">
        <v>12204.17</v>
      </c>
      <c r="CP621" s="15">
        <v>223.81</v>
      </c>
      <c r="CQ621">
        <v>0</v>
      </c>
      <c r="CR621" s="15">
        <v>465.68</v>
      </c>
      <c r="CS621" s="15">
        <v>59.12</v>
      </c>
      <c r="CT621" s="15">
        <v>583.44</v>
      </c>
      <c r="CU621" s="15">
        <v>0.16</v>
      </c>
      <c r="CV621" s="15">
        <v>36.76</v>
      </c>
      <c r="CW621" s="15">
        <v>1540.68</v>
      </c>
    </row>
    <row r="622" spans="1:101">
      <c r="A622" s="6">
        <v>2020</v>
      </c>
      <c r="B622" s="6" t="s">
        <v>124</v>
      </c>
      <c r="C622" s="6">
        <v>0.42913495</v>
      </c>
      <c r="D622" s="6">
        <v>0.071593</v>
      </c>
      <c r="E622" s="6">
        <v>0.017344</v>
      </c>
      <c r="F622" s="6">
        <v>0.03157</v>
      </c>
      <c r="G622" s="6">
        <v>0.011717</v>
      </c>
      <c r="H622" s="6">
        <v>0.010963</v>
      </c>
      <c r="I622" s="6">
        <v>0.06708</v>
      </c>
      <c r="J622" s="6">
        <v>0.03063</v>
      </c>
      <c r="K622" s="6">
        <v>0.51001025</v>
      </c>
      <c r="L622" s="6">
        <v>0.369556</v>
      </c>
      <c r="M622" s="6">
        <v>0.44229942</v>
      </c>
      <c r="N622" s="6">
        <v>0.31785412</v>
      </c>
      <c r="O622" s="6">
        <v>0.29871795</v>
      </c>
      <c r="P622" s="6">
        <v>0.65737104</v>
      </c>
      <c r="Q622" s="6">
        <v>0.47753151</v>
      </c>
      <c r="R622" s="6">
        <v>217.69486</v>
      </c>
      <c r="S622" s="6">
        <v>0.00234278</v>
      </c>
      <c r="T622" s="6">
        <v>169.97573</v>
      </c>
      <c r="U622" s="6">
        <v>0.00217417</v>
      </c>
      <c r="V622" s="6">
        <v>197.11803</v>
      </c>
      <c r="W622" s="6">
        <v>0.00224383</v>
      </c>
      <c r="X622" s="6">
        <v>134.47093</v>
      </c>
      <c r="Y622" s="6">
        <v>0.00236374</v>
      </c>
      <c r="Z622" s="6">
        <v>134.86767</v>
      </c>
      <c r="AA622" s="6">
        <v>0.0022149</v>
      </c>
      <c r="AB622" s="6">
        <v>294.9318</v>
      </c>
      <c r="AC622" s="6">
        <v>0.00222889</v>
      </c>
      <c r="AD622" s="6">
        <v>243.86163</v>
      </c>
      <c r="AE622" s="6">
        <v>0.00195821</v>
      </c>
      <c r="AF622" s="6">
        <v>775</v>
      </c>
      <c r="AG622" s="6">
        <v>-0.01418883</v>
      </c>
      <c r="AH622" s="6">
        <v>-0.01333007</v>
      </c>
      <c r="AI622" s="6">
        <v>-0.0136864</v>
      </c>
      <c r="AJ622" s="6">
        <v>-0.01429473</v>
      </c>
      <c r="AK622" s="6">
        <v>-0.01353867</v>
      </c>
      <c r="AL622" s="6">
        <v>-0.01361017</v>
      </c>
      <c r="AM622" s="6">
        <v>-0.01221084</v>
      </c>
      <c r="AN622" s="6">
        <v>-6.4762184</v>
      </c>
      <c r="AO622" s="6">
        <v>-6.4515561</v>
      </c>
      <c r="AP622" s="6">
        <v>-6.4739881</v>
      </c>
      <c r="AQ622" s="6">
        <v>-6.4253629</v>
      </c>
      <c r="AR622" s="6">
        <v>-6.4020076</v>
      </c>
      <c r="AS622" s="6">
        <v>-6.4618417</v>
      </c>
      <c r="AT622" s="6">
        <v>-6.4506396</v>
      </c>
      <c r="AU622" s="6">
        <v>0.97344833</v>
      </c>
      <c r="AV622" s="6">
        <v>0.96974131</v>
      </c>
      <c r="AW622" s="6">
        <v>0.97311308</v>
      </c>
      <c r="AX622" s="6">
        <v>0.96580418</v>
      </c>
      <c r="AY622" s="6">
        <v>0.96229362</v>
      </c>
      <c r="AZ622" s="6">
        <v>0.97128734</v>
      </c>
      <c r="BA622" s="6">
        <v>0.96960354</v>
      </c>
      <c r="BB622" s="6">
        <v>0.02655167</v>
      </c>
      <c r="BC622" s="6">
        <v>0.03025869</v>
      </c>
      <c r="BD622" s="6">
        <v>0.02688692</v>
      </c>
      <c r="BE622" s="6">
        <v>0.03419582</v>
      </c>
      <c r="BF622" s="6">
        <v>0.03770638</v>
      </c>
      <c r="BG622" s="6">
        <v>0.02871266</v>
      </c>
      <c r="BH622" s="6">
        <v>0.03039646</v>
      </c>
      <c r="BI622" s="6">
        <v>0.21470859</v>
      </c>
      <c r="BJ622" s="6">
        <v>0.12366373</v>
      </c>
      <c r="BK622" s="6">
        <v>0.1409291</v>
      </c>
      <c r="BL622" s="6">
        <v>0.12522516</v>
      </c>
      <c r="BM622" s="6">
        <v>0.1592662</v>
      </c>
      <c r="BN622" s="6">
        <v>0.17561655</v>
      </c>
      <c r="BO622" s="6">
        <v>0.1337285</v>
      </c>
      <c r="BP622" s="6">
        <v>0.14157076</v>
      </c>
      <c r="BQ622" s="6">
        <v>0.06306977</v>
      </c>
      <c r="BR622" s="6">
        <v>0.05208119</v>
      </c>
      <c r="BS622" s="6">
        <v>0.05538701</v>
      </c>
      <c r="BT622" s="6">
        <v>0.05062342</v>
      </c>
      <c r="BU622" s="6">
        <v>0.05245981</v>
      </c>
      <c r="BV622" s="6">
        <v>0.08790924</v>
      </c>
      <c r="BW622" s="6">
        <v>0.0676045</v>
      </c>
      <c r="BX622" s="12">
        <v>10621.44</v>
      </c>
      <c r="BY622" s="13">
        <v>3857.86</v>
      </c>
      <c r="BZ622" s="12">
        <v>17826.56</v>
      </c>
      <c r="CA622" s="6">
        <f t="shared" si="60"/>
        <v>2.75319477637861</v>
      </c>
      <c r="CB622" s="6">
        <f t="shared" si="61"/>
        <v>0.595821066992173</v>
      </c>
      <c r="CC622" s="7">
        <v>219840204.8</v>
      </c>
      <c r="CD622" s="7">
        <f t="shared" si="56"/>
        <v>1.23321720399225</v>
      </c>
      <c r="CE622" s="8">
        <v>1553</v>
      </c>
      <c r="CF622" s="8">
        <v>4319.9</v>
      </c>
      <c r="CG622" s="8">
        <v>6383.1</v>
      </c>
      <c r="CH622" s="8">
        <v>50561</v>
      </c>
      <c r="CI622" s="14">
        <v>1</v>
      </c>
      <c r="CJ622" s="14">
        <v>1</v>
      </c>
      <c r="CK622" s="14">
        <f t="shared" si="57"/>
        <v>1</v>
      </c>
      <c r="CL622">
        <f t="shared" si="58"/>
        <v>1.47141701078949</v>
      </c>
      <c r="CM622">
        <f t="shared" si="59"/>
        <v>0.161884635729088</v>
      </c>
      <c r="CN622" s="15">
        <v>10621.44</v>
      </c>
      <c r="CO622" s="15">
        <v>11658.89</v>
      </c>
      <c r="CP622" s="15">
        <v>248.69</v>
      </c>
      <c r="CQ622">
        <v>0</v>
      </c>
      <c r="CR622" s="15">
        <v>484.53</v>
      </c>
      <c r="CS622" s="15">
        <v>49.45</v>
      </c>
      <c r="CT622" s="15">
        <v>598.02</v>
      </c>
      <c r="CU622" s="15">
        <v>0.5</v>
      </c>
      <c r="CV622" s="15">
        <v>39.11</v>
      </c>
      <c r="CW622" s="15">
        <v>1586</v>
      </c>
    </row>
    <row r="623" spans="1:101">
      <c r="A623" s="6">
        <v>2021</v>
      </c>
      <c r="B623" s="6" t="s">
        <v>124</v>
      </c>
      <c r="C623" s="6">
        <v>0.41248701</v>
      </c>
      <c r="D623" s="6">
        <v>0.063452</v>
      </c>
      <c r="E623" s="6">
        <v>0.015416</v>
      </c>
      <c r="F623" s="6">
        <v>0.027776</v>
      </c>
      <c r="G623" s="6">
        <v>0.008803</v>
      </c>
      <c r="H623" s="6">
        <v>0.011457</v>
      </c>
      <c r="I623" s="6">
        <v>0.072518</v>
      </c>
      <c r="J623" s="6">
        <v>0.033782</v>
      </c>
      <c r="K623" s="6">
        <v>0.44615156</v>
      </c>
      <c r="L623" s="6">
        <v>0.32397648</v>
      </c>
      <c r="M623" s="6">
        <v>0.3839915</v>
      </c>
      <c r="N623" s="6">
        <v>0.23171329</v>
      </c>
      <c r="O623" s="6">
        <v>0.31370971</v>
      </c>
      <c r="P623" s="6">
        <v>0.71793877</v>
      </c>
      <c r="Q623" s="6">
        <v>0.53376524</v>
      </c>
      <c r="R623" s="6">
        <v>217.69486</v>
      </c>
      <c r="S623" s="6">
        <v>0.00204944</v>
      </c>
      <c r="T623" s="6">
        <v>169.97573</v>
      </c>
      <c r="U623" s="6">
        <v>0.00190602</v>
      </c>
      <c r="V623" s="6">
        <v>197.11803</v>
      </c>
      <c r="W623" s="6">
        <v>0.00194803</v>
      </c>
      <c r="X623" s="6">
        <v>134.47093</v>
      </c>
      <c r="Y623" s="6">
        <v>0.00172315</v>
      </c>
      <c r="Z623" s="6">
        <v>134.86767</v>
      </c>
      <c r="AA623" s="6">
        <v>0.00232606</v>
      </c>
      <c r="AB623" s="6">
        <v>294.9318</v>
      </c>
      <c r="AC623" s="6">
        <v>0.00243425</v>
      </c>
      <c r="AD623" s="6">
        <v>243.86163</v>
      </c>
      <c r="AE623" s="6">
        <v>0.0021888</v>
      </c>
      <c r="AF623" s="6">
        <v>775</v>
      </c>
      <c r="AG623" s="6">
        <v>-0.0126864</v>
      </c>
      <c r="AH623" s="6">
        <v>-0.01193688</v>
      </c>
      <c r="AI623" s="6">
        <v>-0.01215752</v>
      </c>
      <c r="AJ623" s="6">
        <v>-0.01096543</v>
      </c>
      <c r="AK623" s="6">
        <v>-0.01410423</v>
      </c>
      <c r="AL623" s="6">
        <v>-0.01464962</v>
      </c>
      <c r="AM623" s="6">
        <v>-0.01340511</v>
      </c>
      <c r="AN623" s="6">
        <v>-6.4762184</v>
      </c>
      <c r="AO623" s="6">
        <v>-6.4515561</v>
      </c>
      <c r="AP623" s="6">
        <v>-6.4739881</v>
      </c>
      <c r="AQ623" s="6">
        <v>-6.4253629</v>
      </c>
      <c r="AR623" s="6">
        <v>-6.4020076</v>
      </c>
      <c r="AS623" s="6">
        <v>-6.4618417</v>
      </c>
      <c r="AT623" s="6">
        <v>-6.4506396</v>
      </c>
      <c r="AU623" s="6">
        <v>0.97344833</v>
      </c>
      <c r="AV623" s="6">
        <v>0.96974131</v>
      </c>
      <c r="AW623" s="6">
        <v>0.97311308</v>
      </c>
      <c r="AX623" s="6">
        <v>0.96580418</v>
      </c>
      <c r="AY623" s="6">
        <v>0.96229362</v>
      </c>
      <c r="AZ623" s="6">
        <v>0.97128734</v>
      </c>
      <c r="BA623" s="6">
        <v>0.96960354</v>
      </c>
      <c r="BB623" s="6">
        <v>0.02655167</v>
      </c>
      <c r="BC623" s="6">
        <v>0.03025869</v>
      </c>
      <c r="BD623" s="6">
        <v>0.02688692</v>
      </c>
      <c r="BE623" s="6">
        <v>0.03419582</v>
      </c>
      <c r="BF623" s="6">
        <v>0.03770638</v>
      </c>
      <c r="BG623" s="6">
        <v>0.02871266</v>
      </c>
      <c r="BH623" s="6">
        <v>0.03039646</v>
      </c>
      <c r="BI623" s="6">
        <v>0.21470859</v>
      </c>
      <c r="BJ623" s="6">
        <v>0.12366373</v>
      </c>
      <c r="BK623" s="6">
        <v>0.1409291</v>
      </c>
      <c r="BL623" s="6">
        <v>0.12522516</v>
      </c>
      <c r="BM623" s="6">
        <v>0.1592662</v>
      </c>
      <c r="BN623" s="6">
        <v>0.17561655</v>
      </c>
      <c r="BO623" s="6">
        <v>0.1337285</v>
      </c>
      <c r="BP623" s="6">
        <v>0.14157076</v>
      </c>
      <c r="BQ623" s="6">
        <v>0.05517277</v>
      </c>
      <c r="BR623" s="6">
        <v>0.04565771</v>
      </c>
      <c r="BS623" s="6">
        <v>0.0480854</v>
      </c>
      <c r="BT623" s="6">
        <v>0.0369041</v>
      </c>
      <c r="BU623" s="6">
        <v>0.05509262</v>
      </c>
      <c r="BV623" s="6">
        <v>0.09600887</v>
      </c>
      <c r="BW623" s="6">
        <v>0.07556555</v>
      </c>
      <c r="BX623" s="12">
        <v>11263.82</v>
      </c>
      <c r="BY623" s="13">
        <v>3852</v>
      </c>
      <c r="BZ623" s="12">
        <v>19586.4</v>
      </c>
      <c r="CA623" s="6">
        <f t="shared" si="60"/>
        <v>2.92414849428868</v>
      </c>
      <c r="CB623" s="6">
        <f t="shared" si="61"/>
        <v>0.575083731568844</v>
      </c>
      <c r="CC623" s="7">
        <v>225493929.1</v>
      </c>
      <c r="CD623" s="7">
        <f t="shared" si="56"/>
        <v>1.15127807611404</v>
      </c>
      <c r="CE623" s="8">
        <v>1553.8</v>
      </c>
      <c r="CF623" s="8">
        <v>4768.3</v>
      </c>
      <c r="CG623" s="8">
        <v>6841.7</v>
      </c>
      <c r="CH623" s="8">
        <v>55148</v>
      </c>
      <c r="CI623" s="14">
        <v>1</v>
      </c>
      <c r="CJ623" s="14">
        <v>1</v>
      </c>
      <c r="CK623" s="14">
        <f t="shared" si="57"/>
        <v>1</v>
      </c>
      <c r="CL623">
        <f t="shared" si="58"/>
        <v>1.36781889095748</v>
      </c>
      <c r="CM623">
        <f t="shared" si="59"/>
        <v>0.158311028071749</v>
      </c>
      <c r="CN623" s="15">
        <v>11263.82</v>
      </c>
      <c r="CO623" s="15">
        <v>14372.19</v>
      </c>
      <c r="CP623" s="15">
        <v>263.43</v>
      </c>
      <c r="CQ623">
        <v>0</v>
      </c>
      <c r="CR623" s="15">
        <v>596.6</v>
      </c>
      <c r="CS623" s="15">
        <v>49.8</v>
      </c>
      <c r="CT623" s="15">
        <v>728.78</v>
      </c>
      <c r="CU623" s="15">
        <v>0.81</v>
      </c>
      <c r="CV623" s="15">
        <v>48.08</v>
      </c>
      <c r="CW623" s="15">
        <v>1743</v>
      </c>
    </row>
    <row r="624" spans="1:101">
      <c r="A624" s="6">
        <v>2022</v>
      </c>
      <c r="B624" s="6" t="s">
        <v>124</v>
      </c>
      <c r="C624" s="6">
        <v>0.45844038</v>
      </c>
      <c r="D624" s="6">
        <v>0.072556</v>
      </c>
      <c r="E624" s="6">
        <v>0.01854</v>
      </c>
      <c r="F624" s="6">
        <v>0.032959</v>
      </c>
      <c r="G624" s="6">
        <v>0.010163</v>
      </c>
      <c r="H624" s="6">
        <v>0.010893</v>
      </c>
      <c r="I624" s="6">
        <v>0.075092</v>
      </c>
      <c r="J624" s="6">
        <v>0.037543</v>
      </c>
      <c r="K624" s="6">
        <v>0.51756241</v>
      </c>
      <c r="L624" s="6">
        <v>0.39784162</v>
      </c>
      <c r="M624" s="6">
        <v>0.46365787</v>
      </c>
      <c r="N624" s="6">
        <v>0.27192033</v>
      </c>
      <c r="O624" s="6">
        <v>0.29661781</v>
      </c>
      <c r="P624" s="6">
        <v>0.74660846</v>
      </c>
      <c r="Q624" s="6">
        <v>0.60087297</v>
      </c>
      <c r="R624" s="6">
        <v>217.69486</v>
      </c>
      <c r="S624" s="6">
        <v>0.00237747</v>
      </c>
      <c r="T624" s="6">
        <v>169.97573</v>
      </c>
      <c r="U624" s="6">
        <v>0.00234058</v>
      </c>
      <c r="V624" s="6">
        <v>197.11803</v>
      </c>
      <c r="W624" s="6">
        <v>0.00235218</v>
      </c>
      <c r="X624" s="6">
        <v>134.47093</v>
      </c>
      <c r="Y624" s="6">
        <v>0.00202215</v>
      </c>
      <c r="Z624" s="6">
        <v>134.86767</v>
      </c>
      <c r="AA624" s="6">
        <v>0.00219932</v>
      </c>
      <c r="AB624" s="6">
        <v>294.9318</v>
      </c>
      <c r="AC624" s="6">
        <v>0.00253146</v>
      </c>
      <c r="AD624" s="6">
        <v>243.86163</v>
      </c>
      <c r="AE624" s="6">
        <v>0.00246399</v>
      </c>
      <c r="AF624" s="6">
        <v>775</v>
      </c>
      <c r="AG624" s="6">
        <v>-0.01436399</v>
      </c>
      <c r="AH624" s="6">
        <v>-0.01417772</v>
      </c>
      <c r="AI624" s="6">
        <v>-0.01423638</v>
      </c>
      <c r="AJ624" s="6">
        <v>-0.0125446</v>
      </c>
      <c r="AK624" s="6">
        <v>-0.013459</v>
      </c>
      <c r="AL624" s="6">
        <v>-0.0151355</v>
      </c>
      <c r="AM624" s="6">
        <v>-0.01479867</v>
      </c>
      <c r="AN624" s="6">
        <v>-6.4762184</v>
      </c>
      <c r="AO624" s="6">
        <v>-6.4515561</v>
      </c>
      <c r="AP624" s="6">
        <v>-6.4739881</v>
      </c>
      <c r="AQ624" s="6">
        <v>-6.4253629</v>
      </c>
      <c r="AR624" s="6">
        <v>-6.4020076</v>
      </c>
      <c r="AS624" s="6">
        <v>-6.4618417</v>
      </c>
      <c r="AT624" s="6">
        <v>-6.4506396</v>
      </c>
      <c r="AU624" s="6">
        <v>0.97344833</v>
      </c>
      <c r="AV624" s="6">
        <v>0.96974131</v>
      </c>
      <c r="AW624" s="6">
        <v>0.97311308</v>
      </c>
      <c r="AX624" s="6">
        <v>0.96580418</v>
      </c>
      <c r="AY624" s="6">
        <v>0.96229362</v>
      </c>
      <c r="AZ624" s="6">
        <v>0.97128734</v>
      </c>
      <c r="BA624" s="6">
        <v>0.96960354</v>
      </c>
      <c r="BB624" s="6">
        <v>0.02655167</v>
      </c>
      <c r="BC624" s="6">
        <v>0.03025869</v>
      </c>
      <c r="BD624" s="6">
        <v>0.02688692</v>
      </c>
      <c r="BE624" s="6">
        <v>0.03419582</v>
      </c>
      <c r="BF624" s="6">
        <v>0.03770638</v>
      </c>
      <c r="BG624" s="6">
        <v>0.02871266</v>
      </c>
      <c r="BH624" s="6">
        <v>0.03039646</v>
      </c>
      <c r="BI624" s="6">
        <v>0.21470859</v>
      </c>
      <c r="BJ624" s="6">
        <v>0.12366373</v>
      </c>
      <c r="BK624" s="6">
        <v>0.1409291</v>
      </c>
      <c r="BL624" s="6">
        <v>0.12522516</v>
      </c>
      <c r="BM624" s="6">
        <v>0.1592662</v>
      </c>
      <c r="BN624" s="6">
        <v>0.17561655</v>
      </c>
      <c r="BO624" s="6">
        <v>0.1337285</v>
      </c>
      <c r="BP624" s="6">
        <v>0.14157076</v>
      </c>
      <c r="BQ624" s="6">
        <v>0.0640037</v>
      </c>
      <c r="BR624" s="6">
        <v>0.05606746</v>
      </c>
      <c r="BS624" s="6">
        <v>0.05806163</v>
      </c>
      <c r="BT624" s="6">
        <v>0.04330772</v>
      </c>
      <c r="BU624" s="6">
        <v>0.052091</v>
      </c>
      <c r="BV624" s="6">
        <v>0.09984283</v>
      </c>
      <c r="BW624" s="6">
        <v>0.08506605</v>
      </c>
      <c r="BX624" s="12">
        <v>10980.64</v>
      </c>
      <c r="BY624" s="13">
        <v>3856</v>
      </c>
      <c r="BZ624" s="12">
        <v>20164.6</v>
      </c>
      <c r="CA624" s="6">
        <f t="shared" si="60"/>
        <v>2.84767634854772</v>
      </c>
      <c r="CB624" s="6">
        <f t="shared" si="61"/>
        <v>0.544550350614443</v>
      </c>
      <c r="CC624" s="7">
        <v>223389255.9</v>
      </c>
      <c r="CD624" s="7">
        <f t="shared" si="56"/>
        <v>1.1078288480803</v>
      </c>
      <c r="CE624" s="8">
        <v>1689.1</v>
      </c>
      <c r="CF624" s="8">
        <v>4370.2</v>
      </c>
      <c r="CG624" s="8">
        <v>6758.7</v>
      </c>
      <c r="CH624" s="8">
        <v>54279</v>
      </c>
      <c r="CI624" s="14">
        <v>1</v>
      </c>
      <c r="CJ624" s="14">
        <v>1</v>
      </c>
      <c r="CK624" s="14">
        <f t="shared" si="57"/>
        <v>1</v>
      </c>
      <c r="CL624">
        <f t="shared" si="58"/>
        <v>1.27047633725244</v>
      </c>
      <c r="CM624">
        <f t="shared" si="59"/>
        <v>0.128020872489355</v>
      </c>
      <c r="CN624" s="15">
        <v>10980.6384024511</v>
      </c>
      <c r="CO624" s="15">
        <v>14059.6</v>
      </c>
      <c r="CP624" s="15">
        <v>269.86</v>
      </c>
      <c r="CQ624">
        <v>0</v>
      </c>
      <c r="CR624" s="15">
        <v>605.59</v>
      </c>
      <c r="CS624" s="15">
        <v>32.34</v>
      </c>
      <c r="CT624" s="15">
        <v>732.52</v>
      </c>
      <c r="CU624" s="15">
        <v>0.69</v>
      </c>
      <c r="CV624" s="15">
        <v>53.93</v>
      </c>
      <c r="CW624" s="15">
        <v>1743.96</v>
      </c>
    </row>
    <row r="625" spans="1:101">
      <c r="A625" s="6">
        <v>2023</v>
      </c>
      <c r="B625" s="6" t="s">
        <v>124</v>
      </c>
      <c r="C625" s="6">
        <v>0.66559571</v>
      </c>
      <c r="D625" s="6">
        <v>0.089612</v>
      </c>
      <c r="E625" s="6">
        <v>0.029616</v>
      </c>
      <c r="F625" s="6">
        <v>0.046095</v>
      </c>
      <c r="G625" s="6">
        <v>0.019475</v>
      </c>
      <c r="H625" s="6">
        <v>0.018281</v>
      </c>
      <c r="I625" s="6">
        <v>0.085618</v>
      </c>
      <c r="J625" s="6">
        <v>0.049256</v>
      </c>
      <c r="K625" s="6">
        <v>0.65134904</v>
      </c>
      <c r="L625" s="6">
        <v>0.65971268</v>
      </c>
      <c r="M625" s="6">
        <v>0.66554305</v>
      </c>
      <c r="N625" s="6">
        <v>0.54718292</v>
      </c>
      <c r="O625" s="6">
        <v>0.52050786</v>
      </c>
      <c r="P625" s="6">
        <v>0.86384954</v>
      </c>
      <c r="Q625" s="6">
        <v>0.80986469</v>
      </c>
      <c r="R625" s="6">
        <v>217.69486</v>
      </c>
      <c r="S625" s="6">
        <v>0.00299203</v>
      </c>
      <c r="T625" s="6">
        <v>169.97573</v>
      </c>
      <c r="U625" s="6">
        <v>0.00388122</v>
      </c>
      <c r="V625" s="6">
        <v>197.11803</v>
      </c>
      <c r="W625" s="6">
        <v>0.00337637</v>
      </c>
      <c r="X625" s="6">
        <v>134.47093</v>
      </c>
      <c r="Y625" s="6">
        <v>0.00406915</v>
      </c>
      <c r="Z625" s="6">
        <v>134.86767</v>
      </c>
      <c r="AA625" s="6">
        <v>0.0038594</v>
      </c>
      <c r="AB625" s="6">
        <v>294.9318</v>
      </c>
      <c r="AC625" s="6">
        <v>0.00292898</v>
      </c>
      <c r="AD625" s="6">
        <v>243.86163</v>
      </c>
      <c r="AE625" s="6">
        <v>0.003321</v>
      </c>
      <c r="AF625" s="6">
        <v>775</v>
      </c>
      <c r="AG625" s="6">
        <v>-0.01738908</v>
      </c>
      <c r="AH625" s="6">
        <v>-0.02154699</v>
      </c>
      <c r="AI625" s="6">
        <v>-0.01921476</v>
      </c>
      <c r="AJ625" s="6">
        <v>-0.02239793</v>
      </c>
      <c r="AK625" s="6">
        <v>-0.02144761</v>
      </c>
      <c r="AL625" s="6">
        <v>-0.01708504</v>
      </c>
      <c r="AM625" s="6">
        <v>-0.01895458</v>
      </c>
      <c r="AN625" s="6">
        <v>-6.4762184</v>
      </c>
      <c r="AO625" s="6">
        <v>-6.4515561</v>
      </c>
      <c r="AP625" s="6">
        <v>-6.4739881</v>
      </c>
      <c r="AQ625" s="6">
        <v>-6.4253629</v>
      </c>
      <c r="AR625" s="6">
        <v>-6.4020076</v>
      </c>
      <c r="AS625" s="6">
        <v>-6.4618417</v>
      </c>
      <c r="AT625" s="6">
        <v>-6.4506396</v>
      </c>
      <c r="AU625" s="6">
        <v>0.97344833</v>
      </c>
      <c r="AV625" s="6">
        <v>0.96974131</v>
      </c>
      <c r="AW625" s="6">
        <v>0.97311308</v>
      </c>
      <c r="AX625" s="6">
        <v>0.96580418</v>
      </c>
      <c r="AY625" s="6">
        <v>0.96229362</v>
      </c>
      <c r="AZ625" s="6">
        <v>0.97128734</v>
      </c>
      <c r="BA625" s="6">
        <v>0.96960354</v>
      </c>
      <c r="BB625" s="6">
        <v>0.02655167</v>
      </c>
      <c r="BC625" s="6">
        <v>0.03025869</v>
      </c>
      <c r="BD625" s="6">
        <v>0.02688692</v>
      </c>
      <c r="BE625" s="6">
        <v>0.03419582</v>
      </c>
      <c r="BF625" s="6">
        <v>0.03770638</v>
      </c>
      <c r="BG625" s="6">
        <v>0.02871266</v>
      </c>
      <c r="BH625" s="6">
        <v>0.03039646</v>
      </c>
      <c r="BI625" s="6">
        <v>0.21470859</v>
      </c>
      <c r="BJ625" s="6">
        <v>0.12366373</v>
      </c>
      <c r="BK625" s="6">
        <v>0.1409291</v>
      </c>
      <c r="BL625" s="6">
        <v>0.12522516</v>
      </c>
      <c r="BM625" s="6">
        <v>0.1592662</v>
      </c>
      <c r="BN625" s="6">
        <v>0.17561655</v>
      </c>
      <c r="BO625" s="6">
        <v>0.1337285</v>
      </c>
      <c r="BP625" s="6">
        <v>0.14157076</v>
      </c>
      <c r="BQ625" s="6">
        <v>0.08054825</v>
      </c>
      <c r="BR625" s="6">
        <v>0.09297271</v>
      </c>
      <c r="BS625" s="6">
        <v>0.08334273</v>
      </c>
      <c r="BT625" s="6">
        <v>0.08714775</v>
      </c>
      <c r="BU625" s="6">
        <v>0.09140979</v>
      </c>
      <c r="BV625" s="6">
        <v>0.1155213</v>
      </c>
      <c r="BW625" s="6">
        <v>0.11465316</v>
      </c>
      <c r="BX625" s="12">
        <v>11148.31</v>
      </c>
      <c r="BY625" s="13">
        <v>3865</v>
      </c>
      <c r="BZ625" s="12">
        <v>20913.3</v>
      </c>
      <c r="CA625" s="6">
        <f t="shared" si="60"/>
        <v>2.88442690815006</v>
      </c>
      <c r="CB625" s="6">
        <f t="shared" si="61"/>
        <v>0.533072733619276</v>
      </c>
      <c r="CC625" s="7">
        <v>229221073.1</v>
      </c>
      <c r="CD625" s="7">
        <f t="shared" si="56"/>
        <v>1.09605405698766</v>
      </c>
      <c r="CE625" s="8">
        <v>1644.8</v>
      </c>
      <c r="CF625" s="8">
        <v>4585</v>
      </c>
      <c r="CG625" s="8">
        <v>7301.4</v>
      </c>
      <c r="CH625" s="8">
        <v>57739</v>
      </c>
      <c r="CI625" s="14">
        <v>1</v>
      </c>
      <c r="CJ625" s="14">
        <v>1</v>
      </c>
      <c r="CK625" s="14">
        <f t="shared" si="57"/>
        <v>1</v>
      </c>
      <c r="CL625">
        <f t="shared" si="58"/>
        <v>1.2756783895882</v>
      </c>
      <c r="CM625">
        <f t="shared" si="59"/>
        <v>0.140806910320493</v>
      </c>
      <c r="CN625" s="17"/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</row>
    <row r="626" spans="1:101">
      <c r="A626" s="6">
        <v>2024</v>
      </c>
      <c r="B626" s="6" t="s">
        <v>124</v>
      </c>
      <c r="C626" s="6">
        <v>0.75732809</v>
      </c>
      <c r="D626" s="6">
        <v>0.096929</v>
      </c>
      <c r="E626" s="6">
        <v>0.034814</v>
      </c>
      <c r="F626" s="6">
        <v>0.051384</v>
      </c>
      <c r="G626" s="6">
        <v>0.02344</v>
      </c>
      <c r="H626" s="6">
        <v>0.021213</v>
      </c>
      <c r="I626" s="6">
        <v>0.091686</v>
      </c>
      <c r="J626" s="6">
        <v>0.054731</v>
      </c>
      <c r="K626" s="6">
        <v>0.70874799</v>
      </c>
      <c r="L626" s="6">
        <v>0.78259035</v>
      </c>
      <c r="M626" s="6">
        <v>0.74683665</v>
      </c>
      <c r="N626" s="6">
        <v>0.66439844</v>
      </c>
      <c r="O626" s="6">
        <v>0.60934183</v>
      </c>
      <c r="P626" s="6">
        <v>0.93144067</v>
      </c>
      <c r="Q626" s="6">
        <v>0.90754819</v>
      </c>
      <c r="R626" s="6">
        <v>217.69486</v>
      </c>
      <c r="S626" s="6">
        <v>0.00325569</v>
      </c>
      <c r="T626" s="6">
        <v>169.97573</v>
      </c>
      <c r="U626" s="6">
        <v>0.00460413</v>
      </c>
      <c r="V626" s="6">
        <v>197.11803</v>
      </c>
      <c r="W626" s="6">
        <v>0.00378878</v>
      </c>
      <c r="X626" s="6">
        <v>134.47093</v>
      </c>
      <c r="Y626" s="6">
        <v>0.00494083</v>
      </c>
      <c r="Z626" s="6">
        <v>134.86767</v>
      </c>
      <c r="AA626" s="6">
        <v>0.00451807</v>
      </c>
      <c r="AB626" s="6">
        <v>294.9318</v>
      </c>
      <c r="AC626" s="6">
        <v>0.00315816</v>
      </c>
      <c r="AD626" s="6">
        <v>243.86163</v>
      </c>
      <c r="AE626" s="6">
        <v>0.00372157</v>
      </c>
      <c r="AF626" s="6">
        <v>775</v>
      </c>
      <c r="AG626" s="6">
        <v>-0.0186465</v>
      </c>
      <c r="AH626" s="6">
        <v>-0.02477391</v>
      </c>
      <c r="AI626" s="6">
        <v>-0.02112514</v>
      </c>
      <c r="AJ626" s="6">
        <v>-0.02623692</v>
      </c>
      <c r="AK626" s="6">
        <v>-0.0243961</v>
      </c>
      <c r="AL626" s="6">
        <v>-0.01818393</v>
      </c>
      <c r="AM626" s="6">
        <v>-0.02081701</v>
      </c>
      <c r="AN626" s="6">
        <v>-6.4762184</v>
      </c>
      <c r="AO626" s="6">
        <v>-6.4515561</v>
      </c>
      <c r="AP626" s="6">
        <v>-6.4739881</v>
      </c>
      <c r="AQ626" s="6">
        <v>-6.4253629</v>
      </c>
      <c r="AR626" s="6">
        <v>-6.4020076</v>
      </c>
      <c r="AS626" s="6">
        <v>-6.4618417</v>
      </c>
      <c r="AT626" s="6">
        <v>-6.4506396</v>
      </c>
      <c r="AU626" s="6">
        <v>0.97344833</v>
      </c>
      <c r="AV626" s="6">
        <v>0.96974131</v>
      </c>
      <c r="AW626" s="6">
        <v>0.97311308</v>
      </c>
      <c r="AX626" s="6">
        <v>0.96580418</v>
      </c>
      <c r="AY626" s="6">
        <v>0.96229362</v>
      </c>
      <c r="AZ626" s="6">
        <v>0.97128734</v>
      </c>
      <c r="BA626" s="6">
        <v>0.96960354</v>
      </c>
      <c r="BB626" s="6">
        <v>0.02655167</v>
      </c>
      <c r="BC626" s="6">
        <v>0.03025869</v>
      </c>
      <c r="BD626" s="6">
        <v>0.02688692</v>
      </c>
      <c r="BE626" s="6">
        <v>0.03419582</v>
      </c>
      <c r="BF626" s="6">
        <v>0.03770638</v>
      </c>
      <c r="BG626" s="6">
        <v>0.02871266</v>
      </c>
      <c r="BH626" s="6">
        <v>0.03039646</v>
      </c>
      <c r="BI626" s="6">
        <v>0.21470859</v>
      </c>
      <c r="BJ626" s="6">
        <v>0.12366373</v>
      </c>
      <c r="BK626" s="6">
        <v>0.1409291</v>
      </c>
      <c r="BL626" s="6">
        <v>0.12522516</v>
      </c>
      <c r="BM626" s="6">
        <v>0.1592662</v>
      </c>
      <c r="BN626" s="6">
        <v>0.17561655</v>
      </c>
      <c r="BO626" s="6">
        <v>0.1337285</v>
      </c>
      <c r="BP626" s="6">
        <v>0.14157076</v>
      </c>
      <c r="BQ626" s="6">
        <v>0.08764642</v>
      </c>
      <c r="BR626" s="6">
        <v>0.11028975</v>
      </c>
      <c r="BS626" s="6">
        <v>0.09352274</v>
      </c>
      <c r="BT626" s="6">
        <v>0.10581622</v>
      </c>
      <c r="BU626" s="6">
        <v>0.10701051</v>
      </c>
      <c r="BV626" s="6">
        <v>0.12456016</v>
      </c>
      <c r="BW626" s="6">
        <v>0.12848229</v>
      </c>
      <c r="BX626" s="12">
        <v>11315.98</v>
      </c>
      <c r="BY626" s="13">
        <v>3860</v>
      </c>
      <c r="BZ626" s="12">
        <v>22667.1</v>
      </c>
      <c r="CA626" s="6">
        <f t="shared" si="60"/>
        <v>2.93160103626943</v>
      </c>
      <c r="CB626" s="6">
        <f t="shared" si="61"/>
        <v>0.499224867759881</v>
      </c>
      <c r="CC626" s="7">
        <v>235354735.8</v>
      </c>
      <c r="CD626" s="7">
        <f t="shared" si="56"/>
        <v>1.03830986672314</v>
      </c>
      <c r="CE626" s="8">
        <v>1589.8</v>
      </c>
      <c r="CF626" s="8">
        <v>4577.6</v>
      </c>
      <c r="CG626" s="8">
        <v>8193.8</v>
      </c>
      <c r="CH626" s="8">
        <v>61689</v>
      </c>
      <c r="CI626" s="14">
        <v>1</v>
      </c>
      <c r="CJ626" s="14">
        <v>1</v>
      </c>
      <c r="CK626" s="14">
        <f t="shared" si="57"/>
        <v>1</v>
      </c>
      <c r="CL626">
        <f t="shared" si="58"/>
        <v>1.21200651315194</v>
      </c>
      <c r="CM626">
        <f t="shared" si="59"/>
        <v>0.143313294560675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</row>
    <row r="627" spans="1:101">
      <c r="A627" s="6">
        <v>2000</v>
      </c>
      <c r="B627" s="6" t="s">
        <v>125</v>
      </c>
      <c r="C627" s="6">
        <v>0.17839717</v>
      </c>
      <c r="D627" s="6">
        <v>0.032589</v>
      </c>
      <c r="E627" s="6">
        <v>0.008793</v>
      </c>
      <c r="F627" s="6">
        <v>0.014956</v>
      </c>
      <c r="G627" s="6">
        <v>0.005291</v>
      </c>
      <c r="H627" s="6">
        <v>0.003548</v>
      </c>
      <c r="I627" s="6">
        <v>0.035541</v>
      </c>
      <c r="J627" s="6">
        <v>0.016477</v>
      </c>
      <c r="K627" s="6">
        <v>0.20405904</v>
      </c>
      <c r="L627" s="6">
        <v>0.16740026</v>
      </c>
      <c r="M627" s="6">
        <v>0.18694665</v>
      </c>
      <c r="N627" s="6">
        <v>0.12791891</v>
      </c>
      <c r="O627" s="6">
        <v>0.0740378</v>
      </c>
      <c r="P627" s="6">
        <v>0.30607984</v>
      </c>
      <c r="Q627" s="6">
        <v>0.22500027</v>
      </c>
      <c r="R627" s="6">
        <v>217.69486</v>
      </c>
      <c r="S627" s="6">
        <v>0.00093736</v>
      </c>
      <c r="T627" s="6">
        <v>169.97573</v>
      </c>
      <c r="U627" s="6">
        <v>0.00098485</v>
      </c>
      <c r="V627" s="6">
        <v>197.11803</v>
      </c>
      <c r="W627" s="6">
        <v>0.0009484</v>
      </c>
      <c r="X627" s="6">
        <v>134.47093</v>
      </c>
      <c r="Y627" s="6">
        <v>0.00095128</v>
      </c>
      <c r="Z627" s="6">
        <v>134.86767</v>
      </c>
      <c r="AA627" s="6">
        <v>0.00054897</v>
      </c>
      <c r="AB627" s="6">
        <v>294.9318</v>
      </c>
      <c r="AC627" s="6">
        <v>0.0010378</v>
      </c>
      <c r="AD627" s="6">
        <v>243.86163</v>
      </c>
      <c r="AE627" s="6">
        <v>0.00092266</v>
      </c>
      <c r="AF627" s="6">
        <v>775</v>
      </c>
      <c r="AG627" s="6">
        <v>-0.00653571</v>
      </c>
      <c r="AH627" s="6">
        <v>-0.00681813</v>
      </c>
      <c r="AI627" s="6">
        <v>-0.00660156</v>
      </c>
      <c r="AJ627" s="6">
        <v>-0.0066187</v>
      </c>
      <c r="AK627" s="6">
        <v>-0.00412135</v>
      </c>
      <c r="AL627" s="6">
        <v>-0.00713036</v>
      </c>
      <c r="AM627" s="6">
        <v>-0.00644775</v>
      </c>
      <c r="AN627" s="6">
        <v>-6.4762184</v>
      </c>
      <c r="AO627" s="6">
        <v>-6.4515561</v>
      </c>
      <c r="AP627" s="6">
        <v>-6.4739881</v>
      </c>
      <c r="AQ627" s="6">
        <v>-6.4253629</v>
      </c>
      <c r="AR627" s="6">
        <v>-6.4020076</v>
      </c>
      <c r="AS627" s="6">
        <v>-6.4618417</v>
      </c>
      <c r="AT627" s="6">
        <v>-6.4506396</v>
      </c>
      <c r="AU627" s="6">
        <v>0.97344833</v>
      </c>
      <c r="AV627" s="6">
        <v>0.96974131</v>
      </c>
      <c r="AW627" s="6">
        <v>0.97311308</v>
      </c>
      <c r="AX627" s="6">
        <v>0.96580418</v>
      </c>
      <c r="AY627" s="6">
        <v>0.96229362</v>
      </c>
      <c r="AZ627" s="6">
        <v>0.97128734</v>
      </c>
      <c r="BA627" s="6">
        <v>0.96960354</v>
      </c>
      <c r="BB627" s="6">
        <v>0.02655167</v>
      </c>
      <c r="BC627" s="6">
        <v>0.03025869</v>
      </c>
      <c r="BD627" s="6">
        <v>0.02688692</v>
      </c>
      <c r="BE627" s="6">
        <v>0.03419582</v>
      </c>
      <c r="BF627" s="6">
        <v>0.03770638</v>
      </c>
      <c r="BG627" s="6">
        <v>0.02871266</v>
      </c>
      <c r="BH627" s="6">
        <v>0.03039646</v>
      </c>
      <c r="BI627" s="6">
        <v>0.21470859</v>
      </c>
      <c r="BJ627" s="6">
        <v>0.12366373</v>
      </c>
      <c r="BK627" s="6">
        <v>0.1409291</v>
      </c>
      <c r="BL627" s="6">
        <v>0.12522516</v>
      </c>
      <c r="BM627" s="6">
        <v>0.1592662</v>
      </c>
      <c r="BN627" s="6">
        <v>0.17561655</v>
      </c>
      <c r="BO627" s="6">
        <v>0.1337285</v>
      </c>
      <c r="BP627" s="6">
        <v>0.14157076</v>
      </c>
      <c r="BQ627" s="6">
        <v>0.0252347</v>
      </c>
      <c r="BR627" s="6">
        <v>0.02359157</v>
      </c>
      <c r="BS627" s="6">
        <v>0.02341042</v>
      </c>
      <c r="BT627" s="6">
        <v>0.02037316</v>
      </c>
      <c r="BU627" s="6">
        <v>0.01300226</v>
      </c>
      <c r="BV627" s="6">
        <v>0.0409316</v>
      </c>
      <c r="BW627" s="6">
        <v>0.03185346</v>
      </c>
      <c r="BX627" s="12">
        <v>10656</v>
      </c>
      <c r="BY627" s="13">
        <v>4184</v>
      </c>
      <c r="BZ627" s="12">
        <v>4669.06</v>
      </c>
      <c r="CA627" s="6">
        <f t="shared" si="60"/>
        <v>2.54684512428298</v>
      </c>
      <c r="CB627" s="6">
        <f t="shared" si="61"/>
        <v>2.28225809906062</v>
      </c>
      <c r="CC627" s="7">
        <v>176156582.7</v>
      </c>
      <c r="CD627" s="7">
        <f t="shared" si="56"/>
        <v>3.77284898245043</v>
      </c>
      <c r="CE627" s="8">
        <v>662.3</v>
      </c>
      <c r="CF627" s="8">
        <v>1432.8</v>
      </c>
      <c r="CG627" s="8">
        <v>1450.3</v>
      </c>
      <c r="CH627" s="8">
        <v>6121</v>
      </c>
      <c r="CI627" s="14">
        <v>0</v>
      </c>
      <c r="CJ627" s="14">
        <v>0</v>
      </c>
      <c r="CK627" s="14">
        <f t="shared" si="57"/>
        <v>0</v>
      </c>
      <c r="CL627">
        <f t="shared" si="58"/>
        <v>4.53658228674969</v>
      </c>
      <c r="CM627">
        <f t="shared" si="59"/>
        <v>0.168349928652225</v>
      </c>
      <c r="CN627" s="15">
        <v>10655.82</v>
      </c>
      <c r="CO627" s="15">
        <v>9582.18</v>
      </c>
      <c r="CP627" s="15">
        <v>878.12</v>
      </c>
      <c r="CQ627" s="15">
        <v>3938.74</v>
      </c>
      <c r="CR627" s="15">
        <v>149.47</v>
      </c>
      <c r="CS627" s="15">
        <v>18.55</v>
      </c>
      <c r="CT627" s="15">
        <v>197.22</v>
      </c>
      <c r="CU627" s="15">
        <v>296.73</v>
      </c>
      <c r="CV627" s="15">
        <v>20.15</v>
      </c>
      <c r="CW627" s="15">
        <v>748.89</v>
      </c>
    </row>
    <row r="628" spans="1:101">
      <c r="A628" s="6">
        <v>2001</v>
      </c>
      <c r="B628" s="6" t="s">
        <v>125</v>
      </c>
      <c r="C628" s="6">
        <v>0.17772927</v>
      </c>
      <c r="D628" s="6">
        <v>0.031704</v>
      </c>
      <c r="E628" s="6">
        <v>0.007647</v>
      </c>
      <c r="F628" s="6">
        <v>0.014264</v>
      </c>
      <c r="G628" s="6">
        <v>0.004852</v>
      </c>
      <c r="H628" s="6">
        <v>0.004942</v>
      </c>
      <c r="I628" s="6">
        <v>0.034044</v>
      </c>
      <c r="J628" s="6">
        <v>0.017358</v>
      </c>
      <c r="K628" s="6">
        <v>0.19712038</v>
      </c>
      <c r="L628" s="6">
        <v>0.14030306</v>
      </c>
      <c r="M628" s="6">
        <v>0.1763132</v>
      </c>
      <c r="N628" s="6">
        <v>0.11492296</v>
      </c>
      <c r="O628" s="6">
        <v>0.11625358</v>
      </c>
      <c r="P628" s="6">
        <v>0.28940964</v>
      </c>
      <c r="Q628" s="6">
        <v>0.24072263</v>
      </c>
      <c r="R628" s="6">
        <v>217.69486</v>
      </c>
      <c r="S628" s="6">
        <v>0.00090549</v>
      </c>
      <c r="T628" s="6">
        <v>169.97573</v>
      </c>
      <c r="U628" s="6">
        <v>0.00082543</v>
      </c>
      <c r="V628" s="6">
        <v>197.11803</v>
      </c>
      <c r="W628" s="6">
        <v>0.00089445</v>
      </c>
      <c r="X628" s="6">
        <v>134.47093</v>
      </c>
      <c r="Y628" s="6">
        <v>0.00085463</v>
      </c>
      <c r="Z628" s="6">
        <v>134.86767</v>
      </c>
      <c r="AA628" s="6">
        <v>0.00086198</v>
      </c>
      <c r="AB628" s="6">
        <v>294.9318</v>
      </c>
      <c r="AC628" s="6">
        <v>0.00098128</v>
      </c>
      <c r="AD628" s="6">
        <v>243.86163</v>
      </c>
      <c r="AE628" s="6">
        <v>0.00098713</v>
      </c>
      <c r="AF628" s="6">
        <v>775</v>
      </c>
      <c r="AG628" s="6">
        <v>-0.0063448</v>
      </c>
      <c r="AH628" s="6">
        <v>-0.00586023</v>
      </c>
      <c r="AI628" s="6">
        <v>-0.00627844</v>
      </c>
      <c r="AJ628" s="6">
        <v>-0.00603783</v>
      </c>
      <c r="AK628" s="6">
        <v>-0.00608239</v>
      </c>
      <c r="AL628" s="6">
        <v>-0.00679696</v>
      </c>
      <c r="AM628" s="6">
        <v>-0.00683163</v>
      </c>
      <c r="AN628" s="6">
        <v>-6.4762184</v>
      </c>
      <c r="AO628" s="6">
        <v>-6.4515561</v>
      </c>
      <c r="AP628" s="6">
        <v>-6.4739881</v>
      </c>
      <c r="AQ628" s="6">
        <v>-6.4253629</v>
      </c>
      <c r="AR628" s="6">
        <v>-6.4020076</v>
      </c>
      <c r="AS628" s="6">
        <v>-6.4618417</v>
      </c>
      <c r="AT628" s="6">
        <v>-6.4506396</v>
      </c>
      <c r="AU628" s="6">
        <v>0.97344833</v>
      </c>
      <c r="AV628" s="6">
        <v>0.96974131</v>
      </c>
      <c r="AW628" s="6">
        <v>0.97311308</v>
      </c>
      <c r="AX628" s="6">
        <v>0.96580418</v>
      </c>
      <c r="AY628" s="6">
        <v>0.96229362</v>
      </c>
      <c r="AZ628" s="6">
        <v>0.97128734</v>
      </c>
      <c r="BA628" s="6">
        <v>0.96960354</v>
      </c>
      <c r="BB628" s="6">
        <v>0.02655167</v>
      </c>
      <c r="BC628" s="6">
        <v>0.03025869</v>
      </c>
      <c r="BD628" s="6">
        <v>0.02688692</v>
      </c>
      <c r="BE628" s="6">
        <v>0.03419582</v>
      </c>
      <c r="BF628" s="6">
        <v>0.03770638</v>
      </c>
      <c r="BG628" s="6">
        <v>0.02871266</v>
      </c>
      <c r="BH628" s="6">
        <v>0.03039646</v>
      </c>
      <c r="BI628" s="6">
        <v>0.21470859</v>
      </c>
      <c r="BJ628" s="6">
        <v>0.12366373</v>
      </c>
      <c r="BK628" s="6">
        <v>0.1409291</v>
      </c>
      <c r="BL628" s="6">
        <v>0.12522516</v>
      </c>
      <c r="BM628" s="6">
        <v>0.1592662</v>
      </c>
      <c r="BN628" s="6">
        <v>0.17561655</v>
      </c>
      <c r="BO628" s="6">
        <v>0.1337285</v>
      </c>
      <c r="BP628" s="6">
        <v>0.14157076</v>
      </c>
      <c r="BQ628" s="6">
        <v>0.02437664</v>
      </c>
      <c r="BR628" s="6">
        <v>0.01977278</v>
      </c>
      <c r="BS628" s="6">
        <v>0.02207885</v>
      </c>
      <c r="BT628" s="6">
        <v>0.01830334</v>
      </c>
      <c r="BU628" s="6">
        <v>0.02041605</v>
      </c>
      <c r="BV628" s="6">
        <v>0.03870232</v>
      </c>
      <c r="BW628" s="6">
        <v>0.03407929</v>
      </c>
      <c r="BX628" s="12">
        <v>10656</v>
      </c>
      <c r="BY628" s="13">
        <v>4194</v>
      </c>
      <c r="BZ628" s="12">
        <v>5033.08</v>
      </c>
      <c r="CA628" s="6">
        <f t="shared" si="60"/>
        <v>2.54077253218884</v>
      </c>
      <c r="CB628" s="6">
        <f t="shared" si="61"/>
        <v>2.11719265340507</v>
      </c>
      <c r="CC628" s="7">
        <v>175085791.9</v>
      </c>
      <c r="CD628" s="7">
        <f t="shared" si="56"/>
        <v>3.47870075381277</v>
      </c>
      <c r="CE628" s="8">
        <v>692.2</v>
      </c>
      <c r="CF628" s="8">
        <v>1569.3</v>
      </c>
      <c r="CG628" s="8">
        <v>1619</v>
      </c>
      <c r="CH628" s="8">
        <v>6866</v>
      </c>
      <c r="CI628" s="14">
        <v>0</v>
      </c>
      <c r="CJ628" s="14">
        <v>0</v>
      </c>
      <c r="CK628" s="14">
        <f t="shared" si="57"/>
        <v>0</v>
      </c>
      <c r="CL628">
        <f t="shared" si="58"/>
        <v>4.16809156222866</v>
      </c>
      <c r="CM628">
        <f t="shared" si="59"/>
        <v>0.165397232312066</v>
      </c>
      <c r="CN628" s="15">
        <v>10656</v>
      </c>
      <c r="CO628" s="15">
        <v>9084</v>
      </c>
      <c r="CP628" s="15">
        <v>898.14</v>
      </c>
      <c r="CQ628" s="15">
        <v>4046.3</v>
      </c>
      <c r="CR628" s="15">
        <v>235.79</v>
      </c>
      <c r="CS628" s="15">
        <v>18.17</v>
      </c>
      <c r="CT628" s="15">
        <v>279.75</v>
      </c>
      <c r="CU628" s="15">
        <v>293.2</v>
      </c>
      <c r="CV628" s="15">
        <v>18.93</v>
      </c>
      <c r="CW628" s="15">
        <v>809.42</v>
      </c>
    </row>
    <row r="629" spans="1:101">
      <c r="A629" s="6">
        <v>2002</v>
      </c>
      <c r="B629" s="6" t="s">
        <v>125</v>
      </c>
      <c r="C629" s="6">
        <v>0.20766888</v>
      </c>
      <c r="D629" s="6">
        <v>0.038642</v>
      </c>
      <c r="E629" s="6">
        <v>0.009544</v>
      </c>
      <c r="F629" s="6">
        <v>0.016763</v>
      </c>
      <c r="G629" s="6">
        <v>0.005932</v>
      </c>
      <c r="H629" s="6">
        <v>0.006404</v>
      </c>
      <c r="I629" s="6">
        <v>0.035498</v>
      </c>
      <c r="J629" s="6">
        <v>0.016189</v>
      </c>
      <c r="K629" s="6">
        <v>0.25154557</v>
      </c>
      <c r="L629" s="6">
        <v>0.18514956</v>
      </c>
      <c r="M629" s="6">
        <v>0.21472138</v>
      </c>
      <c r="N629" s="6">
        <v>0.14685093</v>
      </c>
      <c r="O629" s="6">
        <v>0.16057262</v>
      </c>
      <c r="P629" s="6">
        <v>0.30559558</v>
      </c>
      <c r="Q629" s="6">
        <v>0.2198611</v>
      </c>
      <c r="R629" s="6">
        <v>217.69486</v>
      </c>
      <c r="S629" s="6">
        <v>0.0011555</v>
      </c>
      <c r="T629" s="6">
        <v>169.97573</v>
      </c>
      <c r="U629" s="6">
        <v>0.00108927</v>
      </c>
      <c r="V629" s="6">
        <v>197.11803</v>
      </c>
      <c r="W629" s="6">
        <v>0.0010893</v>
      </c>
      <c r="X629" s="6">
        <v>134.47093</v>
      </c>
      <c r="Y629" s="6">
        <v>0.00109206</v>
      </c>
      <c r="Z629" s="6">
        <v>134.86767</v>
      </c>
      <c r="AA629" s="6">
        <v>0.00119059</v>
      </c>
      <c r="AB629" s="6">
        <v>294.9318</v>
      </c>
      <c r="AC629" s="6">
        <v>0.00103616</v>
      </c>
      <c r="AD629" s="6">
        <v>243.86163</v>
      </c>
      <c r="AE629" s="6">
        <v>0.00090158</v>
      </c>
      <c r="AF629" s="6">
        <v>775</v>
      </c>
      <c r="AG629" s="6">
        <v>-0.00781488</v>
      </c>
      <c r="AH629" s="6">
        <v>-0.00743127</v>
      </c>
      <c r="AI629" s="6">
        <v>-0.00743147</v>
      </c>
      <c r="AJ629" s="6">
        <v>-0.00744754</v>
      </c>
      <c r="AK629" s="6">
        <v>-0.00801663</v>
      </c>
      <c r="AL629" s="6">
        <v>-0.00712071</v>
      </c>
      <c r="AM629" s="6">
        <v>-0.00632131</v>
      </c>
      <c r="AN629" s="6">
        <v>-6.4762184</v>
      </c>
      <c r="AO629" s="6">
        <v>-6.4515561</v>
      </c>
      <c r="AP629" s="6">
        <v>-6.4739881</v>
      </c>
      <c r="AQ629" s="6">
        <v>-6.4253629</v>
      </c>
      <c r="AR629" s="6">
        <v>-6.4020076</v>
      </c>
      <c r="AS629" s="6">
        <v>-6.4618417</v>
      </c>
      <c r="AT629" s="6">
        <v>-6.4506396</v>
      </c>
      <c r="AU629" s="6">
        <v>0.97344833</v>
      </c>
      <c r="AV629" s="6">
        <v>0.96974131</v>
      </c>
      <c r="AW629" s="6">
        <v>0.97311308</v>
      </c>
      <c r="AX629" s="6">
        <v>0.96580418</v>
      </c>
      <c r="AY629" s="6">
        <v>0.96229362</v>
      </c>
      <c r="AZ629" s="6">
        <v>0.97128734</v>
      </c>
      <c r="BA629" s="6">
        <v>0.96960354</v>
      </c>
      <c r="BB629" s="6">
        <v>0.02655167</v>
      </c>
      <c r="BC629" s="6">
        <v>0.03025869</v>
      </c>
      <c r="BD629" s="6">
        <v>0.02688692</v>
      </c>
      <c r="BE629" s="6">
        <v>0.03419582</v>
      </c>
      <c r="BF629" s="6">
        <v>0.03770638</v>
      </c>
      <c r="BG629" s="6">
        <v>0.02871266</v>
      </c>
      <c r="BH629" s="6">
        <v>0.03039646</v>
      </c>
      <c r="BI629" s="6">
        <v>0.21470859</v>
      </c>
      <c r="BJ629" s="6">
        <v>0.12366373</v>
      </c>
      <c r="BK629" s="6">
        <v>0.1409291</v>
      </c>
      <c r="BL629" s="6">
        <v>0.12522516</v>
      </c>
      <c r="BM629" s="6">
        <v>0.1592662</v>
      </c>
      <c r="BN629" s="6">
        <v>0.17561655</v>
      </c>
      <c r="BO629" s="6">
        <v>0.1337285</v>
      </c>
      <c r="BP629" s="6">
        <v>0.14157076</v>
      </c>
      <c r="BQ629" s="6">
        <v>0.03110706</v>
      </c>
      <c r="BR629" s="6">
        <v>0.02609296</v>
      </c>
      <c r="BS629" s="6">
        <v>0.02688852</v>
      </c>
      <c r="BT629" s="6">
        <v>0.02338839</v>
      </c>
      <c r="BU629" s="6">
        <v>0.02819921</v>
      </c>
      <c r="BV629" s="6">
        <v>0.04086684</v>
      </c>
      <c r="BW629" s="6">
        <v>0.0311259</v>
      </c>
      <c r="BX629" s="12">
        <v>10602</v>
      </c>
      <c r="BY629" s="13">
        <v>4203</v>
      </c>
      <c r="BZ629" s="12">
        <v>5458.22</v>
      </c>
      <c r="CA629" s="6">
        <f t="shared" si="60"/>
        <v>2.52248394004283</v>
      </c>
      <c r="CB629" s="6">
        <f t="shared" si="61"/>
        <v>1.94239147560926</v>
      </c>
      <c r="CC629" s="7">
        <v>186465904.9</v>
      </c>
      <c r="CD629" s="7">
        <f t="shared" si="56"/>
        <v>3.41624018269692</v>
      </c>
      <c r="CE629" s="8">
        <v>707</v>
      </c>
      <c r="CF629" s="8">
        <v>1704.4</v>
      </c>
      <c r="CG629" s="8">
        <v>1801.4</v>
      </c>
      <c r="CH629" s="8">
        <v>7437</v>
      </c>
      <c r="CI629" s="14">
        <v>0</v>
      </c>
      <c r="CJ629" s="14">
        <v>0</v>
      </c>
      <c r="CK629" s="14">
        <f t="shared" si="57"/>
        <v>0</v>
      </c>
      <c r="CL629">
        <f t="shared" si="58"/>
        <v>4.06804884448575</v>
      </c>
      <c r="CM629">
        <f t="shared" si="59"/>
        <v>0.16022636077056</v>
      </c>
      <c r="CN629" s="15">
        <v>10602</v>
      </c>
      <c r="CO629" s="15">
        <v>9355</v>
      </c>
      <c r="CP629" s="15">
        <v>1046.88</v>
      </c>
      <c r="CQ629" s="15">
        <v>4218.81</v>
      </c>
      <c r="CR629" s="15">
        <v>236.1</v>
      </c>
      <c r="CS629" s="15">
        <v>20.27</v>
      </c>
      <c r="CT629" s="15">
        <v>273.24</v>
      </c>
      <c r="CU629" s="15">
        <v>237.58</v>
      </c>
      <c r="CV629" s="15">
        <v>18.81</v>
      </c>
      <c r="CW629" s="15">
        <v>859.2</v>
      </c>
    </row>
    <row r="630" spans="1:101">
      <c r="A630" s="6">
        <v>2003</v>
      </c>
      <c r="B630" s="6" t="s">
        <v>125</v>
      </c>
      <c r="C630" s="6">
        <v>0.21435373</v>
      </c>
      <c r="D630" s="6">
        <v>0.036716</v>
      </c>
      <c r="E630" s="6">
        <v>0.009591</v>
      </c>
      <c r="F630" s="6">
        <v>0.016415</v>
      </c>
      <c r="G630" s="6">
        <v>0.005462</v>
      </c>
      <c r="H630" s="6">
        <v>0.005249</v>
      </c>
      <c r="I630" s="6">
        <v>0.040547</v>
      </c>
      <c r="J630" s="6">
        <v>0.020111</v>
      </c>
      <c r="K630" s="6">
        <v>0.23643608</v>
      </c>
      <c r="L630" s="6">
        <v>0.18625348</v>
      </c>
      <c r="M630" s="6">
        <v>0.20937706</v>
      </c>
      <c r="N630" s="6">
        <v>0.13295286</v>
      </c>
      <c r="O630" s="6">
        <v>0.12556978</v>
      </c>
      <c r="P630" s="6">
        <v>0.36183519</v>
      </c>
      <c r="Q630" s="6">
        <v>0.28983839</v>
      </c>
      <c r="R630" s="6">
        <v>217.69486</v>
      </c>
      <c r="S630" s="6">
        <v>0.00108609</v>
      </c>
      <c r="T630" s="6">
        <v>169.97573</v>
      </c>
      <c r="U630" s="6">
        <v>0.00109577</v>
      </c>
      <c r="V630" s="6">
        <v>197.11803</v>
      </c>
      <c r="W630" s="6">
        <v>0.00106219</v>
      </c>
      <c r="X630" s="6">
        <v>134.47093</v>
      </c>
      <c r="Y630" s="6">
        <v>0.00098871</v>
      </c>
      <c r="Z630" s="6">
        <v>134.86767</v>
      </c>
      <c r="AA630" s="6">
        <v>0.00093106</v>
      </c>
      <c r="AB630" s="6">
        <v>294.9318</v>
      </c>
      <c r="AC630" s="6">
        <v>0.00122684</v>
      </c>
      <c r="AD630" s="6">
        <v>243.86163</v>
      </c>
      <c r="AE630" s="6">
        <v>0.00118854</v>
      </c>
      <c r="AF630" s="6">
        <v>775</v>
      </c>
      <c r="AG630" s="6">
        <v>-0.00741275</v>
      </c>
      <c r="AH630" s="6">
        <v>-0.00746907</v>
      </c>
      <c r="AI630" s="6">
        <v>-0.00727327</v>
      </c>
      <c r="AJ630" s="6">
        <v>-0.006841</v>
      </c>
      <c r="AK630" s="6">
        <v>-0.00649804</v>
      </c>
      <c r="AL630" s="6">
        <v>-0.00822391</v>
      </c>
      <c r="AM630" s="6">
        <v>-0.00800483</v>
      </c>
      <c r="AN630" s="6">
        <v>-6.4762184</v>
      </c>
      <c r="AO630" s="6">
        <v>-6.4515561</v>
      </c>
      <c r="AP630" s="6">
        <v>-6.4739881</v>
      </c>
      <c r="AQ630" s="6">
        <v>-6.4253629</v>
      </c>
      <c r="AR630" s="6">
        <v>-6.4020076</v>
      </c>
      <c r="AS630" s="6">
        <v>-6.4618417</v>
      </c>
      <c r="AT630" s="6">
        <v>-6.4506396</v>
      </c>
      <c r="AU630" s="6">
        <v>0.97344833</v>
      </c>
      <c r="AV630" s="6">
        <v>0.96974131</v>
      </c>
      <c r="AW630" s="6">
        <v>0.97311308</v>
      </c>
      <c r="AX630" s="6">
        <v>0.96580418</v>
      </c>
      <c r="AY630" s="6">
        <v>0.96229362</v>
      </c>
      <c r="AZ630" s="6">
        <v>0.97128734</v>
      </c>
      <c r="BA630" s="6">
        <v>0.96960354</v>
      </c>
      <c r="BB630" s="6">
        <v>0.02655167</v>
      </c>
      <c r="BC630" s="6">
        <v>0.03025869</v>
      </c>
      <c r="BD630" s="6">
        <v>0.02688692</v>
      </c>
      <c r="BE630" s="6">
        <v>0.03419582</v>
      </c>
      <c r="BF630" s="6">
        <v>0.03770638</v>
      </c>
      <c r="BG630" s="6">
        <v>0.02871266</v>
      </c>
      <c r="BH630" s="6">
        <v>0.03039646</v>
      </c>
      <c r="BI630" s="6">
        <v>0.21470859</v>
      </c>
      <c r="BJ630" s="6">
        <v>0.12366373</v>
      </c>
      <c r="BK630" s="6">
        <v>0.1409291</v>
      </c>
      <c r="BL630" s="6">
        <v>0.12522516</v>
      </c>
      <c r="BM630" s="6">
        <v>0.1592662</v>
      </c>
      <c r="BN630" s="6">
        <v>0.17561655</v>
      </c>
      <c r="BO630" s="6">
        <v>0.1337285</v>
      </c>
      <c r="BP630" s="6">
        <v>0.14157076</v>
      </c>
      <c r="BQ630" s="6">
        <v>0.02923857</v>
      </c>
      <c r="BR630" s="6">
        <v>0.02624854</v>
      </c>
      <c r="BS630" s="6">
        <v>0.02621928</v>
      </c>
      <c r="BT630" s="6">
        <v>0.0211749</v>
      </c>
      <c r="BU630" s="6">
        <v>0.02205213</v>
      </c>
      <c r="BV630" s="6">
        <v>0.04838768</v>
      </c>
      <c r="BW630" s="6">
        <v>0.04103264</v>
      </c>
      <c r="BX630" s="12">
        <v>11253</v>
      </c>
      <c r="BY630" s="13">
        <v>4210</v>
      </c>
      <c r="BZ630" s="12">
        <v>6002.54</v>
      </c>
      <c r="CA630" s="6">
        <f t="shared" si="60"/>
        <v>2.6729216152019</v>
      </c>
      <c r="CB630" s="6">
        <f t="shared" si="61"/>
        <v>1.87470637430155</v>
      </c>
      <c r="CC630" s="7">
        <v>205655396.1</v>
      </c>
      <c r="CD630" s="7">
        <f t="shared" si="56"/>
        <v>3.42613953592979</v>
      </c>
      <c r="CE630" s="8">
        <v>798.4</v>
      </c>
      <c r="CF630" s="8">
        <v>1949.8</v>
      </c>
      <c r="CG630" s="8">
        <v>2009.3</v>
      </c>
      <c r="CH630" s="8">
        <v>8378</v>
      </c>
      <c r="CI630" s="14">
        <v>0</v>
      </c>
      <c r="CJ630" s="14">
        <v>0</v>
      </c>
      <c r="CK630" s="14">
        <f t="shared" si="57"/>
        <v>0</v>
      </c>
      <c r="CL630">
        <f t="shared" si="58"/>
        <v>4.08414499624993</v>
      </c>
      <c r="CM630">
        <f t="shared" si="59"/>
        <v>0.161112169358415</v>
      </c>
      <c r="CN630" s="15">
        <v>11253.34</v>
      </c>
      <c r="CO630" s="15">
        <v>10453.84</v>
      </c>
      <c r="CP630" s="15">
        <v>1131.02</v>
      </c>
      <c r="CQ630" s="15">
        <v>4560.41</v>
      </c>
      <c r="CR630" s="15">
        <v>227.94</v>
      </c>
      <c r="CS630" s="15">
        <v>18.42</v>
      </c>
      <c r="CT630" s="15">
        <v>267.7</v>
      </c>
      <c r="CU630" s="15">
        <v>192.54</v>
      </c>
      <c r="CV630" s="15">
        <v>18.82</v>
      </c>
      <c r="CW630" s="15">
        <v>886.88</v>
      </c>
    </row>
    <row r="631" spans="1:101">
      <c r="A631" s="6">
        <v>2004</v>
      </c>
      <c r="B631" s="6" t="s">
        <v>125</v>
      </c>
      <c r="C631" s="6">
        <v>0.25517716</v>
      </c>
      <c r="D631" s="6">
        <v>0.043586</v>
      </c>
      <c r="E631" s="6">
        <v>0.011076</v>
      </c>
      <c r="F631" s="6">
        <v>0.020067</v>
      </c>
      <c r="G631" s="6">
        <v>0.006604</v>
      </c>
      <c r="H631" s="6">
        <v>0.005838</v>
      </c>
      <c r="I631" s="6">
        <v>0.043126</v>
      </c>
      <c r="J631" s="6">
        <v>0.024</v>
      </c>
      <c r="K631" s="6">
        <v>0.29032178</v>
      </c>
      <c r="L631" s="6">
        <v>0.22136815</v>
      </c>
      <c r="M631" s="6">
        <v>0.26551334</v>
      </c>
      <c r="N631" s="6">
        <v>0.16672534</v>
      </c>
      <c r="O631" s="6">
        <v>0.14343269</v>
      </c>
      <c r="P631" s="6">
        <v>0.39056033</v>
      </c>
      <c r="Q631" s="6">
        <v>0.35923247</v>
      </c>
      <c r="R631" s="6">
        <v>217.69486</v>
      </c>
      <c r="S631" s="6">
        <v>0.00133362</v>
      </c>
      <c r="T631" s="6">
        <v>169.97573</v>
      </c>
      <c r="U631" s="6">
        <v>0.00130235</v>
      </c>
      <c r="V631" s="6">
        <v>197.11803</v>
      </c>
      <c r="W631" s="6">
        <v>0.00134698</v>
      </c>
      <c r="X631" s="6">
        <v>134.47093</v>
      </c>
      <c r="Y631" s="6">
        <v>0.00123986</v>
      </c>
      <c r="Z631" s="6">
        <v>134.86767</v>
      </c>
      <c r="AA631" s="6">
        <v>0.00106351</v>
      </c>
      <c r="AB631" s="6">
        <v>294.9318</v>
      </c>
      <c r="AC631" s="6">
        <v>0.00132424</v>
      </c>
      <c r="AD631" s="6">
        <v>243.86163</v>
      </c>
      <c r="AE631" s="6">
        <v>0.0014731</v>
      </c>
      <c r="AF631" s="6">
        <v>775</v>
      </c>
      <c r="AG631" s="6">
        <v>-0.00882836</v>
      </c>
      <c r="AH631" s="6">
        <v>-0.00865228</v>
      </c>
      <c r="AI631" s="6">
        <v>-0.00890337</v>
      </c>
      <c r="AJ631" s="6">
        <v>-0.00829809</v>
      </c>
      <c r="AK631" s="6">
        <v>-0.00728096</v>
      </c>
      <c r="AL631" s="6">
        <v>-0.00877562</v>
      </c>
      <c r="AM631" s="6">
        <v>-0.00960518</v>
      </c>
      <c r="AN631" s="6">
        <v>-6.4762184</v>
      </c>
      <c r="AO631" s="6">
        <v>-6.4515561</v>
      </c>
      <c r="AP631" s="6">
        <v>-6.4739881</v>
      </c>
      <c r="AQ631" s="6">
        <v>-6.4253629</v>
      </c>
      <c r="AR631" s="6">
        <v>-6.4020076</v>
      </c>
      <c r="AS631" s="6">
        <v>-6.4618417</v>
      </c>
      <c r="AT631" s="6">
        <v>-6.4506396</v>
      </c>
      <c r="AU631" s="6">
        <v>0.97344833</v>
      </c>
      <c r="AV631" s="6">
        <v>0.96974131</v>
      </c>
      <c r="AW631" s="6">
        <v>0.97311308</v>
      </c>
      <c r="AX631" s="6">
        <v>0.96580418</v>
      </c>
      <c r="AY631" s="6">
        <v>0.96229362</v>
      </c>
      <c r="AZ631" s="6">
        <v>0.97128734</v>
      </c>
      <c r="BA631" s="6">
        <v>0.96960354</v>
      </c>
      <c r="BB631" s="6">
        <v>0.02655167</v>
      </c>
      <c r="BC631" s="6">
        <v>0.03025869</v>
      </c>
      <c r="BD631" s="6">
        <v>0.02688692</v>
      </c>
      <c r="BE631" s="6">
        <v>0.03419582</v>
      </c>
      <c r="BF631" s="6">
        <v>0.03770638</v>
      </c>
      <c r="BG631" s="6">
        <v>0.02871266</v>
      </c>
      <c r="BH631" s="6">
        <v>0.03039646</v>
      </c>
      <c r="BI631" s="6">
        <v>0.21470859</v>
      </c>
      <c r="BJ631" s="6">
        <v>0.12366373</v>
      </c>
      <c r="BK631" s="6">
        <v>0.1409291</v>
      </c>
      <c r="BL631" s="6">
        <v>0.12522516</v>
      </c>
      <c r="BM631" s="6">
        <v>0.1592662</v>
      </c>
      <c r="BN631" s="6">
        <v>0.17561655</v>
      </c>
      <c r="BO631" s="6">
        <v>0.1337285</v>
      </c>
      <c r="BP631" s="6">
        <v>0.14157076</v>
      </c>
      <c r="BQ631" s="6">
        <v>0.03590227</v>
      </c>
      <c r="BR631" s="6">
        <v>0.03119721</v>
      </c>
      <c r="BS631" s="6">
        <v>0.03324895</v>
      </c>
      <c r="BT631" s="6">
        <v>0.02655371</v>
      </c>
      <c r="BU631" s="6">
        <v>0.02518915</v>
      </c>
      <c r="BV631" s="6">
        <v>0.05222904</v>
      </c>
      <c r="BW631" s="6">
        <v>0.05085682</v>
      </c>
      <c r="BX631" s="12">
        <v>13074</v>
      </c>
      <c r="BY631" s="13">
        <v>4217</v>
      </c>
      <c r="BZ631" s="12">
        <v>6672</v>
      </c>
      <c r="CA631" s="6">
        <f t="shared" si="60"/>
        <v>3.10030827602561</v>
      </c>
      <c r="CB631" s="6">
        <f t="shared" si="61"/>
        <v>1.95953237410072</v>
      </c>
      <c r="CC631" s="7">
        <v>224169708.1</v>
      </c>
      <c r="CD631" s="7">
        <f t="shared" si="56"/>
        <v>3.35985773531175</v>
      </c>
      <c r="CE631" s="8">
        <v>1008.9</v>
      </c>
      <c r="CF631" s="8">
        <v>2273.5</v>
      </c>
      <c r="CG631" s="8">
        <v>2264.4</v>
      </c>
      <c r="CH631" s="8">
        <v>9746</v>
      </c>
      <c r="CI631" s="14">
        <v>0</v>
      </c>
      <c r="CJ631" s="14">
        <v>0</v>
      </c>
      <c r="CK631" s="14">
        <f t="shared" si="57"/>
        <v>0</v>
      </c>
      <c r="CL631">
        <f t="shared" si="58"/>
        <v>3.89549779892895</v>
      </c>
      <c r="CM631">
        <f t="shared" si="59"/>
        <v>0.137502340205267</v>
      </c>
      <c r="CN631" s="15">
        <v>13074.15</v>
      </c>
      <c r="CO631" s="15">
        <v>11944.98</v>
      </c>
      <c r="CP631" s="15">
        <v>821.02</v>
      </c>
      <c r="CQ631" s="15">
        <v>5216.67</v>
      </c>
      <c r="CR631" s="15">
        <v>229.18</v>
      </c>
      <c r="CS631" s="15">
        <v>21.53</v>
      </c>
      <c r="CT631" s="15">
        <v>321.68</v>
      </c>
      <c r="CU631" s="15">
        <v>193.29</v>
      </c>
      <c r="CV631" s="15">
        <v>15.81</v>
      </c>
      <c r="CW631" s="15">
        <v>1058.1</v>
      </c>
    </row>
    <row r="632" spans="1:101">
      <c r="A632" s="6">
        <v>2005</v>
      </c>
      <c r="B632" s="6" t="s">
        <v>125</v>
      </c>
      <c r="C632" s="6">
        <v>0.24432896</v>
      </c>
      <c r="D632" s="6">
        <v>0.04549</v>
      </c>
      <c r="E632" s="6">
        <v>0.011666</v>
      </c>
      <c r="F632" s="6">
        <v>0.020775</v>
      </c>
      <c r="G632" s="6">
        <v>0.006732</v>
      </c>
      <c r="H632" s="6">
        <v>0.006318</v>
      </c>
      <c r="I632" s="6">
        <v>0.038642</v>
      </c>
      <c r="J632" s="6">
        <v>0.019054</v>
      </c>
      <c r="K632" s="6">
        <v>0.30525569</v>
      </c>
      <c r="L632" s="6">
        <v>0.23531296</v>
      </c>
      <c r="M632" s="6">
        <v>0.27638301</v>
      </c>
      <c r="N632" s="6">
        <v>0.17049435</v>
      </c>
      <c r="O632" s="6">
        <v>0.15795797</v>
      </c>
      <c r="P632" s="6">
        <v>0.34061877</v>
      </c>
      <c r="Q632" s="6">
        <v>0.27098035</v>
      </c>
      <c r="R632" s="6">
        <v>217.69486</v>
      </c>
      <c r="S632" s="6">
        <v>0.00140222</v>
      </c>
      <c r="T632" s="6">
        <v>169.97573</v>
      </c>
      <c r="U632" s="6">
        <v>0.00138439</v>
      </c>
      <c r="V632" s="6">
        <v>197.11803</v>
      </c>
      <c r="W632" s="6">
        <v>0.00140212</v>
      </c>
      <c r="X632" s="6">
        <v>134.47093</v>
      </c>
      <c r="Y632" s="6">
        <v>0.00126789</v>
      </c>
      <c r="Z632" s="6">
        <v>134.86767</v>
      </c>
      <c r="AA632" s="6">
        <v>0.00117121</v>
      </c>
      <c r="AB632" s="6">
        <v>294.9318</v>
      </c>
      <c r="AC632" s="6">
        <v>0.00115491</v>
      </c>
      <c r="AD632" s="6">
        <v>243.86163</v>
      </c>
      <c r="AE632" s="6">
        <v>0.00111121</v>
      </c>
      <c r="AF632" s="6">
        <v>775</v>
      </c>
      <c r="AG632" s="6">
        <v>-0.00921215</v>
      </c>
      <c r="AH632" s="6">
        <v>-0.00911275</v>
      </c>
      <c r="AI632" s="6">
        <v>-0.0092116</v>
      </c>
      <c r="AJ632" s="6">
        <v>-0.00845734</v>
      </c>
      <c r="AK632" s="6">
        <v>-0.00790532</v>
      </c>
      <c r="AL632" s="6">
        <v>-0.00781148</v>
      </c>
      <c r="AM632" s="6">
        <v>-0.00755876</v>
      </c>
      <c r="AN632" s="6">
        <v>-6.4762184</v>
      </c>
      <c r="AO632" s="6">
        <v>-6.4515561</v>
      </c>
      <c r="AP632" s="6">
        <v>-6.4739881</v>
      </c>
      <c r="AQ632" s="6">
        <v>-6.4253629</v>
      </c>
      <c r="AR632" s="6">
        <v>-6.4020076</v>
      </c>
      <c r="AS632" s="6">
        <v>-6.4618417</v>
      </c>
      <c r="AT632" s="6">
        <v>-6.4506396</v>
      </c>
      <c r="AU632" s="6">
        <v>0.97344833</v>
      </c>
      <c r="AV632" s="6">
        <v>0.96974131</v>
      </c>
      <c r="AW632" s="6">
        <v>0.97311308</v>
      </c>
      <c r="AX632" s="6">
        <v>0.96580418</v>
      </c>
      <c r="AY632" s="6">
        <v>0.96229362</v>
      </c>
      <c r="AZ632" s="6">
        <v>0.97128734</v>
      </c>
      <c r="BA632" s="6">
        <v>0.96960354</v>
      </c>
      <c r="BB632" s="6">
        <v>0.02655167</v>
      </c>
      <c r="BC632" s="6">
        <v>0.03025869</v>
      </c>
      <c r="BD632" s="6">
        <v>0.02688692</v>
      </c>
      <c r="BE632" s="6">
        <v>0.03419582</v>
      </c>
      <c r="BF632" s="6">
        <v>0.03770638</v>
      </c>
      <c r="BG632" s="6">
        <v>0.02871266</v>
      </c>
      <c r="BH632" s="6">
        <v>0.03039646</v>
      </c>
      <c r="BI632" s="6">
        <v>0.21470859</v>
      </c>
      <c r="BJ632" s="6">
        <v>0.12366373</v>
      </c>
      <c r="BK632" s="6">
        <v>0.1409291</v>
      </c>
      <c r="BL632" s="6">
        <v>0.12522516</v>
      </c>
      <c r="BM632" s="6">
        <v>0.1592662</v>
      </c>
      <c r="BN632" s="6">
        <v>0.17561655</v>
      </c>
      <c r="BO632" s="6">
        <v>0.1337285</v>
      </c>
      <c r="BP632" s="6">
        <v>0.14157076</v>
      </c>
      <c r="BQ632" s="6">
        <v>0.03774906</v>
      </c>
      <c r="BR632" s="6">
        <v>0.03316244</v>
      </c>
      <c r="BS632" s="6">
        <v>0.03461011</v>
      </c>
      <c r="BT632" s="6">
        <v>0.02715399</v>
      </c>
      <c r="BU632" s="6">
        <v>0.02774003</v>
      </c>
      <c r="BV632" s="6">
        <v>0.04555044</v>
      </c>
      <c r="BW632" s="6">
        <v>0.0383629</v>
      </c>
      <c r="BX632" s="12">
        <v>13611</v>
      </c>
      <c r="BY632" s="13">
        <v>4221</v>
      </c>
      <c r="BZ632" s="12">
        <v>8047.26</v>
      </c>
      <c r="CA632" s="6">
        <f t="shared" si="60"/>
        <v>3.22459132906894</v>
      </c>
      <c r="CB632" s="6">
        <f t="shared" si="61"/>
        <v>1.69138315401764</v>
      </c>
      <c r="CC632" s="7">
        <v>246017834.8</v>
      </c>
      <c r="CD632" s="7">
        <f t="shared" si="56"/>
        <v>3.05716274607755</v>
      </c>
      <c r="CE632" s="8">
        <v>1069.8</v>
      </c>
      <c r="CF632" s="8">
        <v>2758.8</v>
      </c>
      <c r="CG632" s="8">
        <v>2641</v>
      </c>
      <c r="CH632" s="8">
        <v>11342</v>
      </c>
      <c r="CI632" s="14">
        <v>0</v>
      </c>
      <c r="CJ632" s="14">
        <v>0</v>
      </c>
      <c r="CK632" s="14">
        <f t="shared" si="57"/>
        <v>0</v>
      </c>
      <c r="CL632">
        <f t="shared" si="58"/>
        <v>3.71995059106252</v>
      </c>
      <c r="CM632">
        <f t="shared" si="59"/>
        <v>0.178171141997792</v>
      </c>
      <c r="CN632" s="15">
        <v>14684.9</v>
      </c>
      <c r="CO632" s="15">
        <v>13069.67</v>
      </c>
      <c r="CP632" s="15">
        <v>1703.41</v>
      </c>
      <c r="CQ632" s="15">
        <v>5410.89</v>
      </c>
      <c r="CR632" s="15">
        <v>357.17</v>
      </c>
      <c r="CS632" s="15">
        <v>26.4</v>
      </c>
      <c r="CT632" s="15">
        <v>534.4</v>
      </c>
      <c r="CU632" s="15">
        <v>189.88</v>
      </c>
      <c r="CV632" s="15">
        <v>14.81</v>
      </c>
      <c r="CW632" s="15">
        <v>1110.56</v>
      </c>
    </row>
    <row r="633" spans="1:101">
      <c r="A633" s="6">
        <v>2006</v>
      </c>
      <c r="B633" s="6" t="s">
        <v>125</v>
      </c>
      <c r="C633" s="6">
        <v>0.28009311</v>
      </c>
      <c r="D633" s="6">
        <v>0.048088</v>
      </c>
      <c r="E633" s="6">
        <v>0.012309</v>
      </c>
      <c r="F633" s="6">
        <v>0.021821</v>
      </c>
      <c r="G633" s="6">
        <v>0.007254</v>
      </c>
      <c r="H633" s="6">
        <v>0.006705</v>
      </c>
      <c r="I633" s="6">
        <v>0.044978</v>
      </c>
      <c r="J633" s="6">
        <v>0.025045</v>
      </c>
      <c r="K633" s="6">
        <v>0.32563598</v>
      </c>
      <c r="L633" s="6">
        <v>0.25051439</v>
      </c>
      <c r="M633" s="6">
        <v>0.29246202</v>
      </c>
      <c r="N633" s="6">
        <v>0.18592348</v>
      </c>
      <c r="O633" s="6">
        <v>0.1696886</v>
      </c>
      <c r="P633" s="6">
        <v>0.41119057</v>
      </c>
      <c r="Q633" s="6">
        <v>0.37787487</v>
      </c>
      <c r="R633" s="6">
        <v>217.69486</v>
      </c>
      <c r="S633" s="6">
        <v>0.00149584</v>
      </c>
      <c r="T633" s="6">
        <v>169.97573</v>
      </c>
      <c r="U633" s="6">
        <v>0.00147382</v>
      </c>
      <c r="V633" s="6">
        <v>197.11803</v>
      </c>
      <c r="W633" s="6">
        <v>0.00148369</v>
      </c>
      <c r="X633" s="6">
        <v>134.47093</v>
      </c>
      <c r="Y633" s="6">
        <v>0.00138263</v>
      </c>
      <c r="Z633" s="6">
        <v>134.86767</v>
      </c>
      <c r="AA633" s="6">
        <v>0.00125819</v>
      </c>
      <c r="AB633" s="6">
        <v>294.9318</v>
      </c>
      <c r="AC633" s="6">
        <v>0.00139419</v>
      </c>
      <c r="AD633" s="6">
        <v>243.86163</v>
      </c>
      <c r="AE633" s="6">
        <v>0.00154955</v>
      </c>
      <c r="AF633" s="6">
        <v>775</v>
      </c>
      <c r="AG633" s="6">
        <v>-0.00973052</v>
      </c>
      <c r="AH633" s="6">
        <v>-0.00960918</v>
      </c>
      <c r="AI633" s="6">
        <v>-0.0096636</v>
      </c>
      <c r="AJ633" s="6">
        <v>-0.00910291</v>
      </c>
      <c r="AK633" s="6">
        <v>-0.00840227</v>
      </c>
      <c r="AL633" s="6">
        <v>-0.00916741</v>
      </c>
      <c r="AM633" s="6">
        <v>-0.01002524</v>
      </c>
      <c r="AN633" s="6">
        <v>-6.4762184</v>
      </c>
      <c r="AO633" s="6">
        <v>-6.4515561</v>
      </c>
      <c r="AP633" s="6">
        <v>-6.4739881</v>
      </c>
      <c r="AQ633" s="6">
        <v>-6.4253629</v>
      </c>
      <c r="AR633" s="6">
        <v>-6.4020076</v>
      </c>
      <c r="AS633" s="6">
        <v>-6.4618417</v>
      </c>
      <c r="AT633" s="6">
        <v>-6.4506396</v>
      </c>
      <c r="AU633" s="6">
        <v>0.97344833</v>
      </c>
      <c r="AV633" s="6">
        <v>0.96974131</v>
      </c>
      <c r="AW633" s="6">
        <v>0.97311308</v>
      </c>
      <c r="AX633" s="6">
        <v>0.96580418</v>
      </c>
      <c r="AY633" s="6">
        <v>0.96229362</v>
      </c>
      <c r="AZ633" s="6">
        <v>0.97128734</v>
      </c>
      <c r="BA633" s="6">
        <v>0.96960354</v>
      </c>
      <c r="BB633" s="6">
        <v>0.02655167</v>
      </c>
      <c r="BC633" s="6">
        <v>0.03025869</v>
      </c>
      <c r="BD633" s="6">
        <v>0.02688692</v>
      </c>
      <c r="BE633" s="6">
        <v>0.03419582</v>
      </c>
      <c r="BF633" s="6">
        <v>0.03770638</v>
      </c>
      <c r="BG633" s="6">
        <v>0.02871266</v>
      </c>
      <c r="BH633" s="6">
        <v>0.03039646</v>
      </c>
      <c r="BI633" s="6">
        <v>0.21470859</v>
      </c>
      <c r="BJ633" s="6">
        <v>0.12366373</v>
      </c>
      <c r="BK633" s="6">
        <v>0.1409291</v>
      </c>
      <c r="BL633" s="6">
        <v>0.12522516</v>
      </c>
      <c r="BM633" s="6">
        <v>0.1592662</v>
      </c>
      <c r="BN633" s="6">
        <v>0.17561655</v>
      </c>
      <c r="BO633" s="6">
        <v>0.1337285</v>
      </c>
      <c r="BP633" s="6">
        <v>0.14157076</v>
      </c>
      <c r="BQ633" s="6">
        <v>0.04026936</v>
      </c>
      <c r="BR633" s="6">
        <v>0.03530477</v>
      </c>
      <c r="BS633" s="6">
        <v>0.0366236</v>
      </c>
      <c r="BT633" s="6">
        <v>0.02961133</v>
      </c>
      <c r="BU633" s="6">
        <v>0.02980013</v>
      </c>
      <c r="BV633" s="6">
        <v>0.0549879</v>
      </c>
      <c r="BW633" s="6">
        <v>0.05349603</v>
      </c>
      <c r="BX633" s="12">
        <v>14987</v>
      </c>
      <c r="BY633" s="13">
        <v>4271</v>
      </c>
      <c r="BZ633" s="12">
        <v>9304.52</v>
      </c>
      <c r="CA633" s="6">
        <f t="shared" si="60"/>
        <v>3.50901428236947</v>
      </c>
      <c r="CB633" s="6">
        <f t="shared" si="61"/>
        <v>1.61072253055504</v>
      </c>
      <c r="CC633" s="7">
        <v>264916374</v>
      </c>
      <c r="CD633" s="7">
        <f t="shared" si="56"/>
        <v>2.84717937088641</v>
      </c>
      <c r="CE633" s="8">
        <v>1125.5</v>
      </c>
      <c r="CF633" s="8">
        <v>3270.8</v>
      </c>
      <c r="CG633" s="8">
        <v>3135.5</v>
      </c>
      <c r="CH633" s="8">
        <v>13210</v>
      </c>
      <c r="CI633" s="14">
        <v>0</v>
      </c>
      <c r="CJ633" s="14">
        <v>0</v>
      </c>
      <c r="CK633" s="14">
        <f t="shared" si="57"/>
        <v>0</v>
      </c>
      <c r="CL633">
        <f t="shared" si="58"/>
        <v>3.57740717995078</v>
      </c>
      <c r="CM633">
        <f t="shared" si="59"/>
        <v>0.204122084049268</v>
      </c>
      <c r="CN633" s="15">
        <v>15883.16</v>
      </c>
      <c r="CO633" s="15">
        <v>14211.31</v>
      </c>
      <c r="CP633" s="15">
        <v>1959.93</v>
      </c>
      <c r="CQ633" s="15">
        <v>5555.04</v>
      </c>
      <c r="CR633" s="15">
        <v>393.53</v>
      </c>
      <c r="CS633" s="15">
        <v>34.89</v>
      </c>
      <c r="CT633" s="15">
        <v>587.76</v>
      </c>
      <c r="CU633" s="15">
        <v>230.73</v>
      </c>
      <c r="CV633" s="15">
        <v>13.1</v>
      </c>
      <c r="CW633" s="15">
        <v>1228.28</v>
      </c>
    </row>
    <row r="634" spans="1:101">
      <c r="A634" s="6">
        <v>2007</v>
      </c>
      <c r="B634" s="6" t="s">
        <v>125</v>
      </c>
      <c r="C634" s="6">
        <v>0.2654155</v>
      </c>
      <c r="D634" s="6">
        <v>0.0441</v>
      </c>
      <c r="E634" s="6">
        <v>0.011066</v>
      </c>
      <c r="F634" s="6">
        <v>0.02008</v>
      </c>
      <c r="G634" s="6">
        <v>0.006779</v>
      </c>
      <c r="H634" s="6">
        <v>0.006175</v>
      </c>
      <c r="I634" s="6">
        <v>0.04795</v>
      </c>
      <c r="J634" s="6">
        <v>0.023979</v>
      </c>
      <c r="K634" s="6">
        <v>0.29435703</v>
      </c>
      <c r="L634" s="6">
        <v>0.22112664</v>
      </c>
      <c r="M634" s="6">
        <v>0.26571115</v>
      </c>
      <c r="N634" s="6">
        <v>0.1719043</v>
      </c>
      <c r="O634" s="6">
        <v>0.15363242</v>
      </c>
      <c r="P634" s="6">
        <v>0.44429589</v>
      </c>
      <c r="Q634" s="6">
        <v>0.3588548</v>
      </c>
      <c r="R634" s="6">
        <v>217.69486</v>
      </c>
      <c r="S634" s="6">
        <v>0.00135215</v>
      </c>
      <c r="T634" s="6">
        <v>169.97573</v>
      </c>
      <c r="U634" s="6">
        <v>0.00130093</v>
      </c>
      <c r="V634" s="6">
        <v>197.11803</v>
      </c>
      <c r="W634" s="6">
        <v>0.00134798</v>
      </c>
      <c r="X634" s="6">
        <v>134.47093</v>
      </c>
      <c r="Y634" s="6">
        <v>0.00127838</v>
      </c>
      <c r="Z634" s="6">
        <v>134.86767</v>
      </c>
      <c r="AA634" s="6">
        <v>0.00113913</v>
      </c>
      <c r="AB634" s="6">
        <v>294.9318</v>
      </c>
      <c r="AC634" s="6">
        <v>0.00150644</v>
      </c>
      <c r="AD634" s="6">
        <v>243.86163</v>
      </c>
      <c r="AE634" s="6">
        <v>0.00147155</v>
      </c>
      <c r="AF634" s="6">
        <v>775</v>
      </c>
      <c r="AG634" s="6">
        <v>-0.00893241</v>
      </c>
      <c r="AH634" s="6">
        <v>-0.00864426</v>
      </c>
      <c r="AI634" s="6">
        <v>-0.008909</v>
      </c>
      <c r="AJ634" s="6">
        <v>-0.00851675</v>
      </c>
      <c r="AK634" s="6">
        <v>-0.00772047</v>
      </c>
      <c r="AL634" s="6">
        <v>-0.00978883</v>
      </c>
      <c r="AM634" s="6">
        <v>-0.00959663</v>
      </c>
      <c r="AN634" s="6">
        <v>-6.4762184</v>
      </c>
      <c r="AO634" s="6">
        <v>-6.4515561</v>
      </c>
      <c r="AP634" s="6">
        <v>-6.4739881</v>
      </c>
      <c r="AQ634" s="6">
        <v>-6.4253629</v>
      </c>
      <c r="AR634" s="6">
        <v>-6.4020076</v>
      </c>
      <c r="AS634" s="6">
        <v>-6.4618417</v>
      </c>
      <c r="AT634" s="6">
        <v>-6.4506396</v>
      </c>
      <c r="AU634" s="6">
        <v>0.97344833</v>
      </c>
      <c r="AV634" s="6">
        <v>0.96974131</v>
      </c>
      <c r="AW634" s="6">
        <v>0.97311308</v>
      </c>
      <c r="AX634" s="6">
        <v>0.96580418</v>
      </c>
      <c r="AY634" s="6">
        <v>0.96229362</v>
      </c>
      <c r="AZ634" s="6">
        <v>0.97128734</v>
      </c>
      <c r="BA634" s="6">
        <v>0.96960354</v>
      </c>
      <c r="BB634" s="6">
        <v>0.02655167</v>
      </c>
      <c r="BC634" s="6">
        <v>0.03025869</v>
      </c>
      <c r="BD634" s="6">
        <v>0.02688692</v>
      </c>
      <c r="BE634" s="6">
        <v>0.03419582</v>
      </c>
      <c r="BF634" s="6">
        <v>0.03770638</v>
      </c>
      <c r="BG634" s="6">
        <v>0.02871266</v>
      </c>
      <c r="BH634" s="6">
        <v>0.03039646</v>
      </c>
      <c r="BI634" s="6">
        <v>0.21470859</v>
      </c>
      <c r="BJ634" s="6">
        <v>0.12366373</v>
      </c>
      <c r="BK634" s="6">
        <v>0.1409291</v>
      </c>
      <c r="BL634" s="6">
        <v>0.12522516</v>
      </c>
      <c r="BM634" s="6">
        <v>0.1592662</v>
      </c>
      <c r="BN634" s="6">
        <v>0.17561655</v>
      </c>
      <c r="BO634" s="6">
        <v>0.1337285</v>
      </c>
      <c r="BP634" s="6">
        <v>0.14157076</v>
      </c>
      <c r="BQ634" s="6">
        <v>0.03640129</v>
      </c>
      <c r="BR634" s="6">
        <v>0.03116318</v>
      </c>
      <c r="BS634" s="6">
        <v>0.03327372</v>
      </c>
      <c r="BT634" s="6">
        <v>0.02737855</v>
      </c>
      <c r="BU634" s="6">
        <v>0.0269804</v>
      </c>
      <c r="BV634" s="6">
        <v>0.05941502</v>
      </c>
      <c r="BW634" s="6">
        <v>0.05080335</v>
      </c>
      <c r="BX634" s="12">
        <v>16544</v>
      </c>
      <c r="BY634" s="13">
        <v>4298</v>
      </c>
      <c r="BZ634" s="12">
        <v>11164.3</v>
      </c>
      <c r="CA634" s="6">
        <f t="shared" si="60"/>
        <v>3.84923220102373</v>
      </c>
      <c r="CB634" s="6">
        <f t="shared" si="61"/>
        <v>1.48186630599321</v>
      </c>
      <c r="CC634" s="7">
        <v>285893260.4</v>
      </c>
      <c r="CD634" s="7">
        <f t="shared" si="56"/>
        <v>2.56078088550111</v>
      </c>
      <c r="CE634" s="8">
        <v>1331.4</v>
      </c>
      <c r="CF634" s="8">
        <v>4128.9</v>
      </c>
      <c r="CG634" s="8">
        <v>3991.1</v>
      </c>
      <c r="CH634" s="8">
        <v>16593</v>
      </c>
      <c r="CI634" s="14">
        <v>0</v>
      </c>
      <c r="CJ634" s="14">
        <v>0</v>
      </c>
      <c r="CK634" s="14">
        <f t="shared" si="57"/>
        <v>0</v>
      </c>
      <c r="CL634">
        <f t="shared" si="58"/>
        <v>3.23986794305777</v>
      </c>
      <c r="CM634">
        <f t="shared" si="59"/>
        <v>0.20960331392882</v>
      </c>
      <c r="CN634" s="15">
        <v>17379.47</v>
      </c>
      <c r="CO634" s="15">
        <v>15224.32</v>
      </c>
      <c r="CP634" s="15">
        <v>2298.83</v>
      </c>
      <c r="CQ634" s="15">
        <v>5893.46</v>
      </c>
      <c r="CR634" s="15">
        <v>442.12</v>
      </c>
      <c r="CS634" s="15">
        <v>38.15</v>
      </c>
      <c r="CT634" s="15">
        <v>693.71</v>
      </c>
      <c r="CU634" s="15">
        <v>224.22</v>
      </c>
      <c r="CV634" s="15">
        <v>14.24</v>
      </c>
      <c r="CW634" s="15">
        <v>1359.51</v>
      </c>
    </row>
    <row r="635" spans="1:101">
      <c r="A635" s="6">
        <v>2008</v>
      </c>
      <c r="B635" s="6" t="s">
        <v>125</v>
      </c>
      <c r="C635" s="6">
        <v>0.29345783</v>
      </c>
      <c r="D635" s="6">
        <v>0.049011</v>
      </c>
      <c r="E635" s="6">
        <v>0.012034</v>
      </c>
      <c r="F635" s="6">
        <v>0.022177</v>
      </c>
      <c r="G635" s="6">
        <v>0.007184</v>
      </c>
      <c r="H635" s="6">
        <v>0.007615</v>
      </c>
      <c r="I635" s="6">
        <v>0.048008</v>
      </c>
      <c r="J635" s="6">
        <v>0.026496</v>
      </c>
      <c r="K635" s="6">
        <v>0.33287323</v>
      </c>
      <c r="L635" s="6">
        <v>0.24402589</v>
      </c>
      <c r="M635" s="6">
        <v>0.29793171</v>
      </c>
      <c r="N635" s="6">
        <v>0.18387062</v>
      </c>
      <c r="O635" s="6">
        <v>0.19728558</v>
      </c>
      <c r="P635" s="6">
        <v>0.44494381</v>
      </c>
      <c r="Q635" s="6">
        <v>0.40376938</v>
      </c>
      <c r="R635" s="6">
        <v>217.69486</v>
      </c>
      <c r="S635" s="6">
        <v>0.00152908</v>
      </c>
      <c r="T635" s="6">
        <v>169.97573</v>
      </c>
      <c r="U635" s="6">
        <v>0.00143565</v>
      </c>
      <c r="V635" s="6">
        <v>197.11803</v>
      </c>
      <c r="W635" s="6">
        <v>0.00151144</v>
      </c>
      <c r="X635" s="6">
        <v>134.47093</v>
      </c>
      <c r="Y635" s="6">
        <v>0.00136736</v>
      </c>
      <c r="Z635" s="6">
        <v>134.86767</v>
      </c>
      <c r="AA635" s="6">
        <v>0.00146281</v>
      </c>
      <c r="AB635" s="6">
        <v>294.9318</v>
      </c>
      <c r="AC635" s="6">
        <v>0.00150863</v>
      </c>
      <c r="AD635" s="6">
        <v>243.86163</v>
      </c>
      <c r="AE635" s="6">
        <v>0.00165573</v>
      </c>
      <c r="AF635" s="6">
        <v>775</v>
      </c>
      <c r="AG635" s="6">
        <v>-0.00991317</v>
      </c>
      <c r="AH635" s="6">
        <v>-0.00939797</v>
      </c>
      <c r="AI635" s="6">
        <v>-0.00981633</v>
      </c>
      <c r="AJ635" s="6">
        <v>-0.00901758</v>
      </c>
      <c r="AK635" s="6">
        <v>-0.00954833</v>
      </c>
      <c r="AL635" s="6">
        <v>-0.00980091</v>
      </c>
      <c r="AM635" s="6">
        <v>-0.0106025</v>
      </c>
      <c r="AN635" s="6">
        <v>-6.4762184</v>
      </c>
      <c r="AO635" s="6">
        <v>-6.4515561</v>
      </c>
      <c r="AP635" s="6">
        <v>-6.4739881</v>
      </c>
      <c r="AQ635" s="6">
        <v>-6.4253629</v>
      </c>
      <c r="AR635" s="6">
        <v>-6.4020076</v>
      </c>
      <c r="AS635" s="6">
        <v>-6.4618417</v>
      </c>
      <c r="AT635" s="6">
        <v>-6.4506396</v>
      </c>
      <c r="AU635" s="6">
        <v>0.97344833</v>
      </c>
      <c r="AV635" s="6">
        <v>0.96974131</v>
      </c>
      <c r="AW635" s="6">
        <v>0.97311308</v>
      </c>
      <c r="AX635" s="6">
        <v>0.96580418</v>
      </c>
      <c r="AY635" s="6">
        <v>0.96229362</v>
      </c>
      <c r="AZ635" s="6">
        <v>0.97128734</v>
      </c>
      <c r="BA635" s="6">
        <v>0.96960354</v>
      </c>
      <c r="BB635" s="6">
        <v>0.02655167</v>
      </c>
      <c r="BC635" s="6">
        <v>0.03025869</v>
      </c>
      <c r="BD635" s="6">
        <v>0.02688692</v>
      </c>
      <c r="BE635" s="6">
        <v>0.03419582</v>
      </c>
      <c r="BF635" s="6">
        <v>0.03770638</v>
      </c>
      <c r="BG635" s="6">
        <v>0.02871266</v>
      </c>
      <c r="BH635" s="6">
        <v>0.03039646</v>
      </c>
      <c r="BI635" s="6">
        <v>0.21470859</v>
      </c>
      <c r="BJ635" s="6">
        <v>0.12366373</v>
      </c>
      <c r="BK635" s="6">
        <v>0.1409291</v>
      </c>
      <c r="BL635" s="6">
        <v>0.12522516</v>
      </c>
      <c r="BM635" s="6">
        <v>0.1592662</v>
      </c>
      <c r="BN635" s="6">
        <v>0.17561655</v>
      </c>
      <c r="BO635" s="6">
        <v>0.1337285</v>
      </c>
      <c r="BP635" s="6">
        <v>0.14157076</v>
      </c>
      <c r="BQ635" s="6">
        <v>0.04116435</v>
      </c>
      <c r="BR635" s="6">
        <v>0.03439035</v>
      </c>
      <c r="BS635" s="6">
        <v>0.03730855</v>
      </c>
      <c r="BT635" s="6">
        <v>0.02928437</v>
      </c>
      <c r="BU635" s="6">
        <v>0.03464661</v>
      </c>
      <c r="BV635" s="6">
        <v>0.05950167</v>
      </c>
      <c r="BW635" s="6">
        <v>0.05716194</v>
      </c>
      <c r="BX635" s="12">
        <v>17801</v>
      </c>
      <c r="BY635" s="13">
        <v>4315</v>
      </c>
      <c r="BZ635" s="12">
        <v>13668.58</v>
      </c>
      <c r="CA635" s="6">
        <f t="shared" si="60"/>
        <v>4.12537659327926</v>
      </c>
      <c r="CB635" s="6">
        <f t="shared" si="61"/>
        <v>1.3023298689403</v>
      </c>
      <c r="CC635" s="7">
        <v>298107504.1</v>
      </c>
      <c r="CD635" s="7">
        <f t="shared" si="56"/>
        <v>2.18096908457206</v>
      </c>
      <c r="CE635" s="8">
        <v>1716</v>
      </c>
      <c r="CF635" s="8">
        <v>5066.2</v>
      </c>
      <c r="CG635" s="8">
        <v>4715.2</v>
      </c>
      <c r="CH635" s="8">
        <v>20153</v>
      </c>
      <c r="CI635" s="14">
        <v>0</v>
      </c>
      <c r="CJ635" s="14">
        <v>0</v>
      </c>
      <c r="CK635" s="14">
        <f t="shared" si="57"/>
        <v>0</v>
      </c>
      <c r="CL635">
        <f t="shared" si="58"/>
        <v>2.71728515287532</v>
      </c>
      <c r="CM635">
        <f t="shared" si="59"/>
        <v>0.197372023225369</v>
      </c>
      <c r="CN635" s="15">
        <v>17801</v>
      </c>
      <c r="CO635" s="15">
        <v>15347</v>
      </c>
      <c r="CP635" s="15">
        <v>2440.82</v>
      </c>
      <c r="CQ635" s="15">
        <v>5945.19</v>
      </c>
      <c r="CR635" s="15">
        <v>410.49</v>
      </c>
      <c r="CS635" s="15">
        <v>24.99</v>
      </c>
      <c r="CT635" s="15">
        <v>778.42</v>
      </c>
      <c r="CU635" s="15">
        <v>379.66</v>
      </c>
      <c r="CV635" s="15">
        <v>16.21</v>
      </c>
      <c r="CW635" s="15">
        <v>1411.99</v>
      </c>
    </row>
    <row r="636" spans="1:101">
      <c r="A636" s="6">
        <v>2009</v>
      </c>
      <c r="B636" s="6" t="s">
        <v>125</v>
      </c>
      <c r="C636" s="6">
        <v>0.27578534</v>
      </c>
      <c r="D636" s="6">
        <v>0.046388</v>
      </c>
      <c r="E636" s="6">
        <v>0.011466</v>
      </c>
      <c r="F636" s="6">
        <v>0.020751</v>
      </c>
      <c r="G636" s="6">
        <v>0.00727</v>
      </c>
      <c r="H636" s="6">
        <v>0.006901</v>
      </c>
      <c r="I636" s="6">
        <v>0.049373</v>
      </c>
      <c r="J636" s="6">
        <v>0.022884</v>
      </c>
      <c r="K636" s="6">
        <v>0.31230009</v>
      </c>
      <c r="L636" s="6">
        <v>0.23058744</v>
      </c>
      <c r="M636" s="6">
        <v>0.2760198</v>
      </c>
      <c r="N636" s="6">
        <v>0.18639732</v>
      </c>
      <c r="O636" s="6">
        <v>0.17564254</v>
      </c>
      <c r="P636" s="6">
        <v>0.46014259</v>
      </c>
      <c r="Q636" s="6">
        <v>0.33931679</v>
      </c>
      <c r="R636" s="6">
        <v>217.69486</v>
      </c>
      <c r="S636" s="6">
        <v>0.00143458</v>
      </c>
      <c r="T636" s="6">
        <v>169.97573</v>
      </c>
      <c r="U636" s="6">
        <v>0.00135659</v>
      </c>
      <c r="V636" s="6">
        <v>197.11803</v>
      </c>
      <c r="W636" s="6">
        <v>0.00140028</v>
      </c>
      <c r="X636" s="6">
        <v>134.47093</v>
      </c>
      <c r="Y636" s="6">
        <v>0.00138615</v>
      </c>
      <c r="Z636" s="6">
        <v>134.86767</v>
      </c>
      <c r="AA636" s="6">
        <v>0.00130233</v>
      </c>
      <c r="AB636" s="6">
        <v>294.9318</v>
      </c>
      <c r="AC636" s="6">
        <v>0.00156017</v>
      </c>
      <c r="AD636" s="6">
        <v>243.86163</v>
      </c>
      <c r="AE636" s="6">
        <v>0.00139143</v>
      </c>
      <c r="AF636" s="6">
        <v>775</v>
      </c>
      <c r="AG636" s="6">
        <v>-0.00939201</v>
      </c>
      <c r="AH636" s="6">
        <v>-0.00895727</v>
      </c>
      <c r="AI636" s="6">
        <v>-0.00920134</v>
      </c>
      <c r="AJ636" s="6">
        <v>-0.00912258</v>
      </c>
      <c r="AK636" s="6">
        <v>-0.00865217</v>
      </c>
      <c r="AL636" s="6">
        <v>-0.0100833</v>
      </c>
      <c r="AM636" s="6">
        <v>-0.00915203</v>
      </c>
      <c r="AN636" s="6">
        <v>-6.4762184</v>
      </c>
      <c r="AO636" s="6">
        <v>-6.4515561</v>
      </c>
      <c r="AP636" s="6">
        <v>-6.4739881</v>
      </c>
      <c r="AQ636" s="6">
        <v>-6.4253629</v>
      </c>
      <c r="AR636" s="6">
        <v>-6.4020076</v>
      </c>
      <c r="AS636" s="6">
        <v>-6.4618417</v>
      </c>
      <c r="AT636" s="6">
        <v>-6.4506396</v>
      </c>
      <c r="AU636" s="6">
        <v>0.97344833</v>
      </c>
      <c r="AV636" s="6">
        <v>0.96974131</v>
      </c>
      <c r="AW636" s="6">
        <v>0.97311308</v>
      </c>
      <c r="AX636" s="6">
        <v>0.96580418</v>
      </c>
      <c r="AY636" s="6">
        <v>0.96229362</v>
      </c>
      <c r="AZ636" s="6">
        <v>0.97128734</v>
      </c>
      <c r="BA636" s="6">
        <v>0.96960354</v>
      </c>
      <c r="BB636" s="6">
        <v>0.02655167</v>
      </c>
      <c r="BC636" s="6">
        <v>0.03025869</v>
      </c>
      <c r="BD636" s="6">
        <v>0.02688692</v>
      </c>
      <c r="BE636" s="6">
        <v>0.03419582</v>
      </c>
      <c r="BF636" s="6">
        <v>0.03770638</v>
      </c>
      <c r="BG636" s="6">
        <v>0.02871266</v>
      </c>
      <c r="BH636" s="6">
        <v>0.03039646</v>
      </c>
      <c r="BI636" s="6">
        <v>0.21470859</v>
      </c>
      <c r="BJ636" s="6">
        <v>0.12366373</v>
      </c>
      <c r="BK636" s="6">
        <v>0.1409291</v>
      </c>
      <c r="BL636" s="6">
        <v>0.12522516</v>
      </c>
      <c r="BM636" s="6">
        <v>0.1592662</v>
      </c>
      <c r="BN636" s="6">
        <v>0.17561655</v>
      </c>
      <c r="BO636" s="6">
        <v>0.1337285</v>
      </c>
      <c r="BP636" s="6">
        <v>0.14157076</v>
      </c>
      <c r="BQ636" s="6">
        <v>0.0386202</v>
      </c>
      <c r="BR636" s="6">
        <v>0.03249648</v>
      </c>
      <c r="BS636" s="6">
        <v>0.03456462</v>
      </c>
      <c r="BT636" s="6">
        <v>0.02968679</v>
      </c>
      <c r="BU636" s="6">
        <v>0.03084574</v>
      </c>
      <c r="BV636" s="6">
        <v>0.06153418</v>
      </c>
      <c r="BW636" s="6">
        <v>0.04803734</v>
      </c>
      <c r="BX636" s="12">
        <v>19112</v>
      </c>
      <c r="BY636" s="13">
        <v>4341</v>
      </c>
      <c r="BZ636" s="12">
        <v>15212.49</v>
      </c>
      <c r="CA636" s="6">
        <f t="shared" si="60"/>
        <v>4.40267219534669</v>
      </c>
      <c r="CB636" s="6">
        <f t="shared" si="61"/>
        <v>1.256336076474</v>
      </c>
      <c r="CC636" s="7">
        <v>320278907.1</v>
      </c>
      <c r="CD636" s="7">
        <f t="shared" si="56"/>
        <v>2.10536806992149</v>
      </c>
      <c r="CE636" s="8">
        <v>1717.3</v>
      </c>
      <c r="CF636" s="8">
        <v>6035.5</v>
      </c>
      <c r="CG636" s="8">
        <v>5439.3</v>
      </c>
      <c r="CH636" s="8">
        <v>23081</v>
      </c>
      <c r="CI636" s="14">
        <v>0</v>
      </c>
      <c r="CJ636" s="14">
        <v>0</v>
      </c>
      <c r="CK636" s="14">
        <f t="shared" si="57"/>
        <v>0</v>
      </c>
      <c r="CL636">
        <f t="shared" si="58"/>
        <v>2.66960201713366</v>
      </c>
      <c r="CM636">
        <f t="shared" si="59"/>
        <v>0.211355079742554</v>
      </c>
      <c r="CN636" s="15">
        <v>19112</v>
      </c>
      <c r="CO636" s="15">
        <v>16033</v>
      </c>
      <c r="CP636" s="15">
        <v>2795.19</v>
      </c>
      <c r="CQ636" s="15">
        <v>5873.05</v>
      </c>
      <c r="CR636" s="15">
        <v>464.05</v>
      </c>
      <c r="CS636" s="15">
        <v>20.62</v>
      </c>
      <c r="CT636" s="15">
        <v>810.45</v>
      </c>
      <c r="CU636" s="15">
        <v>299.94</v>
      </c>
      <c r="CV636" s="15">
        <v>16.44</v>
      </c>
      <c r="CW636" s="15">
        <v>1488.17</v>
      </c>
    </row>
    <row r="637" spans="1:101">
      <c r="A637" s="6">
        <v>2010</v>
      </c>
      <c r="B637" s="6" t="s">
        <v>125</v>
      </c>
      <c r="C637" s="6">
        <v>0.31256425</v>
      </c>
      <c r="D637" s="6">
        <v>0.053863</v>
      </c>
      <c r="E637" s="6">
        <v>0.013691</v>
      </c>
      <c r="F637" s="6">
        <v>0.023574</v>
      </c>
      <c r="G637" s="6">
        <v>0.008392</v>
      </c>
      <c r="H637" s="6">
        <v>0.008206</v>
      </c>
      <c r="I637" s="6">
        <v>0.04977</v>
      </c>
      <c r="J637" s="6">
        <v>0.024414</v>
      </c>
      <c r="K637" s="6">
        <v>0.37093375</v>
      </c>
      <c r="L637" s="6">
        <v>0.28320281</v>
      </c>
      <c r="M637" s="6">
        <v>0.31940838</v>
      </c>
      <c r="N637" s="6">
        <v>0.21956643</v>
      </c>
      <c r="O637" s="6">
        <v>0.21517012</v>
      </c>
      <c r="P637" s="6">
        <v>0.46456014</v>
      </c>
      <c r="Q637" s="6">
        <v>0.36661415</v>
      </c>
      <c r="R637" s="6">
        <v>217.69486</v>
      </c>
      <c r="S637" s="6">
        <v>0.00170392</v>
      </c>
      <c r="T637" s="6">
        <v>169.97573</v>
      </c>
      <c r="U637" s="6">
        <v>0.00166614</v>
      </c>
      <c r="V637" s="6">
        <v>197.11803</v>
      </c>
      <c r="W637" s="6">
        <v>0.00162039</v>
      </c>
      <c r="X637" s="6">
        <v>134.47093</v>
      </c>
      <c r="Y637" s="6">
        <v>0.00163282</v>
      </c>
      <c r="Z637" s="6">
        <v>134.86767</v>
      </c>
      <c r="AA637" s="6">
        <v>0.00159542</v>
      </c>
      <c r="AB637" s="6">
        <v>294.9318</v>
      </c>
      <c r="AC637" s="6">
        <v>0.00157514</v>
      </c>
      <c r="AD637" s="6">
        <v>243.86163</v>
      </c>
      <c r="AE637" s="6">
        <v>0.00150337</v>
      </c>
      <c r="AF637" s="6">
        <v>775</v>
      </c>
      <c r="AG637" s="6">
        <v>-0.01086217</v>
      </c>
      <c r="AH637" s="6">
        <v>-0.01065869</v>
      </c>
      <c r="AI637" s="6">
        <v>-0.01041116</v>
      </c>
      <c r="AJ637" s="6">
        <v>-0.01047852</v>
      </c>
      <c r="AK637" s="6">
        <v>-0.01027547</v>
      </c>
      <c r="AL637" s="6">
        <v>-0.01016505</v>
      </c>
      <c r="AM637" s="6">
        <v>-0.00977197</v>
      </c>
      <c r="AN637" s="6">
        <v>-6.4762184</v>
      </c>
      <c r="AO637" s="6">
        <v>-6.4515561</v>
      </c>
      <c r="AP637" s="6">
        <v>-6.4739881</v>
      </c>
      <c r="AQ637" s="6">
        <v>-6.4253629</v>
      </c>
      <c r="AR637" s="6">
        <v>-6.4020076</v>
      </c>
      <c r="AS637" s="6">
        <v>-6.4618417</v>
      </c>
      <c r="AT637" s="6">
        <v>-6.4506396</v>
      </c>
      <c r="AU637" s="6">
        <v>0.97344833</v>
      </c>
      <c r="AV637" s="6">
        <v>0.96974131</v>
      </c>
      <c r="AW637" s="6">
        <v>0.97311308</v>
      </c>
      <c r="AX637" s="6">
        <v>0.96580418</v>
      </c>
      <c r="AY637" s="6">
        <v>0.96229362</v>
      </c>
      <c r="AZ637" s="6">
        <v>0.97128734</v>
      </c>
      <c r="BA637" s="6">
        <v>0.96960354</v>
      </c>
      <c r="BB637" s="6">
        <v>0.02655167</v>
      </c>
      <c r="BC637" s="6">
        <v>0.03025869</v>
      </c>
      <c r="BD637" s="6">
        <v>0.02688692</v>
      </c>
      <c r="BE637" s="6">
        <v>0.03419582</v>
      </c>
      <c r="BF637" s="6">
        <v>0.03770638</v>
      </c>
      <c r="BG637" s="6">
        <v>0.02871266</v>
      </c>
      <c r="BH637" s="6">
        <v>0.03039646</v>
      </c>
      <c r="BI637" s="6">
        <v>0.21470859</v>
      </c>
      <c r="BJ637" s="6">
        <v>0.12366373</v>
      </c>
      <c r="BK637" s="6">
        <v>0.1409291</v>
      </c>
      <c r="BL637" s="6">
        <v>0.12522516</v>
      </c>
      <c r="BM637" s="6">
        <v>0.1592662</v>
      </c>
      <c r="BN637" s="6">
        <v>0.17561655</v>
      </c>
      <c r="BO637" s="6">
        <v>0.1337285</v>
      </c>
      <c r="BP637" s="6">
        <v>0.14157076</v>
      </c>
      <c r="BQ637" s="6">
        <v>0.04587105</v>
      </c>
      <c r="BR637" s="6">
        <v>0.03991152</v>
      </c>
      <c r="BS637" s="6">
        <v>0.03999797</v>
      </c>
      <c r="BT637" s="6">
        <v>0.03496951</v>
      </c>
      <c r="BU637" s="6">
        <v>0.03778743</v>
      </c>
      <c r="BV637" s="6">
        <v>0.06212493</v>
      </c>
      <c r="BW637" s="6">
        <v>0.05190185</v>
      </c>
      <c r="BX637" s="12">
        <v>20947</v>
      </c>
      <c r="BY637" s="13">
        <v>4375</v>
      </c>
      <c r="BZ637" s="12">
        <v>18457.27</v>
      </c>
      <c r="CA637" s="6">
        <f t="shared" si="60"/>
        <v>4.78788571428571</v>
      </c>
      <c r="CB637" s="6">
        <f t="shared" si="61"/>
        <v>1.13489156305347</v>
      </c>
      <c r="CC637" s="7">
        <v>363871750.4</v>
      </c>
      <c r="CD637" s="7">
        <f t="shared" si="56"/>
        <v>1.97142779186738</v>
      </c>
      <c r="CE637" s="8">
        <v>2043.2</v>
      </c>
      <c r="CF637" s="8">
        <v>7748.3</v>
      </c>
      <c r="CG637" s="8">
        <v>6435.5</v>
      </c>
      <c r="CH637" s="8">
        <v>28359</v>
      </c>
      <c r="CI637" s="14">
        <v>0</v>
      </c>
      <c r="CJ637" s="14">
        <v>0</v>
      </c>
      <c r="CK637" s="14">
        <f t="shared" si="57"/>
        <v>0</v>
      </c>
      <c r="CL637">
        <f t="shared" si="58"/>
        <v>2.40850270516871</v>
      </c>
      <c r="CM637">
        <f t="shared" si="59"/>
        <v>0.181471630637306</v>
      </c>
      <c r="CN637" s="15">
        <v>20946.52</v>
      </c>
      <c r="CO637" s="15">
        <v>16908.43</v>
      </c>
      <c r="CP637" s="15">
        <v>3162.88</v>
      </c>
      <c r="CQ637" s="15">
        <v>6558.91</v>
      </c>
      <c r="CR637" s="15">
        <v>593.17</v>
      </c>
      <c r="CS637" s="15">
        <v>23.34</v>
      </c>
      <c r="CT637" s="15">
        <v>963.9</v>
      </c>
      <c r="CU637" s="15">
        <v>356.43</v>
      </c>
      <c r="CV637" s="15">
        <v>19.02</v>
      </c>
      <c r="CW637" s="15">
        <v>1715.26</v>
      </c>
    </row>
    <row r="638" spans="1:101">
      <c r="A638" s="6">
        <v>2011</v>
      </c>
      <c r="B638" s="6" t="s">
        <v>125</v>
      </c>
      <c r="C638" s="6">
        <v>0.32118388</v>
      </c>
      <c r="D638" s="6">
        <v>0.051516</v>
      </c>
      <c r="E638" s="6">
        <v>0.012726</v>
      </c>
      <c r="F638" s="6">
        <v>0.023096</v>
      </c>
      <c r="G638" s="6">
        <v>0.00831</v>
      </c>
      <c r="H638" s="6">
        <v>0.007384</v>
      </c>
      <c r="I638" s="6">
        <v>0.057421</v>
      </c>
      <c r="J638" s="6">
        <v>0.027736</v>
      </c>
      <c r="K638" s="6">
        <v>0.35252712</v>
      </c>
      <c r="L638" s="6">
        <v>0.26038652</v>
      </c>
      <c r="M638" s="6">
        <v>0.31205933</v>
      </c>
      <c r="N638" s="6">
        <v>0.21714475</v>
      </c>
      <c r="O638" s="6">
        <v>0.19027662</v>
      </c>
      <c r="P638" s="6">
        <v>0.54978159</v>
      </c>
      <c r="Q638" s="6">
        <v>0.42589537</v>
      </c>
      <c r="R638" s="6">
        <v>217.69486</v>
      </c>
      <c r="S638" s="6">
        <v>0.00161936</v>
      </c>
      <c r="T638" s="6">
        <v>169.97573</v>
      </c>
      <c r="U638" s="6">
        <v>0.0015319</v>
      </c>
      <c r="V638" s="6">
        <v>197.11803</v>
      </c>
      <c r="W638" s="6">
        <v>0.00158311</v>
      </c>
      <c r="X638" s="6">
        <v>134.47093</v>
      </c>
      <c r="Y638" s="6">
        <v>0.00161481</v>
      </c>
      <c r="Z638" s="6">
        <v>134.86767</v>
      </c>
      <c r="AA638" s="6">
        <v>0.00141084</v>
      </c>
      <c r="AB638" s="6">
        <v>294.9318</v>
      </c>
      <c r="AC638" s="6">
        <v>0.0018641</v>
      </c>
      <c r="AD638" s="6">
        <v>243.86163</v>
      </c>
      <c r="AE638" s="6">
        <v>0.00174646</v>
      </c>
      <c r="AF638" s="6">
        <v>775</v>
      </c>
      <c r="AG638" s="6">
        <v>-0.01040558</v>
      </c>
      <c r="AH638" s="6">
        <v>-0.00992864</v>
      </c>
      <c r="AI638" s="6">
        <v>-0.01020846</v>
      </c>
      <c r="AJ638" s="6">
        <v>-0.01038086</v>
      </c>
      <c r="AK638" s="6">
        <v>-0.00926014</v>
      </c>
      <c r="AL638" s="6">
        <v>-0.01171581</v>
      </c>
      <c r="AM638" s="6">
        <v>-0.01109033</v>
      </c>
      <c r="AN638" s="6">
        <v>-6.4762184</v>
      </c>
      <c r="AO638" s="6">
        <v>-6.4515561</v>
      </c>
      <c r="AP638" s="6">
        <v>-6.4739881</v>
      </c>
      <c r="AQ638" s="6">
        <v>-6.4253629</v>
      </c>
      <c r="AR638" s="6">
        <v>-6.4020076</v>
      </c>
      <c r="AS638" s="6">
        <v>-6.4618417</v>
      </c>
      <c r="AT638" s="6">
        <v>-6.4506396</v>
      </c>
      <c r="AU638" s="6">
        <v>0.97344833</v>
      </c>
      <c r="AV638" s="6">
        <v>0.96974131</v>
      </c>
      <c r="AW638" s="6">
        <v>0.97311308</v>
      </c>
      <c r="AX638" s="6">
        <v>0.96580418</v>
      </c>
      <c r="AY638" s="6">
        <v>0.96229362</v>
      </c>
      <c r="AZ638" s="6">
        <v>0.97128734</v>
      </c>
      <c r="BA638" s="6">
        <v>0.96960354</v>
      </c>
      <c r="BB638" s="6">
        <v>0.02655167</v>
      </c>
      <c r="BC638" s="6">
        <v>0.03025869</v>
      </c>
      <c r="BD638" s="6">
        <v>0.02688692</v>
      </c>
      <c r="BE638" s="6">
        <v>0.03419582</v>
      </c>
      <c r="BF638" s="6">
        <v>0.03770638</v>
      </c>
      <c r="BG638" s="6">
        <v>0.02871266</v>
      </c>
      <c r="BH638" s="6">
        <v>0.03039646</v>
      </c>
      <c r="BI638" s="6">
        <v>0.21470859</v>
      </c>
      <c r="BJ638" s="6">
        <v>0.12366373</v>
      </c>
      <c r="BK638" s="6">
        <v>0.1409291</v>
      </c>
      <c r="BL638" s="6">
        <v>0.12522516</v>
      </c>
      <c r="BM638" s="6">
        <v>0.1592662</v>
      </c>
      <c r="BN638" s="6">
        <v>0.17561655</v>
      </c>
      <c r="BO638" s="6">
        <v>0.1337285</v>
      </c>
      <c r="BP638" s="6">
        <v>0.14157076</v>
      </c>
      <c r="BQ638" s="6">
        <v>0.04359482</v>
      </c>
      <c r="BR638" s="6">
        <v>0.03669604</v>
      </c>
      <c r="BS638" s="6">
        <v>0.03907768</v>
      </c>
      <c r="BT638" s="6">
        <v>0.03458382</v>
      </c>
      <c r="BU638" s="6">
        <v>0.03341572</v>
      </c>
      <c r="BV638" s="6">
        <v>0.07352147</v>
      </c>
      <c r="BW638" s="6">
        <v>0.06029433</v>
      </c>
      <c r="BX638" s="12">
        <v>22712</v>
      </c>
      <c r="BY638" s="13">
        <v>4379</v>
      </c>
      <c r="BZ638" s="12">
        <v>22226.7</v>
      </c>
      <c r="CA638" s="6">
        <f t="shared" si="60"/>
        <v>5.18657227677552</v>
      </c>
      <c r="CB638" s="6">
        <f t="shared" si="61"/>
        <v>1.02183410042876</v>
      </c>
      <c r="CC638" s="7">
        <v>387398738.3</v>
      </c>
      <c r="CD638" s="7">
        <f t="shared" si="56"/>
        <v>1.74294311931146</v>
      </c>
      <c r="CE638" s="8">
        <v>2469.2</v>
      </c>
      <c r="CF638" s="8">
        <v>9766.1</v>
      </c>
      <c r="CG638" s="8">
        <v>7707.1</v>
      </c>
      <c r="CH638" s="8">
        <v>34719</v>
      </c>
      <c r="CI638" s="14">
        <v>0</v>
      </c>
      <c r="CJ638" s="14">
        <v>0</v>
      </c>
      <c r="CK638" s="14">
        <f t="shared" si="57"/>
        <v>0</v>
      </c>
      <c r="CL638">
        <f t="shared" si="58"/>
        <v>2.18035126729488</v>
      </c>
      <c r="CM638">
        <f t="shared" si="59"/>
        <v>0.200613614211853</v>
      </c>
      <c r="CN638" s="15">
        <v>22712</v>
      </c>
      <c r="CO638" s="15">
        <v>18054</v>
      </c>
      <c r="CP638" s="15">
        <v>3386.6</v>
      </c>
      <c r="CQ638" s="15">
        <v>6705.53</v>
      </c>
      <c r="CR638" s="15">
        <v>706.61</v>
      </c>
      <c r="CS638" s="15">
        <v>27.35</v>
      </c>
      <c r="CT638" s="15">
        <v>1104.53</v>
      </c>
      <c r="CU638" s="15">
        <v>391.4</v>
      </c>
      <c r="CV638" s="15">
        <v>39.07</v>
      </c>
      <c r="CW638" s="15">
        <v>1862</v>
      </c>
    </row>
    <row r="639" spans="1:101">
      <c r="A639" s="6">
        <v>2012</v>
      </c>
      <c r="B639" s="6" t="s">
        <v>125</v>
      </c>
      <c r="C639" s="6">
        <v>0.30927006</v>
      </c>
      <c r="D639" s="6">
        <v>0.050378</v>
      </c>
      <c r="E639" s="6">
        <v>0.012278</v>
      </c>
      <c r="F639" s="6">
        <v>0.021676</v>
      </c>
      <c r="G639" s="6">
        <v>0.00788</v>
      </c>
      <c r="H639" s="6">
        <v>0.008545</v>
      </c>
      <c r="I639" s="6">
        <v>0.051283</v>
      </c>
      <c r="J639" s="6">
        <v>0.027106</v>
      </c>
      <c r="K639" s="6">
        <v>0.34359834</v>
      </c>
      <c r="L639" s="6">
        <v>0.24978282</v>
      </c>
      <c r="M639" s="6">
        <v>0.29023076</v>
      </c>
      <c r="N639" s="6">
        <v>0.2044305</v>
      </c>
      <c r="O639" s="6">
        <v>0.22544765</v>
      </c>
      <c r="P639" s="6">
        <v>0.48141783</v>
      </c>
      <c r="Q639" s="6">
        <v>0.41465521</v>
      </c>
      <c r="R639" s="6">
        <v>217.69486</v>
      </c>
      <c r="S639" s="6">
        <v>0.00157835</v>
      </c>
      <c r="T639" s="6">
        <v>169.97573</v>
      </c>
      <c r="U639" s="6">
        <v>0.00146952</v>
      </c>
      <c r="V639" s="6">
        <v>197.11803</v>
      </c>
      <c r="W639" s="6">
        <v>0.00147237</v>
      </c>
      <c r="X639" s="6">
        <v>134.47093</v>
      </c>
      <c r="Y639" s="6">
        <v>0.00152026</v>
      </c>
      <c r="Z639" s="6">
        <v>134.86767</v>
      </c>
      <c r="AA639" s="6">
        <v>0.00167162</v>
      </c>
      <c r="AB639" s="6">
        <v>294.9318</v>
      </c>
      <c r="AC639" s="6">
        <v>0.0016323</v>
      </c>
      <c r="AD639" s="6">
        <v>243.86163</v>
      </c>
      <c r="AE639" s="6">
        <v>0.00170037</v>
      </c>
      <c r="AF639" s="6">
        <v>775</v>
      </c>
      <c r="AG639" s="6">
        <v>-0.01018252</v>
      </c>
      <c r="AH639" s="6">
        <v>-0.00958542</v>
      </c>
      <c r="AI639" s="6">
        <v>-0.00960115</v>
      </c>
      <c r="AJ639" s="6">
        <v>-0.00986476</v>
      </c>
      <c r="AK639" s="6">
        <v>-0.01068828</v>
      </c>
      <c r="AL639" s="6">
        <v>-0.01047573</v>
      </c>
      <c r="AM639" s="6">
        <v>-0.01084311</v>
      </c>
      <c r="AN639" s="6">
        <v>-6.4762184</v>
      </c>
      <c r="AO639" s="6">
        <v>-6.4515561</v>
      </c>
      <c r="AP639" s="6">
        <v>-6.4739881</v>
      </c>
      <c r="AQ639" s="6">
        <v>-6.4253629</v>
      </c>
      <c r="AR639" s="6">
        <v>-6.4020076</v>
      </c>
      <c r="AS639" s="6">
        <v>-6.4618417</v>
      </c>
      <c r="AT639" s="6">
        <v>-6.4506396</v>
      </c>
      <c r="AU639" s="6">
        <v>0.97344833</v>
      </c>
      <c r="AV639" s="6">
        <v>0.96974131</v>
      </c>
      <c r="AW639" s="6">
        <v>0.97311308</v>
      </c>
      <c r="AX639" s="6">
        <v>0.96580418</v>
      </c>
      <c r="AY639" s="6">
        <v>0.96229362</v>
      </c>
      <c r="AZ639" s="6">
        <v>0.97128734</v>
      </c>
      <c r="BA639" s="6">
        <v>0.96960354</v>
      </c>
      <c r="BB639" s="6">
        <v>0.02655167</v>
      </c>
      <c r="BC639" s="6">
        <v>0.03025869</v>
      </c>
      <c r="BD639" s="6">
        <v>0.02688692</v>
      </c>
      <c r="BE639" s="6">
        <v>0.03419582</v>
      </c>
      <c r="BF639" s="6">
        <v>0.03770638</v>
      </c>
      <c r="BG639" s="6">
        <v>0.02871266</v>
      </c>
      <c r="BH639" s="6">
        <v>0.03039646</v>
      </c>
      <c r="BI639" s="6">
        <v>0.21470859</v>
      </c>
      <c r="BJ639" s="6">
        <v>0.12366373</v>
      </c>
      <c r="BK639" s="6">
        <v>0.1409291</v>
      </c>
      <c r="BL639" s="6">
        <v>0.12522516</v>
      </c>
      <c r="BM639" s="6">
        <v>0.1592662</v>
      </c>
      <c r="BN639" s="6">
        <v>0.17561655</v>
      </c>
      <c r="BO639" s="6">
        <v>0.1337285</v>
      </c>
      <c r="BP639" s="6">
        <v>0.14157076</v>
      </c>
      <c r="BQ639" s="6">
        <v>0.04249065</v>
      </c>
      <c r="BR639" s="6">
        <v>0.03520167</v>
      </c>
      <c r="BS639" s="6">
        <v>0.03634419</v>
      </c>
      <c r="BT639" s="6">
        <v>0.03255887</v>
      </c>
      <c r="BU639" s="6">
        <v>0.03959234</v>
      </c>
      <c r="BV639" s="6">
        <v>0.06437928</v>
      </c>
      <c r="BW639" s="6">
        <v>0.05870305</v>
      </c>
      <c r="BX639" s="12">
        <v>23526</v>
      </c>
      <c r="BY639" s="13">
        <v>4375</v>
      </c>
      <c r="BZ639" s="12">
        <v>24846.43</v>
      </c>
      <c r="CA639" s="6">
        <f t="shared" si="60"/>
        <v>5.37737142857143</v>
      </c>
      <c r="CB639" s="6">
        <f t="shared" si="61"/>
        <v>0.946856349181754</v>
      </c>
      <c r="CC639" s="7">
        <v>406671208.8</v>
      </c>
      <c r="CD639" s="7">
        <f t="shared" si="56"/>
        <v>1.63673899550157</v>
      </c>
      <c r="CE639" s="8">
        <v>2674.8</v>
      </c>
      <c r="CF639" s="8">
        <v>11152.6</v>
      </c>
      <c r="CG639" s="8">
        <v>8763.5</v>
      </c>
      <c r="CH639" s="8">
        <v>39149</v>
      </c>
      <c r="CI639" s="14">
        <v>0</v>
      </c>
      <c r="CJ639" s="14">
        <v>0</v>
      </c>
      <c r="CK639" s="14">
        <f t="shared" si="57"/>
        <v>0</v>
      </c>
      <c r="CL639">
        <f t="shared" si="58"/>
        <v>2.01609935715007</v>
      </c>
      <c r="CM639">
        <f t="shared" si="59"/>
        <v>0.18816550895823</v>
      </c>
      <c r="CN639" s="15">
        <v>23526.4</v>
      </c>
      <c r="CO639" s="15">
        <v>18219</v>
      </c>
      <c r="CP639" s="15">
        <v>3442.08</v>
      </c>
      <c r="CQ639" s="15">
        <v>7000.91</v>
      </c>
      <c r="CR639" s="15">
        <v>780.84</v>
      </c>
      <c r="CS639" s="15">
        <v>35.58</v>
      </c>
      <c r="CT639" s="15">
        <v>1225.48</v>
      </c>
      <c r="CU639" s="15">
        <v>422</v>
      </c>
      <c r="CV639" s="15">
        <v>63.72</v>
      </c>
      <c r="CW639" s="15">
        <v>1899.88</v>
      </c>
    </row>
    <row r="640" spans="1:101">
      <c r="A640" s="6">
        <v>2013</v>
      </c>
      <c r="B640" s="6" t="s">
        <v>125</v>
      </c>
      <c r="C640" s="6">
        <v>0.32427977</v>
      </c>
      <c r="D640" s="6">
        <v>0.056116</v>
      </c>
      <c r="E640" s="6">
        <v>0.013949</v>
      </c>
      <c r="F640" s="6">
        <v>0.025977</v>
      </c>
      <c r="G640" s="6">
        <v>0.008846</v>
      </c>
      <c r="H640" s="6">
        <v>0.007344</v>
      </c>
      <c r="I640" s="6">
        <v>0.053071</v>
      </c>
      <c r="J640" s="6">
        <v>0.025039</v>
      </c>
      <c r="K640" s="6">
        <v>0.3886057</v>
      </c>
      <c r="L640" s="6">
        <v>0.28928768</v>
      </c>
      <c r="M640" s="6">
        <v>0.3563472</v>
      </c>
      <c r="N640" s="6">
        <v>0.23298292</v>
      </c>
      <c r="O640" s="6">
        <v>0.18905631</v>
      </c>
      <c r="P640" s="6">
        <v>0.50132847</v>
      </c>
      <c r="Q640" s="6">
        <v>0.37776887</v>
      </c>
      <c r="R640" s="6">
        <v>217.69486</v>
      </c>
      <c r="S640" s="6">
        <v>0.00178509</v>
      </c>
      <c r="T640" s="6">
        <v>169.97573</v>
      </c>
      <c r="U640" s="6">
        <v>0.00170194</v>
      </c>
      <c r="V640" s="6">
        <v>197.11803</v>
      </c>
      <c r="W640" s="6">
        <v>0.00180779</v>
      </c>
      <c r="X640" s="6">
        <v>134.47093</v>
      </c>
      <c r="Y640" s="6">
        <v>0.00173259</v>
      </c>
      <c r="Z640" s="6">
        <v>134.86767</v>
      </c>
      <c r="AA640" s="6">
        <v>0.00140179</v>
      </c>
      <c r="AB640" s="6">
        <v>294.9318</v>
      </c>
      <c r="AC640" s="6">
        <v>0.00169981</v>
      </c>
      <c r="AD640" s="6">
        <v>243.86163</v>
      </c>
      <c r="AE640" s="6">
        <v>0.00154911</v>
      </c>
      <c r="AF640" s="6">
        <v>775</v>
      </c>
      <c r="AG640" s="6">
        <v>-0.01129658</v>
      </c>
      <c r="AH640" s="6">
        <v>-0.01085152</v>
      </c>
      <c r="AI640" s="6">
        <v>-0.01141735</v>
      </c>
      <c r="AJ640" s="6">
        <v>-0.01101604</v>
      </c>
      <c r="AK640" s="6">
        <v>-0.00920977</v>
      </c>
      <c r="AL640" s="6">
        <v>-0.0108401</v>
      </c>
      <c r="AM640" s="6">
        <v>-0.01002287</v>
      </c>
      <c r="AN640" s="6">
        <v>-6.4762184</v>
      </c>
      <c r="AO640" s="6">
        <v>-6.4515561</v>
      </c>
      <c r="AP640" s="6">
        <v>-6.4739881</v>
      </c>
      <c r="AQ640" s="6">
        <v>-6.4253629</v>
      </c>
      <c r="AR640" s="6">
        <v>-6.4020076</v>
      </c>
      <c r="AS640" s="6">
        <v>-6.4618417</v>
      </c>
      <c r="AT640" s="6">
        <v>-6.4506396</v>
      </c>
      <c r="AU640" s="6">
        <v>0.97344833</v>
      </c>
      <c r="AV640" s="6">
        <v>0.96974131</v>
      </c>
      <c r="AW640" s="6">
        <v>0.97311308</v>
      </c>
      <c r="AX640" s="6">
        <v>0.96580418</v>
      </c>
      <c r="AY640" s="6">
        <v>0.96229362</v>
      </c>
      <c r="AZ640" s="6">
        <v>0.97128734</v>
      </c>
      <c r="BA640" s="6">
        <v>0.96960354</v>
      </c>
      <c r="BB640" s="6">
        <v>0.02655167</v>
      </c>
      <c r="BC640" s="6">
        <v>0.03025869</v>
      </c>
      <c r="BD640" s="6">
        <v>0.02688692</v>
      </c>
      <c r="BE640" s="6">
        <v>0.03419582</v>
      </c>
      <c r="BF640" s="6">
        <v>0.03770638</v>
      </c>
      <c r="BG640" s="6">
        <v>0.02871266</v>
      </c>
      <c r="BH640" s="6">
        <v>0.03039646</v>
      </c>
      <c r="BI640" s="6">
        <v>0.21470859</v>
      </c>
      <c r="BJ640" s="6">
        <v>0.12366373</v>
      </c>
      <c r="BK640" s="6">
        <v>0.1409291</v>
      </c>
      <c r="BL640" s="6">
        <v>0.12522516</v>
      </c>
      <c r="BM640" s="6">
        <v>0.1592662</v>
      </c>
      <c r="BN640" s="6">
        <v>0.17561655</v>
      </c>
      <c r="BO640" s="6">
        <v>0.1337285</v>
      </c>
      <c r="BP640" s="6">
        <v>0.14157076</v>
      </c>
      <c r="BQ640" s="6">
        <v>0.04805643</v>
      </c>
      <c r="BR640" s="6">
        <v>0.04076905</v>
      </c>
      <c r="BS640" s="6">
        <v>0.04462363</v>
      </c>
      <c r="BT640" s="6">
        <v>0.03710631</v>
      </c>
      <c r="BU640" s="6">
        <v>0.03320142</v>
      </c>
      <c r="BV640" s="6">
        <v>0.0670419</v>
      </c>
      <c r="BW640" s="6">
        <v>0.05348103</v>
      </c>
      <c r="BX640" s="12">
        <v>21721</v>
      </c>
      <c r="BY640" s="13">
        <v>4365</v>
      </c>
      <c r="BZ640" s="12">
        <v>27213.22</v>
      </c>
      <c r="CA640" s="6">
        <f t="shared" si="60"/>
        <v>4.97617411225659</v>
      </c>
      <c r="CB640" s="6">
        <f t="shared" si="61"/>
        <v>0.798178238370909</v>
      </c>
      <c r="CC640" s="7">
        <v>418257332.9</v>
      </c>
      <c r="CD640" s="7">
        <f t="shared" si="56"/>
        <v>1.53696377312203</v>
      </c>
      <c r="CE640" s="8">
        <v>2883.7</v>
      </c>
      <c r="CF640" s="8">
        <v>11846.3</v>
      </c>
      <c r="CG640" s="8">
        <v>10648</v>
      </c>
      <c r="CH640" s="8">
        <v>43835</v>
      </c>
      <c r="CI640" s="14">
        <v>0</v>
      </c>
      <c r="CJ640" s="14">
        <v>0</v>
      </c>
      <c r="CK640" s="14">
        <f t="shared" si="57"/>
        <v>0</v>
      </c>
      <c r="CL640">
        <f t="shared" si="58"/>
        <v>1.91398219724656</v>
      </c>
      <c r="CM640">
        <f t="shared" si="59"/>
        <v>0.196981155136608</v>
      </c>
      <c r="CN640" s="15">
        <v>21721</v>
      </c>
      <c r="CO640" s="15">
        <v>18132.77</v>
      </c>
      <c r="CP640" s="15">
        <v>3201.31</v>
      </c>
      <c r="CQ640" s="15">
        <v>6480.07</v>
      </c>
      <c r="CR640" s="15">
        <v>658.9</v>
      </c>
      <c r="CS640" s="15">
        <v>29.05</v>
      </c>
      <c r="CT640" s="15">
        <v>1021.71</v>
      </c>
      <c r="CU640" s="15">
        <v>360.39</v>
      </c>
      <c r="CV640" s="15">
        <v>78.68</v>
      </c>
      <c r="CW640" s="15">
        <v>2008.46</v>
      </c>
    </row>
    <row r="641" spans="1:101">
      <c r="A641" s="6">
        <v>2014</v>
      </c>
      <c r="B641" s="6" t="s">
        <v>125</v>
      </c>
      <c r="C641" s="6">
        <v>0.34840465</v>
      </c>
      <c r="D641" s="6">
        <v>0.055321</v>
      </c>
      <c r="E641" s="6">
        <v>0.013148</v>
      </c>
      <c r="F641" s="6">
        <v>0.025001</v>
      </c>
      <c r="G641" s="6">
        <v>0.008293</v>
      </c>
      <c r="H641" s="6">
        <v>0.008878</v>
      </c>
      <c r="I641" s="6">
        <v>0.058436</v>
      </c>
      <c r="J641" s="6">
        <v>0.031327</v>
      </c>
      <c r="K641" s="6">
        <v>0.38237268</v>
      </c>
      <c r="L641" s="6">
        <v>0.27036315</v>
      </c>
      <c r="M641" s="6">
        <v>0.34134272</v>
      </c>
      <c r="N641" s="6">
        <v>0.21665111</v>
      </c>
      <c r="O641" s="6">
        <v>0.23556107</v>
      </c>
      <c r="P641" s="6">
        <v>0.56109383</v>
      </c>
      <c r="Q641" s="6">
        <v>0.48996293</v>
      </c>
      <c r="R641" s="6">
        <v>217.69486</v>
      </c>
      <c r="S641" s="6">
        <v>0.00175646</v>
      </c>
      <c r="T641" s="6">
        <v>169.97573</v>
      </c>
      <c r="U641" s="6">
        <v>0.0015906</v>
      </c>
      <c r="V641" s="6">
        <v>197.11803</v>
      </c>
      <c r="W641" s="6">
        <v>0.00173167</v>
      </c>
      <c r="X641" s="6">
        <v>134.47093</v>
      </c>
      <c r="Y641" s="6">
        <v>0.00161114</v>
      </c>
      <c r="Z641" s="6">
        <v>134.86767</v>
      </c>
      <c r="AA641" s="6">
        <v>0.00174661</v>
      </c>
      <c r="AB641" s="6">
        <v>294.9318</v>
      </c>
      <c r="AC641" s="6">
        <v>0.00190245</v>
      </c>
      <c r="AD641" s="6">
        <v>243.86163</v>
      </c>
      <c r="AE641" s="6">
        <v>0.00200918</v>
      </c>
      <c r="AF641" s="6">
        <v>775</v>
      </c>
      <c r="AG641" s="6">
        <v>-0.01114379</v>
      </c>
      <c r="AH641" s="6">
        <v>-0.01024925</v>
      </c>
      <c r="AI641" s="6">
        <v>-0.0110111</v>
      </c>
      <c r="AJ641" s="6">
        <v>-0.01036093</v>
      </c>
      <c r="AK641" s="6">
        <v>-0.0110911</v>
      </c>
      <c r="AL641" s="6">
        <v>-0.01191813</v>
      </c>
      <c r="AM641" s="6">
        <v>-0.01247709</v>
      </c>
      <c r="AN641" s="6">
        <v>-6.4762184</v>
      </c>
      <c r="AO641" s="6">
        <v>-6.4515561</v>
      </c>
      <c r="AP641" s="6">
        <v>-6.4739881</v>
      </c>
      <c r="AQ641" s="6">
        <v>-6.4253629</v>
      </c>
      <c r="AR641" s="6">
        <v>-6.4020076</v>
      </c>
      <c r="AS641" s="6">
        <v>-6.4618417</v>
      </c>
      <c r="AT641" s="6">
        <v>-6.4506396</v>
      </c>
      <c r="AU641" s="6">
        <v>0.97344833</v>
      </c>
      <c r="AV641" s="6">
        <v>0.96974131</v>
      </c>
      <c r="AW641" s="6">
        <v>0.97311308</v>
      </c>
      <c r="AX641" s="6">
        <v>0.96580418</v>
      </c>
      <c r="AY641" s="6">
        <v>0.96229362</v>
      </c>
      <c r="AZ641" s="6">
        <v>0.97128734</v>
      </c>
      <c r="BA641" s="6">
        <v>0.96960354</v>
      </c>
      <c r="BB641" s="6">
        <v>0.02655167</v>
      </c>
      <c r="BC641" s="6">
        <v>0.03025869</v>
      </c>
      <c r="BD641" s="6">
        <v>0.02688692</v>
      </c>
      <c r="BE641" s="6">
        <v>0.03419582</v>
      </c>
      <c r="BF641" s="6">
        <v>0.03770638</v>
      </c>
      <c r="BG641" s="6">
        <v>0.02871266</v>
      </c>
      <c r="BH641" s="6">
        <v>0.03039646</v>
      </c>
      <c r="BI641" s="6">
        <v>0.21470859</v>
      </c>
      <c r="BJ641" s="6">
        <v>0.12366373</v>
      </c>
      <c r="BK641" s="6">
        <v>0.1409291</v>
      </c>
      <c r="BL641" s="6">
        <v>0.12522516</v>
      </c>
      <c r="BM641" s="6">
        <v>0.1592662</v>
      </c>
      <c r="BN641" s="6">
        <v>0.17561655</v>
      </c>
      <c r="BO641" s="6">
        <v>0.1337285</v>
      </c>
      <c r="BP641" s="6">
        <v>0.14157076</v>
      </c>
      <c r="BQ641" s="6">
        <v>0.04728563</v>
      </c>
      <c r="BR641" s="6">
        <v>0.03810204</v>
      </c>
      <c r="BS641" s="6">
        <v>0.0427447</v>
      </c>
      <c r="BT641" s="6">
        <v>0.0345052</v>
      </c>
      <c r="BU641" s="6">
        <v>0.04136842</v>
      </c>
      <c r="BV641" s="6">
        <v>0.07503423</v>
      </c>
      <c r="BW641" s="6">
        <v>0.06936443</v>
      </c>
      <c r="BX641" s="12">
        <v>21803</v>
      </c>
      <c r="BY641" s="13">
        <v>4358</v>
      </c>
      <c r="BZ641" s="12">
        <v>28626.58</v>
      </c>
      <c r="CA641" s="6">
        <f t="shared" si="60"/>
        <v>5.00298301973382</v>
      </c>
      <c r="CB641" s="6">
        <f t="shared" si="61"/>
        <v>0.761634816314069</v>
      </c>
      <c r="CC641" s="7">
        <v>425743311.2</v>
      </c>
      <c r="CD641" s="7">
        <f t="shared" si="56"/>
        <v>1.48723078761067</v>
      </c>
      <c r="CE641" s="8">
        <v>3001.6</v>
      </c>
      <c r="CF641" s="8">
        <v>13007.9</v>
      </c>
      <c r="CG641" s="8">
        <v>12232.6</v>
      </c>
      <c r="CH641" s="8">
        <v>48635</v>
      </c>
      <c r="CI641" s="14">
        <v>0</v>
      </c>
      <c r="CJ641" s="14">
        <v>0</v>
      </c>
      <c r="CK641" s="14">
        <f t="shared" si="57"/>
        <v>0</v>
      </c>
      <c r="CL641">
        <f t="shared" si="58"/>
        <v>1.79640226266579</v>
      </c>
      <c r="CM641">
        <f t="shared" si="59"/>
        <v>0.172105926094926</v>
      </c>
      <c r="CN641" s="15">
        <v>21803.38</v>
      </c>
      <c r="CO641" s="15">
        <v>18002.27</v>
      </c>
      <c r="CP641" s="15">
        <v>3296.94</v>
      </c>
      <c r="CQ641" s="15">
        <v>6364.79</v>
      </c>
      <c r="CR641" s="15">
        <v>704.73</v>
      </c>
      <c r="CS641" s="15">
        <v>29.75</v>
      </c>
      <c r="CT641" s="15">
        <v>1060.16</v>
      </c>
      <c r="CU641" s="15">
        <v>362.91</v>
      </c>
      <c r="CV641" s="15">
        <v>84</v>
      </c>
      <c r="CW641" s="15">
        <v>2038.73</v>
      </c>
    </row>
    <row r="642" spans="1:101">
      <c r="A642" s="6">
        <v>2015</v>
      </c>
      <c r="B642" s="6" t="s">
        <v>125</v>
      </c>
      <c r="C642" s="6">
        <v>0.33136766</v>
      </c>
      <c r="D642" s="6">
        <v>0.055045</v>
      </c>
      <c r="E642" s="6">
        <v>0.013641</v>
      </c>
      <c r="F642" s="6">
        <v>0.024929</v>
      </c>
      <c r="G642" s="6">
        <v>0.008042</v>
      </c>
      <c r="H642" s="6">
        <v>0.008433</v>
      </c>
      <c r="I642" s="6">
        <v>0.058811</v>
      </c>
      <c r="J642" s="6">
        <v>0.025279</v>
      </c>
      <c r="K642" s="6">
        <v>0.38020832</v>
      </c>
      <c r="L642" s="6">
        <v>0.28202449</v>
      </c>
      <c r="M642" s="6">
        <v>0.34023087</v>
      </c>
      <c r="N642" s="6">
        <v>0.20922732</v>
      </c>
      <c r="O642" s="6">
        <v>0.22205532</v>
      </c>
      <c r="P642" s="6">
        <v>0.5652657</v>
      </c>
      <c r="Q642" s="6">
        <v>0.38205058</v>
      </c>
      <c r="R642" s="6">
        <v>217.69486</v>
      </c>
      <c r="S642" s="6">
        <v>0.00174652</v>
      </c>
      <c r="T642" s="6">
        <v>169.97573</v>
      </c>
      <c r="U642" s="6">
        <v>0.0016592</v>
      </c>
      <c r="V642" s="6">
        <v>197.11803</v>
      </c>
      <c r="W642" s="6">
        <v>0.00172603</v>
      </c>
      <c r="X642" s="6">
        <v>134.47093</v>
      </c>
      <c r="Y642" s="6">
        <v>0.00155593</v>
      </c>
      <c r="Z642" s="6">
        <v>134.86767</v>
      </c>
      <c r="AA642" s="6">
        <v>0.00164647</v>
      </c>
      <c r="AB642" s="6">
        <v>294.9318</v>
      </c>
      <c r="AC642" s="6">
        <v>0.0019166</v>
      </c>
      <c r="AD642" s="6">
        <v>243.86163</v>
      </c>
      <c r="AE642" s="6">
        <v>0.00156667</v>
      </c>
      <c r="AF642" s="6">
        <v>775</v>
      </c>
      <c r="AG642" s="6">
        <v>-0.01109063</v>
      </c>
      <c r="AH642" s="6">
        <v>-0.01062126</v>
      </c>
      <c r="AI642" s="6">
        <v>-0.01098086</v>
      </c>
      <c r="AJ642" s="6">
        <v>-0.01006015</v>
      </c>
      <c r="AK642" s="6">
        <v>-0.01055242</v>
      </c>
      <c r="AL642" s="6">
        <v>-0.01199254</v>
      </c>
      <c r="AM642" s="6">
        <v>-0.01011881</v>
      </c>
      <c r="AN642" s="6">
        <v>-6.4762184</v>
      </c>
      <c r="AO642" s="6">
        <v>-6.4515561</v>
      </c>
      <c r="AP642" s="6">
        <v>-6.4739881</v>
      </c>
      <c r="AQ642" s="6">
        <v>-6.4253629</v>
      </c>
      <c r="AR642" s="6">
        <v>-6.4020076</v>
      </c>
      <c r="AS642" s="6">
        <v>-6.4618417</v>
      </c>
      <c r="AT642" s="6">
        <v>-6.4506396</v>
      </c>
      <c r="AU642" s="6">
        <v>0.97344833</v>
      </c>
      <c r="AV642" s="6">
        <v>0.96974131</v>
      </c>
      <c r="AW642" s="6">
        <v>0.97311308</v>
      </c>
      <c r="AX642" s="6">
        <v>0.96580418</v>
      </c>
      <c r="AY642" s="6">
        <v>0.96229362</v>
      </c>
      <c r="AZ642" s="6">
        <v>0.97128734</v>
      </c>
      <c r="BA642" s="6">
        <v>0.96960354</v>
      </c>
      <c r="BB642" s="6">
        <v>0.02655167</v>
      </c>
      <c r="BC642" s="6">
        <v>0.03025869</v>
      </c>
      <c r="BD642" s="6">
        <v>0.02688692</v>
      </c>
      <c r="BE642" s="6">
        <v>0.03419582</v>
      </c>
      <c r="BF642" s="6">
        <v>0.03770638</v>
      </c>
      <c r="BG642" s="6">
        <v>0.02871266</v>
      </c>
      <c r="BH642" s="6">
        <v>0.03039646</v>
      </c>
      <c r="BI642" s="6">
        <v>0.21470859</v>
      </c>
      <c r="BJ642" s="6">
        <v>0.12366373</v>
      </c>
      <c r="BK642" s="6">
        <v>0.1409291</v>
      </c>
      <c r="BL642" s="6">
        <v>0.12522516</v>
      </c>
      <c r="BM642" s="6">
        <v>0.1592662</v>
      </c>
      <c r="BN642" s="6">
        <v>0.17561655</v>
      </c>
      <c r="BO642" s="6">
        <v>0.1337285</v>
      </c>
      <c r="BP642" s="6">
        <v>0.14157076</v>
      </c>
      <c r="BQ642" s="6">
        <v>0.04701798</v>
      </c>
      <c r="BR642" s="6">
        <v>0.03974546</v>
      </c>
      <c r="BS642" s="6">
        <v>0.04260546</v>
      </c>
      <c r="BT642" s="6">
        <v>0.03332284</v>
      </c>
      <c r="BU642" s="6">
        <v>0.03899659</v>
      </c>
      <c r="BV642" s="6">
        <v>0.07559213</v>
      </c>
      <c r="BW642" s="6">
        <v>0.05408719</v>
      </c>
      <c r="BX642" s="12">
        <v>21362</v>
      </c>
      <c r="BY642" s="13">
        <v>4338</v>
      </c>
      <c r="BZ642" s="12">
        <v>28669.016</v>
      </c>
      <c r="CA642" s="6">
        <f t="shared" si="60"/>
        <v>4.92438911940987</v>
      </c>
      <c r="CB642" s="6">
        <f t="shared" si="61"/>
        <v>0.745124980920168</v>
      </c>
      <c r="CC642" s="7">
        <v>416430621.9</v>
      </c>
      <c r="CD642" s="7">
        <f t="shared" si="56"/>
        <v>1.4525459189112</v>
      </c>
      <c r="CE642" s="8">
        <v>3109.9</v>
      </c>
      <c r="CF642" s="8">
        <v>13569.5</v>
      </c>
      <c r="CG642" s="8">
        <v>13664.6</v>
      </c>
      <c r="CH642" s="8">
        <v>52021</v>
      </c>
      <c r="CI642" s="14">
        <v>0</v>
      </c>
      <c r="CJ642" s="14">
        <v>0</v>
      </c>
      <c r="CK642" s="14">
        <f t="shared" si="57"/>
        <v>0</v>
      </c>
      <c r="CL642">
        <f t="shared" si="58"/>
        <v>1.71577514742415</v>
      </c>
      <c r="CM642">
        <f t="shared" si="59"/>
        <v>0.153417089009667</v>
      </c>
      <c r="CN642" s="15">
        <v>21362</v>
      </c>
      <c r="CO642" s="15">
        <v>17028.08</v>
      </c>
      <c r="CP642" s="15">
        <v>3187.56</v>
      </c>
      <c r="CQ642" s="15">
        <v>6439.87</v>
      </c>
      <c r="CR642" s="15">
        <v>826.3</v>
      </c>
      <c r="CS642" s="15">
        <v>29.97</v>
      </c>
      <c r="CT642" s="15">
        <v>1109.26</v>
      </c>
      <c r="CU642" s="15">
        <v>246.24</v>
      </c>
      <c r="CV642" s="15">
        <v>55.35</v>
      </c>
      <c r="CW642" s="15">
        <v>1985</v>
      </c>
    </row>
    <row r="643" spans="1:101">
      <c r="A643" s="6">
        <v>2016</v>
      </c>
      <c r="B643" s="6" t="s">
        <v>125</v>
      </c>
      <c r="C643" s="6">
        <v>0.39068394</v>
      </c>
      <c r="D643" s="6">
        <v>0.061663</v>
      </c>
      <c r="E643" s="6">
        <v>0.015546</v>
      </c>
      <c r="F643" s="6">
        <v>0.027469</v>
      </c>
      <c r="G643" s="6">
        <v>0.009033</v>
      </c>
      <c r="H643" s="6">
        <v>0.009615</v>
      </c>
      <c r="I643" s="6">
        <v>0.064615</v>
      </c>
      <c r="J643" s="6">
        <v>0.034011</v>
      </c>
      <c r="K643" s="6">
        <v>0.43212146</v>
      </c>
      <c r="L643" s="6">
        <v>0.32704368</v>
      </c>
      <c r="M643" s="6">
        <v>0.37927057</v>
      </c>
      <c r="N643" s="6">
        <v>0.23853392</v>
      </c>
      <c r="O643" s="6">
        <v>0.25789027</v>
      </c>
      <c r="P643" s="6">
        <v>0.62990935</v>
      </c>
      <c r="Q643" s="6">
        <v>0.53785805</v>
      </c>
      <c r="R643" s="6">
        <v>217.69486</v>
      </c>
      <c r="S643" s="6">
        <v>0.00198499</v>
      </c>
      <c r="T643" s="6">
        <v>169.97573</v>
      </c>
      <c r="U643" s="6">
        <v>0.00192406</v>
      </c>
      <c r="V643" s="6">
        <v>197.11803</v>
      </c>
      <c r="W643" s="6">
        <v>0.00192408</v>
      </c>
      <c r="X643" s="6">
        <v>134.47093</v>
      </c>
      <c r="Y643" s="6">
        <v>0.00177387</v>
      </c>
      <c r="Z643" s="6">
        <v>134.86767</v>
      </c>
      <c r="AA643" s="6">
        <v>0.00191217</v>
      </c>
      <c r="AB643" s="6">
        <v>294.9318</v>
      </c>
      <c r="AC643" s="6">
        <v>0.00213578</v>
      </c>
      <c r="AD643" s="6">
        <v>243.86163</v>
      </c>
      <c r="AE643" s="6">
        <v>0.00220559</v>
      </c>
      <c r="AF643" s="6">
        <v>775</v>
      </c>
      <c r="AG643" s="6">
        <v>-0.01235087</v>
      </c>
      <c r="AH643" s="6">
        <v>-0.01203176</v>
      </c>
      <c r="AI643" s="6">
        <v>-0.01203186</v>
      </c>
      <c r="AJ643" s="6">
        <v>-0.01123674</v>
      </c>
      <c r="AK643" s="6">
        <v>-0.01196927</v>
      </c>
      <c r="AL643" s="6">
        <v>-0.01313275</v>
      </c>
      <c r="AM643" s="6">
        <v>-0.01349105</v>
      </c>
      <c r="AN643" s="6">
        <v>-6.4762184</v>
      </c>
      <c r="AO643" s="6">
        <v>-6.4515561</v>
      </c>
      <c r="AP643" s="6">
        <v>-6.4739881</v>
      </c>
      <c r="AQ643" s="6">
        <v>-6.4253629</v>
      </c>
      <c r="AR643" s="6">
        <v>-6.4020076</v>
      </c>
      <c r="AS643" s="6">
        <v>-6.4618417</v>
      </c>
      <c r="AT643" s="6">
        <v>-6.4506396</v>
      </c>
      <c r="AU643" s="6">
        <v>0.97344833</v>
      </c>
      <c r="AV643" s="6">
        <v>0.96974131</v>
      </c>
      <c r="AW643" s="6">
        <v>0.97311308</v>
      </c>
      <c r="AX643" s="6">
        <v>0.96580418</v>
      </c>
      <c r="AY643" s="6">
        <v>0.96229362</v>
      </c>
      <c r="AZ643" s="6">
        <v>0.97128734</v>
      </c>
      <c r="BA643" s="6">
        <v>0.96960354</v>
      </c>
      <c r="BB643" s="6">
        <v>0.02655167</v>
      </c>
      <c r="BC643" s="6">
        <v>0.03025869</v>
      </c>
      <c r="BD643" s="6">
        <v>0.02688692</v>
      </c>
      <c r="BE643" s="6">
        <v>0.03419582</v>
      </c>
      <c r="BF643" s="6">
        <v>0.03770638</v>
      </c>
      <c r="BG643" s="6">
        <v>0.02871266</v>
      </c>
      <c r="BH643" s="6">
        <v>0.03039646</v>
      </c>
      <c r="BI643" s="6">
        <v>0.21470859</v>
      </c>
      <c r="BJ643" s="6">
        <v>0.12366373</v>
      </c>
      <c r="BK643" s="6">
        <v>0.1409291</v>
      </c>
      <c r="BL643" s="6">
        <v>0.12522516</v>
      </c>
      <c r="BM643" s="6">
        <v>0.1592662</v>
      </c>
      <c r="BN643" s="6">
        <v>0.17561655</v>
      </c>
      <c r="BO643" s="6">
        <v>0.1337285</v>
      </c>
      <c r="BP643" s="6">
        <v>0.14157076</v>
      </c>
      <c r="BQ643" s="6">
        <v>0.05343775</v>
      </c>
      <c r="BR643" s="6">
        <v>0.04608997</v>
      </c>
      <c r="BS643" s="6">
        <v>0.04749422</v>
      </c>
      <c r="BT643" s="6">
        <v>0.03799039</v>
      </c>
      <c r="BU643" s="6">
        <v>0.0452898</v>
      </c>
      <c r="BV643" s="6">
        <v>0.08423683</v>
      </c>
      <c r="BW643" s="6">
        <v>0.07614498</v>
      </c>
      <c r="BX643" s="12">
        <v>20847</v>
      </c>
      <c r="BY643" s="13">
        <v>4327</v>
      </c>
      <c r="BZ643" s="12">
        <v>22246.9</v>
      </c>
      <c r="CA643" s="6">
        <f t="shared" si="60"/>
        <v>4.81788768199676</v>
      </c>
      <c r="CB643" s="6">
        <f t="shared" si="61"/>
        <v>0.937074378902229</v>
      </c>
      <c r="CC643" s="7">
        <v>397728459.4</v>
      </c>
      <c r="CD643" s="7">
        <f t="shared" ref="CD643:CD706" si="62">CC643/10000/BZ643</f>
        <v>1.78779272348057</v>
      </c>
      <c r="CE643" s="8">
        <v>3406.5</v>
      </c>
      <c r="CF643" s="8">
        <v>14527</v>
      </c>
      <c r="CG643" s="8">
        <v>15419.5</v>
      </c>
      <c r="CH643" s="8">
        <v>56844</v>
      </c>
      <c r="CI643" s="14">
        <v>0</v>
      </c>
      <c r="CJ643" s="14">
        <v>0</v>
      </c>
      <c r="CK643" s="14">
        <f t="shared" ref="CK643:CK706" si="63">CI643*CJ643</f>
        <v>0</v>
      </c>
      <c r="CL643">
        <f t="shared" ref="CL643:CL706" si="64">AVERAGEIF($A:$A,$A643,$CD:$CD)</f>
        <v>1.62438398605541</v>
      </c>
      <c r="CM643">
        <f t="shared" ref="CM643:CM706" si="65">MAX(0,1-CD643/CL643)</f>
        <v>0</v>
      </c>
      <c r="CN643" s="15">
        <v>20847</v>
      </c>
      <c r="CO643" s="15">
        <v>16943.7</v>
      </c>
      <c r="CP643" s="15">
        <v>2993.06</v>
      </c>
      <c r="CQ643" s="15">
        <v>7057</v>
      </c>
      <c r="CR643" s="15">
        <v>815.49</v>
      </c>
      <c r="CS643" s="15">
        <v>38.99</v>
      </c>
      <c r="CT643" s="15">
        <v>1008.72</v>
      </c>
      <c r="CU643" s="15">
        <v>305.07</v>
      </c>
      <c r="CV643" s="15">
        <v>50.63</v>
      </c>
      <c r="CW643" s="15">
        <v>2037.4</v>
      </c>
    </row>
    <row r="644" spans="1:101">
      <c r="A644" s="6">
        <v>2017</v>
      </c>
      <c r="B644" s="6" t="s">
        <v>125</v>
      </c>
      <c r="C644" s="6">
        <v>0.37446203</v>
      </c>
      <c r="D644" s="6">
        <v>0.059264</v>
      </c>
      <c r="E644" s="6">
        <v>0.01506</v>
      </c>
      <c r="F644" s="6">
        <v>0.026809</v>
      </c>
      <c r="G644" s="6">
        <v>0.008422</v>
      </c>
      <c r="H644" s="6">
        <v>0.008973</v>
      </c>
      <c r="I644" s="6">
        <v>0.06223</v>
      </c>
      <c r="J644" s="6">
        <v>0.033554</v>
      </c>
      <c r="K644" s="6">
        <v>0.41329914</v>
      </c>
      <c r="L644" s="6">
        <v>0.31556378</v>
      </c>
      <c r="M644" s="6">
        <v>0.36912916</v>
      </c>
      <c r="N644" s="6">
        <v>0.22044842</v>
      </c>
      <c r="O644" s="6">
        <v>0.23842458</v>
      </c>
      <c r="P644" s="6">
        <v>0.60334259</v>
      </c>
      <c r="Q644" s="6">
        <v>0.52970085</v>
      </c>
      <c r="R644" s="6">
        <v>217.69486</v>
      </c>
      <c r="S644" s="6">
        <v>0.00189853</v>
      </c>
      <c r="T644" s="6">
        <v>169.97573</v>
      </c>
      <c r="U644" s="6">
        <v>0.00185652</v>
      </c>
      <c r="V644" s="6">
        <v>197.11803</v>
      </c>
      <c r="W644" s="6">
        <v>0.00187263</v>
      </c>
      <c r="X644" s="6">
        <v>134.47093</v>
      </c>
      <c r="Y644" s="6">
        <v>0.00163938</v>
      </c>
      <c r="Z644" s="6">
        <v>134.86767</v>
      </c>
      <c r="AA644" s="6">
        <v>0.00176784</v>
      </c>
      <c r="AB644" s="6">
        <v>294.9318</v>
      </c>
      <c r="AC644" s="6">
        <v>0.0020457</v>
      </c>
      <c r="AD644" s="6">
        <v>243.86163</v>
      </c>
      <c r="AE644" s="6">
        <v>0.00217214</v>
      </c>
      <c r="AF644" s="6">
        <v>775</v>
      </c>
      <c r="AG644" s="6">
        <v>-0.01189745</v>
      </c>
      <c r="AH644" s="6">
        <v>-0.01167576</v>
      </c>
      <c r="AI644" s="6">
        <v>-0.01176089</v>
      </c>
      <c r="AJ644" s="6">
        <v>-0.01051404</v>
      </c>
      <c r="AK644" s="6">
        <v>-0.01120457</v>
      </c>
      <c r="AL644" s="6">
        <v>-0.01266702</v>
      </c>
      <c r="AM644" s="6">
        <v>-0.01331964</v>
      </c>
      <c r="AN644" s="6">
        <v>-6.4762184</v>
      </c>
      <c r="AO644" s="6">
        <v>-6.4515561</v>
      </c>
      <c r="AP644" s="6">
        <v>-6.4739881</v>
      </c>
      <c r="AQ644" s="6">
        <v>-6.4253629</v>
      </c>
      <c r="AR644" s="6">
        <v>-6.4020076</v>
      </c>
      <c r="AS644" s="6">
        <v>-6.4618417</v>
      </c>
      <c r="AT644" s="6">
        <v>-6.4506396</v>
      </c>
      <c r="AU644" s="6">
        <v>0.97344833</v>
      </c>
      <c r="AV644" s="6">
        <v>0.96974131</v>
      </c>
      <c r="AW644" s="6">
        <v>0.97311308</v>
      </c>
      <c r="AX644" s="6">
        <v>0.96580418</v>
      </c>
      <c r="AY644" s="6">
        <v>0.96229362</v>
      </c>
      <c r="AZ644" s="6">
        <v>0.97128734</v>
      </c>
      <c r="BA644" s="6">
        <v>0.96960354</v>
      </c>
      <c r="BB644" s="6">
        <v>0.02655167</v>
      </c>
      <c r="BC644" s="6">
        <v>0.03025869</v>
      </c>
      <c r="BD644" s="6">
        <v>0.02688692</v>
      </c>
      <c r="BE644" s="6">
        <v>0.03419582</v>
      </c>
      <c r="BF644" s="6">
        <v>0.03770638</v>
      </c>
      <c r="BG644" s="6">
        <v>0.02871266</v>
      </c>
      <c r="BH644" s="6">
        <v>0.03039646</v>
      </c>
      <c r="BI644" s="6">
        <v>0.21470859</v>
      </c>
      <c r="BJ644" s="6">
        <v>0.12366373</v>
      </c>
      <c r="BK644" s="6">
        <v>0.1409291</v>
      </c>
      <c r="BL644" s="6">
        <v>0.12522516</v>
      </c>
      <c r="BM644" s="6">
        <v>0.1592662</v>
      </c>
      <c r="BN644" s="6">
        <v>0.17561655</v>
      </c>
      <c r="BO644" s="6">
        <v>0.1337285</v>
      </c>
      <c r="BP644" s="6">
        <v>0.14157076</v>
      </c>
      <c r="BQ644" s="6">
        <v>0.05111011</v>
      </c>
      <c r="BR644" s="6">
        <v>0.04447212</v>
      </c>
      <c r="BS644" s="6">
        <v>0.04622426</v>
      </c>
      <c r="BT644" s="6">
        <v>0.03510998</v>
      </c>
      <c r="BU644" s="6">
        <v>0.0418713</v>
      </c>
      <c r="BV644" s="6">
        <v>0.0806841</v>
      </c>
      <c r="BW644" s="6">
        <v>0.07499015</v>
      </c>
      <c r="BX644" s="12">
        <v>21365</v>
      </c>
      <c r="BY644" s="13">
        <v>4312</v>
      </c>
      <c r="BZ644" s="12">
        <v>23409.24</v>
      </c>
      <c r="CA644" s="6">
        <f t="shared" si="60"/>
        <v>4.95477736549165</v>
      </c>
      <c r="CB644" s="6">
        <f t="shared" si="61"/>
        <v>0.912673798893087</v>
      </c>
      <c r="CC644" s="7">
        <v>409828924.3</v>
      </c>
      <c r="CD644" s="7">
        <f t="shared" si="62"/>
        <v>1.75071435168335</v>
      </c>
      <c r="CE644" s="8">
        <v>3529</v>
      </c>
      <c r="CF644" s="8">
        <v>15713.9</v>
      </c>
      <c r="CG644" s="8">
        <v>17992.2</v>
      </c>
      <c r="CH644" s="8">
        <v>63169</v>
      </c>
      <c r="CI644" s="14">
        <v>1</v>
      </c>
      <c r="CJ644" s="14">
        <v>0</v>
      </c>
      <c r="CK644" s="14">
        <f t="shared" si="63"/>
        <v>0</v>
      </c>
      <c r="CL644">
        <f t="shared" si="64"/>
        <v>1.56738551218677</v>
      </c>
      <c r="CM644">
        <f t="shared" si="65"/>
        <v>0</v>
      </c>
      <c r="CN644" s="15">
        <v>21365</v>
      </c>
      <c r="CO644" s="15">
        <v>17587.17</v>
      </c>
      <c r="CP644" s="15">
        <v>3089.27</v>
      </c>
      <c r="CQ644" s="15">
        <v>7133.87</v>
      </c>
      <c r="CR644" s="15">
        <v>792.1</v>
      </c>
      <c r="CS644" s="15">
        <v>44.37</v>
      </c>
      <c r="CT644" s="15">
        <v>1032.56</v>
      </c>
      <c r="CU644" s="15">
        <v>304.99</v>
      </c>
      <c r="CV644" s="15">
        <v>62.05</v>
      </c>
      <c r="CW644" s="15">
        <v>2135.5</v>
      </c>
    </row>
    <row r="645" spans="1:101">
      <c r="A645" s="6">
        <v>2018</v>
      </c>
      <c r="B645" s="6" t="s">
        <v>125</v>
      </c>
      <c r="C645" s="6">
        <v>0.36600996</v>
      </c>
      <c r="D645" s="6">
        <v>0.061864</v>
      </c>
      <c r="E645" s="6">
        <v>0.015579</v>
      </c>
      <c r="F645" s="6">
        <v>0.028414</v>
      </c>
      <c r="G645" s="6">
        <v>0.009305</v>
      </c>
      <c r="H645" s="6">
        <v>0.008567</v>
      </c>
      <c r="I645" s="6">
        <v>0.05981</v>
      </c>
      <c r="J645" s="6">
        <v>0.027938</v>
      </c>
      <c r="K645" s="6">
        <v>0.43369975</v>
      </c>
      <c r="L645" s="6">
        <v>0.32783265</v>
      </c>
      <c r="M645" s="6">
        <v>0.39379002</v>
      </c>
      <c r="N645" s="6">
        <v>0.24656542</v>
      </c>
      <c r="O645" s="6">
        <v>0.22611417</v>
      </c>
      <c r="P645" s="6">
        <v>0.57638903</v>
      </c>
      <c r="Q645" s="6">
        <v>0.42950175</v>
      </c>
      <c r="R645" s="6">
        <v>217.69486</v>
      </c>
      <c r="S645" s="6">
        <v>0.00199224</v>
      </c>
      <c r="T645" s="6">
        <v>169.97573</v>
      </c>
      <c r="U645" s="6">
        <v>0.0019287</v>
      </c>
      <c r="V645" s="6">
        <v>197.11803</v>
      </c>
      <c r="W645" s="6">
        <v>0.00199774</v>
      </c>
      <c r="X645" s="6">
        <v>134.47093</v>
      </c>
      <c r="Y645" s="6">
        <v>0.0018336</v>
      </c>
      <c r="Z645" s="6">
        <v>134.86767</v>
      </c>
      <c r="AA645" s="6">
        <v>0.00167656</v>
      </c>
      <c r="AB645" s="6">
        <v>294.9318</v>
      </c>
      <c r="AC645" s="6">
        <v>0.00195431</v>
      </c>
      <c r="AD645" s="6">
        <v>243.86163</v>
      </c>
      <c r="AE645" s="6">
        <v>0.00176125</v>
      </c>
      <c r="AF645" s="6">
        <v>775</v>
      </c>
      <c r="AG645" s="6">
        <v>-0.01238872</v>
      </c>
      <c r="AH645" s="6">
        <v>-0.01205614</v>
      </c>
      <c r="AI645" s="6">
        <v>-0.01241742</v>
      </c>
      <c r="AJ645" s="6">
        <v>-0.01155436</v>
      </c>
      <c r="AK645" s="6">
        <v>-0.01071493</v>
      </c>
      <c r="AL645" s="6">
        <v>-0.01219045</v>
      </c>
      <c r="AM645" s="6">
        <v>-0.01116938</v>
      </c>
      <c r="AN645" s="6">
        <v>-6.4762184</v>
      </c>
      <c r="AO645" s="6">
        <v>-6.4515561</v>
      </c>
      <c r="AP645" s="6">
        <v>-6.4739881</v>
      </c>
      <c r="AQ645" s="6">
        <v>-6.4253629</v>
      </c>
      <c r="AR645" s="6">
        <v>-6.4020076</v>
      </c>
      <c r="AS645" s="6">
        <v>-6.4618417</v>
      </c>
      <c r="AT645" s="6">
        <v>-6.4506396</v>
      </c>
      <c r="AU645" s="6">
        <v>0.97344833</v>
      </c>
      <c r="AV645" s="6">
        <v>0.96974131</v>
      </c>
      <c r="AW645" s="6">
        <v>0.97311308</v>
      </c>
      <c r="AX645" s="6">
        <v>0.96580418</v>
      </c>
      <c r="AY645" s="6">
        <v>0.96229362</v>
      </c>
      <c r="AZ645" s="6">
        <v>0.97128734</v>
      </c>
      <c r="BA645" s="6">
        <v>0.96960354</v>
      </c>
      <c r="BB645" s="6">
        <v>0.02655167</v>
      </c>
      <c r="BC645" s="6">
        <v>0.03025869</v>
      </c>
      <c r="BD645" s="6">
        <v>0.02688692</v>
      </c>
      <c r="BE645" s="6">
        <v>0.03419582</v>
      </c>
      <c r="BF645" s="6">
        <v>0.03770638</v>
      </c>
      <c r="BG645" s="6">
        <v>0.02871266</v>
      </c>
      <c r="BH645" s="6">
        <v>0.03039646</v>
      </c>
      <c r="BI645" s="6">
        <v>0.21470859</v>
      </c>
      <c r="BJ645" s="6">
        <v>0.12366373</v>
      </c>
      <c r="BK645" s="6">
        <v>0.1409291</v>
      </c>
      <c r="BL645" s="6">
        <v>0.12522516</v>
      </c>
      <c r="BM645" s="6">
        <v>0.1592662</v>
      </c>
      <c r="BN645" s="6">
        <v>0.17561655</v>
      </c>
      <c r="BO645" s="6">
        <v>0.1337285</v>
      </c>
      <c r="BP645" s="6">
        <v>0.14157076</v>
      </c>
      <c r="BQ645" s="6">
        <v>0.05363293</v>
      </c>
      <c r="BR645" s="6">
        <v>0.04620116</v>
      </c>
      <c r="BS645" s="6">
        <v>0.04931242</v>
      </c>
      <c r="BT645" s="6">
        <v>0.03926954</v>
      </c>
      <c r="BU645" s="6">
        <v>0.03970939</v>
      </c>
      <c r="BV645" s="6">
        <v>0.07707964</v>
      </c>
      <c r="BW645" s="6">
        <v>0.06080489</v>
      </c>
      <c r="BX645" s="12">
        <v>22321</v>
      </c>
      <c r="BY645" s="13">
        <v>4291</v>
      </c>
      <c r="BZ645" s="12">
        <v>25315.35</v>
      </c>
      <c r="CA645" s="6">
        <f t="shared" si="60"/>
        <v>5.20181775809835</v>
      </c>
      <c r="CB645" s="6">
        <f t="shared" si="61"/>
        <v>0.881718009034045</v>
      </c>
      <c r="CC645" s="7">
        <v>433325651.3</v>
      </c>
      <c r="CD645" s="7">
        <f t="shared" si="62"/>
        <v>1.71171108161649</v>
      </c>
      <c r="CE645" s="8">
        <v>3548.2</v>
      </c>
      <c r="CF645" s="8">
        <v>17573.9</v>
      </c>
      <c r="CG645" s="8">
        <v>20899.9</v>
      </c>
      <c r="CH645" s="8">
        <v>71097</v>
      </c>
      <c r="CI645" s="14">
        <v>1</v>
      </c>
      <c r="CJ645" s="14">
        <v>0</v>
      </c>
      <c r="CK645" s="14">
        <f t="shared" si="63"/>
        <v>0</v>
      </c>
      <c r="CL645">
        <f t="shared" si="64"/>
        <v>1.51591455826218</v>
      </c>
      <c r="CM645">
        <f t="shared" si="65"/>
        <v>0</v>
      </c>
      <c r="CN645" s="15">
        <v>22321</v>
      </c>
      <c r="CO645" s="15">
        <v>17904.4</v>
      </c>
      <c r="CP645" s="15">
        <v>3279.64</v>
      </c>
      <c r="CQ645" s="15">
        <v>8202.5</v>
      </c>
      <c r="CR645" s="15">
        <v>856.85</v>
      </c>
      <c r="CS645" s="15">
        <v>51.48</v>
      </c>
      <c r="CT645" s="15">
        <v>1040.93</v>
      </c>
      <c r="CU645" s="15">
        <v>216.88</v>
      </c>
      <c r="CV645" s="15">
        <v>73.16</v>
      </c>
      <c r="CW645" s="15">
        <v>2302.38</v>
      </c>
    </row>
    <row r="646" spans="1:101">
      <c r="A646" s="6">
        <v>2019</v>
      </c>
      <c r="B646" s="6" t="s">
        <v>125</v>
      </c>
      <c r="C646" s="6">
        <v>0.4019117</v>
      </c>
      <c r="D646" s="6">
        <v>0.0635</v>
      </c>
      <c r="E646" s="6">
        <v>0.016474</v>
      </c>
      <c r="F646" s="6">
        <v>0.028358</v>
      </c>
      <c r="G646" s="6">
        <v>0.008552</v>
      </c>
      <c r="H646" s="6">
        <v>0.010116</v>
      </c>
      <c r="I646" s="6">
        <v>0.068663</v>
      </c>
      <c r="J646" s="6">
        <v>0.033304</v>
      </c>
      <c r="K646" s="6">
        <v>0.44652667</v>
      </c>
      <c r="L646" s="6">
        <v>0.34898765</v>
      </c>
      <c r="M646" s="6">
        <v>0.39293123</v>
      </c>
      <c r="N646" s="6">
        <v>0.22430481</v>
      </c>
      <c r="O646" s="6">
        <v>0.2730687</v>
      </c>
      <c r="P646" s="6">
        <v>0.67500271</v>
      </c>
      <c r="Q646" s="6">
        <v>0.5252391</v>
      </c>
      <c r="R646" s="6">
        <v>217.69486</v>
      </c>
      <c r="S646" s="6">
        <v>0.00205116</v>
      </c>
      <c r="T646" s="6">
        <v>169.97573</v>
      </c>
      <c r="U646" s="6">
        <v>0.00205316</v>
      </c>
      <c r="V646" s="6">
        <v>197.11803</v>
      </c>
      <c r="W646" s="6">
        <v>0.00199338</v>
      </c>
      <c r="X646" s="6">
        <v>134.47093</v>
      </c>
      <c r="Y646" s="6">
        <v>0.00166805</v>
      </c>
      <c r="Z646" s="6">
        <v>134.86767</v>
      </c>
      <c r="AA646" s="6">
        <v>0.00202472</v>
      </c>
      <c r="AB646" s="6">
        <v>294.9318</v>
      </c>
      <c r="AC646" s="6">
        <v>0.00228867</v>
      </c>
      <c r="AD646" s="6">
        <v>243.86163</v>
      </c>
      <c r="AE646" s="6">
        <v>0.00215384</v>
      </c>
      <c r="AF646" s="6">
        <v>775</v>
      </c>
      <c r="AG646" s="6">
        <v>-0.01269534</v>
      </c>
      <c r="AH646" s="6">
        <v>-0.01270573</v>
      </c>
      <c r="AI646" s="6">
        <v>-0.01239469</v>
      </c>
      <c r="AJ646" s="6">
        <v>-0.01066904</v>
      </c>
      <c r="AK646" s="6">
        <v>-0.01255795</v>
      </c>
      <c r="AL646" s="6">
        <v>-0.01391464</v>
      </c>
      <c r="AM646" s="6">
        <v>-0.01322566</v>
      </c>
      <c r="AN646" s="6">
        <v>-6.4762184</v>
      </c>
      <c r="AO646" s="6">
        <v>-6.4515561</v>
      </c>
      <c r="AP646" s="6">
        <v>-6.4739881</v>
      </c>
      <c r="AQ646" s="6">
        <v>-6.4253629</v>
      </c>
      <c r="AR646" s="6">
        <v>-6.4020076</v>
      </c>
      <c r="AS646" s="6">
        <v>-6.4618417</v>
      </c>
      <c r="AT646" s="6">
        <v>-6.4506396</v>
      </c>
      <c r="AU646" s="6">
        <v>0.97344833</v>
      </c>
      <c r="AV646" s="6">
        <v>0.96974131</v>
      </c>
      <c r="AW646" s="6">
        <v>0.97311308</v>
      </c>
      <c r="AX646" s="6">
        <v>0.96580418</v>
      </c>
      <c r="AY646" s="6">
        <v>0.96229362</v>
      </c>
      <c r="AZ646" s="6">
        <v>0.97128734</v>
      </c>
      <c r="BA646" s="6">
        <v>0.96960354</v>
      </c>
      <c r="BB646" s="6">
        <v>0.02655167</v>
      </c>
      <c r="BC646" s="6">
        <v>0.03025869</v>
      </c>
      <c r="BD646" s="6">
        <v>0.02688692</v>
      </c>
      <c r="BE646" s="6">
        <v>0.03419582</v>
      </c>
      <c r="BF646" s="6">
        <v>0.03770638</v>
      </c>
      <c r="BG646" s="6">
        <v>0.02871266</v>
      </c>
      <c r="BH646" s="6">
        <v>0.03039646</v>
      </c>
      <c r="BI646" s="6">
        <v>0.21470859</v>
      </c>
      <c r="BJ646" s="6">
        <v>0.12366373</v>
      </c>
      <c r="BK646" s="6">
        <v>0.1409291</v>
      </c>
      <c r="BL646" s="6">
        <v>0.12522516</v>
      </c>
      <c r="BM646" s="6">
        <v>0.1592662</v>
      </c>
      <c r="BN646" s="6">
        <v>0.17561655</v>
      </c>
      <c r="BO646" s="6">
        <v>0.1337285</v>
      </c>
      <c r="BP646" s="6">
        <v>0.14157076</v>
      </c>
      <c r="BQ646" s="6">
        <v>0.05521915</v>
      </c>
      <c r="BR646" s="6">
        <v>0.04918251</v>
      </c>
      <c r="BS646" s="6">
        <v>0.04920488</v>
      </c>
      <c r="BT646" s="6">
        <v>0.03572418</v>
      </c>
      <c r="BU646" s="6">
        <v>0.04795538</v>
      </c>
      <c r="BV646" s="6">
        <v>0.0902671</v>
      </c>
      <c r="BW646" s="6">
        <v>0.0743585</v>
      </c>
      <c r="BX646" s="12">
        <v>23749</v>
      </c>
      <c r="BY646" s="13">
        <v>4277</v>
      </c>
      <c r="BZ646" s="12">
        <v>24909.45</v>
      </c>
      <c r="CA646" s="6">
        <f t="shared" si="60"/>
        <v>5.55272387187281</v>
      </c>
      <c r="CB646" s="6">
        <f t="shared" si="61"/>
        <v>0.953413262837999</v>
      </c>
      <c r="CC646" s="7">
        <v>444688060.5</v>
      </c>
      <c r="CD646" s="7">
        <f t="shared" si="62"/>
        <v>1.78521830269235</v>
      </c>
      <c r="CE646" s="8">
        <v>3809.4</v>
      </c>
      <c r="CF646" s="8">
        <v>18723</v>
      </c>
      <c r="CG646" s="8">
        <v>22896.5</v>
      </c>
      <c r="CH646" s="8">
        <v>76712</v>
      </c>
      <c r="CI646" s="14">
        <v>1</v>
      </c>
      <c r="CJ646" s="14">
        <v>0</v>
      </c>
      <c r="CK646" s="14">
        <f t="shared" si="63"/>
        <v>0</v>
      </c>
      <c r="CL646">
        <f t="shared" si="64"/>
        <v>1.5000536746505</v>
      </c>
      <c r="CM646">
        <f t="shared" si="65"/>
        <v>0</v>
      </c>
      <c r="CN646" s="15">
        <v>23749</v>
      </c>
      <c r="CO646" s="15">
        <v>18710.78</v>
      </c>
      <c r="CP646" s="15">
        <v>3348.65</v>
      </c>
      <c r="CQ646" s="15">
        <v>9894.5</v>
      </c>
      <c r="CR646" s="15">
        <v>880.13</v>
      </c>
      <c r="CS646" s="15">
        <v>52.78</v>
      </c>
      <c r="CT646" s="15">
        <v>1044.87</v>
      </c>
      <c r="CU646" s="15">
        <v>221.12</v>
      </c>
      <c r="CV646" s="15">
        <v>75.01</v>
      </c>
      <c r="CW646" s="15">
        <v>2401.47</v>
      </c>
    </row>
    <row r="647" spans="1:101">
      <c r="A647" s="6">
        <v>2020</v>
      </c>
      <c r="B647" s="6" t="s">
        <v>125</v>
      </c>
      <c r="C647" s="6">
        <v>0.43045344</v>
      </c>
      <c r="D647" s="6">
        <v>0.071944</v>
      </c>
      <c r="E647" s="6">
        <v>0.019148</v>
      </c>
      <c r="F647" s="6">
        <v>0.032004</v>
      </c>
      <c r="G647" s="6">
        <v>0.011166</v>
      </c>
      <c r="H647" s="6">
        <v>0.009626</v>
      </c>
      <c r="I647" s="6">
        <v>0.069008</v>
      </c>
      <c r="J647" s="6">
        <v>0.031012</v>
      </c>
      <c r="K647" s="6">
        <v>0.51276369</v>
      </c>
      <c r="L647" s="6">
        <v>0.41220459</v>
      </c>
      <c r="M647" s="6">
        <v>0.44896929</v>
      </c>
      <c r="N647" s="6">
        <v>0.30158504</v>
      </c>
      <c r="O647" s="6">
        <v>0.25821762</v>
      </c>
      <c r="P647" s="6">
        <v>0.67883891</v>
      </c>
      <c r="Q647" s="6">
        <v>0.48434863</v>
      </c>
      <c r="R647" s="6">
        <v>217.69486</v>
      </c>
      <c r="S647" s="6">
        <v>0.00235542</v>
      </c>
      <c r="T647" s="6">
        <v>169.97573</v>
      </c>
      <c r="U647" s="6">
        <v>0.00242508</v>
      </c>
      <c r="V647" s="6">
        <v>197.11803</v>
      </c>
      <c r="W647" s="6">
        <v>0.00227767</v>
      </c>
      <c r="X647" s="6">
        <v>134.47093</v>
      </c>
      <c r="Y647" s="6">
        <v>0.00224275</v>
      </c>
      <c r="Z647" s="6">
        <v>134.86767</v>
      </c>
      <c r="AA647" s="6">
        <v>0.0019146</v>
      </c>
      <c r="AB647" s="6">
        <v>294.9318</v>
      </c>
      <c r="AC647" s="6">
        <v>0.00230168</v>
      </c>
      <c r="AD647" s="6">
        <v>243.86163</v>
      </c>
      <c r="AE647" s="6">
        <v>0.00198616</v>
      </c>
      <c r="AF647" s="6">
        <v>775</v>
      </c>
      <c r="AG647" s="6">
        <v>-0.01425275</v>
      </c>
      <c r="AH647" s="6">
        <v>-0.01460356</v>
      </c>
      <c r="AI647" s="6">
        <v>-0.0138587</v>
      </c>
      <c r="AJ647" s="6">
        <v>-0.01368091</v>
      </c>
      <c r="AK647" s="6">
        <v>-0.01198204</v>
      </c>
      <c r="AL647" s="6">
        <v>-0.01398068</v>
      </c>
      <c r="AM647" s="6">
        <v>-0.01235701</v>
      </c>
      <c r="AN647" s="6">
        <v>-6.4762184</v>
      </c>
      <c r="AO647" s="6">
        <v>-6.4515561</v>
      </c>
      <c r="AP647" s="6">
        <v>-6.4739881</v>
      </c>
      <c r="AQ647" s="6">
        <v>-6.4253629</v>
      </c>
      <c r="AR647" s="6">
        <v>-6.4020076</v>
      </c>
      <c r="AS647" s="6">
        <v>-6.4618417</v>
      </c>
      <c r="AT647" s="6">
        <v>-6.4506396</v>
      </c>
      <c r="AU647" s="6">
        <v>0.97344833</v>
      </c>
      <c r="AV647" s="6">
        <v>0.96974131</v>
      </c>
      <c r="AW647" s="6">
        <v>0.97311308</v>
      </c>
      <c r="AX647" s="6">
        <v>0.96580418</v>
      </c>
      <c r="AY647" s="6">
        <v>0.96229362</v>
      </c>
      <c r="AZ647" s="6">
        <v>0.97128734</v>
      </c>
      <c r="BA647" s="6">
        <v>0.96960354</v>
      </c>
      <c r="BB647" s="6">
        <v>0.02655167</v>
      </c>
      <c r="BC647" s="6">
        <v>0.03025869</v>
      </c>
      <c r="BD647" s="6">
        <v>0.02688692</v>
      </c>
      <c r="BE647" s="6">
        <v>0.03419582</v>
      </c>
      <c r="BF647" s="6">
        <v>0.03770638</v>
      </c>
      <c r="BG647" s="6">
        <v>0.02871266</v>
      </c>
      <c r="BH647" s="6">
        <v>0.03039646</v>
      </c>
      <c r="BI647" s="6">
        <v>0.21470859</v>
      </c>
      <c r="BJ647" s="6">
        <v>0.12366373</v>
      </c>
      <c r="BK647" s="6">
        <v>0.1409291</v>
      </c>
      <c r="BL647" s="6">
        <v>0.12522516</v>
      </c>
      <c r="BM647" s="6">
        <v>0.1592662</v>
      </c>
      <c r="BN647" s="6">
        <v>0.17561655</v>
      </c>
      <c r="BO647" s="6">
        <v>0.1337285</v>
      </c>
      <c r="BP647" s="6">
        <v>0.14157076</v>
      </c>
      <c r="BQ647" s="6">
        <v>0.06341027</v>
      </c>
      <c r="BR647" s="6">
        <v>0.05809162</v>
      </c>
      <c r="BS647" s="6">
        <v>0.05622225</v>
      </c>
      <c r="BT647" s="6">
        <v>0.0480323</v>
      </c>
      <c r="BU647" s="6">
        <v>0.04534729</v>
      </c>
      <c r="BV647" s="6">
        <v>0.09078011</v>
      </c>
      <c r="BW647" s="6">
        <v>0.06856961</v>
      </c>
      <c r="BX647" s="12">
        <v>24849.5</v>
      </c>
      <c r="BY647" s="13">
        <v>4255.49</v>
      </c>
      <c r="BZ647" s="12">
        <v>25114.96</v>
      </c>
      <c r="CA647" s="6">
        <f t="shared" si="60"/>
        <v>5.83939804816837</v>
      </c>
      <c r="CB647" s="6">
        <f t="shared" si="61"/>
        <v>0.98943020414924</v>
      </c>
      <c r="CC647" s="7">
        <v>441199546.3</v>
      </c>
      <c r="CD647" s="7">
        <f t="shared" si="62"/>
        <v>1.75672008356772</v>
      </c>
      <c r="CE647" s="8">
        <v>4133.2</v>
      </c>
      <c r="CF647" s="8">
        <v>15933.8</v>
      </c>
      <c r="CG647" s="8">
        <v>22937.6</v>
      </c>
      <c r="CH647" s="8">
        <v>73687</v>
      </c>
      <c r="CI647" s="14">
        <v>1</v>
      </c>
      <c r="CJ647" s="14">
        <v>0</v>
      </c>
      <c r="CK647" s="14">
        <f t="shared" si="63"/>
        <v>0</v>
      </c>
      <c r="CL647">
        <f t="shared" si="64"/>
        <v>1.47141701078949</v>
      </c>
      <c r="CM647">
        <f t="shared" si="65"/>
        <v>0</v>
      </c>
      <c r="CN647" s="15">
        <v>24849.5</v>
      </c>
      <c r="CO647" s="15">
        <v>19068</v>
      </c>
      <c r="CP647" s="15">
        <v>3496.78</v>
      </c>
      <c r="CQ647" s="15">
        <v>10289.53</v>
      </c>
      <c r="CR647" s="15">
        <v>797.39</v>
      </c>
      <c r="CS647" s="15">
        <v>33.51</v>
      </c>
      <c r="CT647" s="15">
        <v>1007.1</v>
      </c>
      <c r="CU647" s="15">
        <v>212.76</v>
      </c>
      <c r="CV647" s="15">
        <v>72.7</v>
      </c>
      <c r="CW647" s="15">
        <v>2423</v>
      </c>
    </row>
    <row r="648" spans="1:101">
      <c r="A648" s="6">
        <v>2021</v>
      </c>
      <c r="B648" s="6" t="s">
        <v>125</v>
      </c>
      <c r="C648" s="6">
        <v>0.4336234</v>
      </c>
      <c r="D648" s="6">
        <v>0.070805</v>
      </c>
      <c r="E648" s="6">
        <v>0.018337</v>
      </c>
      <c r="F648" s="6">
        <v>0.033071</v>
      </c>
      <c r="G648" s="6">
        <v>0.01161</v>
      </c>
      <c r="H648" s="6">
        <v>0.007788</v>
      </c>
      <c r="I648" s="6">
        <v>0.070671</v>
      </c>
      <c r="J648" s="6">
        <v>0.035027</v>
      </c>
      <c r="K648" s="6">
        <v>0.50383206</v>
      </c>
      <c r="L648" s="6">
        <v>0.39302687</v>
      </c>
      <c r="M648" s="6">
        <v>0.46537048</v>
      </c>
      <c r="N648" s="6">
        <v>0.31469772</v>
      </c>
      <c r="O648" s="6">
        <v>0.20251087</v>
      </c>
      <c r="P648" s="6">
        <v>0.69736426</v>
      </c>
      <c r="Q648" s="6">
        <v>0.55597767</v>
      </c>
      <c r="R648" s="6">
        <v>217.69486</v>
      </c>
      <c r="S648" s="6">
        <v>0.0023144</v>
      </c>
      <c r="T648" s="6">
        <v>169.97573</v>
      </c>
      <c r="U648" s="6">
        <v>0.00231225</v>
      </c>
      <c r="V648" s="6">
        <v>197.11803</v>
      </c>
      <c r="W648" s="6">
        <v>0.00236087</v>
      </c>
      <c r="X648" s="6">
        <v>134.47093</v>
      </c>
      <c r="Y648" s="6">
        <v>0.00234027</v>
      </c>
      <c r="Z648" s="6">
        <v>134.86767</v>
      </c>
      <c r="AA648" s="6">
        <v>0.00150155</v>
      </c>
      <c r="AB648" s="6">
        <v>294.9318</v>
      </c>
      <c r="AC648" s="6">
        <v>0.00236449</v>
      </c>
      <c r="AD648" s="6">
        <v>243.86163</v>
      </c>
      <c r="AE648" s="6">
        <v>0.00227989</v>
      </c>
      <c r="AF648" s="6">
        <v>775</v>
      </c>
      <c r="AG648" s="6">
        <v>-0.01404516</v>
      </c>
      <c r="AH648" s="6">
        <v>-0.01403429</v>
      </c>
      <c r="AI648" s="6">
        <v>-0.01428026</v>
      </c>
      <c r="AJ648" s="6">
        <v>-0.01417614</v>
      </c>
      <c r="AK648" s="6">
        <v>-0.00976198</v>
      </c>
      <c r="AL648" s="6">
        <v>-0.01429854</v>
      </c>
      <c r="AM648" s="6">
        <v>-0.01387</v>
      </c>
      <c r="AN648" s="6">
        <v>-6.4762184</v>
      </c>
      <c r="AO648" s="6">
        <v>-6.4515561</v>
      </c>
      <c r="AP648" s="6">
        <v>-6.4739881</v>
      </c>
      <c r="AQ648" s="6">
        <v>-6.4253629</v>
      </c>
      <c r="AR648" s="6">
        <v>-6.4020076</v>
      </c>
      <c r="AS648" s="6">
        <v>-6.4618417</v>
      </c>
      <c r="AT648" s="6">
        <v>-6.4506396</v>
      </c>
      <c r="AU648" s="6">
        <v>0.97344833</v>
      </c>
      <c r="AV648" s="6">
        <v>0.96974131</v>
      </c>
      <c r="AW648" s="6">
        <v>0.97311308</v>
      </c>
      <c r="AX648" s="6">
        <v>0.96580418</v>
      </c>
      <c r="AY648" s="6">
        <v>0.96229362</v>
      </c>
      <c r="AZ648" s="6">
        <v>0.97128734</v>
      </c>
      <c r="BA648" s="6">
        <v>0.96960354</v>
      </c>
      <c r="BB648" s="6">
        <v>0.02655167</v>
      </c>
      <c r="BC648" s="6">
        <v>0.03025869</v>
      </c>
      <c r="BD648" s="6">
        <v>0.02688692</v>
      </c>
      <c r="BE648" s="6">
        <v>0.03419582</v>
      </c>
      <c r="BF648" s="6">
        <v>0.03770638</v>
      </c>
      <c r="BG648" s="6">
        <v>0.02871266</v>
      </c>
      <c r="BH648" s="6">
        <v>0.03039646</v>
      </c>
      <c r="BI648" s="6">
        <v>0.21470859</v>
      </c>
      <c r="BJ648" s="6">
        <v>0.12366373</v>
      </c>
      <c r="BK648" s="6">
        <v>0.1409291</v>
      </c>
      <c r="BL648" s="6">
        <v>0.12522516</v>
      </c>
      <c r="BM648" s="6">
        <v>0.1592662</v>
      </c>
      <c r="BN648" s="6">
        <v>0.17561655</v>
      </c>
      <c r="BO648" s="6">
        <v>0.1337285</v>
      </c>
      <c r="BP648" s="6">
        <v>0.14157076</v>
      </c>
      <c r="BQ648" s="6">
        <v>0.06230575</v>
      </c>
      <c r="BR648" s="6">
        <v>0.05538892</v>
      </c>
      <c r="BS648" s="6">
        <v>0.05827609</v>
      </c>
      <c r="BT648" s="6">
        <v>0.05012071</v>
      </c>
      <c r="BU648" s="6">
        <v>0.03556426</v>
      </c>
      <c r="BV648" s="6">
        <v>0.09325747</v>
      </c>
      <c r="BW648" s="6">
        <v>0.07871018</v>
      </c>
      <c r="BX648" s="12">
        <v>24930.8</v>
      </c>
      <c r="BY648" s="13">
        <v>4229</v>
      </c>
      <c r="BZ648" s="12">
        <v>27584.1</v>
      </c>
      <c r="CA648" s="6">
        <f t="shared" si="60"/>
        <v>5.89519981082998</v>
      </c>
      <c r="CB648" s="6">
        <f t="shared" si="61"/>
        <v>0.903810528529116</v>
      </c>
      <c r="CC648" s="7">
        <v>465108490.6</v>
      </c>
      <c r="CD648" s="7">
        <f t="shared" si="62"/>
        <v>1.68614705790655</v>
      </c>
      <c r="CE648" s="8">
        <v>4635.2</v>
      </c>
      <c r="CF648" s="8">
        <v>19332.1</v>
      </c>
      <c r="CG648" s="8">
        <v>26123.9</v>
      </c>
      <c r="CH648" s="8">
        <v>86551</v>
      </c>
      <c r="CI648" s="14">
        <v>1</v>
      </c>
      <c r="CJ648" s="14">
        <v>0</v>
      </c>
      <c r="CK648" s="14">
        <f t="shared" si="63"/>
        <v>0</v>
      </c>
      <c r="CL648">
        <f t="shared" si="64"/>
        <v>1.36781889095748</v>
      </c>
      <c r="CM648">
        <f t="shared" si="65"/>
        <v>0</v>
      </c>
      <c r="CN648" s="15">
        <v>24930.8</v>
      </c>
      <c r="CO648" s="15">
        <v>16403.27</v>
      </c>
      <c r="CP648" s="15">
        <v>3405.54</v>
      </c>
      <c r="CQ648" s="15">
        <v>10412.73</v>
      </c>
      <c r="CR648" s="15">
        <v>824.65</v>
      </c>
      <c r="CS648" s="15">
        <v>34.48</v>
      </c>
      <c r="CT648" s="15">
        <v>1059.73</v>
      </c>
      <c r="CU648" s="15">
        <v>178.24</v>
      </c>
      <c r="CV648" s="15">
        <v>81.27</v>
      </c>
      <c r="CW648" s="15">
        <v>2576</v>
      </c>
    </row>
    <row r="649" spans="1:101">
      <c r="A649" s="6">
        <v>2022</v>
      </c>
      <c r="B649" s="6" t="s">
        <v>125</v>
      </c>
      <c r="C649" s="6">
        <v>0.48379776</v>
      </c>
      <c r="D649" s="6">
        <v>0.077754</v>
      </c>
      <c r="E649" s="6">
        <v>0.019531</v>
      </c>
      <c r="F649" s="6">
        <v>0.034222</v>
      </c>
      <c r="G649" s="6">
        <v>0.010538</v>
      </c>
      <c r="H649" s="6">
        <v>0.013463</v>
      </c>
      <c r="I649" s="6">
        <v>0.069672</v>
      </c>
      <c r="J649" s="6">
        <v>0.040399</v>
      </c>
      <c r="K649" s="6">
        <v>0.55833906</v>
      </c>
      <c r="L649" s="6">
        <v>0.42125866</v>
      </c>
      <c r="M649" s="6">
        <v>0.48306752</v>
      </c>
      <c r="N649" s="6">
        <v>0.28301958</v>
      </c>
      <c r="O649" s="6">
        <v>0.37448886</v>
      </c>
      <c r="P649" s="6">
        <v>0.686234</v>
      </c>
      <c r="Q649" s="6">
        <v>0.65183461</v>
      </c>
      <c r="R649" s="6">
        <v>217.69486</v>
      </c>
      <c r="S649" s="6">
        <v>0.00256478</v>
      </c>
      <c r="T649" s="6">
        <v>169.97573</v>
      </c>
      <c r="U649" s="6">
        <v>0.00247835</v>
      </c>
      <c r="V649" s="6">
        <v>197.11803</v>
      </c>
      <c r="W649" s="6">
        <v>0.00245065</v>
      </c>
      <c r="X649" s="6">
        <v>134.47093</v>
      </c>
      <c r="Y649" s="6">
        <v>0.00210469</v>
      </c>
      <c r="Z649" s="6">
        <v>134.86767</v>
      </c>
      <c r="AA649" s="6">
        <v>0.00277671</v>
      </c>
      <c r="AB649" s="6">
        <v>294.9318</v>
      </c>
      <c r="AC649" s="6">
        <v>0.00232675</v>
      </c>
      <c r="AD649" s="6">
        <v>243.86163</v>
      </c>
      <c r="AE649" s="6">
        <v>0.00267297</v>
      </c>
      <c r="AF649" s="6">
        <v>775</v>
      </c>
      <c r="AG649" s="6">
        <v>-0.01530117</v>
      </c>
      <c r="AH649" s="6">
        <v>-0.01487048</v>
      </c>
      <c r="AI649" s="6">
        <v>-0.01473185</v>
      </c>
      <c r="AJ649" s="6">
        <v>-0.01297244</v>
      </c>
      <c r="AK649" s="6">
        <v>-0.01634509</v>
      </c>
      <c r="AL649" s="6">
        <v>-0.01410777</v>
      </c>
      <c r="AM649" s="6">
        <v>-0.01583618</v>
      </c>
      <c r="AN649" s="6">
        <v>-6.4762184</v>
      </c>
      <c r="AO649" s="6">
        <v>-6.4515561</v>
      </c>
      <c r="AP649" s="6">
        <v>-6.4739881</v>
      </c>
      <c r="AQ649" s="6">
        <v>-6.4253629</v>
      </c>
      <c r="AR649" s="6">
        <v>-6.4020076</v>
      </c>
      <c r="AS649" s="6">
        <v>-6.4618417</v>
      </c>
      <c r="AT649" s="6">
        <v>-6.4506396</v>
      </c>
      <c r="AU649" s="6">
        <v>0.97344833</v>
      </c>
      <c r="AV649" s="6">
        <v>0.96974131</v>
      </c>
      <c r="AW649" s="6">
        <v>0.97311308</v>
      </c>
      <c r="AX649" s="6">
        <v>0.96580418</v>
      </c>
      <c r="AY649" s="6">
        <v>0.96229362</v>
      </c>
      <c r="AZ649" s="6">
        <v>0.97128734</v>
      </c>
      <c r="BA649" s="6">
        <v>0.96960354</v>
      </c>
      <c r="BB649" s="6">
        <v>0.02655167</v>
      </c>
      <c r="BC649" s="6">
        <v>0.03025869</v>
      </c>
      <c r="BD649" s="6">
        <v>0.02688692</v>
      </c>
      <c r="BE649" s="6">
        <v>0.03419582</v>
      </c>
      <c r="BF649" s="6">
        <v>0.03770638</v>
      </c>
      <c r="BG649" s="6">
        <v>0.02871266</v>
      </c>
      <c r="BH649" s="6">
        <v>0.03039646</v>
      </c>
      <c r="BI649" s="6">
        <v>0.21470859</v>
      </c>
      <c r="BJ649" s="6">
        <v>0.12366373</v>
      </c>
      <c r="BK649" s="6">
        <v>0.1409291</v>
      </c>
      <c r="BL649" s="6">
        <v>0.12522516</v>
      </c>
      <c r="BM649" s="6">
        <v>0.1592662</v>
      </c>
      <c r="BN649" s="6">
        <v>0.17561655</v>
      </c>
      <c r="BO649" s="6">
        <v>0.1337285</v>
      </c>
      <c r="BP649" s="6">
        <v>0.14157076</v>
      </c>
      <c r="BQ649" s="6">
        <v>0.06904629</v>
      </c>
      <c r="BR649" s="6">
        <v>0.0593676</v>
      </c>
      <c r="BS649" s="6">
        <v>0.06049221</v>
      </c>
      <c r="BT649" s="6">
        <v>0.04507545</v>
      </c>
      <c r="BU649" s="6">
        <v>0.06576644</v>
      </c>
      <c r="BV649" s="6">
        <v>0.09176904</v>
      </c>
      <c r="BW649" s="6">
        <v>0.09228072</v>
      </c>
      <c r="BX649" s="12">
        <v>24707.3</v>
      </c>
      <c r="BY649" s="13">
        <v>4197</v>
      </c>
      <c r="BZ649" s="12">
        <v>28975.1</v>
      </c>
      <c r="CA649" s="6">
        <f t="shared" si="60"/>
        <v>5.88689540147725</v>
      </c>
      <c r="CB649" s="6">
        <f t="shared" si="61"/>
        <v>0.852708014812719</v>
      </c>
      <c r="CC649" s="7">
        <v>474128458.1</v>
      </c>
      <c r="CD649" s="7">
        <f t="shared" si="62"/>
        <v>1.63633070498462</v>
      </c>
      <c r="CE649" s="8">
        <v>4982.1</v>
      </c>
      <c r="CF649" s="8">
        <v>19793.7</v>
      </c>
      <c r="CG649" s="8">
        <v>27965.8</v>
      </c>
      <c r="CH649" s="8">
        <v>90358</v>
      </c>
      <c r="CI649" s="14">
        <v>1</v>
      </c>
      <c r="CJ649" s="14">
        <v>0</v>
      </c>
      <c r="CK649" s="14">
        <f t="shared" si="63"/>
        <v>0</v>
      </c>
      <c r="CL649">
        <f t="shared" si="64"/>
        <v>1.27047633725244</v>
      </c>
      <c r="CM649">
        <f t="shared" si="65"/>
        <v>0</v>
      </c>
      <c r="CN649" s="15">
        <v>25911.6186934015</v>
      </c>
      <c r="CO649" s="15">
        <v>15732.2</v>
      </c>
      <c r="CP649" s="15">
        <v>3387.93</v>
      </c>
      <c r="CQ649" s="15">
        <v>9752.73</v>
      </c>
      <c r="CR649" s="15">
        <v>815.75</v>
      </c>
      <c r="CS649" s="15">
        <v>26</v>
      </c>
      <c r="CT649" s="15">
        <v>981.16</v>
      </c>
      <c r="CU649" s="15">
        <v>188.34</v>
      </c>
      <c r="CV649" s="15">
        <v>79</v>
      </c>
      <c r="CW649" s="15">
        <v>2659.22</v>
      </c>
    </row>
    <row r="650" spans="1:101">
      <c r="A650" s="6">
        <v>2023</v>
      </c>
      <c r="B650" s="6" t="s">
        <v>125</v>
      </c>
      <c r="C650" s="6">
        <v>0.67042213</v>
      </c>
      <c r="D650" s="6">
        <v>0.091434</v>
      </c>
      <c r="E650" s="6">
        <v>0.027456</v>
      </c>
      <c r="F650" s="6">
        <v>0.042105</v>
      </c>
      <c r="G650" s="6">
        <v>0.016198</v>
      </c>
      <c r="H650" s="6">
        <v>0.025869</v>
      </c>
      <c r="I650" s="6">
        <v>0.075403</v>
      </c>
      <c r="J650" s="6">
        <v>0.052503</v>
      </c>
      <c r="K650" s="6">
        <v>0.66564428</v>
      </c>
      <c r="L650" s="6">
        <v>0.60862876</v>
      </c>
      <c r="M650" s="6">
        <v>0.60421712</v>
      </c>
      <c r="N650" s="6">
        <v>0.45030509</v>
      </c>
      <c r="O650" s="6">
        <v>0.75044692</v>
      </c>
      <c r="P650" s="6">
        <v>0.75007532</v>
      </c>
      <c r="Q650" s="6">
        <v>0.86778977</v>
      </c>
      <c r="R650" s="6">
        <v>217.69486</v>
      </c>
      <c r="S650" s="6">
        <v>0.00305769</v>
      </c>
      <c r="T650" s="6">
        <v>169.97573</v>
      </c>
      <c r="U650" s="6">
        <v>0.00358068</v>
      </c>
      <c r="V650" s="6">
        <v>197.11803</v>
      </c>
      <c r="W650" s="6">
        <v>0.00306526</v>
      </c>
      <c r="X650" s="6">
        <v>134.47093</v>
      </c>
      <c r="Y650" s="6">
        <v>0.00334872</v>
      </c>
      <c r="Z650" s="6">
        <v>134.86767</v>
      </c>
      <c r="AA650" s="6">
        <v>0.00556432</v>
      </c>
      <c r="AB650" s="6">
        <v>294.9318</v>
      </c>
      <c r="AC650" s="6">
        <v>0.00254322</v>
      </c>
      <c r="AD650" s="6">
        <v>243.86163</v>
      </c>
      <c r="AE650" s="6">
        <v>0.00355853</v>
      </c>
      <c r="AF650" s="6">
        <v>775</v>
      </c>
      <c r="AG650" s="6">
        <v>-0.01770434</v>
      </c>
      <c r="AH650" s="6">
        <v>-0.02016712</v>
      </c>
      <c r="AI650" s="6">
        <v>-0.01774055</v>
      </c>
      <c r="AJ650" s="6">
        <v>-0.01908493</v>
      </c>
      <c r="AK650" s="6">
        <v>-0.0288865</v>
      </c>
      <c r="AL650" s="6">
        <v>-0.015194</v>
      </c>
      <c r="AM650" s="6">
        <v>-0.02006446</v>
      </c>
      <c r="AN650" s="6">
        <v>-6.4762184</v>
      </c>
      <c r="AO650" s="6">
        <v>-6.4515561</v>
      </c>
      <c r="AP650" s="6">
        <v>-6.4739881</v>
      </c>
      <c r="AQ650" s="6">
        <v>-6.4253629</v>
      </c>
      <c r="AR650" s="6">
        <v>-6.4020076</v>
      </c>
      <c r="AS650" s="6">
        <v>-6.4618417</v>
      </c>
      <c r="AT650" s="6">
        <v>-6.4506396</v>
      </c>
      <c r="AU650" s="6">
        <v>0.97344833</v>
      </c>
      <c r="AV650" s="6">
        <v>0.96974131</v>
      </c>
      <c r="AW650" s="6">
        <v>0.97311308</v>
      </c>
      <c r="AX650" s="6">
        <v>0.96580418</v>
      </c>
      <c r="AY650" s="6">
        <v>0.96229362</v>
      </c>
      <c r="AZ650" s="6">
        <v>0.97128734</v>
      </c>
      <c r="BA650" s="6">
        <v>0.96960354</v>
      </c>
      <c r="BB650" s="6">
        <v>0.02655167</v>
      </c>
      <c r="BC650" s="6">
        <v>0.03025869</v>
      </c>
      <c r="BD650" s="6">
        <v>0.02688692</v>
      </c>
      <c r="BE650" s="6">
        <v>0.03419582</v>
      </c>
      <c r="BF650" s="6">
        <v>0.03770638</v>
      </c>
      <c r="BG650" s="6">
        <v>0.02871266</v>
      </c>
      <c r="BH650" s="6">
        <v>0.03039646</v>
      </c>
      <c r="BI650" s="6">
        <v>0.21470859</v>
      </c>
      <c r="BJ650" s="6">
        <v>0.12366373</v>
      </c>
      <c r="BK650" s="6">
        <v>0.1409291</v>
      </c>
      <c r="BL650" s="6">
        <v>0.12522516</v>
      </c>
      <c r="BM650" s="6">
        <v>0.1592662</v>
      </c>
      <c r="BN650" s="6">
        <v>0.17561655</v>
      </c>
      <c r="BO650" s="6">
        <v>0.1337285</v>
      </c>
      <c r="BP650" s="6">
        <v>0.14157076</v>
      </c>
      <c r="BQ650" s="6">
        <v>0.08231606</v>
      </c>
      <c r="BR650" s="6">
        <v>0.0857735</v>
      </c>
      <c r="BS650" s="6">
        <v>0.07566319</v>
      </c>
      <c r="BT650" s="6">
        <v>0.07171838</v>
      </c>
      <c r="BU650" s="6">
        <v>0.1317909</v>
      </c>
      <c r="BV650" s="6">
        <v>0.10030644</v>
      </c>
      <c r="BW650" s="6">
        <v>0.12285366</v>
      </c>
      <c r="BX650" s="12">
        <v>24483.8</v>
      </c>
      <c r="BY650" s="13">
        <v>4182</v>
      </c>
      <c r="BZ650" s="12">
        <v>30209.4</v>
      </c>
      <c r="CA650" s="6">
        <f t="shared" si="60"/>
        <v>5.85456719273075</v>
      </c>
      <c r="CB650" s="6">
        <f t="shared" si="61"/>
        <v>0.810469588935894</v>
      </c>
      <c r="CC650" s="7">
        <v>487215855</v>
      </c>
      <c r="CD650" s="7">
        <f t="shared" si="62"/>
        <v>1.61279553715069</v>
      </c>
      <c r="CE650" s="8">
        <v>5073.4</v>
      </c>
      <c r="CF650" s="8">
        <v>20215.5</v>
      </c>
      <c r="CG650" s="8">
        <v>30514.7</v>
      </c>
      <c r="CH650" s="8">
        <v>95538</v>
      </c>
      <c r="CI650" s="14">
        <v>1</v>
      </c>
      <c r="CJ650" s="14">
        <v>0</v>
      </c>
      <c r="CK650" s="14">
        <f t="shared" si="63"/>
        <v>0</v>
      </c>
      <c r="CL650">
        <f t="shared" si="64"/>
        <v>1.2756783895882</v>
      </c>
      <c r="CM650">
        <f t="shared" si="65"/>
        <v>0</v>
      </c>
      <c r="CN650" s="17"/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</row>
    <row r="651" spans="1:101">
      <c r="A651" s="6">
        <v>2024</v>
      </c>
      <c r="B651" s="6" t="s">
        <v>125</v>
      </c>
      <c r="C651" s="6">
        <v>0.77545032</v>
      </c>
      <c r="D651" s="6">
        <v>0.099072</v>
      </c>
      <c r="E651" s="6">
        <v>0.031016</v>
      </c>
      <c r="F651" s="6">
        <v>0.045684</v>
      </c>
      <c r="G651" s="6">
        <v>0.018495</v>
      </c>
      <c r="H651" s="6">
        <v>0.034104</v>
      </c>
      <c r="I651" s="6">
        <v>0.079102</v>
      </c>
      <c r="J651" s="6">
        <v>0.059912</v>
      </c>
      <c r="K651" s="6">
        <v>0.725555</v>
      </c>
      <c r="L651" s="6">
        <v>0.69279198</v>
      </c>
      <c r="M651" s="6">
        <v>0.65923595</v>
      </c>
      <c r="N651" s="6">
        <v>0.51821861</v>
      </c>
      <c r="O651" s="6">
        <v>1</v>
      </c>
      <c r="P651" s="6">
        <v>0.79127477</v>
      </c>
      <c r="Q651" s="6">
        <v>1</v>
      </c>
      <c r="R651" s="6">
        <v>217.69486</v>
      </c>
      <c r="S651" s="6">
        <v>0.0033329</v>
      </c>
      <c r="T651" s="6">
        <v>169.97573</v>
      </c>
      <c r="U651" s="6">
        <v>0.00407583</v>
      </c>
      <c r="V651" s="6">
        <v>197.11803</v>
      </c>
      <c r="W651" s="6">
        <v>0.00334437</v>
      </c>
      <c r="X651" s="6">
        <v>134.47093</v>
      </c>
      <c r="Y651" s="6">
        <v>0.00385376</v>
      </c>
      <c r="Z651" s="6">
        <v>134.86767</v>
      </c>
      <c r="AA651" s="6">
        <v>0.00741468</v>
      </c>
      <c r="AB651" s="6">
        <v>294.9318</v>
      </c>
      <c r="AC651" s="6">
        <v>0.00268291</v>
      </c>
      <c r="AD651" s="6">
        <v>243.86163</v>
      </c>
      <c r="AE651" s="6">
        <v>0.00410069</v>
      </c>
      <c r="AF651" s="6">
        <v>775</v>
      </c>
      <c r="AG651" s="6">
        <v>-0.01901057</v>
      </c>
      <c r="AH651" s="6">
        <v>-0.02242799</v>
      </c>
      <c r="AI651" s="6">
        <v>-0.01906451</v>
      </c>
      <c r="AJ651" s="6">
        <v>-0.02142192</v>
      </c>
      <c r="AK651" s="6">
        <v>-0.03636375</v>
      </c>
      <c r="AL651" s="6">
        <v>-0.0158851</v>
      </c>
      <c r="AM651" s="6">
        <v>-0.02253984</v>
      </c>
      <c r="AN651" s="6">
        <v>-6.4762184</v>
      </c>
      <c r="AO651" s="6">
        <v>-6.4515561</v>
      </c>
      <c r="AP651" s="6">
        <v>-6.4739881</v>
      </c>
      <c r="AQ651" s="6">
        <v>-6.4253629</v>
      </c>
      <c r="AR651" s="6">
        <v>-6.4020076</v>
      </c>
      <c r="AS651" s="6">
        <v>-6.4618417</v>
      </c>
      <c r="AT651" s="6">
        <v>-6.4506396</v>
      </c>
      <c r="AU651" s="6">
        <v>0.97344833</v>
      </c>
      <c r="AV651" s="6">
        <v>0.96974131</v>
      </c>
      <c r="AW651" s="6">
        <v>0.97311308</v>
      </c>
      <c r="AX651" s="6">
        <v>0.96580418</v>
      </c>
      <c r="AY651" s="6">
        <v>0.96229362</v>
      </c>
      <c r="AZ651" s="6">
        <v>0.97128734</v>
      </c>
      <c r="BA651" s="6">
        <v>0.96960354</v>
      </c>
      <c r="BB651" s="6">
        <v>0.02655167</v>
      </c>
      <c r="BC651" s="6">
        <v>0.03025869</v>
      </c>
      <c r="BD651" s="6">
        <v>0.02688692</v>
      </c>
      <c r="BE651" s="6">
        <v>0.03419582</v>
      </c>
      <c r="BF651" s="6">
        <v>0.03770638</v>
      </c>
      <c r="BG651" s="6">
        <v>0.02871266</v>
      </c>
      <c r="BH651" s="6">
        <v>0.03039646</v>
      </c>
      <c r="BI651" s="6">
        <v>0.21470859</v>
      </c>
      <c r="BJ651" s="6">
        <v>0.12366373</v>
      </c>
      <c r="BK651" s="6">
        <v>0.1409291</v>
      </c>
      <c r="BL651" s="6">
        <v>0.12522516</v>
      </c>
      <c r="BM651" s="6">
        <v>0.1592662</v>
      </c>
      <c r="BN651" s="6">
        <v>0.17561655</v>
      </c>
      <c r="BO651" s="6">
        <v>0.1337285</v>
      </c>
      <c r="BP651" s="6">
        <v>0.14157076</v>
      </c>
      <c r="BQ651" s="6">
        <v>0.08972484</v>
      </c>
      <c r="BR651" s="6">
        <v>0.09763455</v>
      </c>
      <c r="BS651" s="6">
        <v>0.08255293</v>
      </c>
      <c r="BT651" s="6">
        <v>0.08253471</v>
      </c>
      <c r="BU651" s="6">
        <v>0.17561655</v>
      </c>
      <c r="BV651" s="6">
        <v>0.10581598</v>
      </c>
      <c r="BW651" s="6">
        <v>0.14157076</v>
      </c>
      <c r="BX651" s="12">
        <v>24260.3</v>
      </c>
      <c r="BY651" s="13">
        <v>4155</v>
      </c>
      <c r="BZ651" s="12">
        <v>32612.7</v>
      </c>
      <c r="CA651" s="6">
        <f t="shared" si="60"/>
        <v>5.83882069795427</v>
      </c>
      <c r="CB651" s="6">
        <f t="shared" si="61"/>
        <v>0.743891183496</v>
      </c>
      <c r="CC651" s="7">
        <v>493326697.1</v>
      </c>
      <c r="CD651" s="7">
        <f t="shared" si="62"/>
        <v>1.51268278032791</v>
      </c>
      <c r="CE651" s="8">
        <v>5462.2</v>
      </c>
      <c r="CF651" s="8">
        <v>21573.8</v>
      </c>
      <c r="CG651" s="8">
        <v>32977</v>
      </c>
      <c r="CH651" s="8">
        <v>102832</v>
      </c>
      <c r="CI651" s="14">
        <v>1</v>
      </c>
      <c r="CJ651" s="14">
        <v>0</v>
      </c>
      <c r="CK651" s="14">
        <f t="shared" si="63"/>
        <v>0</v>
      </c>
      <c r="CL651">
        <f t="shared" si="64"/>
        <v>1.21200651315194</v>
      </c>
      <c r="CM651">
        <f t="shared" si="65"/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</row>
    <row r="652" spans="1:101">
      <c r="A652" s="6">
        <v>2000</v>
      </c>
      <c r="B652" s="6" t="s">
        <v>126</v>
      </c>
      <c r="C652" s="6">
        <v>0.17229911</v>
      </c>
      <c r="D652" s="6">
        <v>0.031438</v>
      </c>
      <c r="E652" s="6">
        <v>0.008017</v>
      </c>
      <c r="F652" s="6">
        <v>0.013978</v>
      </c>
      <c r="G652" s="6">
        <v>0.004707</v>
      </c>
      <c r="H652" s="6">
        <v>0.004735</v>
      </c>
      <c r="I652" s="6">
        <v>0.034221</v>
      </c>
      <c r="J652" s="6">
        <v>0.01564</v>
      </c>
      <c r="K652" s="6">
        <v>0.19502981</v>
      </c>
      <c r="L652" s="6">
        <v>0.14904505</v>
      </c>
      <c r="M652" s="6">
        <v>0.17192479</v>
      </c>
      <c r="N652" s="6">
        <v>0.1106472</v>
      </c>
      <c r="O652" s="6">
        <v>0.11000787</v>
      </c>
      <c r="P652" s="6">
        <v>0.2913752</v>
      </c>
      <c r="Q652" s="6">
        <v>0.21007289</v>
      </c>
      <c r="R652" s="6">
        <v>217.69486</v>
      </c>
      <c r="S652" s="6">
        <v>0.00089589</v>
      </c>
      <c r="T652" s="6">
        <v>169.97573</v>
      </c>
      <c r="U652" s="6">
        <v>0.00087686</v>
      </c>
      <c r="V652" s="6">
        <v>197.11803</v>
      </c>
      <c r="W652" s="6">
        <v>0.00087219</v>
      </c>
      <c r="X652" s="6">
        <v>134.47093</v>
      </c>
      <c r="Y652" s="6">
        <v>0.00082283</v>
      </c>
      <c r="Z652" s="6">
        <v>134.86767</v>
      </c>
      <c r="AA652" s="6">
        <v>0.00081567</v>
      </c>
      <c r="AB652" s="6">
        <v>294.9318</v>
      </c>
      <c r="AC652" s="6">
        <v>0.00098794</v>
      </c>
      <c r="AD652" s="6">
        <v>243.86163</v>
      </c>
      <c r="AE652" s="6">
        <v>0.00086144</v>
      </c>
      <c r="AF652" s="6">
        <v>775</v>
      </c>
      <c r="AG652" s="6">
        <v>-0.00628706</v>
      </c>
      <c r="AH652" s="6">
        <v>-0.00617237</v>
      </c>
      <c r="AI652" s="6">
        <v>-0.00614416</v>
      </c>
      <c r="AJ652" s="6">
        <v>-0.00584439</v>
      </c>
      <c r="AK652" s="6">
        <v>-0.00580065</v>
      </c>
      <c r="AL652" s="6">
        <v>-0.00683644</v>
      </c>
      <c r="AM652" s="6">
        <v>-0.00607912</v>
      </c>
      <c r="AN652" s="6">
        <v>-6.4762184</v>
      </c>
      <c r="AO652" s="6">
        <v>-6.4515561</v>
      </c>
      <c r="AP652" s="6">
        <v>-6.4739881</v>
      </c>
      <c r="AQ652" s="6">
        <v>-6.4253629</v>
      </c>
      <c r="AR652" s="6">
        <v>-6.4020076</v>
      </c>
      <c r="AS652" s="6">
        <v>-6.4618417</v>
      </c>
      <c r="AT652" s="6">
        <v>-6.4506396</v>
      </c>
      <c r="AU652" s="6">
        <v>0.97344833</v>
      </c>
      <c r="AV652" s="6">
        <v>0.96974131</v>
      </c>
      <c r="AW652" s="6">
        <v>0.97311308</v>
      </c>
      <c r="AX652" s="6">
        <v>0.96580418</v>
      </c>
      <c r="AY652" s="6">
        <v>0.96229362</v>
      </c>
      <c r="AZ652" s="6">
        <v>0.97128734</v>
      </c>
      <c r="BA652" s="6">
        <v>0.96960354</v>
      </c>
      <c r="BB652" s="6">
        <v>0.02655167</v>
      </c>
      <c r="BC652" s="6">
        <v>0.03025869</v>
      </c>
      <c r="BD652" s="6">
        <v>0.02688692</v>
      </c>
      <c r="BE652" s="6">
        <v>0.03419582</v>
      </c>
      <c r="BF652" s="6">
        <v>0.03770638</v>
      </c>
      <c r="BG652" s="6">
        <v>0.02871266</v>
      </c>
      <c r="BH652" s="6">
        <v>0.03039646</v>
      </c>
      <c r="BI652" s="6">
        <v>0.21470859</v>
      </c>
      <c r="BJ652" s="6">
        <v>0.12366373</v>
      </c>
      <c r="BK652" s="6">
        <v>0.1409291</v>
      </c>
      <c r="BL652" s="6">
        <v>0.12522516</v>
      </c>
      <c r="BM652" s="6">
        <v>0.1592662</v>
      </c>
      <c r="BN652" s="6">
        <v>0.17561655</v>
      </c>
      <c r="BO652" s="6">
        <v>0.1337285</v>
      </c>
      <c r="BP652" s="6">
        <v>0.14157076</v>
      </c>
      <c r="BQ652" s="6">
        <v>0.02411811</v>
      </c>
      <c r="BR652" s="6">
        <v>0.02100478</v>
      </c>
      <c r="BS652" s="6">
        <v>0.02152931</v>
      </c>
      <c r="BT652" s="6">
        <v>0.01762236</v>
      </c>
      <c r="BU652" s="6">
        <v>0.0193192</v>
      </c>
      <c r="BV652" s="6">
        <v>0.03896517</v>
      </c>
      <c r="BW652" s="6">
        <v>0.02974018</v>
      </c>
      <c r="BX652" s="12">
        <v>2428</v>
      </c>
      <c r="BY652" s="13">
        <v>2848.82</v>
      </c>
      <c r="BZ652" s="12">
        <v>1589.34</v>
      </c>
      <c r="CA652" s="6">
        <f t="shared" si="60"/>
        <v>0.852282699503654</v>
      </c>
      <c r="CB652" s="6">
        <f t="shared" si="61"/>
        <v>1.52767815571243</v>
      </c>
      <c r="CC652" s="7">
        <v>52157514.77</v>
      </c>
      <c r="CD652" s="7">
        <f t="shared" si="62"/>
        <v>3.28170905973549</v>
      </c>
      <c r="CE652" s="8">
        <v>274.4</v>
      </c>
      <c r="CF652" s="8">
        <v>525</v>
      </c>
      <c r="CG652" s="8">
        <v>564.2</v>
      </c>
      <c r="CH652" s="8">
        <v>7372</v>
      </c>
      <c r="CI652" s="14">
        <v>0</v>
      </c>
      <c r="CJ652" s="14">
        <v>0</v>
      </c>
      <c r="CK652" s="14">
        <f t="shared" si="63"/>
        <v>0</v>
      </c>
      <c r="CL652">
        <f t="shared" si="64"/>
        <v>4.53658228674969</v>
      </c>
      <c r="CM652">
        <f t="shared" si="65"/>
        <v>0.276612028107458</v>
      </c>
      <c r="CN652" s="15">
        <v>2428</v>
      </c>
      <c r="CO652" s="15">
        <v>2942.05</v>
      </c>
      <c r="CP652" s="15">
        <v>180.74</v>
      </c>
      <c r="CQ652">
        <v>0</v>
      </c>
      <c r="CR652" s="15">
        <v>65.66</v>
      </c>
      <c r="CS652" s="15">
        <v>8.34</v>
      </c>
      <c r="CT652" s="15">
        <v>61.44</v>
      </c>
      <c r="CU652" s="15">
        <v>2.68</v>
      </c>
      <c r="CV652" s="15">
        <v>33.26</v>
      </c>
      <c r="CW652" s="15">
        <v>307.61</v>
      </c>
    </row>
    <row r="653" spans="1:101">
      <c r="A653" s="6">
        <v>2001</v>
      </c>
      <c r="B653" s="6" t="s">
        <v>126</v>
      </c>
      <c r="C653" s="6">
        <v>0.18250542</v>
      </c>
      <c r="D653" s="6">
        <v>0.034962</v>
      </c>
      <c r="E653" s="6">
        <v>0.008419</v>
      </c>
      <c r="F653" s="6">
        <v>0.016161</v>
      </c>
      <c r="G653" s="6">
        <v>0.00555</v>
      </c>
      <c r="H653" s="6">
        <v>0.004833</v>
      </c>
      <c r="I653" s="6">
        <v>0.030541</v>
      </c>
      <c r="J653" s="6">
        <v>0.016527</v>
      </c>
      <c r="K653" s="6">
        <v>0.22267978</v>
      </c>
      <c r="L653" s="6">
        <v>0.15854101</v>
      </c>
      <c r="M653" s="6">
        <v>0.20546624</v>
      </c>
      <c r="N653" s="6">
        <v>0.13557255</v>
      </c>
      <c r="O653" s="6">
        <v>0.11297044</v>
      </c>
      <c r="P653" s="6">
        <v>0.25038656</v>
      </c>
      <c r="Q653" s="6">
        <v>0.22589413</v>
      </c>
      <c r="R653" s="6">
        <v>217.69486</v>
      </c>
      <c r="S653" s="6">
        <v>0.0010229</v>
      </c>
      <c r="T653" s="6">
        <v>169.97573</v>
      </c>
      <c r="U653" s="6">
        <v>0.00093273</v>
      </c>
      <c r="V653" s="6">
        <v>197.11803</v>
      </c>
      <c r="W653" s="6">
        <v>0.00104235</v>
      </c>
      <c r="X653" s="6">
        <v>134.47093</v>
      </c>
      <c r="Y653" s="6">
        <v>0.00100819</v>
      </c>
      <c r="Z653" s="6">
        <v>134.86767</v>
      </c>
      <c r="AA653" s="6">
        <v>0.00083764</v>
      </c>
      <c r="AB653" s="6">
        <v>294.9318</v>
      </c>
      <c r="AC653" s="6">
        <v>0.00084896</v>
      </c>
      <c r="AD653" s="6">
        <v>243.86163</v>
      </c>
      <c r="AE653" s="6">
        <v>0.00092632</v>
      </c>
      <c r="AF653" s="6">
        <v>775</v>
      </c>
      <c r="AG653" s="6">
        <v>-0.00704277</v>
      </c>
      <c r="AH653" s="6">
        <v>-0.00650801</v>
      </c>
      <c r="AI653" s="6">
        <v>-0.00715707</v>
      </c>
      <c r="AJ653" s="6">
        <v>-0.00695612</v>
      </c>
      <c r="AK653" s="6">
        <v>-0.00593461</v>
      </c>
      <c r="AL653" s="6">
        <v>-0.00600345</v>
      </c>
      <c r="AM653" s="6">
        <v>-0.00646969</v>
      </c>
      <c r="AN653" s="6">
        <v>-6.4762184</v>
      </c>
      <c r="AO653" s="6">
        <v>-6.4515561</v>
      </c>
      <c r="AP653" s="6">
        <v>-6.4739881</v>
      </c>
      <c r="AQ653" s="6">
        <v>-6.4253629</v>
      </c>
      <c r="AR653" s="6">
        <v>-6.4020076</v>
      </c>
      <c r="AS653" s="6">
        <v>-6.4618417</v>
      </c>
      <c r="AT653" s="6">
        <v>-6.4506396</v>
      </c>
      <c r="AU653" s="6">
        <v>0.97344833</v>
      </c>
      <c r="AV653" s="6">
        <v>0.96974131</v>
      </c>
      <c r="AW653" s="6">
        <v>0.97311308</v>
      </c>
      <c r="AX653" s="6">
        <v>0.96580418</v>
      </c>
      <c r="AY653" s="6">
        <v>0.96229362</v>
      </c>
      <c r="AZ653" s="6">
        <v>0.97128734</v>
      </c>
      <c r="BA653" s="6">
        <v>0.96960354</v>
      </c>
      <c r="BB653" s="6">
        <v>0.02655167</v>
      </c>
      <c r="BC653" s="6">
        <v>0.03025869</v>
      </c>
      <c r="BD653" s="6">
        <v>0.02688692</v>
      </c>
      <c r="BE653" s="6">
        <v>0.03419582</v>
      </c>
      <c r="BF653" s="6">
        <v>0.03770638</v>
      </c>
      <c r="BG653" s="6">
        <v>0.02871266</v>
      </c>
      <c r="BH653" s="6">
        <v>0.03039646</v>
      </c>
      <c r="BI653" s="6">
        <v>0.21470859</v>
      </c>
      <c r="BJ653" s="6">
        <v>0.12366373</v>
      </c>
      <c r="BK653" s="6">
        <v>0.1409291</v>
      </c>
      <c r="BL653" s="6">
        <v>0.12522516</v>
      </c>
      <c r="BM653" s="6">
        <v>0.1592662</v>
      </c>
      <c r="BN653" s="6">
        <v>0.17561655</v>
      </c>
      <c r="BO653" s="6">
        <v>0.1337285</v>
      </c>
      <c r="BP653" s="6">
        <v>0.14157076</v>
      </c>
      <c r="BQ653" s="6">
        <v>0.02753741</v>
      </c>
      <c r="BR653" s="6">
        <v>0.02234304</v>
      </c>
      <c r="BS653" s="6">
        <v>0.02572954</v>
      </c>
      <c r="BT653" s="6">
        <v>0.02159213</v>
      </c>
      <c r="BU653" s="6">
        <v>0.01983948</v>
      </c>
      <c r="BV653" s="6">
        <v>0.03348382</v>
      </c>
      <c r="BW653" s="6">
        <v>0.03198</v>
      </c>
      <c r="BX653" s="12">
        <v>3016</v>
      </c>
      <c r="BY653" s="13">
        <v>2829.21</v>
      </c>
      <c r="BZ653" s="12">
        <v>1765.68</v>
      </c>
      <c r="CA653" s="6">
        <f t="shared" si="60"/>
        <v>1.06602196372839</v>
      </c>
      <c r="CB653" s="6">
        <f t="shared" si="61"/>
        <v>1.70812378233882</v>
      </c>
      <c r="CC653" s="7">
        <v>53727124.83</v>
      </c>
      <c r="CD653" s="7">
        <f t="shared" si="62"/>
        <v>3.04285741640614</v>
      </c>
      <c r="CE653" s="8">
        <v>274.3</v>
      </c>
      <c r="CF653" s="8">
        <v>560.5</v>
      </c>
      <c r="CG653" s="8">
        <v>656.7</v>
      </c>
      <c r="CH653" s="8">
        <v>7945</v>
      </c>
      <c r="CI653" s="14">
        <v>0</v>
      </c>
      <c r="CJ653" s="14">
        <v>0</v>
      </c>
      <c r="CK653" s="14">
        <f t="shared" si="63"/>
        <v>0</v>
      </c>
      <c r="CL653">
        <f t="shared" si="64"/>
        <v>4.16809156222866</v>
      </c>
      <c r="CM653">
        <f t="shared" si="65"/>
        <v>0.269963874119134</v>
      </c>
      <c r="CN653" s="15">
        <v>3016</v>
      </c>
      <c r="CO653" s="15">
        <v>2736</v>
      </c>
      <c r="CP653" s="15">
        <v>191.05</v>
      </c>
      <c r="CQ653" s="15">
        <v>0.19</v>
      </c>
      <c r="CR653" s="15">
        <v>64.14</v>
      </c>
      <c r="CS653" s="15">
        <v>8.33</v>
      </c>
      <c r="CT653" s="15">
        <v>64.31</v>
      </c>
      <c r="CU653" s="15">
        <v>4.1</v>
      </c>
      <c r="CV653" s="15">
        <v>26.56</v>
      </c>
      <c r="CW653" s="15">
        <v>280.34</v>
      </c>
    </row>
    <row r="654" spans="1:101">
      <c r="A654" s="6">
        <v>2002</v>
      </c>
      <c r="B654" s="6" t="s">
        <v>126</v>
      </c>
      <c r="C654" s="6">
        <v>0.19245119</v>
      </c>
      <c r="D654" s="6">
        <v>0.035981</v>
      </c>
      <c r="E654" s="6">
        <v>0.009423</v>
      </c>
      <c r="F654" s="6">
        <v>0.015822</v>
      </c>
      <c r="G654" s="6">
        <v>0.005487</v>
      </c>
      <c r="H654" s="6">
        <v>0.00525</v>
      </c>
      <c r="I654" s="6">
        <v>0.034972</v>
      </c>
      <c r="J654" s="6">
        <v>0.015635</v>
      </c>
      <c r="K654" s="6">
        <v>0.23066816</v>
      </c>
      <c r="L654" s="6">
        <v>0.18227834</v>
      </c>
      <c r="M654" s="6">
        <v>0.20026164</v>
      </c>
      <c r="N654" s="6">
        <v>0.13369527</v>
      </c>
      <c r="O654" s="6">
        <v>0.1255933</v>
      </c>
      <c r="P654" s="6">
        <v>0.29974193</v>
      </c>
      <c r="Q654" s="6">
        <v>0.2099752</v>
      </c>
      <c r="R654" s="6">
        <v>217.69486</v>
      </c>
      <c r="S654" s="6">
        <v>0.00105959</v>
      </c>
      <c r="T654" s="6">
        <v>169.97573</v>
      </c>
      <c r="U654" s="6">
        <v>0.00107238</v>
      </c>
      <c r="V654" s="6">
        <v>197.11803</v>
      </c>
      <c r="W654" s="6">
        <v>0.00101595</v>
      </c>
      <c r="X654" s="6">
        <v>134.47093</v>
      </c>
      <c r="Y654" s="6">
        <v>0.00099423</v>
      </c>
      <c r="Z654" s="6">
        <v>134.86767</v>
      </c>
      <c r="AA654" s="6">
        <v>0.00093123</v>
      </c>
      <c r="AB654" s="6">
        <v>294.9318</v>
      </c>
      <c r="AC654" s="6">
        <v>0.00101631</v>
      </c>
      <c r="AD654" s="6">
        <v>243.86163</v>
      </c>
      <c r="AE654" s="6">
        <v>0.00086104</v>
      </c>
      <c r="AF654" s="6">
        <v>775</v>
      </c>
      <c r="AG654" s="6">
        <v>-0.00725808</v>
      </c>
      <c r="AH654" s="6">
        <v>-0.00733279</v>
      </c>
      <c r="AI654" s="6">
        <v>-0.00700184</v>
      </c>
      <c r="AJ654" s="6">
        <v>-0.00687366</v>
      </c>
      <c r="AK654" s="6">
        <v>-0.00649908</v>
      </c>
      <c r="AL654" s="6">
        <v>-0.00700397</v>
      </c>
      <c r="AM654" s="6">
        <v>-0.00607669</v>
      </c>
      <c r="AN654" s="6">
        <v>-6.4762184</v>
      </c>
      <c r="AO654" s="6">
        <v>-6.4515561</v>
      </c>
      <c r="AP654" s="6">
        <v>-6.4739881</v>
      </c>
      <c r="AQ654" s="6">
        <v>-6.4253629</v>
      </c>
      <c r="AR654" s="6">
        <v>-6.4020076</v>
      </c>
      <c r="AS654" s="6">
        <v>-6.4618417</v>
      </c>
      <c r="AT654" s="6">
        <v>-6.4506396</v>
      </c>
      <c r="AU654" s="6">
        <v>0.97344833</v>
      </c>
      <c r="AV654" s="6">
        <v>0.96974131</v>
      </c>
      <c r="AW654" s="6">
        <v>0.97311308</v>
      </c>
      <c r="AX654" s="6">
        <v>0.96580418</v>
      </c>
      <c r="AY654" s="6">
        <v>0.96229362</v>
      </c>
      <c r="AZ654" s="6">
        <v>0.97128734</v>
      </c>
      <c r="BA654" s="6">
        <v>0.96960354</v>
      </c>
      <c r="BB654" s="6">
        <v>0.02655167</v>
      </c>
      <c r="BC654" s="6">
        <v>0.03025869</v>
      </c>
      <c r="BD654" s="6">
        <v>0.02688692</v>
      </c>
      <c r="BE654" s="6">
        <v>0.03419582</v>
      </c>
      <c r="BF654" s="6">
        <v>0.03770638</v>
      </c>
      <c r="BG654" s="6">
        <v>0.02871266</v>
      </c>
      <c r="BH654" s="6">
        <v>0.03039646</v>
      </c>
      <c r="BI654" s="6">
        <v>0.21470859</v>
      </c>
      <c r="BJ654" s="6">
        <v>0.12366373</v>
      </c>
      <c r="BK654" s="6">
        <v>0.1409291</v>
      </c>
      <c r="BL654" s="6">
        <v>0.12522516</v>
      </c>
      <c r="BM654" s="6">
        <v>0.1592662</v>
      </c>
      <c r="BN654" s="6">
        <v>0.17561655</v>
      </c>
      <c r="BO654" s="6">
        <v>0.1337285</v>
      </c>
      <c r="BP654" s="6">
        <v>0.14157076</v>
      </c>
      <c r="BQ654" s="6">
        <v>0.02852529</v>
      </c>
      <c r="BR654" s="6">
        <v>0.02568832</v>
      </c>
      <c r="BS654" s="6">
        <v>0.0250778</v>
      </c>
      <c r="BT654" s="6">
        <v>0.02129314</v>
      </c>
      <c r="BU654" s="6">
        <v>0.02205626</v>
      </c>
      <c r="BV654" s="6">
        <v>0.04008404</v>
      </c>
      <c r="BW654" s="6">
        <v>0.02972635</v>
      </c>
      <c r="BX654" s="12">
        <v>2662</v>
      </c>
      <c r="BY654" s="13">
        <v>2814.83</v>
      </c>
      <c r="BZ654" s="12">
        <v>1990.01</v>
      </c>
      <c r="CA654" s="6">
        <f t="shared" si="60"/>
        <v>0.945705424483894</v>
      </c>
      <c r="CB654" s="6">
        <f t="shared" si="61"/>
        <v>1.33768172019236</v>
      </c>
      <c r="CC654" s="7">
        <v>56581442.35</v>
      </c>
      <c r="CD654" s="7">
        <f t="shared" si="62"/>
        <v>2.84327427249109</v>
      </c>
      <c r="CE654" s="8">
        <v>290.4</v>
      </c>
      <c r="CF654" s="8">
        <v>589.2</v>
      </c>
      <c r="CG654" s="8">
        <v>733</v>
      </c>
      <c r="CH654" s="8">
        <v>8457</v>
      </c>
      <c r="CI654" s="14">
        <v>0</v>
      </c>
      <c r="CJ654" s="14">
        <v>0</v>
      </c>
      <c r="CK654" s="14">
        <f t="shared" si="63"/>
        <v>0</v>
      </c>
      <c r="CL654">
        <f t="shared" si="64"/>
        <v>4.06804884448575</v>
      </c>
      <c r="CM654">
        <f t="shared" si="65"/>
        <v>0.301071746878075</v>
      </c>
      <c r="CN654" s="15">
        <v>2696</v>
      </c>
      <c r="CO654" s="15">
        <v>3053</v>
      </c>
      <c r="CP654" s="15">
        <v>189.72</v>
      </c>
      <c r="CQ654" s="15">
        <v>0.25</v>
      </c>
      <c r="CR654" s="15">
        <v>65.41</v>
      </c>
      <c r="CS654" s="15">
        <v>8.53</v>
      </c>
      <c r="CT654" s="15">
        <v>68.91</v>
      </c>
      <c r="CU654" s="15">
        <v>3.24</v>
      </c>
      <c r="CV654" s="15">
        <v>27.33</v>
      </c>
      <c r="CW654" s="15">
        <v>283.51</v>
      </c>
    </row>
    <row r="655" spans="1:101">
      <c r="A655" s="6">
        <v>2003</v>
      </c>
      <c r="B655" s="6" t="s">
        <v>126</v>
      </c>
      <c r="C655" s="6">
        <v>0.21970305</v>
      </c>
      <c r="D655" s="6">
        <v>0.038891</v>
      </c>
      <c r="E655" s="6">
        <v>0.009666</v>
      </c>
      <c r="F655" s="6">
        <v>0.017301</v>
      </c>
      <c r="G655" s="6">
        <v>0.005706</v>
      </c>
      <c r="H655" s="6">
        <v>0.006218</v>
      </c>
      <c r="I655" s="6">
        <v>0.037764</v>
      </c>
      <c r="J655" s="6">
        <v>0.019763</v>
      </c>
      <c r="K655" s="6">
        <v>0.25349181</v>
      </c>
      <c r="L655" s="6">
        <v>0.18802812</v>
      </c>
      <c r="M655" s="6">
        <v>0.22299399</v>
      </c>
      <c r="N655" s="6">
        <v>0.14018023</v>
      </c>
      <c r="O655" s="6">
        <v>0.15492961</v>
      </c>
      <c r="P655" s="6">
        <v>0.33084284</v>
      </c>
      <c r="Q655" s="6">
        <v>0.28363852</v>
      </c>
      <c r="R655" s="6">
        <v>217.69486</v>
      </c>
      <c r="S655" s="6">
        <v>0.00116444</v>
      </c>
      <c r="T655" s="6">
        <v>169.97573</v>
      </c>
      <c r="U655" s="6">
        <v>0.00110621</v>
      </c>
      <c r="V655" s="6">
        <v>197.11803</v>
      </c>
      <c r="W655" s="6">
        <v>0.00113127</v>
      </c>
      <c r="X655" s="6">
        <v>134.47093</v>
      </c>
      <c r="Y655" s="6">
        <v>0.00104246</v>
      </c>
      <c r="Z655" s="6">
        <v>134.86767</v>
      </c>
      <c r="AA655" s="6">
        <v>0.00114875</v>
      </c>
      <c r="AB655" s="6">
        <v>294.9318</v>
      </c>
      <c r="AC655" s="6">
        <v>0.00112176</v>
      </c>
      <c r="AD655" s="6">
        <v>243.86163</v>
      </c>
      <c r="AE655" s="6">
        <v>0.00116311</v>
      </c>
      <c r="AF655" s="6">
        <v>775</v>
      </c>
      <c r="AG655" s="6">
        <v>-0.00786637</v>
      </c>
      <c r="AH655" s="6">
        <v>-0.00752974</v>
      </c>
      <c r="AI655" s="6">
        <v>-0.00767501</v>
      </c>
      <c r="AJ655" s="6">
        <v>-0.00715769</v>
      </c>
      <c r="AK655" s="6">
        <v>-0.007776</v>
      </c>
      <c r="AL655" s="6">
        <v>-0.00761996</v>
      </c>
      <c r="AM655" s="6">
        <v>-0.00785875</v>
      </c>
      <c r="AN655" s="6">
        <v>-6.4762184</v>
      </c>
      <c r="AO655" s="6">
        <v>-6.4515561</v>
      </c>
      <c r="AP655" s="6">
        <v>-6.4739881</v>
      </c>
      <c r="AQ655" s="6">
        <v>-6.4253629</v>
      </c>
      <c r="AR655" s="6">
        <v>-6.4020076</v>
      </c>
      <c r="AS655" s="6">
        <v>-6.4618417</v>
      </c>
      <c r="AT655" s="6">
        <v>-6.4506396</v>
      </c>
      <c r="AU655" s="6">
        <v>0.97344833</v>
      </c>
      <c r="AV655" s="6">
        <v>0.96974131</v>
      </c>
      <c r="AW655" s="6">
        <v>0.97311308</v>
      </c>
      <c r="AX655" s="6">
        <v>0.96580418</v>
      </c>
      <c r="AY655" s="6">
        <v>0.96229362</v>
      </c>
      <c r="AZ655" s="6">
        <v>0.97128734</v>
      </c>
      <c r="BA655" s="6">
        <v>0.96960354</v>
      </c>
      <c r="BB655" s="6">
        <v>0.02655167</v>
      </c>
      <c r="BC655" s="6">
        <v>0.03025869</v>
      </c>
      <c r="BD655" s="6">
        <v>0.02688692</v>
      </c>
      <c r="BE655" s="6">
        <v>0.03419582</v>
      </c>
      <c r="BF655" s="6">
        <v>0.03770638</v>
      </c>
      <c r="BG655" s="6">
        <v>0.02871266</v>
      </c>
      <c r="BH655" s="6">
        <v>0.03039646</v>
      </c>
      <c r="BI655" s="6">
        <v>0.21470859</v>
      </c>
      <c r="BJ655" s="6">
        <v>0.12366373</v>
      </c>
      <c r="BK655" s="6">
        <v>0.1409291</v>
      </c>
      <c r="BL655" s="6">
        <v>0.12522516</v>
      </c>
      <c r="BM655" s="6">
        <v>0.1592662</v>
      </c>
      <c r="BN655" s="6">
        <v>0.17561655</v>
      </c>
      <c r="BO655" s="6">
        <v>0.1337285</v>
      </c>
      <c r="BP655" s="6">
        <v>0.14157076</v>
      </c>
      <c r="BQ655" s="6">
        <v>0.03134774</v>
      </c>
      <c r="BR655" s="6">
        <v>0.02649863</v>
      </c>
      <c r="BS655" s="6">
        <v>0.02792446</v>
      </c>
      <c r="BT655" s="6">
        <v>0.02232597</v>
      </c>
      <c r="BU655" s="6">
        <v>0.0272082</v>
      </c>
      <c r="BV655" s="6">
        <v>0.04424312</v>
      </c>
      <c r="BW655" s="6">
        <v>0.04015492</v>
      </c>
      <c r="BX655" s="12">
        <v>3009</v>
      </c>
      <c r="BY655" s="13">
        <v>2803.19</v>
      </c>
      <c r="BZ655" s="12">
        <v>2272.82</v>
      </c>
      <c r="CA655" s="6">
        <f t="shared" si="60"/>
        <v>1.0734199251567</v>
      </c>
      <c r="CB655" s="6">
        <f t="shared" si="61"/>
        <v>1.32390598463583</v>
      </c>
      <c r="CC655" s="7">
        <v>63119829.29</v>
      </c>
      <c r="CD655" s="7">
        <f t="shared" si="62"/>
        <v>2.77715918066543</v>
      </c>
      <c r="CE655" s="8">
        <v>393.1</v>
      </c>
      <c r="CF655" s="8">
        <v>700.3</v>
      </c>
      <c r="CG655" s="8">
        <v>795.8</v>
      </c>
      <c r="CH655" s="8">
        <v>9842</v>
      </c>
      <c r="CI655" s="14">
        <v>0</v>
      </c>
      <c r="CJ655" s="14">
        <v>0</v>
      </c>
      <c r="CK655" s="14">
        <f t="shared" si="63"/>
        <v>0</v>
      </c>
      <c r="CL655">
        <f t="shared" si="64"/>
        <v>4.08414499624993</v>
      </c>
      <c r="CM655">
        <f t="shared" si="65"/>
        <v>0.320014548157467</v>
      </c>
      <c r="CN655" s="15">
        <v>3069</v>
      </c>
      <c r="CO655" s="15">
        <v>2646.13</v>
      </c>
      <c r="CP655" s="15">
        <v>187.73</v>
      </c>
      <c r="CQ655" s="15">
        <v>0.27</v>
      </c>
      <c r="CR655" s="15">
        <v>65.87</v>
      </c>
      <c r="CS655" s="15">
        <v>8.58</v>
      </c>
      <c r="CT655" s="15">
        <v>73.15</v>
      </c>
      <c r="CU655" s="15">
        <v>2.99</v>
      </c>
      <c r="CV655" s="15">
        <v>28.75</v>
      </c>
      <c r="CW655" s="15">
        <v>294.19</v>
      </c>
    </row>
    <row r="656" spans="1:101">
      <c r="A656" s="6">
        <v>2004</v>
      </c>
      <c r="B656" s="6" t="s">
        <v>126</v>
      </c>
      <c r="C656" s="6">
        <v>0.23302374</v>
      </c>
      <c r="D656" s="6">
        <v>0.040583</v>
      </c>
      <c r="E656" s="6">
        <v>0.010313</v>
      </c>
      <c r="F656" s="6">
        <v>0.018831</v>
      </c>
      <c r="G656" s="6">
        <v>0.006084</v>
      </c>
      <c r="H656" s="6">
        <v>0.005355</v>
      </c>
      <c r="I656" s="6">
        <v>0.039879</v>
      </c>
      <c r="J656" s="6">
        <v>0.022234</v>
      </c>
      <c r="K656" s="6">
        <v>0.26676414</v>
      </c>
      <c r="L656" s="6">
        <v>0.2033236</v>
      </c>
      <c r="M656" s="6">
        <v>0.24650674</v>
      </c>
      <c r="N656" s="6">
        <v>0.15134395</v>
      </c>
      <c r="O656" s="6">
        <v>0.12879446</v>
      </c>
      <c r="P656" s="6">
        <v>0.35439895</v>
      </c>
      <c r="Q656" s="6">
        <v>0.3277229</v>
      </c>
      <c r="R656" s="6">
        <v>217.69486</v>
      </c>
      <c r="S656" s="6">
        <v>0.0012254</v>
      </c>
      <c r="T656" s="6">
        <v>169.97573</v>
      </c>
      <c r="U656" s="6">
        <v>0.00119619</v>
      </c>
      <c r="V656" s="6">
        <v>197.11803</v>
      </c>
      <c r="W656" s="6">
        <v>0.00125055</v>
      </c>
      <c r="X656" s="6">
        <v>134.47093</v>
      </c>
      <c r="Y656" s="6">
        <v>0.00112548</v>
      </c>
      <c r="Z656" s="6">
        <v>134.86767</v>
      </c>
      <c r="AA656" s="6">
        <v>0.00095497</v>
      </c>
      <c r="AB656" s="6">
        <v>294.9318</v>
      </c>
      <c r="AC656" s="6">
        <v>0.00120163</v>
      </c>
      <c r="AD656" s="6">
        <v>243.86163</v>
      </c>
      <c r="AE656" s="6">
        <v>0.00134389</v>
      </c>
      <c r="AF656" s="6">
        <v>775</v>
      </c>
      <c r="AG656" s="6">
        <v>-0.0082157</v>
      </c>
      <c r="AH656" s="6">
        <v>-0.00804871</v>
      </c>
      <c r="AI656" s="6">
        <v>-0.00835891</v>
      </c>
      <c r="AJ656" s="6">
        <v>-0.00764148</v>
      </c>
      <c r="AK656" s="6">
        <v>-0.00664069</v>
      </c>
      <c r="AL656" s="6">
        <v>-0.00807985</v>
      </c>
      <c r="AM656" s="6">
        <v>-0.00888604</v>
      </c>
      <c r="AN656" s="6">
        <v>-6.4762184</v>
      </c>
      <c r="AO656" s="6">
        <v>-6.4515561</v>
      </c>
      <c r="AP656" s="6">
        <v>-6.4739881</v>
      </c>
      <c r="AQ656" s="6">
        <v>-6.4253629</v>
      </c>
      <c r="AR656" s="6">
        <v>-6.4020076</v>
      </c>
      <c r="AS656" s="6">
        <v>-6.4618417</v>
      </c>
      <c r="AT656" s="6">
        <v>-6.4506396</v>
      </c>
      <c r="AU656" s="6">
        <v>0.97344833</v>
      </c>
      <c r="AV656" s="6">
        <v>0.96974131</v>
      </c>
      <c r="AW656" s="6">
        <v>0.97311308</v>
      </c>
      <c r="AX656" s="6">
        <v>0.96580418</v>
      </c>
      <c r="AY656" s="6">
        <v>0.96229362</v>
      </c>
      <c r="AZ656" s="6">
        <v>0.97128734</v>
      </c>
      <c r="BA656" s="6">
        <v>0.96960354</v>
      </c>
      <c r="BB656" s="6">
        <v>0.02655167</v>
      </c>
      <c r="BC656" s="6">
        <v>0.03025869</v>
      </c>
      <c r="BD656" s="6">
        <v>0.02688692</v>
      </c>
      <c r="BE656" s="6">
        <v>0.03419582</v>
      </c>
      <c r="BF656" s="6">
        <v>0.03770638</v>
      </c>
      <c r="BG656" s="6">
        <v>0.02871266</v>
      </c>
      <c r="BH656" s="6">
        <v>0.03039646</v>
      </c>
      <c r="BI656" s="6">
        <v>0.21470859</v>
      </c>
      <c r="BJ656" s="6">
        <v>0.12366373</v>
      </c>
      <c r="BK656" s="6">
        <v>0.1409291</v>
      </c>
      <c r="BL656" s="6">
        <v>0.12522516</v>
      </c>
      <c r="BM656" s="6">
        <v>0.1592662</v>
      </c>
      <c r="BN656" s="6">
        <v>0.17561655</v>
      </c>
      <c r="BO656" s="6">
        <v>0.1337285</v>
      </c>
      <c r="BP656" s="6">
        <v>0.14157076</v>
      </c>
      <c r="BQ656" s="6">
        <v>0.03298905</v>
      </c>
      <c r="BR656" s="6">
        <v>0.02865421</v>
      </c>
      <c r="BS656" s="6">
        <v>0.03086885</v>
      </c>
      <c r="BT656" s="6">
        <v>0.02410398</v>
      </c>
      <c r="BU656" s="6">
        <v>0.02261844</v>
      </c>
      <c r="BV656" s="6">
        <v>0.04739324</v>
      </c>
      <c r="BW656" s="6">
        <v>0.04639598</v>
      </c>
      <c r="BX656" s="12">
        <v>3590</v>
      </c>
      <c r="BY656" s="13">
        <v>2793.32</v>
      </c>
      <c r="BZ656" s="12">
        <v>2692.81</v>
      </c>
      <c r="CA656" s="6">
        <f t="shared" si="60"/>
        <v>1.28520899861097</v>
      </c>
      <c r="CB656" s="6">
        <f t="shared" si="61"/>
        <v>1.33317983816162</v>
      </c>
      <c r="CC656" s="7">
        <v>71275556.62</v>
      </c>
      <c r="CD656" s="7">
        <f t="shared" si="62"/>
        <v>2.64688398438806</v>
      </c>
      <c r="CE656" s="8">
        <v>439.2</v>
      </c>
      <c r="CF656" s="8">
        <v>887.1</v>
      </c>
      <c r="CG656" s="8">
        <v>844.1</v>
      </c>
      <c r="CH656" s="8">
        <v>11139</v>
      </c>
      <c r="CI656" s="14">
        <v>0</v>
      </c>
      <c r="CJ656" s="14">
        <v>0</v>
      </c>
      <c r="CK656" s="14">
        <f t="shared" si="63"/>
        <v>0</v>
      </c>
      <c r="CL656">
        <f t="shared" si="64"/>
        <v>3.89549779892895</v>
      </c>
      <c r="CM656">
        <f t="shared" si="65"/>
        <v>0.320527408559745</v>
      </c>
      <c r="CN656" s="15">
        <v>3670</v>
      </c>
      <c r="CO656" s="15">
        <v>2904.38</v>
      </c>
      <c r="CP656" s="15">
        <v>191.42</v>
      </c>
      <c r="CQ656" s="15">
        <v>0.48</v>
      </c>
      <c r="CR656" s="15">
        <v>76.37</v>
      </c>
      <c r="CS656" s="15">
        <v>12.53</v>
      </c>
      <c r="CT656" s="15">
        <v>169.57</v>
      </c>
      <c r="CU656" s="15">
        <v>4.32</v>
      </c>
      <c r="CV656" s="15">
        <v>30.34</v>
      </c>
      <c r="CW656" s="15">
        <v>309.06</v>
      </c>
    </row>
    <row r="657" spans="1:101">
      <c r="A657" s="6">
        <v>2005</v>
      </c>
      <c r="B657" s="6" t="s">
        <v>126</v>
      </c>
      <c r="C657" s="6">
        <v>0.24494073</v>
      </c>
      <c r="D657" s="6">
        <v>0.043206</v>
      </c>
      <c r="E657" s="6">
        <v>0.011108</v>
      </c>
      <c r="F657" s="6">
        <v>0.0193</v>
      </c>
      <c r="G657" s="6">
        <v>0.006252</v>
      </c>
      <c r="H657" s="6">
        <v>0.006547</v>
      </c>
      <c r="I657" s="6">
        <v>0.041089</v>
      </c>
      <c r="J657" s="6">
        <v>0.021002</v>
      </c>
      <c r="K657" s="6">
        <v>0.28734069</v>
      </c>
      <c r="L657" s="6">
        <v>0.22211545</v>
      </c>
      <c r="M657" s="6">
        <v>0.25371911</v>
      </c>
      <c r="N657" s="6">
        <v>0.15630846</v>
      </c>
      <c r="O657" s="6">
        <v>0.1648922</v>
      </c>
      <c r="P657" s="6">
        <v>0.367877</v>
      </c>
      <c r="Q657" s="6">
        <v>0.30574442</v>
      </c>
      <c r="R657" s="6">
        <v>217.69486</v>
      </c>
      <c r="S657" s="6">
        <v>0.00131992</v>
      </c>
      <c r="T657" s="6">
        <v>169.97573</v>
      </c>
      <c r="U657" s="6">
        <v>0.00130675</v>
      </c>
      <c r="V657" s="6">
        <v>197.11803</v>
      </c>
      <c r="W657" s="6">
        <v>0.00128714</v>
      </c>
      <c r="X657" s="6">
        <v>134.47093</v>
      </c>
      <c r="Y657" s="6">
        <v>0.0011624</v>
      </c>
      <c r="Z657" s="6">
        <v>134.86767</v>
      </c>
      <c r="AA657" s="6">
        <v>0.00122262</v>
      </c>
      <c r="AB657" s="6">
        <v>294.9318</v>
      </c>
      <c r="AC657" s="6">
        <v>0.00124733</v>
      </c>
      <c r="AD657" s="6">
        <v>243.86163</v>
      </c>
      <c r="AE657" s="6">
        <v>0.00125376</v>
      </c>
      <c r="AF657" s="6">
        <v>775</v>
      </c>
      <c r="AG657" s="6">
        <v>-0.00875134</v>
      </c>
      <c r="AH657" s="6">
        <v>-0.00867709</v>
      </c>
      <c r="AI657" s="6">
        <v>-0.00856636</v>
      </c>
      <c r="AJ657" s="6">
        <v>-0.00785463</v>
      </c>
      <c r="AK657" s="6">
        <v>-0.00819983</v>
      </c>
      <c r="AL657" s="6">
        <v>-0.00834058</v>
      </c>
      <c r="AM657" s="6">
        <v>-0.00837714</v>
      </c>
      <c r="AN657" s="6">
        <v>-6.4762184</v>
      </c>
      <c r="AO657" s="6">
        <v>-6.4515561</v>
      </c>
      <c r="AP657" s="6">
        <v>-6.4739881</v>
      </c>
      <c r="AQ657" s="6">
        <v>-6.4253629</v>
      </c>
      <c r="AR657" s="6">
        <v>-6.4020076</v>
      </c>
      <c r="AS657" s="6">
        <v>-6.4618417</v>
      </c>
      <c r="AT657" s="6">
        <v>-6.4506396</v>
      </c>
      <c r="AU657" s="6">
        <v>0.97344833</v>
      </c>
      <c r="AV657" s="6">
        <v>0.96974131</v>
      </c>
      <c r="AW657" s="6">
        <v>0.97311308</v>
      </c>
      <c r="AX657" s="6">
        <v>0.96580418</v>
      </c>
      <c r="AY657" s="6">
        <v>0.96229362</v>
      </c>
      <c r="AZ657" s="6">
        <v>0.97128734</v>
      </c>
      <c r="BA657" s="6">
        <v>0.96960354</v>
      </c>
      <c r="BB657" s="6">
        <v>0.02655167</v>
      </c>
      <c r="BC657" s="6">
        <v>0.03025869</v>
      </c>
      <c r="BD657" s="6">
        <v>0.02688692</v>
      </c>
      <c r="BE657" s="6">
        <v>0.03419582</v>
      </c>
      <c r="BF657" s="6">
        <v>0.03770638</v>
      </c>
      <c r="BG657" s="6">
        <v>0.02871266</v>
      </c>
      <c r="BH657" s="6">
        <v>0.03039646</v>
      </c>
      <c r="BI657" s="6">
        <v>0.21470859</v>
      </c>
      <c r="BJ657" s="6">
        <v>0.12366373</v>
      </c>
      <c r="BK657" s="6">
        <v>0.1409291</v>
      </c>
      <c r="BL657" s="6">
        <v>0.12522516</v>
      </c>
      <c r="BM657" s="6">
        <v>0.1592662</v>
      </c>
      <c r="BN657" s="6">
        <v>0.17561655</v>
      </c>
      <c r="BO657" s="6">
        <v>0.1337285</v>
      </c>
      <c r="BP657" s="6">
        <v>0.14157076</v>
      </c>
      <c r="BQ657" s="6">
        <v>0.03553362</v>
      </c>
      <c r="BR657" s="6">
        <v>0.03130253</v>
      </c>
      <c r="BS657" s="6">
        <v>0.03177202</v>
      </c>
      <c r="BT657" s="6">
        <v>0.02489465</v>
      </c>
      <c r="BU657" s="6">
        <v>0.0289578</v>
      </c>
      <c r="BV657" s="6">
        <v>0.04919564</v>
      </c>
      <c r="BW657" s="6">
        <v>0.04328447</v>
      </c>
      <c r="BX657" s="12">
        <v>4943</v>
      </c>
      <c r="BY657" s="13">
        <v>2798</v>
      </c>
      <c r="BZ657" s="12">
        <v>3467.72</v>
      </c>
      <c r="CA657" s="6">
        <f t="shared" si="60"/>
        <v>1.76661901358113</v>
      </c>
      <c r="CB657" s="6">
        <f t="shared" si="61"/>
        <v>1.42543227250182</v>
      </c>
      <c r="CC657" s="7">
        <v>79743891.44</v>
      </c>
      <c r="CD657" s="7">
        <f t="shared" si="62"/>
        <v>2.29960583438109</v>
      </c>
      <c r="CE657" s="8">
        <v>485.6</v>
      </c>
      <c r="CF657" s="8">
        <v>1127.1</v>
      </c>
      <c r="CG657" s="8">
        <v>907.8</v>
      </c>
      <c r="CH657" s="8">
        <v>12687</v>
      </c>
      <c r="CI657" s="14">
        <v>0</v>
      </c>
      <c r="CJ657" s="14">
        <v>0</v>
      </c>
      <c r="CK657" s="14">
        <f t="shared" si="63"/>
        <v>0</v>
      </c>
      <c r="CL657">
        <f t="shared" si="64"/>
        <v>3.71995059106252</v>
      </c>
      <c r="CM657">
        <f t="shared" si="65"/>
        <v>0.38181817793331</v>
      </c>
      <c r="CN657" s="15">
        <v>4359.84</v>
      </c>
      <c r="CO657" s="15">
        <v>3335.2</v>
      </c>
      <c r="CP657" s="15">
        <v>388</v>
      </c>
      <c r="CQ657" s="15">
        <v>2.86</v>
      </c>
      <c r="CR657" s="15">
        <v>77.53</v>
      </c>
      <c r="CS657" s="15">
        <v>12.3</v>
      </c>
      <c r="CT657" s="15">
        <v>180.18</v>
      </c>
      <c r="CU657" s="15">
        <v>3.61</v>
      </c>
      <c r="CV657" s="15">
        <v>35.5</v>
      </c>
      <c r="CW657" s="15">
        <v>347.68</v>
      </c>
    </row>
    <row r="658" spans="1:101">
      <c r="A658" s="6">
        <v>2006</v>
      </c>
      <c r="B658" s="6" t="s">
        <v>126</v>
      </c>
      <c r="C658" s="6">
        <v>0.26533107</v>
      </c>
      <c r="D658" s="6">
        <v>0.044059</v>
      </c>
      <c r="E658" s="6">
        <v>0.010699</v>
      </c>
      <c r="F658" s="6">
        <v>0.020264</v>
      </c>
      <c r="G658" s="6">
        <v>0.006989</v>
      </c>
      <c r="H658" s="6">
        <v>0.006107</v>
      </c>
      <c r="I658" s="6">
        <v>0.047708</v>
      </c>
      <c r="J658" s="6">
        <v>0.024201</v>
      </c>
      <c r="K658" s="6">
        <v>0.29403033</v>
      </c>
      <c r="L658" s="6">
        <v>0.21246506</v>
      </c>
      <c r="M658" s="6">
        <v>0.26853096</v>
      </c>
      <c r="N658" s="6">
        <v>0.17809384</v>
      </c>
      <c r="O658" s="6">
        <v>0.15156698</v>
      </c>
      <c r="P658" s="6">
        <v>0.44159956</v>
      </c>
      <c r="Q658" s="6">
        <v>0.36281784</v>
      </c>
      <c r="R658" s="6">
        <v>217.69486</v>
      </c>
      <c r="S658" s="6">
        <v>0.00135065</v>
      </c>
      <c r="T658" s="6">
        <v>169.97573</v>
      </c>
      <c r="U658" s="6">
        <v>0.00124997</v>
      </c>
      <c r="V658" s="6">
        <v>197.11803</v>
      </c>
      <c r="W658" s="6">
        <v>0.00136229</v>
      </c>
      <c r="X658" s="6">
        <v>134.47093</v>
      </c>
      <c r="Y658" s="6">
        <v>0.0013244</v>
      </c>
      <c r="Z658" s="6">
        <v>134.86767</v>
      </c>
      <c r="AA658" s="6">
        <v>0.00112382</v>
      </c>
      <c r="AB658" s="6">
        <v>294.9318</v>
      </c>
      <c r="AC658" s="6">
        <v>0.00149729</v>
      </c>
      <c r="AD658" s="6">
        <v>243.86163</v>
      </c>
      <c r="AE658" s="6">
        <v>0.0014878</v>
      </c>
      <c r="AF658" s="6">
        <v>775</v>
      </c>
      <c r="AG658" s="6">
        <v>-0.00892399</v>
      </c>
      <c r="AH658" s="6">
        <v>-0.00835561</v>
      </c>
      <c r="AI658" s="6">
        <v>-0.00898916</v>
      </c>
      <c r="AJ658" s="6">
        <v>-0.00877655</v>
      </c>
      <c r="AK658" s="6">
        <v>-0.00763189</v>
      </c>
      <c r="AL658" s="6">
        <v>-0.00973854</v>
      </c>
      <c r="AM658" s="6">
        <v>-0.00968627</v>
      </c>
      <c r="AN658" s="6">
        <v>-6.4762184</v>
      </c>
      <c r="AO658" s="6">
        <v>-6.4515561</v>
      </c>
      <c r="AP658" s="6">
        <v>-6.4739881</v>
      </c>
      <c r="AQ658" s="6">
        <v>-6.4253629</v>
      </c>
      <c r="AR658" s="6">
        <v>-6.4020076</v>
      </c>
      <c r="AS658" s="6">
        <v>-6.4618417</v>
      </c>
      <c r="AT658" s="6">
        <v>-6.4506396</v>
      </c>
      <c r="AU658" s="6">
        <v>0.97344833</v>
      </c>
      <c r="AV658" s="6">
        <v>0.96974131</v>
      </c>
      <c r="AW658" s="6">
        <v>0.97311308</v>
      </c>
      <c r="AX658" s="6">
        <v>0.96580418</v>
      </c>
      <c r="AY658" s="6">
        <v>0.96229362</v>
      </c>
      <c r="AZ658" s="6">
        <v>0.97128734</v>
      </c>
      <c r="BA658" s="6">
        <v>0.96960354</v>
      </c>
      <c r="BB658" s="6">
        <v>0.02655167</v>
      </c>
      <c r="BC658" s="6">
        <v>0.03025869</v>
      </c>
      <c r="BD658" s="6">
        <v>0.02688692</v>
      </c>
      <c r="BE658" s="6">
        <v>0.03419582</v>
      </c>
      <c r="BF658" s="6">
        <v>0.03770638</v>
      </c>
      <c r="BG658" s="6">
        <v>0.02871266</v>
      </c>
      <c r="BH658" s="6">
        <v>0.03039646</v>
      </c>
      <c r="BI658" s="6">
        <v>0.21470859</v>
      </c>
      <c r="BJ658" s="6">
        <v>0.12366373</v>
      </c>
      <c r="BK658" s="6">
        <v>0.1409291</v>
      </c>
      <c r="BL658" s="6">
        <v>0.12522516</v>
      </c>
      <c r="BM658" s="6">
        <v>0.1592662</v>
      </c>
      <c r="BN658" s="6">
        <v>0.17561655</v>
      </c>
      <c r="BO658" s="6">
        <v>0.1337285</v>
      </c>
      <c r="BP658" s="6">
        <v>0.14157076</v>
      </c>
      <c r="BQ658" s="6">
        <v>0.03636089</v>
      </c>
      <c r="BR658" s="6">
        <v>0.02994251</v>
      </c>
      <c r="BS658" s="6">
        <v>0.03362683</v>
      </c>
      <c r="BT658" s="6">
        <v>0.02836433</v>
      </c>
      <c r="BU658" s="6">
        <v>0.02661767</v>
      </c>
      <c r="BV658" s="6">
        <v>0.05905444</v>
      </c>
      <c r="BW658" s="6">
        <v>0.0513644</v>
      </c>
      <c r="BX658" s="12">
        <v>5368</v>
      </c>
      <c r="BY658" s="13">
        <v>2808</v>
      </c>
      <c r="BZ658" s="12">
        <v>3907.23</v>
      </c>
      <c r="CA658" s="6">
        <f t="shared" si="60"/>
        <v>1.91168091168091</v>
      </c>
      <c r="CB658" s="6">
        <f t="shared" si="61"/>
        <v>1.37386332516898</v>
      </c>
      <c r="CC658" s="7">
        <v>96776490.99</v>
      </c>
      <c r="CD658" s="7">
        <f t="shared" si="62"/>
        <v>2.47685677551616</v>
      </c>
      <c r="CE658" s="8">
        <v>502.5</v>
      </c>
      <c r="CF658" s="8">
        <v>1409.8</v>
      </c>
      <c r="CG658" s="8">
        <v>1045.1</v>
      </c>
      <c r="CH658" s="8">
        <v>14567</v>
      </c>
      <c r="CI658" s="14">
        <v>0</v>
      </c>
      <c r="CJ658" s="14">
        <v>0</v>
      </c>
      <c r="CK658" s="14">
        <f t="shared" si="63"/>
        <v>0</v>
      </c>
      <c r="CL658">
        <f t="shared" si="64"/>
        <v>3.57740717995078</v>
      </c>
      <c r="CM658">
        <f t="shared" si="65"/>
        <v>0.307639122155997</v>
      </c>
      <c r="CN658" s="15">
        <v>4722.98</v>
      </c>
      <c r="CO658" s="15">
        <v>3734.6</v>
      </c>
      <c r="CP658" s="15">
        <v>329.15</v>
      </c>
      <c r="CQ658" s="15">
        <v>3.17</v>
      </c>
      <c r="CR658" s="15">
        <v>86.22</v>
      </c>
      <c r="CS658" s="15">
        <v>23.01</v>
      </c>
      <c r="CT658" s="15">
        <v>186.55</v>
      </c>
      <c r="CU658" s="15">
        <v>2.66</v>
      </c>
      <c r="CV658" s="15">
        <v>40.05</v>
      </c>
      <c r="CW658" s="15">
        <v>405.19</v>
      </c>
    </row>
    <row r="659" spans="1:101">
      <c r="A659" s="6">
        <v>2007</v>
      </c>
      <c r="B659" s="6" t="s">
        <v>126</v>
      </c>
      <c r="C659" s="6">
        <v>0.26650984</v>
      </c>
      <c r="D659" s="6">
        <v>0.04744</v>
      </c>
      <c r="E659" s="6">
        <v>0.0119</v>
      </c>
      <c r="F659" s="6">
        <v>0.020932</v>
      </c>
      <c r="G659" s="6">
        <v>0.007484</v>
      </c>
      <c r="H659" s="6">
        <v>0.007124</v>
      </c>
      <c r="I659" s="6">
        <v>0.042718</v>
      </c>
      <c r="J659" s="6">
        <v>0.021153</v>
      </c>
      <c r="K659" s="6">
        <v>0.32055315</v>
      </c>
      <c r="L659" s="6">
        <v>0.24084209</v>
      </c>
      <c r="M659" s="6">
        <v>0.27880851</v>
      </c>
      <c r="N659" s="6">
        <v>0.19272274</v>
      </c>
      <c r="O659" s="6">
        <v>0.18239964</v>
      </c>
      <c r="P659" s="6">
        <v>0.38602233</v>
      </c>
      <c r="Q659" s="6">
        <v>0.30843049</v>
      </c>
      <c r="R659" s="6">
        <v>217.69486</v>
      </c>
      <c r="S659" s="6">
        <v>0.00147249</v>
      </c>
      <c r="T659" s="6">
        <v>169.97573</v>
      </c>
      <c r="U659" s="6">
        <v>0.00141692</v>
      </c>
      <c r="V659" s="6">
        <v>197.11803</v>
      </c>
      <c r="W659" s="6">
        <v>0.00141442</v>
      </c>
      <c r="X659" s="6">
        <v>134.47093</v>
      </c>
      <c r="Y659" s="6">
        <v>0.00143319</v>
      </c>
      <c r="Z659" s="6">
        <v>134.86767</v>
      </c>
      <c r="AA659" s="6">
        <v>0.00135243</v>
      </c>
      <c r="AB659" s="6">
        <v>294.9318</v>
      </c>
      <c r="AC659" s="6">
        <v>0.00130885</v>
      </c>
      <c r="AD659" s="6">
        <v>243.86163</v>
      </c>
      <c r="AE659" s="6">
        <v>0.00126478</v>
      </c>
      <c r="AF659" s="6">
        <v>775</v>
      </c>
      <c r="AG659" s="6">
        <v>-0.0096018</v>
      </c>
      <c r="AH659" s="6">
        <v>-0.00929396</v>
      </c>
      <c r="AI659" s="6">
        <v>-0.00928008</v>
      </c>
      <c r="AJ659" s="6">
        <v>-0.00938433</v>
      </c>
      <c r="AK659" s="6">
        <v>-0.00893398</v>
      </c>
      <c r="AL659" s="6">
        <v>-0.00868896</v>
      </c>
      <c r="AM659" s="6">
        <v>-0.00843968</v>
      </c>
      <c r="AN659" s="6">
        <v>-6.4762184</v>
      </c>
      <c r="AO659" s="6">
        <v>-6.4515561</v>
      </c>
      <c r="AP659" s="6">
        <v>-6.4739881</v>
      </c>
      <c r="AQ659" s="6">
        <v>-6.4253629</v>
      </c>
      <c r="AR659" s="6">
        <v>-6.4020076</v>
      </c>
      <c r="AS659" s="6">
        <v>-6.4618417</v>
      </c>
      <c r="AT659" s="6">
        <v>-6.4506396</v>
      </c>
      <c r="AU659" s="6">
        <v>0.97344833</v>
      </c>
      <c r="AV659" s="6">
        <v>0.96974131</v>
      </c>
      <c r="AW659" s="6">
        <v>0.97311308</v>
      </c>
      <c r="AX659" s="6">
        <v>0.96580418</v>
      </c>
      <c r="AY659" s="6">
        <v>0.96229362</v>
      </c>
      <c r="AZ659" s="6">
        <v>0.97128734</v>
      </c>
      <c r="BA659" s="6">
        <v>0.96960354</v>
      </c>
      <c r="BB659" s="6">
        <v>0.02655167</v>
      </c>
      <c r="BC659" s="6">
        <v>0.03025869</v>
      </c>
      <c r="BD659" s="6">
        <v>0.02688692</v>
      </c>
      <c r="BE659" s="6">
        <v>0.03419582</v>
      </c>
      <c r="BF659" s="6">
        <v>0.03770638</v>
      </c>
      <c r="BG659" s="6">
        <v>0.02871266</v>
      </c>
      <c r="BH659" s="6">
        <v>0.03039646</v>
      </c>
      <c r="BI659" s="6">
        <v>0.21470859</v>
      </c>
      <c r="BJ659" s="6">
        <v>0.12366373</v>
      </c>
      <c r="BK659" s="6">
        <v>0.1409291</v>
      </c>
      <c r="BL659" s="6">
        <v>0.12522516</v>
      </c>
      <c r="BM659" s="6">
        <v>0.1592662</v>
      </c>
      <c r="BN659" s="6">
        <v>0.17561655</v>
      </c>
      <c r="BO659" s="6">
        <v>0.1337285</v>
      </c>
      <c r="BP659" s="6">
        <v>0.14157076</v>
      </c>
      <c r="BQ659" s="6">
        <v>0.0396408</v>
      </c>
      <c r="BR659" s="6">
        <v>0.03394166</v>
      </c>
      <c r="BS659" s="6">
        <v>0.03491384</v>
      </c>
      <c r="BT659" s="6">
        <v>0.03069422</v>
      </c>
      <c r="BU659" s="6">
        <v>0.03203239</v>
      </c>
      <c r="BV659" s="6">
        <v>0.05162219</v>
      </c>
      <c r="BW659" s="6">
        <v>0.04366474</v>
      </c>
      <c r="BX659" s="12">
        <v>5947</v>
      </c>
      <c r="BY659" s="13">
        <v>2816</v>
      </c>
      <c r="BZ659" s="12">
        <v>4676.13</v>
      </c>
      <c r="CA659" s="6">
        <f t="shared" si="60"/>
        <v>2.11186079545455</v>
      </c>
      <c r="CB659" s="6">
        <f t="shared" si="61"/>
        <v>1.27177815843443</v>
      </c>
      <c r="CC659" s="7">
        <v>104514946.6</v>
      </c>
      <c r="CD659" s="7">
        <f t="shared" si="62"/>
        <v>2.23507358862991</v>
      </c>
      <c r="CE659" s="8">
        <v>593.3</v>
      </c>
      <c r="CF659" s="8">
        <v>1588.5</v>
      </c>
      <c r="CG659" s="8">
        <v>1318.3</v>
      </c>
      <c r="CH659" s="8">
        <v>16887</v>
      </c>
      <c r="CI659" s="14">
        <v>0</v>
      </c>
      <c r="CJ659" s="14">
        <v>0</v>
      </c>
      <c r="CK659" s="14">
        <f t="shared" si="63"/>
        <v>0</v>
      </c>
      <c r="CL659">
        <f t="shared" si="64"/>
        <v>3.23986794305777</v>
      </c>
      <c r="CM659">
        <f t="shared" si="65"/>
        <v>0.31013435488347</v>
      </c>
      <c r="CN659" s="15">
        <v>5216.82</v>
      </c>
      <c r="CO659" s="15">
        <v>4078.69</v>
      </c>
      <c r="CP659" s="15">
        <v>323.38</v>
      </c>
      <c r="CQ659" s="15">
        <v>0.13</v>
      </c>
      <c r="CR659" s="15">
        <v>86.46</v>
      </c>
      <c r="CS659" s="15">
        <v>27.01</v>
      </c>
      <c r="CT659" s="15">
        <v>234.11</v>
      </c>
      <c r="CU659" s="15">
        <v>7.84</v>
      </c>
      <c r="CV659" s="15">
        <v>43.53</v>
      </c>
      <c r="CW659" s="15">
        <v>449.21</v>
      </c>
    </row>
    <row r="660" spans="1:101">
      <c r="A660" s="6">
        <v>2008</v>
      </c>
      <c r="B660" s="6" t="s">
        <v>126</v>
      </c>
      <c r="C660" s="6">
        <v>0.26556602</v>
      </c>
      <c r="D660" s="6">
        <v>0.045958</v>
      </c>
      <c r="E660" s="6">
        <v>0.010735</v>
      </c>
      <c r="F660" s="6">
        <v>0.020131</v>
      </c>
      <c r="G660" s="6">
        <v>0.006915</v>
      </c>
      <c r="H660" s="6">
        <v>0.008178</v>
      </c>
      <c r="I660" s="6">
        <v>0.044117</v>
      </c>
      <c r="J660" s="6">
        <v>0.021511</v>
      </c>
      <c r="K660" s="6">
        <v>0.30893259</v>
      </c>
      <c r="L660" s="6">
        <v>0.21331196</v>
      </c>
      <c r="M660" s="6">
        <v>0.26648963</v>
      </c>
      <c r="N660" s="6">
        <v>0.17590696</v>
      </c>
      <c r="O660" s="6">
        <v>0.21432166</v>
      </c>
      <c r="P660" s="6">
        <v>0.40160041</v>
      </c>
      <c r="Q660" s="6">
        <v>0.31482</v>
      </c>
      <c r="R660" s="6">
        <v>217.69486</v>
      </c>
      <c r="S660" s="6">
        <v>0.00141911</v>
      </c>
      <c r="T660" s="6">
        <v>169.97573</v>
      </c>
      <c r="U660" s="6">
        <v>0.00125496</v>
      </c>
      <c r="V660" s="6">
        <v>197.11803</v>
      </c>
      <c r="W660" s="6">
        <v>0.00135193</v>
      </c>
      <c r="X660" s="6">
        <v>134.47093</v>
      </c>
      <c r="Y660" s="6">
        <v>0.00130814</v>
      </c>
      <c r="Z660" s="6">
        <v>134.86767</v>
      </c>
      <c r="AA660" s="6">
        <v>0.00158913</v>
      </c>
      <c r="AB660" s="6">
        <v>294.9318</v>
      </c>
      <c r="AC660" s="6">
        <v>0.00136167</v>
      </c>
      <c r="AD660" s="6">
        <v>243.86163</v>
      </c>
      <c r="AE660" s="6">
        <v>0.00129098</v>
      </c>
      <c r="AF660" s="6">
        <v>775</v>
      </c>
      <c r="AG660" s="6">
        <v>-0.00930612</v>
      </c>
      <c r="AH660" s="6">
        <v>-0.00838392</v>
      </c>
      <c r="AI660" s="6">
        <v>-0.00893115</v>
      </c>
      <c r="AJ660" s="6">
        <v>-0.00868494</v>
      </c>
      <c r="AK660" s="6">
        <v>-0.01024123</v>
      </c>
      <c r="AL660" s="6">
        <v>-0.00898573</v>
      </c>
      <c r="AM660" s="6">
        <v>-0.00858804</v>
      </c>
      <c r="AN660" s="6">
        <v>-6.4762184</v>
      </c>
      <c r="AO660" s="6">
        <v>-6.4515561</v>
      </c>
      <c r="AP660" s="6">
        <v>-6.4739881</v>
      </c>
      <c r="AQ660" s="6">
        <v>-6.4253629</v>
      </c>
      <c r="AR660" s="6">
        <v>-6.4020076</v>
      </c>
      <c r="AS660" s="6">
        <v>-6.4618417</v>
      </c>
      <c r="AT660" s="6">
        <v>-6.4506396</v>
      </c>
      <c r="AU660" s="6">
        <v>0.97344833</v>
      </c>
      <c r="AV660" s="6">
        <v>0.96974131</v>
      </c>
      <c r="AW660" s="6">
        <v>0.97311308</v>
      </c>
      <c r="AX660" s="6">
        <v>0.96580418</v>
      </c>
      <c r="AY660" s="6">
        <v>0.96229362</v>
      </c>
      <c r="AZ660" s="6">
        <v>0.97128734</v>
      </c>
      <c r="BA660" s="6">
        <v>0.96960354</v>
      </c>
      <c r="BB660" s="6">
        <v>0.02655167</v>
      </c>
      <c r="BC660" s="6">
        <v>0.03025869</v>
      </c>
      <c r="BD660" s="6">
        <v>0.02688692</v>
      </c>
      <c r="BE660" s="6">
        <v>0.03419582</v>
      </c>
      <c r="BF660" s="6">
        <v>0.03770638</v>
      </c>
      <c r="BG660" s="6">
        <v>0.02871266</v>
      </c>
      <c r="BH660" s="6">
        <v>0.03039646</v>
      </c>
      <c r="BI660" s="6">
        <v>0.21470859</v>
      </c>
      <c r="BJ660" s="6">
        <v>0.12366373</v>
      </c>
      <c r="BK660" s="6">
        <v>0.1409291</v>
      </c>
      <c r="BL660" s="6">
        <v>0.12522516</v>
      </c>
      <c r="BM660" s="6">
        <v>0.1592662</v>
      </c>
      <c r="BN660" s="6">
        <v>0.17561655</v>
      </c>
      <c r="BO660" s="6">
        <v>0.1337285</v>
      </c>
      <c r="BP660" s="6">
        <v>0.14157076</v>
      </c>
      <c r="BQ660" s="6">
        <v>0.03820376</v>
      </c>
      <c r="BR660" s="6">
        <v>0.03006186</v>
      </c>
      <c r="BS660" s="6">
        <v>0.03337121</v>
      </c>
      <c r="BT660" s="6">
        <v>0.02801603</v>
      </c>
      <c r="BU660" s="6">
        <v>0.03763843</v>
      </c>
      <c r="BV660" s="6">
        <v>0.05370542</v>
      </c>
      <c r="BW660" s="6">
        <v>0.04456931</v>
      </c>
      <c r="BX660" s="12">
        <v>6472</v>
      </c>
      <c r="BY660" s="13">
        <v>2839</v>
      </c>
      <c r="BZ660" s="12">
        <v>5793.66</v>
      </c>
      <c r="CA660" s="6">
        <f t="shared" si="60"/>
        <v>2.27967594223318</v>
      </c>
      <c r="CB660" s="6">
        <f t="shared" si="61"/>
        <v>1.11708315641581</v>
      </c>
      <c r="CC660" s="7">
        <v>108480978.7</v>
      </c>
      <c r="CD660" s="7">
        <f t="shared" si="62"/>
        <v>1.87240843784413</v>
      </c>
      <c r="CE660" s="8">
        <v>646.9</v>
      </c>
      <c r="CF660" s="8">
        <v>1991.8</v>
      </c>
      <c r="CG660" s="8">
        <v>1503.8</v>
      </c>
      <c r="CH660" s="8">
        <v>19605</v>
      </c>
      <c r="CI660" s="14">
        <v>0</v>
      </c>
      <c r="CJ660" s="14">
        <v>0</v>
      </c>
      <c r="CK660" s="14">
        <f t="shared" si="63"/>
        <v>0</v>
      </c>
      <c r="CL660">
        <f t="shared" si="64"/>
        <v>2.71728515287532</v>
      </c>
      <c r="CM660">
        <f t="shared" si="65"/>
        <v>0.310926777094842</v>
      </c>
      <c r="CN660" s="15">
        <v>6472</v>
      </c>
      <c r="CO660" s="15">
        <v>5273</v>
      </c>
      <c r="CP660" s="15">
        <v>342.44</v>
      </c>
      <c r="CQ660" s="15">
        <v>0.02</v>
      </c>
      <c r="CR660" s="15">
        <v>96.59</v>
      </c>
      <c r="CS660" s="15">
        <v>30.44</v>
      </c>
      <c r="CT660" s="15">
        <v>257.65</v>
      </c>
      <c r="CU660" s="15">
        <v>8.14</v>
      </c>
      <c r="CV660" s="15">
        <v>48.75</v>
      </c>
      <c r="CW660" s="15">
        <v>485.92</v>
      </c>
    </row>
    <row r="661" spans="1:101">
      <c r="A661" s="6">
        <v>2009</v>
      </c>
      <c r="B661" s="6" t="s">
        <v>126</v>
      </c>
      <c r="C661" s="6">
        <v>0.29356989</v>
      </c>
      <c r="D661" s="6">
        <v>0.050718</v>
      </c>
      <c r="E661" s="6">
        <v>0.01335</v>
      </c>
      <c r="F661" s="6">
        <v>0.022867</v>
      </c>
      <c r="G661" s="6">
        <v>0.007505</v>
      </c>
      <c r="H661" s="6">
        <v>0.006996</v>
      </c>
      <c r="I661" s="6">
        <v>0.045904</v>
      </c>
      <c r="J661" s="6">
        <v>0.025572</v>
      </c>
      <c r="K661" s="6">
        <v>0.34626682</v>
      </c>
      <c r="L661" s="6">
        <v>0.27512241</v>
      </c>
      <c r="M661" s="6">
        <v>0.30854773</v>
      </c>
      <c r="N661" s="6">
        <v>0.19335262</v>
      </c>
      <c r="O661" s="6">
        <v>0.17851844</v>
      </c>
      <c r="P661" s="6">
        <v>0.4215036</v>
      </c>
      <c r="Q661" s="6">
        <v>0.38727051</v>
      </c>
      <c r="R661" s="6">
        <v>217.69486</v>
      </c>
      <c r="S661" s="6">
        <v>0.00159061</v>
      </c>
      <c r="T661" s="6">
        <v>169.97573</v>
      </c>
      <c r="U661" s="6">
        <v>0.0016186</v>
      </c>
      <c r="V661" s="6">
        <v>197.11803</v>
      </c>
      <c r="W661" s="6">
        <v>0.00156529</v>
      </c>
      <c r="X661" s="6">
        <v>134.47093</v>
      </c>
      <c r="Y661" s="6">
        <v>0.00143788</v>
      </c>
      <c r="Z661" s="6">
        <v>134.86767</v>
      </c>
      <c r="AA661" s="6">
        <v>0.00132366</v>
      </c>
      <c r="AB661" s="6">
        <v>294.9318</v>
      </c>
      <c r="AC661" s="6">
        <v>0.00142916</v>
      </c>
      <c r="AD661" s="6">
        <v>243.86163</v>
      </c>
      <c r="AE661" s="6">
        <v>0.00158807</v>
      </c>
      <c r="AF661" s="6">
        <v>775</v>
      </c>
      <c r="AG661" s="6">
        <v>-0.01024929</v>
      </c>
      <c r="AH661" s="6">
        <v>-0.01040143</v>
      </c>
      <c r="AI661" s="6">
        <v>-0.0101113</v>
      </c>
      <c r="AJ661" s="6">
        <v>-0.00941031</v>
      </c>
      <c r="AK661" s="6">
        <v>-0.00877234</v>
      </c>
      <c r="AL661" s="6">
        <v>-0.00936193</v>
      </c>
      <c r="AM661" s="6">
        <v>-0.01023551</v>
      </c>
      <c r="AN661" s="6">
        <v>-6.4762184</v>
      </c>
      <c r="AO661" s="6">
        <v>-6.4515561</v>
      </c>
      <c r="AP661" s="6">
        <v>-6.4739881</v>
      </c>
      <c r="AQ661" s="6">
        <v>-6.4253629</v>
      </c>
      <c r="AR661" s="6">
        <v>-6.4020076</v>
      </c>
      <c r="AS661" s="6">
        <v>-6.4618417</v>
      </c>
      <c r="AT661" s="6">
        <v>-6.4506396</v>
      </c>
      <c r="AU661" s="6">
        <v>0.97344833</v>
      </c>
      <c r="AV661" s="6">
        <v>0.96974131</v>
      </c>
      <c r="AW661" s="6">
        <v>0.97311308</v>
      </c>
      <c r="AX661" s="6">
        <v>0.96580418</v>
      </c>
      <c r="AY661" s="6">
        <v>0.96229362</v>
      </c>
      <c r="AZ661" s="6">
        <v>0.97128734</v>
      </c>
      <c r="BA661" s="6">
        <v>0.96960354</v>
      </c>
      <c r="BB661" s="6">
        <v>0.02655167</v>
      </c>
      <c r="BC661" s="6">
        <v>0.03025869</v>
      </c>
      <c r="BD661" s="6">
        <v>0.02688692</v>
      </c>
      <c r="BE661" s="6">
        <v>0.03419582</v>
      </c>
      <c r="BF661" s="6">
        <v>0.03770638</v>
      </c>
      <c r="BG661" s="6">
        <v>0.02871266</v>
      </c>
      <c r="BH661" s="6">
        <v>0.03039646</v>
      </c>
      <c r="BI661" s="6">
        <v>0.21470859</v>
      </c>
      <c r="BJ661" s="6">
        <v>0.12366373</v>
      </c>
      <c r="BK661" s="6">
        <v>0.1409291</v>
      </c>
      <c r="BL661" s="6">
        <v>0.12522516</v>
      </c>
      <c r="BM661" s="6">
        <v>0.1592662</v>
      </c>
      <c r="BN661" s="6">
        <v>0.17561655</v>
      </c>
      <c r="BO661" s="6">
        <v>0.1337285</v>
      </c>
      <c r="BP661" s="6">
        <v>0.14157076</v>
      </c>
      <c r="BQ661" s="6">
        <v>0.04282065</v>
      </c>
      <c r="BR661" s="6">
        <v>0.03877275</v>
      </c>
      <c r="BS661" s="6">
        <v>0.03863794</v>
      </c>
      <c r="BT661" s="6">
        <v>0.03079454</v>
      </c>
      <c r="BU661" s="6">
        <v>0.03135079</v>
      </c>
      <c r="BV661" s="6">
        <v>0.05636704</v>
      </c>
      <c r="BW661" s="6">
        <v>0.05482618</v>
      </c>
      <c r="BX661" s="12">
        <v>7030</v>
      </c>
      <c r="BY661" s="13">
        <v>2859</v>
      </c>
      <c r="BZ661" s="12">
        <v>6530.01</v>
      </c>
      <c r="CA661" s="6">
        <f t="shared" si="60"/>
        <v>2.45890171388597</v>
      </c>
      <c r="CB661" s="6">
        <f t="shared" si="61"/>
        <v>1.07656802975799</v>
      </c>
      <c r="CC661" s="7">
        <v>112372833.9</v>
      </c>
      <c r="CD661" s="7">
        <f t="shared" si="62"/>
        <v>1.72086771536338</v>
      </c>
      <c r="CE661" s="8">
        <v>704.9</v>
      </c>
      <c r="CF661" s="8">
        <v>1846</v>
      </c>
      <c r="CG661" s="8">
        <v>1686.1</v>
      </c>
      <c r="CH661" s="8">
        <v>19755</v>
      </c>
      <c r="CI661" s="14">
        <v>0</v>
      </c>
      <c r="CJ661" s="14">
        <v>0</v>
      </c>
      <c r="CK661" s="14">
        <f t="shared" si="63"/>
        <v>0</v>
      </c>
      <c r="CL661">
        <f t="shared" si="64"/>
        <v>2.66960201713366</v>
      </c>
      <c r="CM661">
        <f t="shared" si="65"/>
        <v>0.35538417175341</v>
      </c>
      <c r="CN661" s="15">
        <v>7030</v>
      </c>
      <c r="CO661" s="15">
        <v>5782</v>
      </c>
      <c r="CP661" s="15">
        <v>334.1</v>
      </c>
      <c r="CQ661" s="15">
        <v>0.01</v>
      </c>
      <c r="CR661" s="15">
        <v>90.54</v>
      </c>
      <c r="CS661" s="15">
        <v>34.06</v>
      </c>
      <c r="CT661" s="15">
        <v>273.55</v>
      </c>
      <c r="CU661" s="15">
        <v>7.59</v>
      </c>
      <c r="CV661" s="15">
        <v>49.47</v>
      </c>
      <c r="CW661" s="15">
        <v>532.34</v>
      </c>
    </row>
    <row r="662" spans="1:101">
      <c r="A662" s="6">
        <v>2010</v>
      </c>
      <c r="B662" s="6" t="s">
        <v>126</v>
      </c>
      <c r="C662" s="6">
        <v>0.29572368</v>
      </c>
      <c r="D662" s="6">
        <v>0.049664</v>
      </c>
      <c r="E662" s="6">
        <v>0.012639</v>
      </c>
      <c r="F662" s="6">
        <v>0.021438</v>
      </c>
      <c r="G662" s="6">
        <v>0.00756</v>
      </c>
      <c r="H662" s="6">
        <v>0.008028</v>
      </c>
      <c r="I662" s="6">
        <v>0.049455</v>
      </c>
      <c r="J662" s="6">
        <v>0.024486</v>
      </c>
      <c r="K662" s="6">
        <v>0.33800074</v>
      </c>
      <c r="L662" s="6">
        <v>0.25831709</v>
      </c>
      <c r="M662" s="6">
        <v>0.28657572</v>
      </c>
      <c r="N662" s="6">
        <v>0.19496789</v>
      </c>
      <c r="O662" s="6">
        <v>0.20979085</v>
      </c>
      <c r="P662" s="6">
        <v>0.46105942</v>
      </c>
      <c r="Q662" s="6">
        <v>0.36789405</v>
      </c>
      <c r="R662" s="6">
        <v>217.69486</v>
      </c>
      <c r="S662" s="6">
        <v>0.00155264</v>
      </c>
      <c r="T662" s="6">
        <v>169.97573</v>
      </c>
      <c r="U662" s="6">
        <v>0.00151973</v>
      </c>
      <c r="V662" s="6">
        <v>197.11803</v>
      </c>
      <c r="W662" s="6">
        <v>0.00145383</v>
      </c>
      <c r="X662" s="6">
        <v>134.47093</v>
      </c>
      <c r="Y662" s="6">
        <v>0.00144989</v>
      </c>
      <c r="Z662" s="6">
        <v>134.86767</v>
      </c>
      <c r="AA662" s="6">
        <v>0.00155553</v>
      </c>
      <c r="AB662" s="6">
        <v>294.9318</v>
      </c>
      <c r="AC662" s="6">
        <v>0.00156327</v>
      </c>
      <c r="AD662" s="6">
        <v>243.86163</v>
      </c>
      <c r="AE662" s="6">
        <v>0.00150862</v>
      </c>
      <c r="AF662" s="6">
        <v>775</v>
      </c>
      <c r="AG662" s="6">
        <v>-0.01004214</v>
      </c>
      <c r="AH662" s="6">
        <v>-0.00986186</v>
      </c>
      <c r="AI662" s="6">
        <v>-0.00949867</v>
      </c>
      <c r="AJ662" s="6">
        <v>-0.00947686</v>
      </c>
      <c r="AK662" s="6">
        <v>-0.01005797</v>
      </c>
      <c r="AL662" s="6">
        <v>-0.01010027</v>
      </c>
      <c r="AM662" s="6">
        <v>-0.00980083</v>
      </c>
      <c r="AN662" s="6">
        <v>-6.4762184</v>
      </c>
      <c r="AO662" s="6">
        <v>-6.4515561</v>
      </c>
      <c r="AP662" s="6">
        <v>-6.4739881</v>
      </c>
      <c r="AQ662" s="6">
        <v>-6.4253629</v>
      </c>
      <c r="AR662" s="6">
        <v>-6.4020076</v>
      </c>
      <c r="AS662" s="6">
        <v>-6.4618417</v>
      </c>
      <c r="AT662" s="6">
        <v>-6.4506396</v>
      </c>
      <c r="AU662" s="6">
        <v>0.97344833</v>
      </c>
      <c r="AV662" s="6">
        <v>0.96974131</v>
      </c>
      <c r="AW662" s="6">
        <v>0.97311308</v>
      </c>
      <c r="AX662" s="6">
        <v>0.96580418</v>
      </c>
      <c r="AY662" s="6">
        <v>0.96229362</v>
      </c>
      <c r="AZ662" s="6">
        <v>0.97128734</v>
      </c>
      <c r="BA662" s="6">
        <v>0.96960354</v>
      </c>
      <c r="BB662" s="6">
        <v>0.02655167</v>
      </c>
      <c r="BC662" s="6">
        <v>0.03025869</v>
      </c>
      <c r="BD662" s="6">
        <v>0.02688692</v>
      </c>
      <c r="BE662" s="6">
        <v>0.03419582</v>
      </c>
      <c r="BF662" s="6">
        <v>0.03770638</v>
      </c>
      <c r="BG662" s="6">
        <v>0.02871266</v>
      </c>
      <c r="BH662" s="6">
        <v>0.03039646</v>
      </c>
      <c r="BI662" s="6">
        <v>0.21470859</v>
      </c>
      <c r="BJ662" s="6">
        <v>0.12366373</v>
      </c>
      <c r="BK662" s="6">
        <v>0.1409291</v>
      </c>
      <c r="BL662" s="6">
        <v>0.12522516</v>
      </c>
      <c r="BM662" s="6">
        <v>0.1592662</v>
      </c>
      <c r="BN662" s="6">
        <v>0.17561655</v>
      </c>
      <c r="BO662" s="6">
        <v>0.1337285</v>
      </c>
      <c r="BP662" s="6">
        <v>0.14157076</v>
      </c>
      <c r="BQ662" s="6">
        <v>0.04179843</v>
      </c>
      <c r="BR662" s="6">
        <v>0.03640439</v>
      </c>
      <c r="BS662" s="6">
        <v>0.03588649</v>
      </c>
      <c r="BT662" s="6">
        <v>0.0310518</v>
      </c>
      <c r="BU662" s="6">
        <v>0.03684274</v>
      </c>
      <c r="BV662" s="6">
        <v>0.06165678</v>
      </c>
      <c r="BW662" s="6">
        <v>0.05208304</v>
      </c>
      <c r="BX662" s="12">
        <v>7856</v>
      </c>
      <c r="BY662" s="13">
        <v>2884.62</v>
      </c>
      <c r="BZ662" s="12">
        <v>7925.58</v>
      </c>
      <c r="CA662" s="6">
        <f t="shared" si="60"/>
        <v>2.72340897587897</v>
      </c>
      <c r="CB662" s="6">
        <f t="shared" si="61"/>
        <v>0.991220831787705</v>
      </c>
      <c r="CC662" s="7">
        <v>118016318.8</v>
      </c>
      <c r="CD662" s="7">
        <f t="shared" si="62"/>
        <v>1.48905592776806</v>
      </c>
      <c r="CE662" s="8">
        <v>1000.3</v>
      </c>
      <c r="CF662" s="8">
        <v>2479.8</v>
      </c>
      <c r="CG662" s="8">
        <v>1880.1</v>
      </c>
      <c r="CH662" s="8">
        <v>24700</v>
      </c>
      <c r="CI662" s="14">
        <v>0</v>
      </c>
      <c r="CJ662" s="14">
        <v>0</v>
      </c>
      <c r="CK662" s="14">
        <f t="shared" si="63"/>
        <v>0</v>
      </c>
      <c r="CL662">
        <f t="shared" si="64"/>
        <v>2.40850270516871</v>
      </c>
      <c r="CM662">
        <f t="shared" si="65"/>
        <v>0.381750361096748</v>
      </c>
      <c r="CN662" s="15">
        <v>7855.52</v>
      </c>
      <c r="CO662" s="15">
        <v>6396.9</v>
      </c>
      <c r="CP662" s="15">
        <v>299.47</v>
      </c>
      <c r="CQ662">
        <v>0</v>
      </c>
      <c r="CR662" s="15">
        <v>102.63</v>
      </c>
      <c r="CS662" s="15">
        <v>41.78</v>
      </c>
      <c r="CT662" s="15">
        <v>338.51</v>
      </c>
      <c r="CU662" s="15">
        <v>8.61</v>
      </c>
      <c r="CV662" s="15">
        <v>56.42</v>
      </c>
      <c r="CW662" s="15">
        <v>626.44</v>
      </c>
    </row>
    <row r="663" spans="1:101">
      <c r="A663" s="6">
        <v>2011</v>
      </c>
      <c r="B663" s="6" t="s">
        <v>126</v>
      </c>
      <c r="C663" s="6">
        <v>0.29119158</v>
      </c>
      <c r="D663" s="6">
        <v>0.050218</v>
      </c>
      <c r="E663" s="6">
        <v>0.012976</v>
      </c>
      <c r="F663" s="6">
        <v>0.022229</v>
      </c>
      <c r="G663" s="6">
        <v>0.007936</v>
      </c>
      <c r="H663" s="6">
        <v>0.007078</v>
      </c>
      <c r="I663" s="6">
        <v>0.048788</v>
      </c>
      <c r="J663" s="6">
        <v>0.023126</v>
      </c>
      <c r="K663" s="6">
        <v>0.34234638</v>
      </c>
      <c r="L663" s="6">
        <v>0.26628102</v>
      </c>
      <c r="M663" s="6">
        <v>0.29873679</v>
      </c>
      <c r="N663" s="6">
        <v>0.20609253</v>
      </c>
      <c r="O663" s="6">
        <v>0.18098833</v>
      </c>
      <c r="P663" s="6">
        <v>0.45363</v>
      </c>
      <c r="Q663" s="6">
        <v>0.34363216</v>
      </c>
      <c r="R663" s="6">
        <v>217.69486</v>
      </c>
      <c r="S663" s="6">
        <v>0.0015726</v>
      </c>
      <c r="T663" s="6">
        <v>169.97573</v>
      </c>
      <c r="U663" s="6">
        <v>0.00156658</v>
      </c>
      <c r="V663" s="6">
        <v>197.11803</v>
      </c>
      <c r="W663" s="6">
        <v>0.00151552</v>
      </c>
      <c r="X663" s="6">
        <v>134.47093</v>
      </c>
      <c r="Y663" s="6">
        <v>0.00153262</v>
      </c>
      <c r="Z663" s="6">
        <v>134.86767</v>
      </c>
      <c r="AA663" s="6">
        <v>0.00134197</v>
      </c>
      <c r="AB663" s="6">
        <v>294.9318</v>
      </c>
      <c r="AC663" s="6">
        <v>0.00153808</v>
      </c>
      <c r="AD663" s="6">
        <v>243.86163</v>
      </c>
      <c r="AE663" s="6">
        <v>0.00140913</v>
      </c>
      <c r="AF663" s="6">
        <v>775</v>
      </c>
      <c r="AG663" s="6">
        <v>-0.01015116</v>
      </c>
      <c r="AH663" s="6">
        <v>-0.01011834</v>
      </c>
      <c r="AI663" s="6">
        <v>-0.00983876</v>
      </c>
      <c r="AJ663" s="6">
        <v>-0.00993256</v>
      </c>
      <c r="AK663" s="6">
        <v>-0.00887527</v>
      </c>
      <c r="AL663" s="6">
        <v>-0.00996251</v>
      </c>
      <c r="AM663" s="6">
        <v>-0.00925062</v>
      </c>
      <c r="AN663" s="6">
        <v>-6.4762184</v>
      </c>
      <c r="AO663" s="6">
        <v>-6.4515561</v>
      </c>
      <c r="AP663" s="6">
        <v>-6.4739881</v>
      </c>
      <c r="AQ663" s="6">
        <v>-6.4253629</v>
      </c>
      <c r="AR663" s="6">
        <v>-6.4020076</v>
      </c>
      <c r="AS663" s="6">
        <v>-6.4618417</v>
      </c>
      <c r="AT663" s="6">
        <v>-6.4506396</v>
      </c>
      <c r="AU663" s="6">
        <v>0.97344833</v>
      </c>
      <c r="AV663" s="6">
        <v>0.96974131</v>
      </c>
      <c r="AW663" s="6">
        <v>0.97311308</v>
      </c>
      <c r="AX663" s="6">
        <v>0.96580418</v>
      </c>
      <c r="AY663" s="6">
        <v>0.96229362</v>
      </c>
      <c r="AZ663" s="6">
        <v>0.97128734</v>
      </c>
      <c r="BA663" s="6">
        <v>0.96960354</v>
      </c>
      <c r="BB663" s="6">
        <v>0.02655167</v>
      </c>
      <c r="BC663" s="6">
        <v>0.03025869</v>
      </c>
      <c r="BD663" s="6">
        <v>0.02688692</v>
      </c>
      <c r="BE663" s="6">
        <v>0.03419582</v>
      </c>
      <c r="BF663" s="6">
        <v>0.03770638</v>
      </c>
      <c r="BG663" s="6">
        <v>0.02871266</v>
      </c>
      <c r="BH663" s="6">
        <v>0.03039646</v>
      </c>
      <c r="BI663" s="6">
        <v>0.21470859</v>
      </c>
      <c r="BJ663" s="6">
        <v>0.12366373</v>
      </c>
      <c r="BK663" s="6">
        <v>0.1409291</v>
      </c>
      <c r="BL663" s="6">
        <v>0.12522516</v>
      </c>
      <c r="BM663" s="6">
        <v>0.1592662</v>
      </c>
      <c r="BN663" s="6">
        <v>0.17561655</v>
      </c>
      <c r="BO663" s="6">
        <v>0.1337285</v>
      </c>
      <c r="BP663" s="6">
        <v>0.14157076</v>
      </c>
      <c r="BQ663" s="6">
        <v>0.04233583</v>
      </c>
      <c r="BR663" s="6">
        <v>0.03752674</v>
      </c>
      <c r="BS663" s="6">
        <v>0.03740936</v>
      </c>
      <c r="BT663" s="6">
        <v>0.03282357</v>
      </c>
      <c r="BU663" s="6">
        <v>0.03178454</v>
      </c>
      <c r="BV663" s="6">
        <v>0.06066326</v>
      </c>
      <c r="BW663" s="6">
        <v>0.04864827</v>
      </c>
      <c r="BX663" s="12">
        <v>8792</v>
      </c>
      <c r="BY663" s="13">
        <v>2944</v>
      </c>
      <c r="BZ663" s="12">
        <v>10011.37</v>
      </c>
      <c r="CA663" s="6">
        <f t="shared" si="60"/>
        <v>2.98641304347826</v>
      </c>
      <c r="CB663" s="6">
        <f t="shared" si="61"/>
        <v>0.878201484911655</v>
      </c>
      <c r="CC663" s="7">
        <v>125565089.2</v>
      </c>
      <c r="CD663" s="7">
        <f t="shared" si="62"/>
        <v>1.25422483835879</v>
      </c>
      <c r="CE663" s="8">
        <v>1047.2</v>
      </c>
      <c r="CF663" s="8">
        <v>3093.4</v>
      </c>
      <c r="CG663" s="8">
        <v>2391.4</v>
      </c>
      <c r="CH663" s="8">
        <v>29624</v>
      </c>
      <c r="CI663" s="14">
        <v>0</v>
      </c>
      <c r="CJ663" s="14">
        <v>0</v>
      </c>
      <c r="CK663" s="14">
        <f t="shared" si="63"/>
        <v>0</v>
      </c>
      <c r="CL663">
        <f t="shared" si="64"/>
        <v>2.18035126729488</v>
      </c>
      <c r="CM663">
        <f t="shared" si="65"/>
        <v>0.424760194757571</v>
      </c>
      <c r="CN663" s="15">
        <v>8792</v>
      </c>
      <c r="CO663" s="15">
        <v>7189</v>
      </c>
      <c r="CP663" s="15">
        <v>377.79</v>
      </c>
      <c r="CQ663">
        <v>0</v>
      </c>
      <c r="CR663" s="15">
        <v>144.97</v>
      </c>
      <c r="CS663" s="15">
        <v>52.78</v>
      </c>
      <c r="CT663" s="15">
        <v>397.7</v>
      </c>
      <c r="CU663" s="15">
        <v>9.37</v>
      </c>
      <c r="CV663" s="15">
        <v>61.8</v>
      </c>
      <c r="CW663" s="15">
        <v>717</v>
      </c>
    </row>
    <row r="664" spans="1:101">
      <c r="A664" s="6">
        <v>2012</v>
      </c>
      <c r="B664" s="6" t="s">
        <v>126</v>
      </c>
      <c r="C664" s="6">
        <v>0.31163365</v>
      </c>
      <c r="D664" s="6">
        <v>0.053733</v>
      </c>
      <c r="E664" s="6">
        <v>0.013987</v>
      </c>
      <c r="F664" s="6">
        <v>0.024427</v>
      </c>
      <c r="G664" s="6">
        <v>0.008133</v>
      </c>
      <c r="H664" s="6">
        <v>0.007186</v>
      </c>
      <c r="I664" s="6">
        <v>0.050528</v>
      </c>
      <c r="J664" s="6">
        <v>0.025238</v>
      </c>
      <c r="K664" s="6">
        <v>0.36991519</v>
      </c>
      <c r="L664" s="6">
        <v>0.2901979</v>
      </c>
      <c r="M664" s="6">
        <v>0.3325125</v>
      </c>
      <c r="N664" s="6">
        <v>0.21191897</v>
      </c>
      <c r="O664" s="6">
        <v>0.1842714</v>
      </c>
      <c r="P664" s="6">
        <v>0.47301012</v>
      </c>
      <c r="Q664" s="6">
        <v>0.38132685</v>
      </c>
      <c r="R664" s="6">
        <v>217.69486</v>
      </c>
      <c r="S664" s="6">
        <v>0.00169924</v>
      </c>
      <c r="T664" s="6">
        <v>169.97573</v>
      </c>
      <c r="U664" s="6">
        <v>0.00170729</v>
      </c>
      <c r="V664" s="6">
        <v>197.11803</v>
      </c>
      <c r="W664" s="6">
        <v>0.00168687</v>
      </c>
      <c r="X664" s="6">
        <v>134.47093</v>
      </c>
      <c r="Y664" s="6">
        <v>0.00157595</v>
      </c>
      <c r="Z664" s="6">
        <v>134.86767</v>
      </c>
      <c r="AA664" s="6">
        <v>0.00136631</v>
      </c>
      <c r="AB664" s="6">
        <v>294.9318</v>
      </c>
      <c r="AC664" s="6">
        <v>0.00160379</v>
      </c>
      <c r="AD664" s="6">
        <v>243.86163</v>
      </c>
      <c r="AE664" s="6">
        <v>0.0015637</v>
      </c>
      <c r="AF664" s="6">
        <v>775</v>
      </c>
      <c r="AG664" s="6">
        <v>-0.01083701</v>
      </c>
      <c r="AH664" s="6">
        <v>-0.0108803</v>
      </c>
      <c r="AI664" s="6">
        <v>-0.01077046</v>
      </c>
      <c r="AJ664" s="6">
        <v>-0.01016942</v>
      </c>
      <c r="AK664" s="6">
        <v>-0.00901171</v>
      </c>
      <c r="AL664" s="6">
        <v>-0.01032103</v>
      </c>
      <c r="AM664" s="6">
        <v>-0.01010261</v>
      </c>
      <c r="AN664" s="6">
        <v>-6.4762184</v>
      </c>
      <c r="AO664" s="6">
        <v>-6.4515561</v>
      </c>
      <c r="AP664" s="6">
        <v>-6.4739881</v>
      </c>
      <c r="AQ664" s="6">
        <v>-6.4253629</v>
      </c>
      <c r="AR664" s="6">
        <v>-6.4020076</v>
      </c>
      <c r="AS664" s="6">
        <v>-6.4618417</v>
      </c>
      <c r="AT664" s="6">
        <v>-6.4506396</v>
      </c>
      <c r="AU664" s="6">
        <v>0.97344833</v>
      </c>
      <c r="AV664" s="6">
        <v>0.96974131</v>
      </c>
      <c r="AW664" s="6">
        <v>0.97311308</v>
      </c>
      <c r="AX664" s="6">
        <v>0.96580418</v>
      </c>
      <c r="AY664" s="6">
        <v>0.96229362</v>
      </c>
      <c r="AZ664" s="6">
        <v>0.97128734</v>
      </c>
      <c r="BA664" s="6">
        <v>0.96960354</v>
      </c>
      <c r="BB664" s="6">
        <v>0.02655167</v>
      </c>
      <c r="BC664" s="6">
        <v>0.03025869</v>
      </c>
      <c r="BD664" s="6">
        <v>0.02688692</v>
      </c>
      <c r="BE664" s="6">
        <v>0.03419582</v>
      </c>
      <c r="BF664" s="6">
        <v>0.03770638</v>
      </c>
      <c r="BG664" s="6">
        <v>0.02871266</v>
      </c>
      <c r="BH664" s="6">
        <v>0.03039646</v>
      </c>
      <c r="BI664" s="6">
        <v>0.21470859</v>
      </c>
      <c r="BJ664" s="6">
        <v>0.12366373</v>
      </c>
      <c r="BK664" s="6">
        <v>0.1409291</v>
      </c>
      <c r="BL664" s="6">
        <v>0.12522516</v>
      </c>
      <c r="BM664" s="6">
        <v>0.1592662</v>
      </c>
      <c r="BN664" s="6">
        <v>0.17561655</v>
      </c>
      <c r="BO664" s="6">
        <v>0.1337285</v>
      </c>
      <c r="BP664" s="6">
        <v>0.14157076</v>
      </c>
      <c r="BQ664" s="6">
        <v>0.04574509</v>
      </c>
      <c r="BR664" s="6">
        <v>0.04089733</v>
      </c>
      <c r="BS664" s="6">
        <v>0.04163893</v>
      </c>
      <c r="BT664" s="6">
        <v>0.03375153</v>
      </c>
      <c r="BU664" s="6">
        <v>0.03236111</v>
      </c>
      <c r="BV664" s="6">
        <v>0.06325493</v>
      </c>
      <c r="BW664" s="6">
        <v>0.05398473</v>
      </c>
      <c r="BX664" s="12">
        <v>9278</v>
      </c>
      <c r="BY664" s="13">
        <v>2975</v>
      </c>
      <c r="BZ664" s="12">
        <v>11409.6</v>
      </c>
      <c r="CA664" s="6">
        <f t="shared" si="60"/>
        <v>3.11865546218487</v>
      </c>
      <c r="CB664" s="6">
        <f t="shared" si="61"/>
        <v>0.813174870284673</v>
      </c>
      <c r="CC664" s="7">
        <v>127652458.7</v>
      </c>
      <c r="CD664" s="7">
        <f t="shared" si="62"/>
        <v>1.11881624859767</v>
      </c>
      <c r="CE664" s="8">
        <v>1204.1</v>
      </c>
      <c r="CF664" s="8">
        <v>3325.9</v>
      </c>
      <c r="CG664" s="8">
        <v>2881.9</v>
      </c>
      <c r="CH664" s="8">
        <v>33103</v>
      </c>
      <c r="CI664" s="14">
        <v>0</v>
      </c>
      <c r="CJ664" s="14">
        <v>0</v>
      </c>
      <c r="CK664" s="14">
        <f t="shared" si="63"/>
        <v>0</v>
      </c>
      <c r="CL664">
        <f t="shared" si="64"/>
        <v>2.01609935715007</v>
      </c>
      <c r="CM664">
        <f t="shared" si="65"/>
        <v>0.445058972599837</v>
      </c>
      <c r="CN664" s="15">
        <v>9278.41</v>
      </c>
      <c r="CO664" s="15">
        <v>6750</v>
      </c>
      <c r="CP664" s="15">
        <v>503.77</v>
      </c>
      <c r="CQ664">
        <v>0</v>
      </c>
      <c r="CR664" s="15">
        <v>144.63</v>
      </c>
      <c r="CS664" s="15">
        <v>54.28</v>
      </c>
      <c r="CT664" s="15">
        <v>409.91</v>
      </c>
      <c r="CU664" s="15">
        <v>9.89</v>
      </c>
      <c r="CV664" s="15">
        <v>70.98</v>
      </c>
      <c r="CW664" s="15">
        <v>723.03</v>
      </c>
    </row>
    <row r="665" spans="1:101">
      <c r="A665" s="6">
        <v>2013</v>
      </c>
      <c r="B665" s="6" t="s">
        <v>126</v>
      </c>
      <c r="C665" s="6">
        <v>0.31246633</v>
      </c>
      <c r="D665" s="6">
        <v>0.052174</v>
      </c>
      <c r="E665" s="6">
        <v>0.012741</v>
      </c>
      <c r="F665" s="6">
        <v>0.024121</v>
      </c>
      <c r="G665" s="6">
        <v>0.008079</v>
      </c>
      <c r="H665" s="6">
        <v>0.007233</v>
      </c>
      <c r="I665" s="6">
        <v>0.052936</v>
      </c>
      <c r="J665" s="6">
        <v>0.026624</v>
      </c>
      <c r="K665" s="6">
        <v>0.35768801</v>
      </c>
      <c r="L665" s="6">
        <v>0.26072809</v>
      </c>
      <c r="M665" s="6">
        <v>0.32780683</v>
      </c>
      <c r="N665" s="6">
        <v>0.21033417</v>
      </c>
      <c r="O665" s="6">
        <v>0.1857099</v>
      </c>
      <c r="P665" s="6">
        <v>0.49983402</v>
      </c>
      <c r="Q665" s="6">
        <v>0.40604817</v>
      </c>
      <c r="R665" s="6">
        <v>217.69486</v>
      </c>
      <c r="S665" s="6">
        <v>0.00164307</v>
      </c>
      <c r="T665" s="6">
        <v>169.97573</v>
      </c>
      <c r="U665" s="6">
        <v>0.00153391</v>
      </c>
      <c r="V665" s="6">
        <v>197.11803</v>
      </c>
      <c r="W665" s="6">
        <v>0.001663</v>
      </c>
      <c r="X665" s="6">
        <v>134.47093</v>
      </c>
      <c r="Y665" s="6">
        <v>0.00156416</v>
      </c>
      <c r="Z665" s="6">
        <v>134.86767</v>
      </c>
      <c r="AA665" s="6">
        <v>0.00137698</v>
      </c>
      <c r="AB665" s="6">
        <v>294.9318</v>
      </c>
      <c r="AC665" s="6">
        <v>0.00169474</v>
      </c>
      <c r="AD665" s="6">
        <v>243.86163</v>
      </c>
      <c r="AE665" s="6">
        <v>0.00166508</v>
      </c>
      <c r="AF665" s="6">
        <v>775</v>
      </c>
      <c r="AG665" s="6">
        <v>-0.01053404</v>
      </c>
      <c r="AH665" s="6">
        <v>-0.00993966</v>
      </c>
      <c r="AI665" s="6">
        <v>-0.01064174</v>
      </c>
      <c r="AJ665" s="6">
        <v>-0.01010511</v>
      </c>
      <c r="AK665" s="6">
        <v>-0.00907135</v>
      </c>
      <c r="AL665" s="6">
        <v>-0.01081285</v>
      </c>
      <c r="AM665" s="6">
        <v>-0.01065296</v>
      </c>
      <c r="AN665" s="6">
        <v>-6.4762184</v>
      </c>
      <c r="AO665" s="6">
        <v>-6.4515561</v>
      </c>
      <c r="AP665" s="6">
        <v>-6.4739881</v>
      </c>
      <c r="AQ665" s="6">
        <v>-6.4253629</v>
      </c>
      <c r="AR665" s="6">
        <v>-6.4020076</v>
      </c>
      <c r="AS665" s="6">
        <v>-6.4618417</v>
      </c>
      <c r="AT665" s="6">
        <v>-6.4506396</v>
      </c>
      <c r="AU665" s="6">
        <v>0.97344833</v>
      </c>
      <c r="AV665" s="6">
        <v>0.96974131</v>
      </c>
      <c r="AW665" s="6">
        <v>0.97311308</v>
      </c>
      <c r="AX665" s="6">
        <v>0.96580418</v>
      </c>
      <c r="AY665" s="6">
        <v>0.96229362</v>
      </c>
      <c r="AZ665" s="6">
        <v>0.97128734</v>
      </c>
      <c r="BA665" s="6">
        <v>0.96960354</v>
      </c>
      <c r="BB665" s="6">
        <v>0.02655167</v>
      </c>
      <c r="BC665" s="6">
        <v>0.03025869</v>
      </c>
      <c r="BD665" s="6">
        <v>0.02688692</v>
      </c>
      <c r="BE665" s="6">
        <v>0.03419582</v>
      </c>
      <c r="BF665" s="6">
        <v>0.03770638</v>
      </c>
      <c r="BG665" s="6">
        <v>0.02871266</v>
      </c>
      <c r="BH665" s="6">
        <v>0.03039646</v>
      </c>
      <c r="BI665" s="6">
        <v>0.21470859</v>
      </c>
      <c r="BJ665" s="6">
        <v>0.12366373</v>
      </c>
      <c r="BK665" s="6">
        <v>0.1409291</v>
      </c>
      <c r="BL665" s="6">
        <v>0.12522516</v>
      </c>
      <c r="BM665" s="6">
        <v>0.1592662</v>
      </c>
      <c r="BN665" s="6">
        <v>0.17561655</v>
      </c>
      <c r="BO665" s="6">
        <v>0.1337285</v>
      </c>
      <c r="BP665" s="6">
        <v>0.14157076</v>
      </c>
      <c r="BQ665" s="6">
        <v>0.04423303</v>
      </c>
      <c r="BR665" s="6">
        <v>0.03674417</v>
      </c>
      <c r="BS665" s="6">
        <v>0.04104966</v>
      </c>
      <c r="BT665" s="6">
        <v>0.03349912</v>
      </c>
      <c r="BU665" s="6">
        <v>0.03261373</v>
      </c>
      <c r="BV665" s="6">
        <v>0.06684205</v>
      </c>
      <c r="BW665" s="6">
        <v>0.05748455</v>
      </c>
      <c r="BX665" s="12">
        <v>8049</v>
      </c>
      <c r="BY665" s="13">
        <v>3011</v>
      </c>
      <c r="BZ665" s="12">
        <v>12783.26</v>
      </c>
      <c r="CA665" s="6">
        <f t="shared" si="60"/>
        <v>2.673198272999</v>
      </c>
      <c r="CB665" s="6">
        <f t="shared" si="61"/>
        <v>0.629651591221644</v>
      </c>
      <c r="CC665" s="7">
        <v>138678554.1</v>
      </c>
      <c r="CD665" s="7">
        <f t="shared" si="62"/>
        <v>1.08484497772869</v>
      </c>
      <c r="CE665" s="8">
        <v>1326.6</v>
      </c>
      <c r="CF665" s="8">
        <v>3479.9</v>
      </c>
      <c r="CG665" s="8">
        <v>3586.2</v>
      </c>
      <c r="CH665" s="8">
        <v>36988</v>
      </c>
      <c r="CI665" s="14">
        <v>0</v>
      </c>
      <c r="CJ665" s="14">
        <v>0</v>
      </c>
      <c r="CK665" s="14">
        <f t="shared" si="63"/>
        <v>0</v>
      </c>
      <c r="CL665">
        <f t="shared" si="64"/>
        <v>1.91398219724656</v>
      </c>
      <c r="CM665">
        <f t="shared" si="65"/>
        <v>0.433200068794088</v>
      </c>
      <c r="CN665" s="15">
        <v>8049</v>
      </c>
      <c r="CO665" s="15">
        <v>5794.47</v>
      </c>
      <c r="CP665" s="15">
        <v>208.82</v>
      </c>
      <c r="CQ665">
        <v>0</v>
      </c>
      <c r="CR665" s="15">
        <v>161.7</v>
      </c>
      <c r="CS665" s="15">
        <v>58.99</v>
      </c>
      <c r="CT665" s="15">
        <v>455.95</v>
      </c>
      <c r="CU665" s="15">
        <v>11.98</v>
      </c>
      <c r="CV665" s="15">
        <v>72.19</v>
      </c>
      <c r="CW665" s="15">
        <v>813.26</v>
      </c>
    </row>
    <row r="666" spans="1:101">
      <c r="A666" s="6">
        <v>2014</v>
      </c>
      <c r="B666" s="6" t="s">
        <v>126</v>
      </c>
      <c r="C666" s="6">
        <v>0.33787745</v>
      </c>
      <c r="D666" s="6">
        <v>0.057573</v>
      </c>
      <c r="E666" s="6">
        <v>0.014937</v>
      </c>
      <c r="F666" s="6">
        <v>0.025921</v>
      </c>
      <c r="G666" s="6">
        <v>0.008629</v>
      </c>
      <c r="H666" s="6">
        <v>0.008086</v>
      </c>
      <c r="I666" s="6">
        <v>0.054124</v>
      </c>
      <c r="J666" s="6">
        <v>0.02682</v>
      </c>
      <c r="K666" s="6">
        <v>0.40003908</v>
      </c>
      <c r="L666" s="6">
        <v>0.31266085</v>
      </c>
      <c r="M666" s="6">
        <v>0.35547791</v>
      </c>
      <c r="N666" s="6">
        <v>0.22657609</v>
      </c>
      <c r="O666" s="6">
        <v>0.21155106</v>
      </c>
      <c r="P666" s="6">
        <v>0.51306005</v>
      </c>
      <c r="Q666" s="6">
        <v>0.40955356</v>
      </c>
      <c r="R666" s="6">
        <v>217.69486</v>
      </c>
      <c r="S666" s="6">
        <v>0.00183761</v>
      </c>
      <c r="T666" s="6">
        <v>169.97573</v>
      </c>
      <c r="U666" s="6">
        <v>0.00183944</v>
      </c>
      <c r="V666" s="6">
        <v>197.11803</v>
      </c>
      <c r="W666" s="6">
        <v>0.00180338</v>
      </c>
      <c r="X666" s="6">
        <v>134.47093</v>
      </c>
      <c r="Y666" s="6">
        <v>0.00168494</v>
      </c>
      <c r="Z666" s="6">
        <v>134.86767</v>
      </c>
      <c r="AA666" s="6">
        <v>0.00156858</v>
      </c>
      <c r="AB666" s="6">
        <v>294.9318</v>
      </c>
      <c r="AC666" s="6">
        <v>0.00173959</v>
      </c>
      <c r="AD666" s="6">
        <v>243.86163</v>
      </c>
      <c r="AE666" s="6">
        <v>0.00167945</v>
      </c>
      <c r="AF666" s="6">
        <v>775</v>
      </c>
      <c r="AG666" s="6">
        <v>-0.01157566</v>
      </c>
      <c r="AH666" s="6">
        <v>-0.01158536</v>
      </c>
      <c r="AI666" s="6">
        <v>-0.0113939</v>
      </c>
      <c r="AJ666" s="6">
        <v>-0.0107601</v>
      </c>
      <c r="AK666" s="6">
        <v>-0.01012925</v>
      </c>
      <c r="AL666" s="6">
        <v>-0.01105353</v>
      </c>
      <c r="AM666" s="6">
        <v>-0.01073049</v>
      </c>
      <c r="AN666" s="6">
        <v>-6.4762184</v>
      </c>
      <c r="AO666" s="6">
        <v>-6.4515561</v>
      </c>
      <c r="AP666" s="6">
        <v>-6.4739881</v>
      </c>
      <c r="AQ666" s="6">
        <v>-6.4253629</v>
      </c>
      <c r="AR666" s="6">
        <v>-6.4020076</v>
      </c>
      <c r="AS666" s="6">
        <v>-6.4618417</v>
      </c>
      <c r="AT666" s="6">
        <v>-6.4506396</v>
      </c>
      <c r="AU666" s="6">
        <v>0.97344833</v>
      </c>
      <c r="AV666" s="6">
        <v>0.96974131</v>
      </c>
      <c r="AW666" s="6">
        <v>0.97311308</v>
      </c>
      <c r="AX666" s="6">
        <v>0.96580418</v>
      </c>
      <c r="AY666" s="6">
        <v>0.96229362</v>
      </c>
      <c r="AZ666" s="6">
        <v>0.97128734</v>
      </c>
      <c r="BA666" s="6">
        <v>0.96960354</v>
      </c>
      <c r="BB666" s="6">
        <v>0.02655167</v>
      </c>
      <c r="BC666" s="6">
        <v>0.03025869</v>
      </c>
      <c r="BD666" s="6">
        <v>0.02688692</v>
      </c>
      <c r="BE666" s="6">
        <v>0.03419582</v>
      </c>
      <c r="BF666" s="6">
        <v>0.03770638</v>
      </c>
      <c r="BG666" s="6">
        <v>0.02871266</v>
      </c>
      <c r="BH666" s="6">
        <v>0.03039646</v>
      </c>
      <c r="BI666" s="6">
        <v>0.21470859</v>
      </c>
      <c r="BJ666" s="6">
        <v>0.12366373</v>
      </c>
      <c r="BK666" s="6">
        <v>0.1409291</v>
      </c>
      <c r="BL666" s="6">
        <v>0.12522516</v>
      </c>
      <c r="BM666" s="6">
        <v>0.1592662</v>
      </c>
      <c r="BN666" s="6">
        <v>0.17561655</v>
      </c>
      <c r="BO666" s="6">
        <v>0.1337285</v>
      </c>
      <c r="BP666" s="6">
        <v>0.14157076</v>
      </c>
      <c r="BQ666" s="6">
        <v>0.04947033</v>
      </c>
      <c r="BR666" s="6">
        <v>0.04406301</v>
      </c>
      <c r="BS666" s="6">
        <v>0.04451478</v>
      </c>
      <c r="BT666" s="6">
        <v>0.03608591</v>
      </c>
      <c r="BU666" s="6">
        <v>0.03715187</v>
      </c>
      <c r="BV666" s="6">
        <v>0.06861075</v>
      </c>
      <c r="BW666" s="6">
        <v>0.05798081</v>
      </c>
      <c r="BX666" s="12">
        <v>8593</v>
      </c>
      <c r="BY666" s="13">
        <v>3043</v>
      </c>
      <c r="BZ666" s="12">
        <v>14262.6</v>
      </c>
      <c r="CA666" s="6">
        <f t="shared" ref="CA666:CA729" si="66">BX666/BY666</f>
        <v>2.82385803483405</v>
      </c>
      <c r="CB666" s="6">
        <f t="shared" ref="CB666:CB729" si="67">BX666/BZ666</f>
        <v>0.602484820439471</v>
      </c>
      <c r="CC666" s="7">
        <v>148080876.5</v>
      </c>
      <c r="CD666" s="7">
        <f t="shared" si="62"/>
        <v>1.03824601755641</v>
      </c>
      <c r="CE666" s="8">
        <v>1406.7</v>
      </c>
      <c r="CF666" s="8">
        <v>3829.3</v>
      </c>
      <c r="CG666" s="8">
        <v>4028.5</v>
      </c>
      <c r="CH666" s="8">
        <v>40193</v>
      </c>
      <c r="CI666" s="14">
        <v>0</v>
      </c>
      <c r="CJ666" s="14">
        <v>0</v>
      </c>
      <c r="CK666" s="14">
        <f t="shared" si="63"/>
        <v>0</v>
      </c>
      <c r="CL666">
        <f t="shared" si="64"/>
        <v>1.79640226266579</v>
      </c>
      <c r="CM666">
        <f t="shared" si="65"/>
        <v>0.422041466360827</v>
      </c>
      <c r="CN666" s="15">
        <v>8592.73</v>
      </c>
      <c r="CO666" s="15">
        <v>6095.78</v>
      </c>
      <c r="CP666" s="15">
        <v>320.43</v>
      </c>
      <c r="CQ666">
        <v>0</v>
      </c>
      <c r="CR666" s="15">
        <v>181.64</v>
      </c>
      <c r="CS666" s="15">
        <v>61.99</v>
      </c>
      <c r="CT666" s="15">
        <v>425.53</v>
      </c>
      <c r="CU666" s="15">
        <v>14.75</v>
      </c>
      <c r="CV666" s="15">
        <v>82.15</v>
      </c>
      <c r="CW666" s="15">
        <v>867.24</v>
      </c>
    </row>
    <row r="667" spans="1:101">
      <c r="A667" s="6">
        <v>2015</v>
      </c>
      <c r="B667" s="6" t="s">
        <v>126</v>
      </c>
      <c r="C667" s="6">
        <v>0.34163834</v>
      </c>
      <c r="D667" s="6">
        <v>0.056373</v>
      </c>
      <c r="E667" s="6">
        <v>0.014047</v>
      </c>
      <c r="F667" s="6">
        <v>0.025388</v>
      </c>
      <c r="G667" s="6">
        <v>0.008189</v>
      </c>
      <c r="H667" s="6">
        <v>0.00875</v>
      </c>
      <c r="I667" s="6">
        <v>0.05766</v>
      </c>
      <c r="J667" s="6">
        <v>0.027687</v>
      </c>
      <c r="K667" s="6">
        <v>0.3906286</v>
      </c>
      <c r="L667" s="6">
        <v>0.29160392</v>
      </c>
      <c r="M667" s="6">
        <v>0.34728553</v>
      </c>
      <c r="N667" s="6">
        <v>0.21356648</v>
      </c>
      <c r="O667" s="6">
        <v>0.23167578</v>
      </c>
      <c r="P667" s="6">
        <v>0.55244173</v>
      </c>
      <c r="Q667" s="6">
        <v>0.42501829</v>
      </c>
      <c r="R667" s="6">
        <v>217.69486</v>
      </c>
      <c r="S667" s="6">
        <v>0.00179439</v>
      </c>
      <c r="T667" s="6">
        <v>169.97573</v>
      </c>
      <c r="U667" s="6">
        <v>0.00171556</v>
      </c>
      <c r="V667" s="6">
        <v>197.11803</v>
      </c>
      <c r="W667" s="6">
        <v>0.00176182</v>
      </c>
      <c r="X667" s="6">
        <v>134.47093</v>
      </c>
      <c r="Y667" s="6">
        <v>0.0015882</v>
      </c>
      <c r="Z667" s="6">
        <v>134.86767</v>
      </c>
      <c r="AA667" s="6">
        <v>0.0017178</v>
      </c>
      <c r="AB667" s="6">
        <v>294.9318</v>
      </c>
      <c r="AC667" s="6">
        <v>0.00187312</v>
      </c>
      <c r="AD667" s="6">
        <v>243.86163</v>
      </c>
      <c r="AE667" s="6">
        <v>0.00174287</v>
      </c>
      <c r="AF667" s="6">
        <v>775</v>
      </c>
      <c r="AG667" s="6">
        <v>-0.01134607</v>
      </c>
      <c r="AH667" s="6">
        <v>-0.01092472</v>
      </c>
      <c r="AI667" s="6">
        <v>-0.01117239</v>
      </c>
      <c r="AJ667" s="6">
        <v>-0.01023618</v>
      </c>
      <c r="AK667" s="6">
        <v>-0.01093674</v>
      </c>
      <c r="AL667" s="6">
        <v>-0.01176346</v>
      </c>
      <c r="AM667" s="6">
        <v>-0.01107108</v>
      </c>
      <c r="AN667" s="6">
        <v>-6.4762184</v>
      </c>
      <c r="AO667" s="6">
        <v>-6.4515561</v>
      </c>
      <c r="AP667" s="6">
        <v>-6.4739881</v>
      </c>
      <c r="AQ667" s="6">
        <v>-6.4253629</v>
      </c>
      <c r="AR667" s="6">
        <v>-6.4020076</v>
      </c>
      <c r="AS667" s="6">
        <v>-6.4618417</v>
      </c>
      <c r="AT667" s="6">
        <v>-6.4506396</v>
      </c>
      <c r="AU667" s="6">
        <v>0.97344833</v>
      </c>
      <c r="AV667" s="6">
        <v>0.96974131</v>
      </c>
      <c r="AW667" s="6">
        <v>0.97311308</v>
      </c>
      <c r="AX667" s="6">
        <v>0.96580418</v>
      </c>
      <c r="AY667" s="6">
        <v>0.96229362</v>
      </c>
      <c r="AZ667" s="6">
        <v>0.97128734</v>
      </c>
      <c r="BA667" s="6">
        <v>0.96960354</v>
      </c>
      <c r="BB667" s="6">
        <v>0.02655167</v>
      </c>
      <c r="BC667" s="6">
        <v>0.03025869</v>
      </c>
      <c r="BD667" s="6">
        <v>0.02688692</v>
      </c>
      <c r="BE667" s="6">
        <v>0.03419582</v>
      </c>
      <c r="BF667" s="6">
        <v>0.03770638</v>
      </c>
      <c r="BG667" s="6">
        <v>0.02871266</v>
      </c>
      <c r="BH667" s="6">
        <v>0.03039646</v>
      </c>
      <c r="BI667" s="6">
        <v>0.21470859</v>
      </c>
      <c r="BJ667" s="6">
        <v>0.12366373</v>
      </c>
      <c r="BK667" s="6">
        <v>0.1409291</v>
      </c>
      <c r="BL667" s="6">
        <v>0.12522516</v>
      </c>
      <c r="BM667" s="6">
        <v>0.1592662</v>
      </c>
      <c r="BN667" s="6">
        <v>0.17561655</v>
      </c>
      <c r="BO667" s="6">
        <v>0.1337285</v>
      </c>
      <c r="BP667" s="6">
        <v>0.14157076</v>
      </c>
      <c r="BQ667" s="6">
        <v>0.04830659</v>
      </c>
      <c r="BR667" s="6">
        <v>0.04109548</v>
      </c>
      <c r="BS667" s="6">
        <v>0.04348889</v>
      </c>
      <c r="BT667" s="6">
        <v>0.03401392</v>
      </c>
      <c r="BU667" s="6">
        <v>0.0406861</v>
      </c>
      <c r="BV667" s="6">
        <v>0.0738772</v>
      </c>
      <c r="BW667" s="6">
        <v>0.06017016</v>
      </c>
      <c r="BX667" s="12">
        <v>7747</v>
      </c>
      <c r="BY667" s="13">
        <v>3070</v>
      </c>
      <c r="BZ667" s="12">
        <v>15717.27</v>
      </c>
      <c r="CA667" s="6">
        <f t="shared" si="66"/>
        <v>2.52345276872964</v>
      </c>
      <c r="CB667" s="6">
        <f t="shared" si="67"/>
        <v>0.492897303412107</v>
      </c>
      <c r="CC667" s="7">
        <v>149919706.2</v>
      </c>
      <c r="CD667" s="7">
        <f t="shared" si="62"/>
        <v>0.953853348577711</v>
      </c>
      <c r="CE667" s="8">
        <v>1409.7</v>
      </c>
      <c r="CF667" s="8">
        <v>3446.1</v>
      </c>
      <c r="CG667" s="8">
        <v>4451.2</v>
      </c>
      <c r="CH667" s="8">
        <v>39520</v>
      </c>
      <c r="CI667" s="14">
        <v>0</v>
      </c>
      <c r="CJ667" s="14">
        <v>0</v>
      </c>
      <c r="CK667" s="14">
        <f t="shared" si="63"/>
        <v>0</v>
      </c>
      <c r="CL667">
        <f t="shared" si="64"/>
        <v>1.71577514742415</v>
      </c>
      <c r="CM667">
        <f t="shared" si="65"/>
        <v>0.444068559910248</v>
      </c>
      <c r="CN667" s="15">
        <v>7747</v>
      </c>
      <c r="CO667" s="15">
        <v>5047.19</v>
      </c>
      <c r="CP667" s="15">
        <v>169.91</v>
      </c>
      <c r="CQ667">
        <v>0</v>
      </c>
      <c r="CR667" s="15">
        <v>199.98</v>
      </c>
      <c r="CS667" s="15">
        <v>66.63</v>
      </c>
      <c r="CT667" s="15">
        <v>491.21</v>
      </c>
      <c r="CU667" s="15">
        <v>13.9</v>
      </c>
      <c r="CV667" s="15">
        <v>88.37</v>
      </c>
      <c r="CW667" s="15">
        <v>875</v>
      </c>
    </row>
    <row r="668" spans="1:101">
      <c r="A668" s="6">
        <v>2016</v>
      </c>
      <c r="B668" s="6" t="s">
        <v>126</v>
      </c>
      <c r="C668" s="6">
        <v>0.3523144</v>
      </c>
      <c r="D668" s="6">
        <v>0.05828</v>
      </c>
      <c r="E668" s="6">
        <v>0.014609</v>
      </c>
      <c r="F668" s="6">
        <v>0.02683</v>
      </c>
      <c r="G668" s="6">
        <v>0.008898</v>
      </c>
      <c r="H668" s="6">
        <v>0.007943</v>
      </c>
      <c r="I668" s="6">
        <v>0.060023</v>
      </c>
      <c r="J668" s="6">
        <v>0.028326</v>
      </c>
      <c r="K668" s="6">
        <v>0.40558705</v>
      </c>
      <c r="L668" s="6">
        <v>0.3049051</v>
      </c>
      <c r="M668" s="6">
        <v>0.36945492</v>
      </c>
      <c r="N668" s="6">
        <v>0.23453109</v>
      </c>
      <c r="O668" s="6">
        <v>0.20721175</v>
      </c>
      <c r="P668" s="6">
        <v>0.57876665</v>
      </c>
      <c r="Q668" s="6">
        <v>0.43640829</v>
      </c>
      <c r="R668" s="6">
        <v>217.69486</v>
      </c>
      <c r="S668" s="6">
        <v>0.0018631</v>
      </c>
      <c r="T668" s="6">
        <v>169.97573</v>
      </c>
      <c r="U668" s="6">
        <v>0.00179382</v>
      </c>
      <c r="V668" s="6">
        <v>197.11803</v>
      </c>
      <c r="W668" s="6">
        <v>0.00187428</v>
      </c>
      <c r="X668" s="6">
        <v>134.47093</v>
      </c>
      <c r="Y668" s="6">
        <v>0.0017441</v>
      </c>
      <c r="Z668" s="6">
        <v>134.86767</v>
      </c>
      <c r="AA668" s="6">
        <v>0.00153641</v>
      </c>
      <c r="AB668" s="6">
        <v>294.9318</v>
      </c>
      <c r="AC668" s="6">
        <v>0.00196237</v>
      </c>
      <c r="AD668" s="6">
        <v>243.86163</v>
      </c>
      <c r="AE668" s="6">
        <v>0.00178957</v>
      </c>
      <c r="AF668" s="6">
        <v>775</v>
      </c>
      <c r="AG668" s="6">
        <v>-0.01171053</v>
      </c>
      <c r="AH668" s="6">
        <v>-0.01134303</v>
      </c>
      <c r="AI668" s="6">
        <v>-0.01176961</v>
      </c>
      <c r="AJ668" s="6">
        <v>-0.01107769</v>
      </c>
      <c r="AK668" s="6">
        <v>-0.00995332</v>
      </c>
      <c r="AL668" s="6">
        <v>-0.01223266</v>
      </c>
      <c r="AM668" s="6">
        <v>-0.01132044</v>
      </c>
      <c r="AN668" s="6">
        <v>-6.4762184</v>
      </c>
      <c r="AO668" s="6">
        <v>-6.4515561</v>
      </c>
      <c r="AP668" s="6">
        <v>-6.4739881</v>
      </c>
      <c r="AQ668" s="6">
        <v>-6.4253629</v>
      </c>
      <c r="AR668" s="6">
        <v>-6.4020076</v>
      </c>
      <c r="AS668" s="6">
        <v>-6.4618417</v>
      </c>
      <c r="AT668" s="6">
        <v>-6.4506396</v>
      </c>
      <c r="AU668" s="6">
        <v>0.97344833</v>
      </c>
      <c r="AV668" s="6">
        <v>0.96974131</v>
      </c>
      <c r="AW668" s="6">
        <v>0.97311308</v>
      </c>
      <c r="AX668" s="6">
        <v>0.96580418</v>
      </c>
      <c r="AY668" s="6">
        <v>0.96229362</v>
      </c>
      <c r="AZ668" s="6">
        <v>0.97128734</v>
      </c>
      <c r="BA668" s="6">
        <v>0.96960354</v>
      </c>
      <c r="BB668" s="6">
        <v>0.02655167</v>
      </c>
      <c r="BC668" s="6">
        <v>0.03025869</v>
      </c>
      <c r="BD668" s="6">
        <v>0.02688692</v>
      </c>
      <c r="BE668" s="6">
        <v>0.03419582</v>
      </c>
      <c r="BF668" s="6">
        <v>0.03770638</v>
      </c>
      <c r="BG668" s="6">
        <v>0.02871266</v>
      </c>
      <c r="BH668" s="6">
        <v>0.03039646</v>
      </c>
      <c r="BI668" s="6">
        <v>0.21470859</v>
      </c>
      <c r="BJ668" s="6">
        <v>0.12366373</v>
      </c>
      <c r="BK668" s="6">
        <v>0.1409291</v>
      </c>
      <c r="BL668" s="6">
        <v>0.12522516</v>
      </c>
      <c r="BM668" s="6">
        <v>0.1592662</v>
      </c>
      <c r="BN668" s="6">
        <v>0.17561655</v>
      </c>
      <c r="BO668" s="6">
        <v>0.1337285</v>
      </c>
      <c r="BP668" s="6">
        <v>0.14157076</v>
      </c>
      <c r="BQ668" s="6">
        <v>0.05015641</v>
      </c>
      <c r="BR668" s="6">
        <v>0.04297</v>
      </c>
      <c r="BS668" s="6">
        <v>0.04626505</v>
      </c>
      <c r="BT668" s="6">
        <v>0.03735288</v>
      </c>
      <c r="BU668" s="6">
        <v>0.03638981</v>
      </c>
      <c r="BV668" s="6">
        <v>0.07739759</v>
      </c>
      <c r="BW668" s="6">
        <v>0.06178266</v>
      </c>
      <c r="BX668" s="12">
        <v>7982</v>
      </c>
      <c r="BY668" s="13">
        <v>3110</v>
      </c>
      <c r="BZ668" s="12">
        <v>17740.59</v>
      </c>
      <c r="CA668" s="6">
        <f t="shared" si="66"/>
        <v>2.56655948553055</v>
      </c>
      <c r="CB668" s="6">
        <f t="shared" si="67"/>
        <v>0.449928666408502</v>
      </c>
      <c r="CC668" s="7">
        <v>155810002.5</v>
      </c>
      <c r="CD668" s="7">
        <f t="shared" si="62"/>
        <v>0.878268436957283</v>
      </c>
      <c r="CE668" s="8">
        <v>1473.2</v>
      </c>
      <c r="CF668" s="8">
        <v>3446.1</v>
      </c>
      <c r="CG668" s="8">
        <v>4711.6</v>
      </c>
      <c r="CH668" s="8">
        <v>40020</v>
      </c>
      <c r="CI668" s="14">
        <v>0</v>
      </c>
      <c r="CJ668" s="14">
        <v>0</v>
      </c>
      <c r="CK668" s="14">
        <f t="shared" si="63"/>
        <v>0</v>
      </c>
      <c r="CL668">
        <f t="shared" si="64"/>
        <v>1.62438398605541</v>
      </c>
      <c r="CM668">
        <f t="shared" si="65"/>
        <v>0.459322152584109</v>
      </c>
      <c r="CN668" s="15">
        <v>7982</v>
      </c>
      <c r="CO668" s="15">
        <v>4854.37</v>
      </c>
      <c r="CP668" s="15">
        <v>384.31</v>
      </c>
      <c r="CQ668">
        <v>0</v>
      </c>
      <c r="CR668" s="15">
        <v>219.05</v>
      </c>
      <c r="CS668" s="15">
        <v>80.97</v>
      </c>
      <c r="CT668" s="15">
        <v>514.22</v>
      </c>
      <c r="CU668" s="15">
        <v>13.91</v>
      </c>
      <c r="CV668" s="15">
        <v>89.32</v>
      </c>
      <c r="CW668" s="15">
        <v>924.89</v>
      </c>
    </row>
    <row r="669" spans="1:101">
      <c r="A669" s="6">
        <v>2017</v>
      </c>
      <c r="B669" s="6" t="s">
        <v>126</v>
      </c>
      <c r="C669" s="6">
        <v>0.3475351</v>
      </c>
      <c r="D669" s="6">
        <v>0.055887</v>
      </c>
      <c r="E669" s="6">
        <v>0.013963</v>
      </c>
      <c r="F669" s="6">
        <v>0.025014</v>
      </c>
      <c r="G669" s="6">
        <v>0.008781</v>
      </c>
      <c r="H669" s="6">
        <v>0.00813</v>
      </c>
      <c r="I669" s="6">
        <v>0.060188</v>
      </c>
      <c r="J669" s="6">
        <v>0.029317</v>
      </c>
      <c r="K669" s="6">
        <v>0.38681389</v>
      </c>
      <c r="L669" s="6">
        <v>0.28961976</v>
      </c>
      <c r="M669" s="6">
        <v>0.34153937</v>
      </c>
      <c r="N669" s="6">
        <v>0.23107032</v>
      </c>
      <c r="O669" s="6">
        <v>0.21286604</v>
      </c>
      <c r="P669" s="6">
        <v>0.58060581</v>
      </c>
      <c r="Q669" s="6">
        <v>0.45409831</v>
      </c>
      <c r="R669" s="6">
        <v>217.69486</v>
      </c>
      <c r="S669" s="6">
        <v>0.00177686</v>
      </c>
      <c r="T669" s="6">
        <v>169.97573</v>
      </c>
      <c r="U669" s="6">
        <v>0.00170389</v>
      </c>
      <c r="V669" s="6">
        <v>197.11803</v>
      </c>
      <c r="W669" s="6">
        <v>0.00173266</v>
      </c>
      <c r="X669" s="6">
        <v>134.47093</v>
      </c>
      <c r="Y669" s="6">
        <v>0.00171837</v>
      </c>
      <c r="Z669" s="6">
        <v>134.86767</v>
      </c>
      <c r="AA669" s="6">
        <v>0.00157833</v>
      </c>
      <c r="AB669" s="6">
        <v>294.9318</v>
      </c>
      <c r="AC669" s="6">
        <v>0.00196861</v>
      </c>
      <c r="AD669" s="6">
        <v>243.86163</v>
      </c>
      <c r="AE669" s="6">
        <v>0.00186211</v>
      </c>
      <c r="AF669" s="6">
        <v>775</v>
      </c>
      <c r="AG669" s="6">
        <v>-0.0112527</v>
      </c>
      <c r="AH669" s="6">
        <v>-0.01086202</v>
      </c>
      <c r="AI669" s="6">
        <v>-0.01101644</v>
      </c>
      <c r="AJ669" s="6">
        <v>-0.01093978</v>
      </c>
      <c r="AK669" s="6">
        <v>-0.01018243</v>
      </c>
      <c r="AL669" s="6">
        <v>-0.01226528</v>
      </c>
      <c r="AM669" s="6">
        <v>-0.01170533</v>
      </c>
      <c r="AN669" s="6">
        <v>-6.4762184</v>
      </c>
      <c r="AO669" s="6">
        <v>-6.4515561</v>
      </c>
      <c r="AP669" s="6">
        <v>-6.4739881</v>
      </c>
      <c r="AQ669" s="6">
        <v>-6.4253629</v>
      </c>
      <c r="AR669" s="6">
        <v>-6.4020076</v>
      </c>
      <c r="AS669" s="6">
        <v>-6.4618417</v>
      </c>
      <c r="AT669" s="6">
        <v>-6.4506396</v>
      </c>
      <c r="AU669" s="6">
        <v>0.97344833</v>
      </c>
      <c r="AV669" s="6">
        <v>0.96974131</v>
      </c>
      <c r="AW669" s="6">
        <v>0.97311308</v>
      </c>
      <c r="AX669" s="6">
        <v>0.96580418</v>
      </c>
      <c r="AY669" s="6">
        <v>0.96229362</v>
      </c>
      <c r="AZ669" s="6">
        <v>0.97128734</v>
      </c>
      <c r="BA669" s="6">
        <v>0.96960354</v>
      </c>
      <c r="BB669" s="6">
        <v>0.02655167</v>
      </c>
      <c r="BC669" s="6">
        <v>0.03025869</v>
      </c>
      <c r="BD669" s="6">
        <v>0.02688692</v>
      </c>
      <c r="BE669" s="6">
        <v>0.03419582</v>
      </c>
      <c r="BF669" s="6">
        <v>0.03770638</v>
      </c>
      <c r="BG669" s="6">
        <v>0.02871266</v>
      </c>
      <c r="BH669" s="6">
        <v>0.03039646</v>
      </c>
      <c r="BI669" s="6">
        <v>0.21470859</v>
      </c>
      <c r="BJ669" s="6">
        <v>0.12366373</v>
      </c>
      <c r="BK669" s="6">
        <v>0.1409291</v>
      </c>
      <c r="BL669" s="6">
        <v>0.12522516</v>
      </c>
      <c r="BM669" s="6">
        <v>0.1592662</v>
      </c>
      <c r="BN669" s="6">
        <v>0.17561655</v>
      </c>
      <c r="BO669" s="6">
        <v>0.1337285</v>
      </c>
      <c r="BP669" s="6">
        <v>0.14157076</v>
      </c>
      <c r="BQ669" s="6">
        <v>0.04783485</v>
      </c>
      <c r="BR669" s="6">
        <v>0.04081585</v>
      </c>
      <c r="BS669" s="6">
        <v>0.04276932</v>
      </c>
      <c r="BT669" s="6">
        <v>0.03680169</v>
      </c>
      <c r="BU669" s="6">
        <v>0.0373828</v>
      </c>
      <c r="BV669" s="6">
        <v>0.07764354</v>
      </c>
      <c r="BW669" s="6">
        <v>0.06428704</v>
      </c>
      <c r="BX669" s="12">
        <v>8279</v>
      </c>
      <c r="BY669" s="13">
        <v>3144</v>
      </c>
      <c r="BZ669" s="12">
        <v>19424.73</v>
      </c>
      <c r="CA669" s="6">
        <f t="shared" si="66"/>
        <v>2.63326972010178</v>
      </c>
      <c r="CB669" s="6">
        <f t="shared" si="67"/>
        <v>0.426209270347644</v>
      </c>
      <c r="CC669" s="7">
        <v>158641558.1</v>
      </c>
      <c r="CD669" s="7">
        <f t="shared" si="62"/>
        <v>0.816698909585873</v>
      </c>
      <c r="CE669" s="8">
        <v>1551.8</v>
      </c>
      <c r="CF669" s="8">
        <v>4096.2</v>
      </c>
      <c r="CG669" s="8">
        <v>5511.9</v>
      </c>
      <c r="CH669" s="8">
        <v>45476</v>
      </c>
      <c r="CI669" s="14">
        <v>1</v>
      </c>
      <c r="CJ669" s="14">
        <v>0</v>
      </c>
      <c r="CK669" s="14">
        <f t="shared" si="63"/>
        <v>0</v>
      </c>
      <c r="CL669">
        <f t="shared" si="64"/>
        <v>1.56738551218677</v>
      </c>
      <c r="CM669">
        <f t="shared" si="65"/>
        <v>0.478941904696797</v>
      </c>
      <c r="CN669" s="15">
        <v>8279</v>
      </c>
      <c r="CO669" s="15">
        <v>5290.31</v>
      </c>
      <c r="CP669" s="15">
        <v>162.28</v>
      </c>
      <c r="CQ669">
        <v>0</v>
      </c>
      <c r="CR669" s="15">
        <v>232.65</v>
      </c>
      <c r="CS669" s="15">
        <v>83.44</v>
      </c>
      <c r="CT669" s="15">
        <v>542.31</v>
      </c>
      <c r="CU669" s="15">
        <v>14.25</v>
      </c>
      <c r="CV669" s="15">
        <v>95.24</v>
      </c>
      <c r="CW669" s="15">
        <v>996.55</v>
      </c>
    </row>
    <row r="670" spans="1:101">
      <c r="A670" s="6">
        <v>2018</v>
      </c>
      <c r="B670" s="6" t="s">
        <v>126</v>
      </c>
      <c r="C670" s="6">
        <v>0.39016885</v>
      </c>
      <c r="D670" s="6">
        <v>0.062459</v>
      </c>
      <c r="E670" s="6">
        <v>0.016268</v>
      </c>
      <c r="F670" s="6">
        <v>0.028152</v>
      </c>
      <c r="G670" s="6">
        <v>0.0086</v>
      </c>
      <c r="H670" s="6">
        <v>0.009438</v>
      </c>
      <c r="I670" s="6">
        <v>0.065978</v>
      </c>
      <c r="J670" s="6">
        <v>0.032405</v>
      </c>
      <c r="K670" s="6">
        <v>0.43836034</v>
      </c>
      <c r="L670" s="6">
        <v>0.3441177</v>
      </c>
      <c r="M670" s="6">
        <v>0.38977341</v>
      </c>
      <c r="N670" s="6">
        <v>0.22573667</v>
      </c>
      <c r="O670" s="6">
        <v>0.25251963</v>
      </c>
      <c r="P670" s="6">
        <v>0.64509344</v>
      </c>
      <c r="Q670" s="6">
        <v>0.50919918</v>
      </c>
      <c r="R670" s="6">
        <v>217.69486</v>
      </c>
      <c r="S670" s="6">
        <v>0.00201365</v>
      </c>
      <c r="T670" s="6">
        <v>169.97573</v>
      </c>
      <c r="U670" s="6">
        <v>0.00202451</v>
      </c>
      <c r="V670" s="6">
        <v>197.11803</v>
      </c>
      <c r="W670" s="6">
        <v>0.00197736</v>
      </c>
      <c r="X670" s="6">
        <v>134.47093</v>
      </c>
      <c r="Y670" s="6">
        <v>0.0016787</v>
      </c>
      <c r="Z670" s="6">
        <v>134.86767</v>
      </c>
      <c r="AA670" s="6">
        <v>0.00187235</v>
      </c>
      <c r="AB670" s="6">
        <v>294.9318</v>
      </c>
      <c r="AC670" s="6">
        <v>0.00218726</v>
      </c>
      <c r="AD670" s="6">
        <v>243.86163</v>
      </c>
      <c r="AE670" s="6">
        <v>0.00208807</v>
      </c>
      <c r="AF670" s="6">
        <v>775</v>
      </c>
      <c r="AG670" s="6">
        <v>-0.01250033</v>
      </c>
      <c r="AH670" s="6">
        <v>-0.01255688</v>
      </c>
      <c r="AI670" s="6">
        <v>-0.01231103</v>
      </c>
      <c r="AJ670" s="6">
        <v>-0.01072646</v>
      </c>
      <c r="AK670" s="6">
        <v>-0.01175941</v>
      </c>
      <c r="AL670" s="6">
        <v>-0.01339721</v>
      </c>
      <c r="AM670" s="6">
        <v>-0.01288654</v>
      </c>
      <c r="AN670" s="6">
        <v>-6.4762184</v>
      </c>
      <c r="AO670" s="6">
        <v>-6.4515561</v>
      </c>
      <c r="AP670" s="6">
        <v>-6.4739881</v>
      </c>
      <c r="AQ670" s="6">
        <v>-6.4253629</v>
      </c>
      <c r="AR670" s="6">
        <v>-6.4020076</v>
      </c>
      <c r="AS670" s="6">
        <v>-6.4618417</v>
      </c>
      <c r="AT670" s="6">
        <v>-6.4506396</v>
      </c>
      <c r="AU670" s="6">
        <v>0.97344833</v>
      </c>
      <c r="AV670" s="6">
        <v>0.96974131</v>
      </c>
      <c r="AW670" s="6">
        <v>0.97311308</v>
      </c>
      <c r="AX670" s="6">
        <v>0.96580418</v>
      </c>
      <c r="AY670" s="6">
        <v>0.96229362</v>
      </c>
      <c r="AZ670" s="6">
        <v>0.97128734</v>
      </c>
      <c r="BA670" s="6">
        <v>0.96960354</v>
      </c>
      <c r="BB670" s="6">
        <v>0.02655167</v>
      </c>
      <c r="BC670" s="6">
        <v>0.03025869</v>
      </c>
      <c r="BD670" s="6">
        <v>0.02688692</v>
      </c>
      <c r="BE670" s="6">
        <v>0.03419582</v>
      </c>
      <c r="BF670" s="6">
        <v>0.03770638</v>
      </c>
      <c r="BG670" s="6">
        <v>0.02871266</v>
      </c>
      <c r="BH670" s="6">
        <v>0.03039646</v>
      </c>
      <c r="BI670" s="6">
        <v>0.21470859</v>
      </c>
      <c r="BJ670" s="6">
        <v>0.12366373</v>
      </c>
      <c r="BK670" s="6">
        <v>0.1409291</v>
      </c>
      <c r="BL670" s="6">
        <v>0.12522516</v>
      </c>
      <c r="BM670" s="6">
        <v>0.1592662</v>
      </c>
      <c r="BN670" s="6">
        <v>0.17561655</v>
      </c>
      <c r="BO670" s="6">
        <v>0.1337285</v>
      </c>
      <c r="BP670" s="6">
        <v>0.14157076</v>
      </c>
      <c r="BQ670" s="6">
        <v>0.05420928</v>
      </c>
      <c r="BR670" s="6">
        <v>0.0484962</v>
      </c>
      <c r="BS670" s="6">
        <v>0.04880944</v>
      </c>
      <c r="BT670" s="6">
        <v>0.03595222</v>
      </c>
      <c r="BU670" s="6">
        <v>0.04434663</v>
      </c>
      <c r="BV670" s="6">
        <v>0.08626738</v>
      </c>
      <c r="BW670" s="6">
        <v>0.07208772</v>
      </c>
      <c r="BX670" s="12">
        <v>8557</v>
      </c>
      <c r="BY670" s="13">
        <v>3163</v>
      </c>
      <c r="BZ670" s="12">
        <v>20363.19</v>
      </c>
      <c r="CA670" s="6">
        <f t="shared" si="66"/>
        <v>2.70534302877015</v>
      </c>
      <c r="CB670" s="6">
        <f t="shared" si="67"/>
        <v>0.420219032479685</v>
      </c>
      <c r="CC670" s="7">
        <v>163218693.2</v>
      </c>
      <c r="CD670" s="7">
        <f t="shared" si="62"/>
        <v>0.80153793781819</v>
      </c>
      <c r="CE670" s="8">
        <v>1692.1</v>
      </c>
      <c r="CF670" s="8">
        <v>4657.2</v>
      </c>
      <c r="CG670" s="8">
        <v>6460.1</v>
      </c>
      <c r="CH670" s="8">
        <v>51238</v>
      </c>
      <c r="CI670" s="14">
        <v>1</v>
      </c>
      <c r="CJ670" s="14">
        <v>0</v>
      </c>
      <c r="CK670" s="14">
        <f t="shared" si="63"/>
        <v>0</v>
      </c>
      <c r="CL670">
        <f t="shared" si="64"/>
        <v>1.51591455826218</v>
      </c>
      <c r="CM670">
        <f t="shared" si="65"/>
        <v>0.471251243383359</v>
      </c>
      <c r="CN670" s="15">
        <v>8557</v>
      </c>
      <c r="CO670" s="15">
        <v>5129.52</v>
      </c>
      <c r="CP670" s="15">
        <v>266.86</v>
      </c>
      <c r="CQ670">
        <v>0</v>
      </c>
      <c r="CR670" s="15">
        <v>358.96</v>
      </c>
      <c r="CS670" s="15">
        <v>94.93</v>
      </c>
      <c r="CT670" s="15">
        <v>411.42</v>
      </c>
      <c r="CU670" s="15">
        <v>16.18</v>
      </c>
      <c r="CV670" s="15">
        <v>99.5</v>
      </c>
      <c r="CW670" s="15">
        <v>1118.79</v>
      </c>
    </row>
    <row r="671" spans="1:101">
      <c r="A671" s="6">
        <v>2019</v>
      </c>
      <c r="B671" s="6" t="s">
        <v>126</v>
      </c>
      <c r="C671" s="6">
        <v>0.4073558</v>
      </c>
      <c r="D671" s="6">
        <v>0.067131</v>
      </c>
      <c r="E671" s="6">
        <v>0.016499</v>
      </c>
      <c r="F671" s="6">
        <v>0.031337</v>
      </c>
      <c r="G671" s="6">
        <v>0.009761</v>
      </c>
      <c r="H671" s="6">
        <v>0.009534</v>
      </c>
      <c r="I671" s="6">
        <v>0.063247</v>
      </c>
      <c r="J671" s="6">
        <v>0.03393</v>
      </c>
      <c r="K671" s="6">
        <v>0.47500704</v>
      </c>
      <c r="L671" s="6">
        <v>0.34957332</v>
      </c>
      <c r="M671" s="6">
        <v>0.43872552</v>
      </c>
      <c r="N671" s="6">
        <v>0.26004494</v>
      </c>
      <c r="O671" s="6">
        <v>0.25541375</v>
      </c>
      <c r="P671" s="6">
        <v>0.61466969</v>
      </c>
      <c r="Q671" s="6">
        <v>0.53641036</v>
      </c>
      <c r="R671" s="6">
        <v>217.69486</v>
      </c>
      <c r="S671" s="6">
        <v>0.00218199</v>
      </c>
      <c r="T671" s="6">
        <v>169.97573</v>
      </c>
      <c r="U671" s="6">
        <v>0.00205661</v>
      </c>
      <c r="V671" s="6">
        <v>197.11803</v>
      </c>
      <c r="W671" s="6">
        <v>0.0022257</v>
      </c>
      <c r="X671" s="6">
        <v>134.47093</v>
      </c>
      <c r="Y671" s="6">
        <v>0.00193384</v>
      </c>
      <c r="Z671" s="6">
        <v>134.86767</v>
      </c>
      <c r="AA671" s="6">
        <v>0.00189381</v>
      </c>
      <c r="AB671" s="6">
        <v>294.9318</v>
      </c>
      <c r="AC671" s="6">
        <v>0.00208411</v>
      </c>
      <c r="AD671" s="6">
        <v>243.86163</v>
      </c>
      <c r="AE671" s="6">
        <v>0.00219965</v>
      </c>
      <c r="AF671" s="6">
        <v>775</v>
      </c>
      <c r="AG671" s="6">
        <v>-0.01337016</v>
      </c>
      <c r="AH671" s="6">
        <v>-0.01272361</v>
      </c>
      <c r="AI671" s="6">
        <v>-0.01359387</v>
      </c>
      <c r="AJ671" s="6">
        <v>-0.0120831</v>
      </c>
      <c r="AK671" s="6">
        <v>-0.01187261</v>
      </c>
      <c r="AL671" s="6">
        <v>-0.01286606</v>
      </c>
      <c r="AM671" s="6">
        <v>-0.01346067</v>
      </c>
      <c r="AN671" s="6">
        <v>-6.4762184</v>
      </c>
      <c r="AO671" s="6">
        <v>-6.4515561</v>
      </c>
      <c r="AP671" s="6">
        <v>-6.4739881</v>
      </c>
      <c r="AQ671" s="6">
        <v>-6.4253629</v>
      </c>
      <c r="AR671" s="6">
        <v>-6.4020076</v>
      </c>
      <c r="AS671" s="6">
        <v>-6.4618417</v>
      </c>
      <c r="AT671" s="6">
        <v>-6.4506396</v>
      </c>
      <c r="AU671" s="6">
        <v>0.97344833</v>
      </c>
      <c r="AV671" s="6">
        <v>0.96974131</v>
      </c>
      <c r="AW671" s="6">
        <v>0.97311308</v>
      </c>
      <c r="AX671" s="6">
        <v>0.96580418</v>
      </c>
      <c r="AY671" s="6">
        <v>0.96229362</v>
      </c>
      <c r="AZ671" s="6">
        <v>0.97128734</v>
      </c>
      <c r="BA671" s="6">
        <v>0.96960354</v>
      </c>
      <c r="BB671" s="6">
        <v>0.02655167</v>
      </c>
      <c r="BC671" s="6">
        <v>0.03025869</v>
      </c>
      <c r="BD671" s="6">
        <v>0.02688692</v>
      </c>
      <c r="BE671" s="6">
        <v>0.03419582</v>
      </c>
      <c r="BF671" s="6">
        <v>0.03770638</v>
      </c>
      <c r="BG671" s="6">
        <v>0.02871266</v>
      </c>
      <c r="BH671" s="6">
        <v>0.03039646</v>
      </c>
      <c r="BI671" s="6">
        <v>0.21470859</v>
      </c>
      <c r="BJ671" s="6">
        <v>0.12366373</v>
      </c>
      <c r="BK671" s="6">
        <v>0.1409291</v>
      </c>
      <c r="BL671" s="6">
        <v>0.12522516</v>
      </c>
      <c r="BM671" s="6">
        <v>0.1592662</v>
      </c>
      <c r="BN671" s="6">
        <v>0.17561655</v>
      </c>
      <c r="BO671" s="6">
        <v>0.1337285</v>
      </c>
      <c r="BP671" s="6">
        <v>0.14157076</v>
      </c>
      <c r="BQ671" s="6">
        <v>0.05874114</v>
      </c>
      <c r="BR671" s="6">
        <v>0.04926505</v>
      </c>
      <c r="BS671" s="6">
        <v>0.05493947</v>
      </c>
      <c r="BT671" s="6">
        <v>0.04141637</v>
      </c>
      <c r="BU671" s="6">
        <v>0.04485488</v>
      </c>
      <c r="BV671" s="6">
        <v>0.08219885</v>
      </c>
      <c r="BW671" s="6">
        <v>0.07594002</v>
      </c>
      <c r="BX671" s="12">
        <v>8889</v>
      </c>
      <c r="BY671" s="13">
        <v>3188</v>
      </c>
      <c r="BZ671" s="12">
        <v>23605.77</v>
      </c>
      <c r="CA671" s="6">
        <f t="shared" si="66"/>
        <v>2.78826850690088</v>
      </c>
      <c r="CB671" s="6">
        <f t="shared" si="67"/>
        <v>0.376560476527561</v>
      </c>
      <c r="CC671" s="7">
        <v>164744399.4</v>
      </c>
      <c r="CD671" s="7">
        <f t="shared" si="62"/>
        <v>0.697898858626514</v>
      </c>
      <c r="CE671" s="8">
        <v>1781.8</v>
      </c>
      <c r="CF671" s="8">
        <v>4784.4</v>
      </c>
      <c r="CG671" s="8">
        <v>7030.9</v>
      </c>
      <c r="CH671" s="8">
        <v>53542</v>
      </c>
      <c r="CI671" s="14">
        <v>1</v>
      </c>
      <c r="CJ671" s="14">
        <v>0</v>
      </c>
      <c r="CK671" s="14">
        <f t="shared" si="63"/>
        <v>0</v>
      </c>
      <c r="CL671">
        <f t="shared" si="64"/>
        <v>1.5000536746505</v>
      </c>
      <c r="CM671">
        <f t="shared" si="65"/>
        <v>0.534750742309858</v>
      </c>
      <c r="CN671" s="15">
        <v>7687.25</v>
      </c>
      <c r="CO671" s="15">
        <v>5022.94</v>
      </c>
      <c r="CP671" s="15">
        <v>306.43</v>
      </c>
      <c r="CQ671">
        <v>0</v>
      </c>
      <c r="CR671" s="15">
        <v>400.08</v>
      </c>
      <c r="CS671" s="15">
        <v>102.14</v>
      </c>
      <c r="CT671" s="15">
        <v>407.02</v>
      </c>
      <c r="CU671" s="15">
        <v>18.42</v>
      </c>
      <c r="CV671" s="15">
        <v>103.51</v>
      </c>
      <c r="CW671" s="15">
        <v>1160.27</v>
      </c>
    </row>
    <row r="672" spans="1:101">
      <c r="A672" s="6">
        <v>2020</v>
      </c>
      <c r="B672" s="6" t="s">
        <v>126</v>
      </c>
      <c r="C672" s="6">
        <v>0.42445673</v>
      </c>
      <c r="D672" s="6">
        <v>0.070429</v>
      </c>
      <c r="E672" s="6">
        <v>0.017765</v>
      </c>
      <c r="F672" s="6">
        <v>0.031165</v>
      </c>
      <c r="G672" s="6">
        <v>0.010206</v>
      </c>
      <c r="H672" s="6">
        <v>0.011292</v>
      </c>
      <c r="I672" s="6">
        <v>0.066643</v>
      </c>
      <c r="J672" s="6">
        <v>0.031356</v>
      </c>
      <c r="K672" s="6">
        <v>0.50087709</v>
      </c>
      <c r="L672" s="6">
        <v>0.3795169</v>
      </c>
      <c r="M672" s="6">
        <v>0.43607205</v>
      </c>
      <c r="N672" s="6">
        <v>0.27320752</v>
      </c>
      <c r="O672" s="6">
        <v>0.30871621</v>
      </c>
      <c r="P672" s="6">
        <v>0.6524966</v>
      </c>
      <c r="Q672" s="6">
        <v>0.49048577</v>
      </c>
      <c r="R672" s="6">
        <v>217.69486</v>
      </c>
      <c r="S672" s="6">
        <v>0.00230082</v>
      </c>
      <c r="T672" s="6">
        <v>169.97573</v>
      </c>
      <c r="U672" s="6">
        <v>0.00223277</v>
      </c>
      <c r="V672" s="6">
        <v>197.11803</v>
      </c>
      <c r="W672" s="6">
        <v>0.00221224</v>
      </c>
      <c r="X672" s="6">
        <v>134.47093</v>
      </c>
      <c r="Y672" s="6">
        <v>0.00203172</v>
      </c>
      <c r="Z672" s="6">
        <v>134.86767</v>
      </c>
      <c r="AA672" s="6">
        <v>0.00228903</v>
      </c>
      <c r="AB672" s="6">
        <v>294.9318</v>
      </c>
      <c r="AC672" s="6">
        <v>0.00221236</v>
      </c>
      <c r="AD672" s="6">
        <v>243.86163</v>
      </c>
      <c r="AE672" s="6">
        <v>0.00201133</v>
      </c>
      <c r="AF672" s="6">
        <v>775</v>
      </c>
      <c r="AG672" s="6">
        <v>-0.01397632</v>
      </c>
      <c r="AH672" s="6">
        <v>-0.01362998</v>
      </c>
      <c r="AI672" s="6">
        <v>-0.01352507</v>
      </c>
      <c r="AJ672" s="6">
        <v>-0.01259438</v>
      </c>
      <c r="AK672" s="6">
        <v>-0.01391645</v>
      </c>
      <c r="AL672" s="6">
        <v>-0.01352572</v>
      </c>
      <c r="AM672" s="6">
        <v>-0.01248826</v>
      </c>
      <c r="AN672" s="6">
        <v>-6.4762184</v>
      </c>
      <c r="AO672" s="6">
        <v>-6.4515561</v>
      </c>
      <c r="AP672" s="6">
        <v>-6.4739881</v>
      </c>
      <c r="AQ672" s="6">
        <v>-6.4253629</v>
      </c>
      <c r="AR672" s="6">
        <v>-6.4020076</v>
      </c>
      <c r="AS672" s="6">
        <v>-6.4618417</v>
      </c>
      <c r="AT672" s="6">
        <v>-6.4506396</v>
      </c>
      <c r="AU672" s="6">
        <v>0.97344833</v>
      </c>
      <c r="AV672" s="6">
        <v>0.96974131</v>
      </c>
      <c r="AW672" s="6">
        <v>0.97311308</v>
      </c>
      <c r="AX672" s="6">
        <v>0.96580418</v>
      </c>
      <c r="AY672" s="6">
        <v>0.96229362</v>
      </c>
      <c r="AZ672" s="6">
        <v>0.97128734</v>
      </c>
      <c r="BA672" s="6">
        <v>0.96960354</v>
      </c>
      <c r="BB672" s="6">
        <v>0.02655167</v>
      </c>
      <c r="BC672" s="6">
        <v>0.03025869</v>
      </c>
      <c r="BD672" s="6">
        <v>0.02688692</v>
      </c>
      <c r="BE672" s="6">
        <v>0.03419582</v>
      </c>
      <c r="BF672" s="6">
        <v>0.03770638</v>
      </c>
      <c r="BG672" s="6">
        <v>0.02871266</v>
      </c>
      <c r="BH672" s="6">
        <v>0.03039646</v>
      </c>
      <c r="BI672" s="6">
        <v>0.21470859</v>
      </c>
      <c r="BJ672" s="6">
        <v>0.12366373</v>
      </c>
      <c r="BK672" s="6">
        <v>0.1409291</v>
      </c>
      <c r="BL672" s="6">
        <v>0.12522516</v>
      </c>
      <c r="BM672" s="6">
        <v>0.1592662</v>
      </c>
      <c r="BN672" s="6">
        <v>0.17561655</v>
      </c>
      <c r="BO672" s="6">
        <v>0.1337285</v>
      </c>
      <c r="BP672" s="6">
        <v>0.14157076</v>
      </c>
      <c r="BQ672" s="6">
        <v>0.06194033</v>
      </c>
      <c r="BR672" s="6">
        <v>0.05348497</v>
      </c>
      <c r="BS672" s="6">
        <v>0.05460719</v>
      </c>
      <c r="BT672" s="6">
        <v>0.04351272</v>
      </c>
      <c r="BU672" s="6">
        <v>0.05421568</v>
      </c>
      <c r="BV672" s="6">
        <v>0.08725739</v>
      </c>
      <c r="BW672" s="6">
        <v>0.06943845</v>
      </c>
      <c r="BX672" s="12">
        <v>7621.87</v>
      </c>
      <c r="BY672" s="13">
        <v>3208.91</v>
      </c>
      <c r="BZ672" s="12">
        <v>25002.79</v>
      </c>
      <c r="CA672" s="6">
        <f t="shared" si="66"/>
        <v>2.37522086939179</v>
      </c>
      <c r="CB672" s="6">
        <f t="shared" si="67"/>
        <v>0.304840779768978</v>
      </c>
      <c r="CC672" s="7">
        <v>164799681.1</v>
      </c>
      <c r="CD672" s="7">
        <f t="shared" si="62"/>
        <v>0.659125166031471</v>
      </c>
      <c r="CE672" s="8">
        <v>1981.3</v>
      </c>
      <c r="CF672" s="8">
        <v>4786.7</v>
      </c>
      <c r="CG672" s="8">
        <v>7032.8</v>
      </c>
      <c r="CH672" s="8">
        <v>53606</v>
      </c>
      <c r="CI672" s="14">
        <v>1</v>
      </c>
      <c r="CJ672" s="14">
        <v>0</v>
      </c>
      <c r="CK672" s="14">
        <f t="shared" si="63"/>
        <v>0</v>
      </c>
      <c r="CL672">
        <f t="shared" si="64"/>
        <v>1.47141701078949</v>
      </c>
      <c r="CM672">
        <f t="shared" si="65"/>
        <v>0.552047338587029</v>
      </c>
      <c r="CN672" s="15">
        <v>7621.87</v>
      </c>
      <c r="CO672" s="15">
        <v>4995.54</v>
      </c>
      <c r="CP672" s="15">
        <v>323.46</v>
      </c>
      <c r="CQ672">
        <v>0</v>
      </c>
      <c r="CR672" s="15">
        <v>410.27</v>
      </c>
      <c r="CS672" s="15">
        <v>86.32</v>
      </c>
      <c r="CT672" s="15">
        <v>387.07</v>
      </c>
      <c r="CU672" s="15">
        <v>12.69</v>
      </c>
      <c r="CV672" s="15">
        <v>103.31</v>
      </c>
      <c r="CW672" s="15">
        <v>1186</v>
      </c>
    </row>
    <row r="673" spans="1:101">
      <c r="A673" s="6">
        <v>2021</v>
      </c>
      <c r="B673" s="6" t="s">
        <v>126</v>
      </c>
      <c r="C673" s="6">
        <v>0.41675995</v>
      </c>
      <c r="D673" s="6">
        <v>0.066205</v>
      </c>
      <c r="E673" s="6">
        <v>0.015963</v>
      </c>
      <c r="F673" s="6">
        <v>0.029975</v>
      </c>
      <c r="G673" s="6">
        <v>0.010512</v>
      </c>
      <c r="H673" s="6">
        <v>0.009754</v>
      </c>
      <c r="I673" s="6">
        <v>0.068201</v>
      </c>
      <c r="J673" s="6">
        <v>0.034967</v>
      </c>
      <c r="K673" s="6">
        <v>0.46774437</v>
      </c>
      <c r="L673" s="6">
        <v>0.33690775</v>
      </c>
      <c r="M673" s="6">
        <v>0.41779269</v>
      </c>
      <c r="N673" s="6">
        <v>0.28224524</v>
      </c>
      <c r="O673" s="6">
        <v>0.26210342</v>
      </c>
      <c r="P673" s="6">
        <v>0.66985445</v>
      </c>
      <c r="Q673" s="6">
        <v>0.55490428</v>
      </c>
      <c r="R673" s="6">
        <v>217.69486</v>
      </c>
      <c r="S673" s="6">
        <v>0.00214862</v>
      </c>
      <c r="T673" s="6">
        <v>169.97573</v>
      </c>
      <c r="U673" s="6">
        <v>0.00198209</v>
      </c>
      <c r="V673" s="6">
        <v>197.11803</v>
      </c>
      <c r="W673" s="6">
        <v>0.00211951</v>
      </c>
      <c r="X673" s="6">
        <v>134.47093</v>
      </c>
      <c r="Y673" s="6">
        <v>0.00209893</v>
      </c>
      <c r="Z673" s="6">
        <v>134.86767</v>
      </c>
      <c r="AA673" s="6">
        <v>0.00194341</v>
      </c>
      <c r="AB673" s="6">
        <v>294.9318</v>
      </c>
      <c r="AC673" s="6">
        <v>0.00227122</v>
      </c>
      <c r="AD673" s="6">
        <v>243.86163</v>
      </c>
      <c r="AE673" s="6">
        <v>0.00227549</v>
      </c>
      <c r="AF673" s="6">
        <v>775</v>
      </c>
      <c r="AG673" s="6">
        <v>-0.01319884</v>
      </c>
      <c r="AH673" s="6">
        <v>-0.01233576</v>
      </c>
      <c r="AI673" s="6">
        <v>-0.01304889</v>
      </c>
      <c r="AJ673" s="6">
        <v>-0.0129427</v>
      </c>
      <c r="AK673" s="6">
        <v>-0.01213332</v>
      </c>
      <c r="AL673" s="6">
        <v>-0.0138259</v>
      </c>
      <c r="AM673" s="6">
        <v>-0.01384762</v>
      </c>
      <c r="AN673" s="6">
        <v>-6.4762184</v>
      </c>
      <c r="AO673" s="6">
        <v>-6.4515561</v>
      </c>
      <c r="AP673" s="6">
        <v>-6.4739881</v>
      </c>
      <c r="AQ673" s="6">
        <v>-6.4253629</v>
      </c>
      <c r="AR673" s="6">
        <v>-6.4020076</v>
      </c>
      <c r="AS673" s="6">
        <v>-6.4618417</v>
      </c>
      <c r="AT673" s="6">
        <v>-6.4506396</v>
      </c>
      <c r="AU673" s="6">
        <v>0.97344833</v>
      </c>
      <c r="AV673" s="6">
        <v>0.96974131</v>
      </c>
      <c r="AW673" s="6">
        <v>0.97311308</v>
      </c>
      <c r="AX673" s="6">
        <v>0.96580418</v>
      </c>
      <c r="AY673" s="6">
        <v>0.96229362</v>
      </c>
      <c r="AZ673" s="6">
        <v>0.97128734</v>
      </c>
      <c r="BA673" s="6">
        <v>0.96960354</v>
      </c>
      <c r="BB673" s="6">
        <v>0.02655167</v>
      </c>
      <c r="BC673" s="6">
        <v>0.03025869</v>
      </c>
      <c r="BD673" s="6">
        <v>0.02688692</v>
      </c>
      <c r="BE673" s="6">
        <v>0.03419582</v>
      </c>
      <c r="BF673" s="6">
        <v>0.03770638</v>
      </c>
      <c r="BG673" s="6">
        <v>0.02871266</v>
      </c>
      <c r="BH673" s="6">
        <v>0.03039646</v>
      </c>
      <c r="BI673" s="6">
        <v>0.21470859</v>
      </c>
      <c r="BJ673" s="6">
        <v>0.12366373</v>
      </c>
      <c r="BK673" s="6">
        <v>0.1409291</v>
      </c>
      <c r="BL673" s="6">
        <v>0.12522516</v>
      </c>
      <c r="BM673" s="6">
        <v>0.1592662</v>
      </c>
      <c r="BN673" s="6">
        <v>0.17561655</v>
      </c>
      <c r="BO673" s="6">
        <v>0.1337285</v>
      </c>
      <c r="BP673" s="6">
        <v>0.14157076</v>
      </c>
      <c r="BQ673" s="6">
        <v>0.05784301</v>
      </c>
      <c r="BR673" s="6">
        <v>0.0474801</v>
      </c>
      <c r="BS673" s="6">
        <v>0.05231816</v>
      </c>
      <c r="BT673" s="6">
        <v>0.04495213</v>
      </c>
      <c r="BU673" s="6">
        <v>0.0460297</v>
      </c>
      <c r="BV673" s="6">
        <v>0.08957863</v>
      </c>
      <c r="BW673" s="6">
        <v>0.07855822</v>
      </c>
      <c r="BX673" s="12">
        <v>8046.31</v>
      </c>
      <c r="BY673" s="13">
        <v>3212</v>
      </c>
      <c r="BZ673" s="12">
        <v>27894</v>
      </c>
      <c r="CA673" s="6">
        <f t="shared" si="66"/>
        <v>2.50507783312578</v>
      </c>
      <c r="CB673" s="6">
        <f t="shared" si="67"/>
        <v>0.288460242346024</v>
      </c>
      <c r="CC673" s="7">
        <v>169593071.2</v>
      </c>
      <c r="CD673" s="7">
        <f t="shared" si="62"/>
        <v>0.607991221051122</v>
      </c>
      <c r="CE673" s="8">
        <v>2359.1</v>
      </c>
      <c r="CF673" s="8">
        <v>6295.9</v>
      </c>
      <c r="CG673" s="8">
        <v>7656.6</v>
      </c>
      <c r="CH673" s="8">
        <v>62991</v>
      </c>
      <c r="CI673" s="14">
        <v>1</v>
      </c>
      <c r="CJ673" s="14">
        <v>0</v>
      </c>
      <c r="CK673" s="14">
        <f t="shared" si="63"/>
        <v>0</v>
      </c>
      <c r="CL673">
        <f t="shared" si="64"/>
        <v>1.36781889095748</v>
      </c>
      <c r="CM673">
        <f t="shared" si="65"/>
        <v>0.555503126129859</v>
      </c>
      <c r="CN673" s="15">
        <v>8046.31</v>
      </c>
      <c r="CO673" s="15">
        <v>4503.11</v>
      </c>
      <c r="CP673" s="15">
        <v>341.33</v>
      </c>
      <c r="CQ673">
        <v>0</v>
      </c>
      <c r="CR673" s="15">
        <v>416.25</v>
      </c>
      <c r="CS673" s="15">
        <v>73.99</v>
      </c>
      <c r="CT673" s="15">
        <v>390.94</v>
      </c>
      <c r="CU673" s="15">
        <v>13.19</v>
      </c>
      <c r="CV673" s="15">
        <v>130.22</v>
      </c>
      <c r="CW673" s="15">
        <v>1341</v>
      </c>
    </row>
    <row r="674" spans="1:101">
      <c r="A674" s="6">
        <v>2022</v>
      </c>
      <c r="B674" s="6" t="s">
        <v>126</v>
      </c>
      <c r="C674" s="6">
        <v>0.41638721</v>
      </c>
      <c r="D674" s="6">
        <v>0.068975</v>
      </c>
      <c r="E674" s="6">
        <v>0.01728</v>
      </c>
      <c r="F674" s="6">
        <v>0.030409</v>
      </c>
      <c r="G674" s="6">
        <v>0.010007</v>
      </c>
      <c r="H674" s="6">
        <v>0.01128</v>
      </c>
      <c r="I674" s="6">
        <v>0.064968</v>
      </c>
      <c r="J674" s="6">
        <v>0.031322</v>
      </c>
      <c r="K674" s="6">
        <v>0.48947663</v>
      </c>
      <c r="L674" s="6">
        <v>0.36805242</v>
      </c>
      <c r="M674" s="6">
        <v>0.42445111</v>
      </c>
      <c r="N674" s="6">
        <v>0.26730189</v>
      </c>
      <c r="O674" s="6">
        <v>0.30833459</v>
      </c>
      <c r="P674" s="6">
        <v>0.63384536</v>
      </c>
      <c r="Q674" s="6">
        <v>0.48987129</v>
      </c>
      <c r="R674" s="6">
        <v>217.69486</v>
      </c>
      <c r="S674" s="6">
        <v>0.00224845</v>
      </c>
      <c r="T674" s="6">
        <v>169.97573</v>
      </c>
      <c r="U674" s="6">
        <v>0.00216532</v>
      </c>
      <c r="V674" s="6">
        <v>197.11803</v>
      </c>
      <c r="W674" s="6">
        <v>0.00215328</v>
      </c>
      <c r="X674" s="6">
        <v>134.47093</v>
      </c>
      <c r="Y674" s="6">
        <v>0.0019878</v>
      </c>
      <c r="Z674" s="6">
        <v>134.86767</v>
      </c>
      <c r="AA674" s="6">
        <v>0.0022862</v>
      </c>
      <c r="AB674" s="6">
        <v>294.9318</v>
      </c>
      <c r="AC674" s="6">
        <v>0.00214913</v>
      </c>
      <c r="AD674" s="6">
        <v>243.86163</v>
      </c>
      <c r="AE674" s="6">
        <v>0.00200881</v>
      </c>
      <c r="AF674" s="6">
        <v>775</v>
      </c>
      <c r="AG674" s="6">
        <v>-0.01370997</v>
      </c>
      <c r="AH674" s="6">
        <v>-0.01328466</v>
      </c>
      <c r="AI674" s="6">
        <v>-0.0132228</v>
      </c>
      <c r="AJ674" s="6">
        <v>-0.01236558</v>
      </c>
      <c r="AK674" s="6">
        <v>-0.01390208</v>
      </c>
      <c r="AL674" s="6">
        <v>-0.01320142</v>
      </c>
      <c r="AM674" s="6">
        <v>-0.01247513</v>
      </c>
      <c r="AN674" s="6">
        <v>-6.4762184</v>
      </c>
      <c r="AO674" s="6">
        <v>-6.4515561</v>
      </c>
      <c r="AP674" s="6">
        <v>-6.4739881</v>
      </c>
      <c r="AQ674" s="6">
        <v>-6.4253629</v>
      </c>
      <c r="AR674" s="6">
        <v>-6.4020076</v>
      </c>
      <c r="AS674" s="6">
        <v>-6.4618417</v>
      </c>
      <c r="AT674" s="6">
        <v>-6.4506396</v>
      </c>
      <c r="AU674" s="6">
        <v>0.97344833</v>
      </c>
      <c r="AV674" s="6">
        <v>0.96974131</v>
      </c>
      <c r="AW674" s="6">
        <v>0.97311308</v>
      </c>
      <c r="AX674" s="6">
        <v>0.96580418</v>
      </c>
      <c r="AY674" s="6">
        <v>0.96229362</v>
      </c>
      <c r="AZ674" s="6">
        <v>0.97128734</v>
      </c>
      <c r="BA674" s="6">
        <v>0.96960354</v>
      </c>
      <c r="BB674" s="6">
        <v>0.02655167</v>
      </c>
      <c r="BC674" s="6">
        <v>0.03025869</v>
      </c>
      <c r="BD674" s="6">
        <v>0.02688692</v>
      </c>
      <c r="BE674" s="6">
        <v>0.03419582</v>
      </c>
      <c r="BF674" s="6">
        <v>0.03770638</v>
      </c>
      <c r="BG674" s="6">
        <v>0.02871266</v>
      </c>
      <c r="BH674" s="6">
        <v>0.03039646</v>
      </c>
      <c r="BI674" s="6">
        <v>0.21470859</v>
      </c>
      <c r="BJ674" s="6">
        <v>0.12366373</v>
      </c>
      <c r="BK674" s="6">
        <v>0.1409291</v>
      </c>
      <c r="BL674" s="6">
        <v>0.12522516</v>
      </c>
      <c r="BM674" s="6">
        <v>0.1592662</v>
      </c>
      <c r="BN674" s="6">
        <v>0.17561655</v>
      </c>
      <c r="BO674" s="6">
        <v>0.1337285</v>
      </c>
      <c r="BP674" s="6">
        <v>0.14157076</v>
      </c>
      <c r="BQ674" s="6">
        <v>0.06053051</v>
      </c>
      <c r="BR674" s="6">
        <v>0.0518693</v>
      </c>
      <c r="BS674" s="6">
        <v>0.05315196</v>
      </c>
      <c r="BT674" s="6">
        <v>0.04257216</v>
      </c>
      <c r="BU674" s="6">
        <v>0.05414866</v>
      </c>
      <c r="BV674" s="6">
        <v>0.08476319</v>
      </c>
      <c r="BW674" s="6">
        <v>0.06935145</v>
      </c>
      <c r="BX674" s="12">
        <v>8022.76</v>
      </c>
      <c r="BY674" s="13">
        <v>3213</v>
      </c>
      <c r="BZ674" s="12">
        <v>29129</v>
      </c>
      <c r="CA674" s="6">
        <f t="shared" si="66"/>
        <v>2.49696856520386</v>
      </c>
      <c r="CB674" s="6">
        <f t="shared" si="67"/>
        <v>0.275421744653095</v>
      </c>
      <c r="CC674" s="7">
        <v>168807492.7</v>
      </c>
      <c r="CD674" s="7">
        <f t="shared" si="62"/>
        <v>0.57951695114834</v>
      </c>
      <c r="CE674" s="8">
        <v>2653.9</v>
      </c>
      <c r="CF674" s="8">
        <v>7412.3</v>
      </c>
      <c r="CG674" s="8">
        <v>7976.4</v>
      </c>
      <c r="CH674" s="8">
        <v>69717</v>
      </c>
      <c r="CI674" s="14">
        <v>1</v>
      </c>
      <c r="CJ674" s="14">
        <v>0</v>
      </c>
      <c r="CK674" s="14">
        <f t="shared" si="63"/>
        <v>0</v>
      </c>
      <c r="CL674">
        <f t="shared" si="64"/>
        <v>1.27047633725244</v>
      </c>
      <c r="CM674">
        <f t="shared" si="65"/>
        <v>0.543858524432169</v>
      </c>
      <c r="CN674" s="15">
        <v>8022.76</v>
      </c>
      <c r="CO674" s="15">
        <v>4789.38</v>
      </c>
      <c r="CP674" s="15">
        <v>363.26</v>
      </c>
      <c r="CQ674">
        <v>0</v>
      </c>
      <c r="CR674" s="15">
        <v>384.01</v>
      </c>
      <c r="CS674" s="15">
        <v>63</v>
      </c>
      <c r="CT674" s="15">
        <v>334.46</v>
      </c>
      <c r="CU674" s="15">
        <v>11.57</v>
      </c>
      <c r="CV674" s="15">
        <v>130.23</v>
      </c>
      <c r="CW674" s="15">
        <v>1404.29</v>
      </c>
    </row>
    <row r="675" spans="1:101">
      <c r="A675" s="6">
        <v>2023</v>
      </c>
      <c r="B675" s="6" t="s">
        <v>126</v>
      </c>
      <c r="C675" s="6">
        <v>0.48262787</v>
      </c>
      <c r="D675" s="6">
        <v>0.075032</v>
      </c>
      <c r="E675" s="6">
        <v>0.021883</v>
      </c>
      <c r="F675" s="6">
        <v>0.034128</v>
      </c>
      <c r="G675" s="6">
        <v>0.012787</v>
      </c>
      <c r="H675" s="6">
        <v>0.016091</v>
      </c>
      <c r="I675" s="6">
        <v>0.065021</v>
      </c>
      <c r="J675" s="6">
        <v>0.030963</v>
      </c>
      <c r="K675" s="6">
        <v>0.53698441</v>
      </c>
      <c r="L675" s="6">
        <v>0.47688667</v>
      </c>
      <c r="M675" s="6">
        <v>0.48161393</v>
      </c>
      <c r="N675" s="6">
        <v>0.34949041</v>
      </c>
      <c r="O675" s="6">
        <v>0.45414658</v>
      </c>
      <c r="P675" s="6">
        <v>0.63443658</v>
      </c>
      <c r="Q675" s="6">
        <v>0.48346894</v>
      </c>
      <c r="R675" s="6">
        <v>217.69486</v>
      </c>
      <c r="S675" s="6">
        <v>0.00246668</v>
      </c>
      <c r="T675" s="6">
        <v>169.97573</v>
      </c>
      <c r="U675" s="6">
        <v>0.00280562</v>
      </c>
      <c r="V675" s="6">
        <v>197.11803</v>
      </c>
      <c r="W675" s="6">
        <v>0.00244328</v>
      </c>
      <c r="X675" s="6">
        <v>134.47093</v>
      </c>
      <c r="Y675" s="6">
        <v>0.002599</v>
      </c>
      <c r="Z675" s="6">
        <v>134.86767</v>
      </c>
      <c r="AA675" s="6">
        <v>0.00336735</v>
      </c>
      <c r="AB675" s="6">
        <v>294.9318</v>
      </c>
      <c r="AC675" s="6">
        <v>0.00215113</v>
      </c>
      <c r="AD675" s="6">
        <v>243.86163</v>
      </c>
      <c r="AE675" s="6">
        <v>0.00198255</v>
      </c>
      <c r="AF675" s="6">
        <v>775</v>
      </c>
      <c r="AG675" s="6">
        <v>-0.01481214</v>
      </c>
      <c r="AH675" s="6">
        <v>-0.01648617</v>
      </c>
      <c r="AI675" s="6">
        <v>-0.01469488</v>
      </c>
      <c r="AJ675" s="6">
        <v>-0.0154709</v>
      </c>
      <c r="AK675" s="6">
        <v>-0.01917244</v>
      </c>
      <c r="AL675" s="6">
        <v>-0.01321173</v>
      </c>
      <c r="AM675" s="6">
        <v>-0.01233817</v>
      </c>
      <c r="AN675" s="6">
        <v>-6.4762184</v>
      </c>
      <c r="AO675" s="6">
        <v>-6.4515561</v>
      </c>
      <c r="AP675" s="6">
        <v>-6.4739881</v>
      </c>
      <c r="AQ675" s="6">
        <v>-6.4253629</v>
      </c>
      <c r="AR675" s="6">
        <v>-6.4020076</v>
      </c>
      <c r="AS675" s="6">
        <v>-6.4618417</v>
      </c>
      <c r="AT675" s="6">
        <v>-6.4506396</v>
      </c>
      <c r="AU675" s="6">
        <v>0.97344833</v>
      </c>
      <c r="AV675" s="6">
        <v>0.96974131</v>
      </c>
      <c r="AW675" s="6">
        <v>0.97311308</v>
      </c>
      <c r="AX675" s="6">
        <v>0.96580418</v>
      </c>
      <c r="AY675" s="6">
        <v>0.96229362</v>
      </c>
      <c r="AZ675" s="6">
        <v>0.97128734</v>
      </c>
      <c r="BA675" s="6">
        <v>0.96960354</v>
      </c>
      <c r="BB675" s="6">
        <v>0.02655167</v>
      </c>
      <c r="BC675" s="6">
        <v>0.03025869</v>
      </c>
      <c r="BD675" s="6">
        <v>0.02688692</v>
      </c>
      <c r="BE675" s="6">
        <v>0.03419582</v>
      </c>
      <c r="BF675" s="6">
        <v>0.03770638</v>
      </c>
      <c r="BG675" s="6">
        <v>0.02871266</v>
      </c>
      <c r="BH675" s="6">
        <v>0.03039646</v>
      </c>
      <c r="BI675" s="6">
        <v>0.21470859</v>
      </c>
      <c r="BJ675" s="6">
        <v>0.12366373</v>
      </c>
      <c r="BK675" s="6">
        <v>0.1409291</v>
      </c>
      <c r="BL675" s="6">
        <v>0.12522516</v>
      </c>
      <c r="BM675" s="6">
        <v>0.1592662</v>
      </c>
      <c r="BN675" s="6">
        <v>0.17561655</v>
      </c>
      <c r="BO675" s="6">
        <v>0.1337285</v>
      </c>
      <c r="BP675" s="6">
        <v>0.14157076</v>
      </c>
      <c r="BQ675" s="6">
        <v>0.0664055</v>
      </c>
      <c r="BR675" s="6">
        <v>0.06720721</v>
      </c>
      <c r="BS675" s="6">
        <v>0.06031018</v>
      </c>
      <c r="BT675" s="6">
        <v>0.05566201</v>
      </c>
      <c r="BU675" s="6">
        <v>0.07975565</v>
      </c>
      <c r="BV675" s="6">
        <v>0.08484225</v>
      </c>
      <c r="BW675" s="6">
        <v>0.06844507</v>
      </c>
      <c r="BX675" s="12">
        <v>8422.28</v>
      </c>
      <c r="BY675" s="13">
        <v>3191</v>
      </c>
      <c r="BZ675" s="12">
        <v>30145.8</v>
      </c>
      <c r="CA675" s="6">
        <f t="shared" si="66"/>
        <v>2.63938577248511</v>
      </c>
      <c r="CB675" s="6">
        <f t="shared" si="67"/>
        <v>0.279384856265218</v>
      </c>
      <c r="CC675" s="7">
        <v>176775561.3</v>
      </c>
      <c r="CD675" s="7">
        <f t="shared" si="62"/>
        <v>0.586401957486615</v>
      </c>
      <c r="CE675" s="8">
        <v>2742.2</v>
      </c>
      <c r="CF675" s="8">
        <v>7710.3</v>
      </c>
      <c r="CG675" s="8">
        <v>8673.4</v>
      </c>
      <c r="CH675" s="8">
        <v>73774</v>
      </c>
      <c r="CI675" s="14">
        <v>1</v>
      </c>
      <c r="CJ675" s="14">
        <v>0</v>
      </c>
      <c r="CK675" s="14">
        <f t="shared" si="63"/>
        <v>0</v>
      </c>
      <c r="CL675">
        <f t="shared" si="64"/>
        <v>1.2756783895882</v>
      </c>
      <c r="CM675">
        <f t="shared" si="65"/>
        <v>0.5403214773624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</row>
    <row r="676" spans="1:101">
      <c r="A676" s="6">
        <v>2024</v>
      </c>
      <c r="B676" s="6" t="s">
        <v>126</v>
      </c>
      <c r="C676" s="6">
        <v>0.50870626</v>
      </c>
      <c r="D676" s="6">
        <v>0.077937</v>
      </c>
      <c r="E676" s="6">
        <v>0.023365</v>
      </c>
      <c r="F676" s="6">
        <v>0.035535</v>
      </c>
      <c r="G676" s="6">
        <v>0.013913</v>
      </c>
      <c r="H676" s="6">
        <v>0.018156</v>
      </c>
      <c r="I676" s="6">
        <v>0.064879</v>
      </c>
      <c r="J676" s="6">
        <v>0.030781</v>
      </c>
      <c r="K676" s="6">
        <v>0.55977434</v>
      </c>
      <c r="L676" s="6">
        <v>0.51190502</v>
      </c>
      <c r="M676" s="6">
        <v>0.50324802</v>
      </c>
      <c r="N676" s="6">
        <v>0.38277514</v>
      </c>
      <c r="O676" s="6">
        <v>0.51669777</v>
      </c>
      <c r="P676" s="6">
        <v>0.63285714</v>
      </c>
      <c r="Q676" s="6">
        <v>0.48022623</v>
      </c>
      <c r="R676" s="6">
        <v>217.69486</v>
      </c>
      <c r="S676" s="6">
        <v>0.00257137</v>
      </c>
      <c r="T676" s="6">
        <v>169.97573</v>
      </c>
      <c r="U676" s="6">
        <v>0.00301164</v>
      </c>
      <c r="V676" s="6">
        <v>197.11803</v>
      </c>
      <c r="W676" s="6">
        <v>0.00255303</v>
      </c>
      <c r="X676" s="6">
        <v>134.47093</v>
      </c>
      <c r="Y676" s="6">
        <v>0.00284653</v>
      </c>
      <c r="Z676" s="6">
        <v>134.86767</v>
      </c>
      <c r="AA676" s="6">
        <v>0.00383115</v>
      </c>
      <c r="AB676" s="6">
        <v>294.9318</v>
      </c>
      <c r="AC676" s="6">
        <v>0.00214577</v>
      </c>
      <c r="AD676" s="6">
        <v>243.86163</v>
      </c>
      <c r="AE676" s="6">
        <v>0.00196926</v>
      </c>
      <c r="AF676" s="6">
        <v>775</v>
      </c>
      <c r="AG676" s="6">
        <v>-0.0153339</v>
      </c>
      <c r="AH676" s="6">
        <v>-0.01748336</v>
      </c>
      <c r="AI676" s="6">
        <v>-0.01524279</v>
      </c>
      <c r="AJ676" s="6">
        <v>-0.01668536</v>
      </c>
      <c r="AK676" s="6">
        <v>-0.02131876</v>
      </c>
      <c r="AL676" s="6">
        <v>-0.01318419</v>
      </c>
      <c r="AM676" s="6">
        <v>-0.01226867</v>
      </c>
      <c r="AN676" s="6">
        <v>-6.4762184</v>
      </c>
      <c r="AO676" s="6">
        <v>-6.4515561</v>
      </c>
      <c r="AP676" s="6">
        <v>-6.4739881</v>
      </c>
      <c r="AQ676" s="6">
        <v>-6.4253629</v>
      </c>
      <c r="AR676" s="6">
        <v>-6.4020076</v>
      </c>
      <c r="AS676" s="6">
        <v>-6.4618417</v>
      </c>
      <c r="AT676" s="6">
        <v>-6.4506396</v>
      </c>
      <c r="AU676" s="6">
        <v>0.97344833</v>
      </c>
      <c r="AV676" s="6">
        <v>0.96974131</v>
      </c>
      <c r="AW676" s="6">
        <v>0.97311308</v>
      </c>
      <c r="AX676" s="6">
        <v>0.96580418</v>
      </c>
      <c r="AY676" s="6">
        <v>0.96229362</v>
      </c>
      <c r="AZ676" s="6">
        <v>0.97128734</v>
      </c>
      <c r="BA676" s="6">
        <v>0.96960354</v>
      </c>
      <c r="BB676" s="6">
        <v>0.02655167</v>
      </c>
      <c r="BC676" s="6">
        <v>0.03025869</v>
      </c>
      <c r="BD676" s="6">
        <v>0.02688692</v>
      </c>
      <c r="BE676" s="6">
        <v>0.03419582</v>
      </c>
      <c r="BF676" s="6">
        <v>0.03770638</v>
      </c>
      <c r="BG676" s="6">
        <v>0.02871266</v>
      </c>
      <c r="BH676" s="6">
        <v>0.03039646</v>
      </c>
      <c r="BI676" s="6">
        <v>0.21470859</v>
      </c>
      <c r="BJ676" s="6">
        <v>0.12366373</v>
      </c>
      <c r="BK676" s="6">
        <v>0.1409291</v>
      </c>
      <c r="BL676" s="6">
        <v>0.12522516</v>
      </c>
      <c r="BM676" s="6">
        <v>0.1592662</v>
      </c>
      <c r="BN676" s="6">
        <v>0.17561655</v>
      </c>
      <c r="BO676" s="6">
        <v>0.1337285</v>
      </c>
      <c r="BP676" s="6">
        <v>0.14157076</v>
      </c>
      <c r="BQ676" s="6">
        <v>0.06922378</v>
      </c>
      <c r="BR676" s="6">
        <v>0.07214231</v>
      </c>
      <c r="BS676" s="6">
        <v>0.06301931</v>
      </c>
      <c r="BT676" s="6">
        <v>0.06096314</v>
      </c>
      <c r="BU676" s="6">
        <v>0.09074068</v>
      </c>
      <c r="BV676" s="6">
        <v>0.08463103</v>
      </c>
      <c r="BW676" s="6">
        <v>0.06798599</v>
      </c>
      <c r="BX676" s="12">
        <v>8821.8</v>
      </c>
      <c r="BY676" s="13">
        <v>3190</v>
      </c>
      <c r="BZ676" s="12">
        <v>32193.2</v>
      </c>
      <c r="CA676" s="6">
        <f t="shared" si="66"/>
        <v>2.76545454545455</v>
      </c>
      <c r="CB676" s="6">
        <f t="shared" si="67"/>
        <v>0.274026813115813</v>
      </c>
      <c r="CC676" s="7">
        <v>176657841.9</v>
      </c>
      <c r="CD676" s="7">
        <f t="shared" si="62"/>
        <v>0.548742721754905</v>
      </c>
      <c r="CE676" s="8">
        <v>2572</v>
      </c>
      <c r="CF676" s="8">
        <v>8135.9</v>
      </c>
      <c r="CG676" s="8">
        <v>9826.2</v>
      </c>
      <c r="CH676" s="8">
        <v>78660</v>
      </c>
      <c r="CI676" s="14">
        <v>1</v>
      </c>
      <c r="CJ676" s="14">
        <v>0</v>
      </c>
      <c r="CK676" s="14">
        <f t="shared" si="63"/>
        <v>0</v>
      </c>
      <c r="CL676">
        <f t="shared" si="64"/>
        <v>1.21200651315194</v>
      </c>
      <c r="CM676">
        <f t="shared" si="65"/>
        <v>0.547244411807783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</row>
    <row r="677" spans="1:101">
      <c r="A677" s="6">
        <v>2000</v>
      </c>
      <c r="B677" s="6" t="s">
        <v>127</v>
      </c>
      <c r="C677" s="6">
        <v>0.20016263</v>
      </c>
      <c r="D677" s="6">
        <v>0.033503</v>
      </c>
      <c r="E677" s="6">
        <v>0.008641</v>
      </c>
      <c r="F677" s="6">
        <v>0.015102</v>
      </c>
      <c r="G677" s="6">
        <v>0.005235</v>
      </c>
      <c r="H677" s="6">
        <v>0.004525</v>
      </c>
      <c r="I677" s="6">
        <v>0.036828</v>
      </c>
      <c r="J677" s="6">
        <v>0.022121</v>
      </c>
      <c r="K677" s="6">
        <v>0.21123002</v>
      </c>
      <c r="L677" s="6">
        <v>0.16380567</v>
      </c>
      <c r="M677" s="6">
        <v>0.1891999</v>
      </c>
      <c r="N677" s="6">
        <v>0.12624884</v>
      </c>
      <c r="O677" s="6">
        <v>0.10361897</v>
      </c>
      <c r="P677" s="6">
        <v>0.32041869</v>
      </c>
      <c r="Q677" s="6">
        <v>0.32570339</v>
      </c>
      <c r="R677" s="6">
        <v>217.69486</v>
      </c>
      <c r="S677" s="6">
        <v>0.0009703</v>
      </c>
      <c r="T677" s="6">
        <v>169.97573</v>
      </c>
      <c r="U677" s="6">
        <v>0.0009637</v>
      </c>
      <c r="V677" s="6">
        <v>197.11803</v>
      </c>
      <c r="W677" s="6">
        <v>0.00095983</v>
      </c>
      <c r="X677" s="6">
        <v>134.47093</v>
      </c>
      <c r="Y677" s="6">
        <v>0.00093886</v>
      </c>
      <c r="Z677" s="6">
        <v>134.86767</v>
      </c>
      <c r="AA677" s="6">
        <v>0.0007683</v>
      </c>
      <c r="AB677" s="6">
        <v>294.9318</v>
      </c>
      <c r="AC677" s="6">
        <v>0.00108642</v>
      </c>
      <c r="AD677" s="6">
        <v>243.86163</v>
      </c>
      <c r="AE677" s="6">
        <v>0.00133561</v>
      </c>
      <c r="AF677" s="6">
        <v>775</v>
      </c>
      <c r="AG677" s="6">
        <v>-0.00673187</v>
      </c>
      <c r="AH677" s="6">
        <v>-0.00669264</v>
      </c>
      <c r="AI677" s="6">
        <v>-0.00666963</v>
      </c>
      <c r="AJ677" s="6">
        <v>-0.00654462</v>
      </c>
      <c r="AK677" s="6">
        <v>-0.00550974</v>
      </c>
      <c r="AL677" s="6">
        <v>-0.00741465</v>
      </c>
      <c r="AM677" s="6">
        <v>-0.00883954</v>
      </c>
      <c r="AN677" s="6">
        <v>-6.4762184</v>
      </c>
      <c r="AO677" s="6">
        <v>-6.4515561</v>
      </c>
      <c r="AP677" s="6">
        <v>-6.4739881</v>
      </c>
      <c r="AQ677" s="6">
        <v>-6.4253629</v>
      </c>
      <c r="AR677" s="6">
        <v>-6.4020076</v>
      </c>
      <c r="AS677" s="6">
        <v>-6.4618417</v>
      </c>
      <c r="AT677" s="6">
        <v>-6.4506396</v>
      </c>
      <c r="AU677" s="6">
        <v>0.97344833</v>
      </c>
      <c r="AV677" s="6">
        <v>0.96974131</v>
      </c>
      <c r="AW677" s="6">
        <v>0.97311308</v>
      </c>
      <c r="AX677" s="6">
        <v>0.96580418</v>
      </c>
      <c r="AY677" s="6">
        <v>0.96229362</v>
      </c>
      <c r="AZ677" s="6">
        <v>0.97128734</v>
      </c>
      <c r="BA677" s="6">
        <v>0.96960354</v>
      </c>
      <c r="BB677" s="6">
        <v>0.02655167</v>
      </c>
      <c r="BC677" s="6">
        <v>0.03025869</v>
      </c>
      <c r="BD677" s="6">
        <v>0.02688692</v>
      </c>
      <c r="BE677" s="6">
        <v>0.03419582</v>
      </c>
      <c r="BF677" s="6">
        <v>0.03770638</v>
      </c>
      <c r="BG677" s="6">
        <v>0.02871266</v>
      </c>
      <c r="BH677" s="6">
        <v>0.03039646</v>
      </c>
      <c r="BI677" s="6">
        <v>0.21470859</v>
      </c>
      <c r="BJ677" s="6">
        <v>0.12366373</v>
      </c>
      <c r="BK677" s="6">
        <v>0.1409291</v>
      </c>
      <c r="BL677" s="6">
        <v>0.12522516</v>
      </c>
      <c r="BM677" s="6">
        <v>0.1592662</v>
      </c>
      <c r="BN677" s="6">
        <v>0.17561655</v>
      </c>
      <c r="BO677" s="6">
        <v>0.1337285</v>
      </c>
      <c r="BP677" s="6">
        <v>0.14157076</v>
      </c>
      <c r="BQ677" s="6">
        <v>0.02612149</v>
      </c>
      <c r="BR677" s="6">
        <v>0.02308498</v>
      </c>
      <c r="BS677" s="6">
        <v>0.02369259</v>
      </c>
      <c r="BT677" s="6">
        <v>0.02010717</v>
      </c>
      <c r="BU677" s="6">
        <v>0.01819721</v>
      </c>
      <c r="BV677" s="6">
        <v>0.04284911</v>
      </c>
      <c r="BW677" s="6">
        <v>0.04611008</v>
      </c>
      <c r="BX677" s="12">
        <v>2731</v>
      </c>
      <c r="BY677" s="13">
        <v>3644</v>
      </c>
      <c r="BZ677" s="12">
        <v>1660.92</v>
      </c>
      <c r="CA677" s="6">
        <f t="shared" si="66"/>
        <v>0.749451152579583</v>
      </c>
      <c r="CB677" s="6">
        <f t="shared" si="67"/>
        <v>1.64426944103268</v>
      </c>
      <c r="CC677" s="7">
        <v>88299658.19</v>
      </c>
      <c r="CD677" s="7">
        <f t="shared" si="62"/>
        <v>5.31631012872384</v>
      </c>
      <c r="CE677" s="8">
        <v>945.6</v>
      </c>
      <c r="CF677" s="8">
        <v>1433.1</v>
      </c>
      <c r="CG677" s="8">
        <v>1549.5</v>
      </c>
      <c r="CH677" s="8">
        <v>4956</v>
      </c>
      <c r="CI677" s="14">
        <v>0</v>
      </c>
      <c r="CJ677" s="14">
        <v>0</v>
      </c>
      <c r="CK677" s="14">
        <f t="shared" si="63"/>
        <v>0</v>
      </c>
      <c r="CL677">
        <f t="shared" si="64"/>
        <v>4.53658228674969</v>
      </c>
      <c r="CM677">
        <f t="shared" si="65"/>
        <v>0</v>
      </c>
      <c r="CN677" s="15">
        <v>2731.23</v>
      </c>
      <c r="CO677" s="15">
        <v>2765.72</v>
      </c>
      <c r="CP677" s="15">
        <v>134.27</v>
      </c>
      <c r="CQ677" s="15">
        <v>521.61</v>
      </c>
      <c r="CR677" s="15">
        <v>103.51</v>
      </c>
      <c r="CS677" s="15">
        <v>19.49</v>
      </c>
      <c r="CT677" s="15">
        <v>94.76</v>
      </c>
      <c r="CU677" s="15">
        <v>80.05</v>
      </c>
      <c r="CV677" s="15">
        <v>6.67</v>
      </c>
      <c r="CW677" s="15">
        <v>292.76</v>
      </c>
    </row>
    <row r="678" spans="1:101">
      <c r="A678" s="6">
        <v>2001</v>
      </c>
      <c r="B678" s="6" t="s">
        <v>127</v>
      </c>
      <c r="C678" s="6">
        <v>0.21166254</v>
      </c>
      <c r="D678" s="6">
        <v>0.039666</v>
      </c>
      <c r="E678" s="6">
        <v>0.009785</v>
      </c>
      <c r="F678" s="6">
        <v>0.017738</v>
      </c>
      <c r="G678" s="6">
        <v>0.006001</v>
      </c>
      <c r="H678" s="6">
        <v>0.006142</v>
      </c>
      <c r="I678" s="6">
        <v>0.032571</v>
      </c>
      <c r="J678" s="6">
        <v>0.018464</v>
      </c>
      <c r="K678" s="6">
        <v>0.25957598</v>
      </c>
      <c r="L678" s="6">
        <v>0.19085545</v>
      </c>
      <c r="M678" s="6">
        <v>0.22970409</v>
      </c>
      <c r="N678" s="6">
        <v>0.14890004</v>
      </c>
      <c r="O678" s="6">
        <v>0.15264091</v>
      </c>
      <c r="P678" s="6">
        <v>0.27300171</v>
      </c>
      <c r="Q678" s="6">
        <v>0.26044545</v>
      </c>
      <c r="R678" s="6">
        <v>217.69486</v>
      </c>
      <c r="S678" s="6">
        <v>0.00119238</v>
      </c>
      <c r="T678" s="6">
        <v>169.97573</v>
      </c>
      <c r="U678" s="6">
        <v>0.00112284</v>
      </c>
      <c r="V678" s="6">
        <v>197.11803</v>
      </c>
      <c r="W678" s="6">
        <v>0.00116531</v>
      </c>
      <c r="X678" s="6">
        <v>134.47093</v>
      </c>
      <c r="Y678" s="6">
        <v>0.0011073</v>
      </c>
      <c r="Z678" s="6">
        <v>134.86767</v>
      </c>
      <c r="AA678" s="6">
        <v>0.00113178</v>
      </c>
      <c r="AB678" s="6">
        <v>294.9318</v>
      </c>
      <c r="AC678" s="6">
        <v>0.00092564</v>
      </c>
      <c r="AD678" s="6">
        <v>243.86163</v>
      </c>
      <c r="AE678" s="6">
        <v>0.00106801</v>
      </c>
      <c r="AF678" s="6">
        <v>775</v>
      </c>
      <c r="AG678" s="6">
        <v>-0.00802689</v>
      </c>
      <c r="AH678" s="6">
        <v>-0.00762621</v>
      </c>
      <c r="AI678" s="6">
        <v>-0.00787141</v>
      </c>
      <c r="AJ678" s="6">
        <v>-0.00753611</v>
      </c>
      <c r="AK678" s="6">
        <v>-0.00767797</v>
      </c>
      <c r="AL678" s="6">
        <v>-0.00646564</v>
      </c>
      <c r="AM678" s="6">
        <v>-0.00730725</v>
      </c>
      <c r="AN678" s="6">
        <v>-6.4762184</v>
      </c>
      <c r="AO678" s="6">
        <v>-6.4515561</v>
      </c>
      <c r="AP678" s="6">
        <v>-6.4739881</v>
      </c>
      <c r="AQ678" s="6">
        <v>-6.4253629</v>
      </c>
      <c r="AR678" s="6">
        <v>-6.4020076</v>
      </c>
      <c r="AS678" s="6">
        <v>-6.4618417</v>
      </c>
      <c r="AT678" s="6">
        <v>-6.4506396</v>
      </c>
      <c r="AU678" s="6">
        <v>0.97344833</v>
      </c>
      <c r="AV678" s="6">
        <v>0.96974131</v>
      </c>
      <c r="AW678" s="6">
        <v>0.97311308</v>
      </c>
      <c r="AX678" s="6">
        <v>0.96580418</v>
      </c>
      <c r="AY678" s="6">
        <v>0.96229362</v>
      </c>
      <c r="AZ678" s="6">
        <v>0.97128734</v>
      </c>
      <c r="BA678" s="6">
        <v>0.96960354</v>
      </c>
      <c r="BB678" s="6">
        <v>0.02655167</v>
      </c>
      <c r="BC678" s="6">
        <v>0.03025869</v>
      </c>
      <c r="BD678" s="6">
        <v>0.02688692</v>
      </c>
      <c r="BE678" s="6">
        <v>0.03419582</v>
      </c>
      <c r="BF678" s="6">
        <v>0.03770638</v>
      </c>
      <c r="BG678" s="6">
        <v>0.02871266</v>
      </c>
      <c r="BH678" s="6">
        <v>0.03039646</v>
      </c>
      <c r="BI678" s="6">
        <v>0.21470859</v>
      </c>
      <c r="BJ678" s="6">
        <v>0.12366373</v>
      </c>
      <c r="BK678" s="6">
        <v>0.1409291</v>
      </c>
      <c r="BL678" s="6">
        <v>0.12522516</v>
      </c>
      <c r="BM678" s="6">
        <v>0.1592662</v>
      </c>
      <c r="BN678" s="6">
        <v>0.17561655</v>
      </c>
      <c r="BO678" s="6">
        <v>0.1337285</v>
      </c>
      <c r="BP678" s="6">
        <v>0.14157076</v>
      </c>
      <c r="BQ678" s="6">
        <v>0.03210013</v>
      </c>
      <c r="BR678" s="6">
        <v>0.02689709</v>
      </c>
      <c r="BS678" s="6">
        <v>0.02876473</v>
      </c>
      <c r="BT678" s="6">
        <v>0.02371474</v>
      </c>
      <c r="BU678" s="6">
        <v>0.02680627</v>
      </c>
      <c r="BV678" s="6">
        <v>0.03650811</v>
      </c>
      <c r="BW678" s="6">
        <v>0.03687146</v>
      </c>
      <c r="BX678" s="12">
        <v>3257</v>
      </c>
      <c r="BY678" s="13">
        <v>3653.14</v>
      </c>
      <c r="BZ678" s="12">
        <v>2010.62</v>
      </c>
      <c r="CA678" s="6">
        <f t="shared" si="66"/>
        <v>0.891561779729219</v>
      </c>
      <c r="CB678" s="6">
        <f t="shared" si="67"/>
        <v>1.61989833981558</v>
      </c>
      <c r="CC678" s="7">
        <v>92370495.95</v>
      </c>
      <c r="CD678" s="7">
        <f t="shared" si="62"/>
        <v>4.59412996737325</v>
      </c>
      <c r="CE678" s="8">
        <v>981.7</v>
      </c>
      <c r="CF678" s="8">
        <v>1572</v>
      </c>
      <c r="CG678" s="8">
        <v>1739.8</v>
      </c>
      <c r="CH678" s="8">
        <v>5376</v>
      </c>
      <c r="CI678" s="14">
        <v>0</v>
      </c>
      <c r="CJ678" s="14">
        <v>0</v>
      </c>
      <c r="CK678" s="14">
        <f t="shared" si="63"/>
        <v>0</v>
      </c>
      <c r="CL678">
        <f t="shared" si="64"/>
        <v>4.16809156222866</v>
      </c>
      <c r="CM678">
        <f t="shared" si="65"/>
        <v>0</v>
      </c>
      <c r="CN678" s="15">
        <v>3257</v>
      </c>
      <c r="CO678" s="15">
        <v>3133</v>
      </c>
      <c r="CP678" s="15">
        <v>128.04</v>
      </c>
      <c r="CQ678" s="15">
        <v>618.26</v>
      </c>
      <c r="CR678" s="15">
        <v>78.16</v>
      </c>
      <c r="CS678" s="15">
        <v>18.48</v>
      </c>
      <c r="CT678" s="15">
        <v>120.77</v>
      </c>
      <c r="CU678" s="15">
        <v>91.39</v>
      </c>
      <c r="CV678" s="15">
        <v>10.84</v>
      </c>
      <c r="CW678" s="15">
        <v>344.69</v>
      </c>
    </row>
    <row r="679" spans="1:101">
      <c r="A679" s="6">
        <v>2002</v>
      </c>
      <c r="B679" s="6" t="s">
        <v>127</v>
      </c>
      <c r="C679" s="6">
        <v>0.20409342</v>
      </c>
      <c r="D679" s="6">
        <v>0.034846</v>
      </c>
      <c r="E679" s="6">
        <v>0.008579</v>
      </c>
      <c r="F679" s="6">
        <v>0.016097</v>
      </c>
      <c r="G679" s="6">
        <v>0.005095</v>
      </c>
      <c r="H679" s="6">
        <v>0.005075</v>
      </c>
      <c r="I679" s="6">
        <v>0.038412</v>
      </c>
      <c r="J679" s="6">
        <v>0.020654</v>
      </c>
      <c r="K679" s="6">
        <v>0.22176285</v>
      </c>
      <c r="L679" s="6">
        <v>0.16232893</v>
      </c>
      <c r="M679" s="6">
        <v>0.20449401</v>
      </c>
      <c r="N679" s="6">
        <v>0.12210483</v>
      </c>
      <c r="O679" s="6">
        <v>0.12029694</v>
      </c>
      <c r="P679" s="6">
        <v>0.33805665</v>
      </c>
      <c r="Q679" s="6">
        <v>0.29952242</v>
      </c>
      <c r="R679" s="6">
        <v>217.69486</v>
      </c>
      <c r="S679" s="6">
        <v>0.00101869</v>
      </c>
      <c r="T679" s="6">
        <v>169.97573</v>
      </c>
      <c r="U679" s="6">
        <v>0.00095501</v>
      </c>
      <c r="V679" s="6">
        <v>197.11803</v>
      </c>
      <c r="W679" s="6">
        <v>0.00103742</v>
      </c>
      <c r="X679" s="6">
        <v>134.47093</v>
      </c>
      <c r="Y679" s="6">
        <v>0.00090804</v>
      </c>
      <c r="Z679" s="6">
        <v>134.86767</v>
      </c>
      <c r="AA679" s="6">
        <v>0.00089196</v>
      </c>
      <c r="AB679" s="6">
        <v>294.9318</v>
      </c>
      <c r="AC679" s="6">
        <v>0.00114622</v>
      </c>
      <c r="AD679" s="6">
        <v>243.86163</v>
      </c>
      <c r="AE679" s="6">
        <v>0.00122825</v>
      </c>
      <c r="AF679" s="6">
        <v>775</v>
      </c>
      <c r="AG679" s="6">
        <v>-0.00701798</v>
      </c>
      <c r="AH679" s="6">
        <v>-0.00664095</v>
      </c>
      <c r="AI679" s="6">
        <v>-0.00712813</v>
      </c>
      <c r="AJ679" s="6">
        <v>-0.00636011</v>
      </c>
      <c r="AK679" s="6">
        <v>-0.00626344</v>
      </c>
      <c r="AL679" s="6">
        <v>-0.00776138</v>
      </c>
      <c r="AM679" s="6">
        <v>-0.00823192</v>
      </c>
      <c r="AN679" s="6">
        <v>-6.4762184</v>
      </c>
      <c r="AO679" s="6">
        <v>-6.4515561</v>
      </c>
      <c r="AP679" s="6">
        <v>-6.4739881</v>
      </c>
      <c r="AQ679" s="6">
        <v>-6.4253629</v>
      </c>
      <c r="AR679" s="6">
        <v>-6.4020076</v>
      </c>
      <c r="AS679" s="6">
        <v>-6.4618417</v>
      </c>
      <c r="AT679" s="6">
        <v>-6.4506396</v>
      </c>
      <c r="AU679" s="6">
        <v>0.97344833</v>
      </c>
      <c r="AV679" s="6">
        <v>0.96974131</v>
      </c>
      <c r="AW679" s="6">
        <v>0.97311308</v>
      </c>
      <c r="AX679" s="6">
        <v>0.96580418</v>
      </c>
      <c r="AY679" s="6">
        <v>0.96229362</v>
      </c>
      <c r="AZ679" s="6">
        <v>0.97128734</v>
      </c>
      <c r="BA679" s="6">
        <v>0.96960354</v>
      </c>
      <c r="BB679" s="6">
        <v>0.02655167</v>
      </c>
      <c r="BC679" s="6">
        <v>0.03025869</v>
      </c>
      <c r="BD679" s="6">
        <v>0.02688692</v>
      </c>
      <c r="BE679" s="6">
        <v>0.03419582</v>
      </c>
      <c r="BF679" s="6">
        <v>0.03770638</v>
      </c>
      <c r="BG679" s="6">
        <v>0.02871266</v>
      </c>
      <c r="BH679" s="6">
        <v>0.03039646</v>
      </c>
      <c r="BI679" s="6">
        <v>0.21470859</v>
      </c>
      <c r="BJ679" s="6">
        <v>0.12366373</v>
      </c>
      <c r="BK679" s="6">
        <v>0.1409291</v>
      </c>
      <c r="BL679" s="6">
        <v>0.12522516</v>
      </c>
      <c r="BM679" s="6">
        <v>0.1592662</v>
      </c>
      <c r="BN679" s="6">
        <v>0.17561655</v>
      </c>
      <c r="BO679" s="6">
        <v>0.1337285</v>
      </c>
      <c r="BP679" s="6">
        <v>0.14157076</v>
      </c>
      <c r="BQ679" s="6">
        <v>0.02742402</v>
      </c>
      <c r="BR679" s="6">
        <v>0.02287687</v>
      </c>
      <c r="BS679" s="6">
        <v>0.02560779</v>
      </c>
      <c r="BT679" s="6">
        <v>0.01944717</v>
      </c>
      <c r="BU679" s="6">
        <v>0.02112613</v>
      </c>
      <c r="BV679" s="6">
        <v>0.04520781</v>
      </c>
      <c r="BW679" s="6">
        <v>0.04240362</v>
      </c>
      <c r="BX679" s="12">
        <v>3713</v>
      </c>
      <c r="BY679" s="13">
        <v>3662.24</v>
      </c>
      <c r="BZ679" s="12">
        <v>2253.39</v>
      </c>
      <c r="CA679" s="6">
        <f t="shared" si="66"/>
        <v>1.01386036960986</v>
      </c>
      <c r="CB679" s="6">
        <f t="shared" si="67"/>
        <v>1.6477396278496</v>
      </c>
      <c r="CC679" s="7">
        <v>99018446.85</v>
      </c>
      <c r="CD679" s="7">
        <f t="shared" si="62"/>
        <v>4.39419926643857</v>
      </c>
      <c r="CE679" s="8">
        <v>1048</v>
      </c>
      <c r="CF679" s="8">
        <v>1733.4</v>
      </c>
      <c r="CG679" s="8">
        <v>1943.7</v>
      </c>
      <c r="CH679" s="8">
        <v>5890</v>
      </c>
      <c r="CI679" s="14">
        <v>0</v>
      </c>
      <c r="CJ679" s="14">
        <v>0</v>
      </c>
      <c r="CK679" s="14">
        <f t="shared" si="63"/>
        <v>0</v>
      </c>
      <c r="CL679">
        <f t="shared" si="64"/>
        <v>4.06804884448575</v>
      </c>
      <c r="CM679">
        <f t="shared" si="65"/>
        <v>0</v>
      </c>
      <c r="CN679" s="15">
        <v>3713</v>
      </c>
      <c r="CO679" s="15">
        <v>3451</v>
      </c>
      <c r="CP679" s="15">
        <v>175.94</v>
      </c>
      <c r="CQ679" s="15">
        <v>704.25</v>
      </c>
      <c r="CR679" s="15">
        <v>95</v>
      </c>
      <c r="CS679" s="15">
        <v>28.03</v>
      </c>
      <c r="CT679" s="15">
        <v>147.38</v>
      </c>
      <c r="CU679" s="15">
        <v>120.19</v>
      </c>
      <c r="CV679" s="15">
        <v>14.01</v>
      </c>
      <c r="CW679" s="15">
        <v>373.86</v>
      </c>
    </row>
    <row r="680" spans="1:101">
      <c r="A680" s="6">
        <v>2003</v>
      </c>
      <c r="B680" s="6" t="s">
        <v>127</v>
      </c>
      <c r="C680" s="6">
        <v>0.23522757</v>
      </c>
      <c r="D680" s="6">
        <v>0.041017</v>
      </c>
      <c r="E680" s="6">
        <v>0.010329</v>
      </c>
      <c r="F680" s="6">
        <v>0.018465</v>
      </c>
      <c r="G680" s="6">
        <v>0.005773</v>
      </c>
      <c r="H680" s="6">
        <v>0.00645</v>
      </c>
      <c r="I680" s="6">
        <v>0.039946</v>
      </c>
      <c r="J680" s="6">
        <v>0.021431</v>
      </c>
      <c r="K680" s="6">
        <v>0.27016837</v>
      </c>
      <c r="L680" s="6">
        <v>0.20371768</v>
      </c>
      <c r="M680" s="6">
        <v>0.24087774</v>
      </c>
      <c r="N680" s="6">
        <v>0.14215251</v>
      </c>
      <c r="O680" s="6">
        <v>0.16196318</v>
      </c>
      <c r="P680" s="6">
        <v>0.35514483</v>
      </c>
      <c r="Q680" s="6">
        <v>0.31339345</v>
      </c>
      <c r="R680" s="6">
        <v>217.69486</v>
      </c>
      <c r="S680" s="6">
        <v>0.00124104</v>
      </c>
      <c r="T680" s="6">
        <v>169.97573</v>
      </c>
      <c r="U680" s="6">
        <v>0.00119851</v>
      </c>
      <c r="V680" s="6">
        <v>197.11803</v>
      </c>
      <c r="W680" s="6">
        <v>0.001222</v>
      </c>
      <c r="X680" s="6">
        <v>134.47093</v>
      </c>
      <c r="Y680" s="6">
        <v>0.00105712</v>
      </c>
      <c r="Z680" s="6">
        <v>134.86767</v>
      </c>
      <c r="AA680" s="6">
        <v>0.0012009</v>
      </c>
      <c r="AB680" s="6">
        <v>294.9318</v>
      </c>
      <c r="AC680" s="6">
        <v>0.00120416</v>
      </c>
      <c r="AD680" s="6">
        <v>243.86163</v>
      </c>
      <c r="AE680" s="6">
        <v>0.00128513</v>
      </c>
      <c r="AF680" s="6">
        <v>775</v>
      </c>
      <c r="AG680" s="6">
        <v>-0.00830481</v>
      </c>
      <c r="AH680" s="6">
        <v>-0.00806199</v>
      </c>
      <c r="AI680" s="6">
        <v>-0.00819627</v>
      </c>
      <c r="AJ680" s="6">
        <v>-0.00724363</v>
      </c>
      <c r="AK680" s="6">
        <v>-0.0080757</v>
      </c>
      <c r="AL680" s="6">
        <v>-0.00809433</v>
      </c>
      <c r="AM680" s="6">
        <v>-0.00855497</v>
      </c>
      <c r="AN680" s="6">
        <v>-6.4762184</v>
      </c>
      <c r="AO680" s="6">
        <v>-6.4515561</v>
      </c>
      <c r="AP680" s="6">
        <v>-6.4739881</v>
      </c>
      <c r="AQ680" s="6">
        <v>-6.4253629</v>
      </c>
      <c r="AR680" s="6">
        <v>-6.4020076</v>
      </c>
      <c r="AS680" s="6">
        <v>-6.4618417</v>
      </c>
      <c r="AT680" s="6">
        <v>-6.4506396</v>
      </c>
      <c r="AU680" s="6">
        <v>0.97344833</v>
      </c>
      <c r="AV680" s="6">
        <v>0.96974131</v>
      </c>
      <c r="AW680" s="6">
        <v>0.97311308</v>
      </c>
      <c r="AX680" s="6">
        <v>0.96580418</v>
      </c>
      <c r="AY680" s="6">
        <v>0.96229362</v>
      </c>
      <c r="AZ680" s="6">
        <v>0.97128734</v>
      </c>
      <c r="BA680" s="6">
        <v>0.96960354</v>
      </c>
      <c r="BB680" s="6">
        <v>0.02655167</v>
      </c>
      <c r="BC680" s="6">
        <v>0.03025869</v>
      </c>
      <c r="BD680" s="6">
        <v>0.02688692</v>
      </c>
      <c r="BE680" s="6">
        <v>0.03419582</v>
      </c>
      <c r="BF680" s="6">
        <v>0.03770638</v>
      </c>
      <c r="BG680" s="6">
        <v>0.02871266</v>
      </c>
      <c r="BH680" s="6">
        <v>0.03039646</v>
      </c>
      <c r="BI680" s="6">
        <v>0.21470859</v>
      </c>
      <c r="BJ680" s="6">
        <v>0.12366373</v>
      </c>
      <c r="BK680" s="6">
        <v>0.1409291</v>
      </c>
      <c r="BL680" s="6">
        <v>0.12522516</v>
      </c>
      <c r="BM680" s="6">
        <v>0.1592662</v>
      </c>
      <c r="BN680" s="6">
        <v>0.17561655</v>
      </c>
      <c r="BO680" s="6">
        <v>0.1337285</v>
      </c>
      <c r="BP680" s="6">
        <v>0.14157076</v>
      </c>
      <c r="BQ680" s="6">
        <v>0.03341003</v>
      </c>
      <c r="BR680" s="6">
        <v>0.02870975</v>
      </c>
      <c r="BS680" s="6">
        <v>0.03016395</v>
      </c>
      <c r="BT680" s="6">
        <v>0.02264009</v>
      </c>
      <c r="BU680" s="6">
        <v>0.02844341</v>
      </c>
      <c r="BV680" s="6">
        <v>0.04749298</v>
      </c>
      <c r="BW680" s="6">
        <v>0.04436735</v>
      </c>
      <c r="BX680" s="12">
        <v>4170</v>
      </c>
      <c r="BY680" s="13">
        <v>3671.74</v>
      </c>
      <c r="BZ680" s="12">
        <v>2587.72</v>
      </c>
      <c r="CA680" s="6">
        <f t="shared" si="66"/>
        <v>1.13570132961484</v>
      </c>
      <c r="CB680" s="6">
        <f t="shared" si="67"/>
        <v>1.6114571901133</v>
      </c>
      <c r="CC680" s="7">
        <v>113909793.1</v>
      </c>
      <c r="CD680" s="7">
        <f t="shared" si="62"/>
        <v>4.40193657350873</v>
      </c>
      <c r="CE680" s="8">
        <v>1128.6</v>
      </c>
      <c r="CF680" s="8">
        <v>2020.5</v>
      </c>
      <c r="CG680" s="8">
        <v>2197.1</v>
      </c>
      <c r="CH680" s="8">
        <v>6565</v>
      </c>
      <c r="CI680" s="14">
        <v>0</v>
      </c>
      <c r="CJ680" s="14">
        <v>0</v>
      </c>
      <c r="CK680" s="14">
        <f t="shared" si="63"/>
        <v>0</v>
      </c>
      <c r="CL680">
        <f t="shared" si="64"/>
        <v>4.08414499624993</v>
      </c>
      <c r="CM680">
        <f t="shared" si="65"/>
        <v>0</v>
      </c>
      <c r="CN680" s="15">
        <v>4169.98</v>
      </c>
      <c r="CO680" s="15">
        <v>3960.65</v>
      </c>
      <c r="CP680" s="15">
        <v>188.88</v>
      </c>
      <c r="CQ680" s="15">
        <v>869.97</v>
      </c>
      <c r="CR680" s="15">
        <v>105.43</v>
      </c>
      <c r="CS680" s="15">
        <v>36.01</v>
      </c>
      <c r="CT680" s="15">
        <v>162.56</v>
      </c>
      <c r="CU680" s="15">
        <v>57.15</v>
      </c>
      <c r="CV680" s="15">
        <v>18.26</v>
      </c>
      <c r="CW680" s="15">
        <v>421.92</v>
      </c>
    </row>
    <row r="681" spans="1:101">
      <c r="A681" s="6">
        <v>2004</v>
      </c>
      <c r="B681" s="6" t="s">
        <v>127</v>
      </c>
      <c r="C681" s="6">
        <v>0.22826169</v>
      </c>
      <c r="D681" s="6">
        <v>0.041065</v>
      </c>
      <c r="E681" s="6">
        <v>0.010568</v>
      </c>
      <c r="F681" s="6">
        <v>0.018589</v>
      </c>
      <c r="G681" s="6">
        <v>0.00604</v>
      </c>
      <c r="H681" s="6">
        <v>0.005869</v>
      </c>
      <c r="I681" s="6">
        <v>0.037969</v>
      </c>
      <c r="J681" s="6">
        <v>0.020138</v>
      </c>
      <c r="K681" s="6">
        <v>0.27054999</v>
      </c>
      <c r="L681" s="6">
        <v>0.20936259</v>
      </c>
      <c r="M681" s="6">
        <v>0.24278865</v>
      </c>
      <c r="N681" s="6">
        <v>0.15003991</v>
      </c>
      <c r="O681" s="6">
        <v>0.14434801</v>
      </c>
      <c r="P681" s="6">
        <v>0.33312761</v>
      </c>
      <c r="Q681" s="6">
        <v>0.29032193</v>
      </c>
      <c r="R681" s="6">
        <v>217.69486</v>
      </c>
      <c r="S681" s="6">
        <v>0.00124279</v>
      </c>
      <c r="T681" s="6">
        <v>169.97573</v>
      </c>
      <c r="U681" s="6">
        <v>0.00123172</v>
      </c>
      <c r="V681" s="6">
        <v>197.11803</v>
      </c>
      <c r="W681" s="6">
        <v>0.00123169</v>
      </c>
      <c r="X681" s="6">
        <v>134.47093</v>
      </c>
      <c r="Y681" s="6">
        <v>0.00111578</v>
      </c>
      <c r="Z681" s="6">
        <v>134.86767</v>
      </c>
      <c r="AA681" s="6">
        <v>0.00107029</v>
      </c>
      <c r="AB681" s="6">
        <v>294.9318</v>
      </c>
      <c r="AC681" s="6">
        <v>0.00112951</v>
      </c>
      <c r="AD681" s="6">
        <v>243.86163</v>
      </c>
      <c r="AE681" s="6">
        <v>0.00119052</v>
      </c>
      <c r="AF681" s="6">
        <v>775</v>
      </c>
      <c r="AG681" s="6">
        <v>-0.00831478</v>
      </c>
      <c r="AH681" s="6">
        <v>-0.00825172</v>
      </c>
      <c r="AI681" s="6">
        <v>-0.00825155</v>
      </c>
      <c r="AJ681" s="6">
        <v>-0.00758529</v>
      </c>
      <c r="AK681" s="6">
        <v>-0.00732062</v>
      </c>
      <c r="AL681" s="6">
        <v>-0.00766481</v>
      </c>
      <c r="AM681" s="6">
        <v>-0.0080162</v>
      </c>
      <c r="AN681" s="6">
        <v>-6.4762184</v>
      </c>
      <c r="AO681" s="6">
        <v>-6.4515561</v>
      </c>
      <c r="AP681" s="6">
        <v>-6.4739881</v>
      </c>
      <c r="AQ681" s="6">
        <v>-6.4253629</v>
      </c>
      <c r="AR681" s="6">
        <v>-6.4020076</v>
      </c>
      <c r="AS681" s="6">
        <v>-6.4618417</v>
      </c>
      <c r="AT681" s="6">
        <v>-6.4506396</v>
      </c>
      <c r="AU681" s="6">
        <v>0.97344833</v>
      </c>
      <c r="AV681" s="6">
        <v>0.96974131</v>
      </c>
      <c r="AW681" s="6">
        <v>0.97311308</v>
      </c>
      <c r="AX681" s="6">
        <v>0.96580418</v>
      </c>
      <c r="AY681" s="6">
        <v>0.96229362</v>
      </c>
      <c r="AZ681" s="6">
        <v>0.97128734</v>
      </c>
      <c r="BA681" s="6">
        <v>0.96960354</v>
      </c>
      <c r="BB681" s="6">
        <v>0.02655167</v>
      </c>
      <c r="BC681" s="6">
        <v>0.03025869</v>
      </c>
      <c r="BD681" s="6">
        <v>0.02688692</v>
      </c>
      <c r="BE681" s="6">
        <v>0.03419582</v>
      </c>
      <c r="BF681" s="6">
        <v>0.03770638</v>
      </c>
      <c r="BG681" s="6">
        <v>0.02871266</v>
      </c>
      <c r="BH681" s="6">
        <v>0.03039646</v>
      </c>
      <c r="BI681" s="6">
        <v>0.21470859</v>
      </c>
      <c r="BJ681" s="6">
        <v>0.12366373</v>
      </c>
      <c r="BK681" s="6">
        <v>0.1409291</v>
      </c>
      <c r="BL681" s="6">
        <v>0.12522516</v>
      </c>
      <c r="BM681" s="6">
        <v>0.1592662</v>
      </c>
      <c r="BN681" s="6">
        <v>0.17561655</v>
      </c>
      <c r="BO681" s="6">
        <v>0.1337285</v>
      </c>
      <c r="BP681" s="6">
        <v>0.14157076</v>
      </c>
      <c r="BQ681" s="6">
        <v>0.03345722</v>
      </c>
      <c r="BR681" s="6">
        <v>0.02950528</v>
      </c>
      <c r="BS681" s="6">
        <v>0.03040325</v>
      </c>
      <c r="BT681" s="6">
        <v>0.02389629</v>
      </c>
      <c r="BU681" s="6">
        <v>0.0253499</v>
      </c>
      <c r="BV681" s="6">
        <v>0.04454865</v>
      </c>
      <c r="BW681" s="6">
        <v>0.0411011</v>
      </c>
      <c r="BX681" s="12">
        <v>4776</v>
      </c>
      <c r="BY681" s="13">
        <v>3681.23</v>
      </c>
      <c r="BZ681" s="12">
        <v>3175.58</v>
      </c>
      <c r="CA681" s="6">
        <f t="shared" si="66"/>
        <v>1.29739244763299</v>
      </c>
      <c r="CB681" s="6">
        <f t="shared" si="67"/>
        <v>1.5039772262075</v>
      </c>
      <c r="CC681" s="7">
        <v>131326964.6</v>
      </c>
      <c r="CD681" s="7">
        <f t="shared" si="62"/>
        <v>4.13552688327801</v>
      </c>
      <c r="CE681" s="8">
        <v>1329.1</v>
      </c>
      <c r="CF681" s="8">
        <v>2439.7</v>
      </c>
      <c r="CG681" s="8">
        <v>2535.2</v>
      </c>
      <c r="CH681" s="8">
        <v>7751</v>
      </c>
      <c r="CI681" s="14">
        <v>0</v>
      </c>
      <c r="CJ681" s="14">
        <v>0</v>
      </c>
      <c r="CK681" s="14">
        <f t="shared" si="63"/>
        <v>0</v>
      </c>
      <c r="CL681">
        <f t="shared" si="64"/>
        <v>3.89549779892895</v>
      </c>
      <c r="CM681">
        <f t="shared" si="65"/>
        <v>0</v>
      </c>
      <c r="CN681" s="15">
        <v>4775.96</v>
      </c>
      <c r="CO681" s="15">
        <v>4958.06</v>
      </c>
      <c r="CP681" s="15">
        <v>249.65</v>
      </c>
      <c r="CQ681" s="15">
        <v>1072.98</v>
      </c>
      <c r="CR681" s="15">
        <v>144.96</v>
      </c>
      <c r="CS681" s="15">
        <v>48.46</v>
      </c>
      <c r="CT681" s="15">
        <v>197.75</v>
      </c>
      <c r="CU681" s="15">
        <v>39.85</v>
      </c>
      <c r="CV681" s="15">
        <v>32.77</v>
      </c>
      <c r="CW681" s="15">
        <v>459.78</v>
      </c>
    </row>
    <row r="682" spans="1:101">
      <c r="A682" s="6">
        <v>2005</v>
      </c>
      <c r="B682" s="6" t="s">
        <v>127</v>
      </c>
      <c r="C682" s="6">
        <v>0.22564458</v>
      </c>
      <c r="D682" s="6">
        <v>0.040191</v>
      </c>
      <c r="E682" s="6">
        <v>0.010158</v>
      </c>
      <c r="F682" s="6">
        <v>0.018686</v>
      </c>
      <c r="G682" s="6">
        <v>0.006358</v>
      </c>
      <c r="H682" s="6">
        <v>0.004989</v>
      </c>
      <c r="I682" s="6">
        <v>0.040399</v>
      </c>
      <c r="J682" s="6">
        <v>0.019731</v>
      </c>
      <c r="K682" s="6">
        <v>0.26369481</v>
      </c>
      <c r="L682" s="6">
        <v>0.19967106</v>
      </c>
      <c r="M682" s="6">
        <v>0.24427661</v>
      </c>
      <c r="N682" s="6">
        <v>0.15945434</v>
      </c>
      <c r="O682" s="6">
        <v>0.1177005</v>
      </c>
      <c r="P682" s="6">
        <v>0.36018962</v>
      </c>
      <c r="Q682" s="6">
        <v>0.28305697</v>
      </c>
      <c r="R682" s="6">
        <v>217.69486</v>
      </c>
      <c r="S682" s="6">
        <v>0.0012113</v>
      </c>
      <c r="T682" s="6">
        <v>169.97573</v>
      </c>
      <c r="U682" s="6">
        <v>0.0011747</v>
      </c>
      <c r="V682" s="6">
        <v>197.11803</v>
      </c>
      <c r="W682" s="6">
        <v>0.00123924</v>
      </c>
      <c r="X682" s="6">
        <v>134.47093</v>
      </c>
      <c r="Y682" s="6">
        <v>0.00118579</v>
      </c>
      <c r="Z682" s="6">
        <v>134.86767</v>
      </c>
      <c r="AA682" s="6">
        <v>0.00087271</v>
      </c>
      <c r="AB682" s="6">
        <v>294.9318</v>
      </c>
      <c r="AC682" s="6">
        <v>0.00122126</v>
      </c>
      <c r="AD682" s="6">
        <v>243.86163</v>
      </c>
      <c r="AE682" s="6">
        <v>0.00116073</v>
      </c>
      <c r="AF682" s="6">
        <v>775</v>
      </c>
      <c r="AG682" s="6">
        <v>-0.00813519</v>
      </c>
      <c r="AH682" s="6">
        <v>-0.00792542</v>
      </c>
      <c r="AI682" s="6">
        <v>-0.00829455</v>
      </c>
      <c r="AJ682" s="6">
        <v>-0.00798908</v>
      </c>
      <c r="AK682" s="6">
        <v>-0.00614729</v>
      </c>
      <c r="AL682" s="6">
        <v>-0.00819208</v>
      </c>
      <c r="AM682" s="6">
        <v>-0.00784502</v>
      </c>
      <c r="AN682" s="6">
        <v>-6.4762184</v>
      </c>
      <c r="AO682" s="6">
        <v>-6.4515561</v>
      </c>
      <c r="AP682" s="6">
        <v>-6.4739881</v>
      </c>
      <c r="AQ682" s="6">
        <v>-6.4253629</v>
      </c>
      <c r="AR682" s="6">
        <v>-6.4020076</v>
      </c>
      <c r="AS682" s="6">
        <v>-6.4618417</v>
      </c>
      <c r="AT682" s="6">
        <v>-6.4506396</v>
      </c>
      <c r="AU682" s="6">
        <v>0.97344833</v>
      </c>
      <c r="AV682" s="6">
        <v>0.96974131</v>
      </c>
      <c r="AW682" s="6">
        <v>0.97311308</v>
      </c>
      <c r="AX682" s="6">
        <v>0.96580418</v>
      </c>
      <c r="AY682" s="6">
        <v>0.96229362</v>
      </c>
      <c r="AZ682" s="6">
        <v>0.97128734</v>
      </c>
      <c r="BA682" s="6">
        <v>0.96960354</v>
      </c>
      <c r="BB682" s="6">
        <v>0.02655167</v>
      </c>
      <c r="BC682" s="6">
        <v>0.03025869</v>
      </c>
      <c r="BD682" s="6">
        <v>0.02688692</v>
      </c>
      <c r="BE682" s="6">
        <v>0.03419582</v>
      </c>
      <c r="BF682" s="6">
        <v>0.03770638</v>
      </c>
      <c r="BG682" s="6">
        <v>0.02871266</v>
      </c>
      <c r="BH682" s="6">
        <v>0.03039646</v>
      </c>
      <c r="BI682" s="6">
        <v>0.21470859</v>
      </c>
      <c r="BJ682" s="6">
        <v>0.12366373</v>
      </c>
      <c r="BK682" s="6">
        <v>0.1409291</v>
      </c>
      <c r="BL682" s="6">
        <v>0.12522516</v>
      </c>
      <c r="BM682" s="6">
        <v>0.1592662</v>
      </c>
      <c r="BN682" s="6">
        <v>0.17561655</v>
      </c>
      <c r="BO682" s="6">
        <v>0.1337285</v>
      </c>
      <c r="BP682" s="6">
        <v>0.14157076</v>
      </c>
      <c r="BQ682" s="6">
        <v>0.03260948</v>
      </c>
      <c r="BR682" s="6">
        <v>0.02813946</v>
      </c>
      <c r="BS682" s="6">
        <v>0.03058958</v>
      </c>
      <c r="BT682" s="6">
        <v>0.02539569</v>
      </c>
      <c r="BU682" s="6">
        <v>0.02067016</v>
      </c>
      <c r="BV682" s="6">
        <v>0.04816762</v>
      </c>
      <c r="BW682" s="6">
        <v>0.04007259</v>
      </c>
      <c r="BX682" s="12">
        <v>5571</v>
      </c>
      <c r="BY682" s="13">
        <v>3690</v>
      </c>
      <c r="BZ682" s="12">
        <v>3933.72</v>
      </c>
      <c r="CA682" s="6">
        <f t="shared" si="66"/>
        <v>1.50975609756098</v>
      </c>
      <c r="CB682" s="6">
        <f t="shared" si="67"/>
        <v>1.41621671089961</v>
      </c>
      <c r="CC682" s="7">
        <v>153865966.6</v>
      </c>
      <c r="CD682" s="7">
        <f t="shared" si="62"/>
        <v>3.91146209186216</v>
      </c>
      <c r="CE682" s="8">
        <v>1403.2</v>
      </c>
      <c r="CF682" s="8">
        <v>2961.2</v>
      </c>
      <c r="CG682" s="8">
        <v>2831.5</v>
      </c>
      <c r="CH682" s="8">
        <v>8828</v>
      </c>
      <c r="CI682" s="14">
        <v>0</v>
      </c>
      <c r="CJ682" s="14">
        <v>0</v>
      </c>
      <c r="CK682" s="14">
        <f t="shared" si="63"/>
        <v>0</v>
      </c>
      <c r="CL682">
        <f t="shared" si="64"/>
        <v>3.71995059106252</v>
      </c>
      <c r="CM682">
        <f t="shared" si="65"/>
        <v>0</v>
      </c>
      <c r="CN682" s="15">
        <v>5423.7</v>
      </c>
      <c r="CO682" s="15">
        <v>6049.12</v>
      </c>
      <c r="CP682" s="15">
        <v>251.1</v>
      </c>
      <c r="CQ682" s="15">
        <v>1242.42</v>
      </c>
      <c r="CR682" s="15">
        <v>196.7</v>
      </c>
      <c r="CS682" s="15">
        <v>34.81</v>
      </c>
      <c r="CT682" s="15">
        <v>180.28</v>
      </c>
      <c r="CU682" s="15">
        <v>4.43</v>
      </c>
      <c r="CV682" s="15">
        <v>18.76</v>
      </c>
      <c r="CW682" s="15">
        <v>516.43</v>
      </c>
    </row>
    <row r="683" spans="1:101">
      <c r="A683" s="6">
        <v>2006</v>
      </c>
      <c r="B683" s="6" t="s">
        <v>127</v>
      </c>
      <c r="C683" s="6">
        <v>0.23342327</v>
      </c>
      <c r="D683" s="6">
        <v>0.040473</v>
      </c>
      <c r="E683" s="6">
        <v>0.010366</v>
      </c>
      <c r="F683" s="6">
        <v>0.018272</v>
      </c>
      <c r="G683" s="6">
        <v>0.006895</v>
      </c>
      <c r="H683" s="6">
        <v>0.00494</v>
      </c>
      <c r="I683" s="6">
        <v>0.042533</v>
      </c>
      <c r="J683" s="6">
        <v>0.020588</v>
      </c>
      <c r="K683" s="6">
        <v>0.26590721</v>
      </c>
      <c r="L683" s="6">
        <v>0.20458602</v>
      </c>
      <c r="M683" s="6">
        <v>0.23792208</v>
      </c>
      <c r="N683" s="6">
        <v>0.17532712</v>
      </c>
      <c r="O683" s="6">
        <v>0.11620439</v>
      </c>
      <c r="P683" s="6">
        <v>0.38395707</v>
      </c>
      <c r="Q683" s="6">
        <v>0.29834644</v>
      </c>
      <c r="R683" s="6">
        <v>217.69486</v>
      </c>
      <c r="S683" s="6">
        <v>0.00122147</v>
      </c>
      <c r="T683" s="6">
        <v>169.97573</v>
      </c>
      <c r="U683" s="6">
        <v>0.00120362</v>
      </c>
      <c r="V683" s="6">
        <v>197.11803</v>
      </c>
      <c r="W683" s="6">
        <v>0.001207</v>
      </c>
      <c r="X683" s="6">
        <v>134.47093</v>
      </c>
      <c r="Y683" s="6">
        <v>0.00130383</v>
      </c>
      <c r="Z683" s="6">
        <v>134.86767</v>
      </c>
      <c r="AA683" s="6">
        <v>0.00086162</v>
      </c>
      <c r="AB683" s="6">
        <v>294.9318</v>
      </c>
      <c r="AC683" s="6">
        <v>0.00130185</v>
      </c>
      <c r="AD683" s="6">
        <v>243.86163</v>
      </c>
      <c r="AE683" s="6">
        <v>0.00122343</v>
      </c>
      <c r="AF683" s="6">
        <v>775</v>
      </c>
      <c r="AG683" s="6">
        <v>-0.00819324</v>
      </c>
      <c r="AH683" s="6">
        <v>-0.00809124</v>
      </c>
      <c r="AI683" s="6">
        <v>-0.0081106</v>
      </c>
      <c r="AJ683" s="6">
        <v>-0.00866062</v>
      </c>
      <c r="AK683" s="6">
        <v>-0.00608018</v>
      </c>
      <c r="AL683" s="6">
        <v>-0.00864945</v>
      </c>
      <c r="AM683" s="6">
        <v>-0.00820441</v>
      </c>
      <c r="AN683" s="6">
        <v>-6.4762184</v>
      </c>
      <c r="AO683" s="6">
        <v>-6.4515561</v>
      </c>
      <c r="AP683" s="6">
        <v>-6.4739881</v>
      </c>
      <c r="AQ683" s="6">
        <v>-6.4253629</v>
      </c>
      <c r="AR683" s="6">
        <v>-6.4020076</v>
      </c>
      <c r="AS683" s="6">
        <v>-6.4618417</v>
      </c>
      <c r="AT683" s="6">
        <v>-6.4506396</v>
      </c>
      <c r="AU683" s="6">
        <v>0.97344833</v>
      </c>
      <c r="AV683" s="6">
        <v>0.96974131</v>
      </c>
      <c r="AW683" s="6">
        <v>0.97311308</v>
      </c>
      <c r="AX683" s="6">
        <v>0.96580418</v>
      </c>
      <c r="AY683" s="6">
        <v>0.96229362</v>
      </c>
      <c r="AZ683" s="6">
        <v>0.97128734</v>
      </c>
      <c r="BA683" s="6">
        <v>0.96960354</v>
      </c>
      <c r="BB683" s="6">
        <v>0.02655167</v>
      </c>
      <c r="BC683" s="6">
        <v>0.03025869</v>
      </c>
      <c r="BD683" s="6">
        <v>0.02688692</v>
      </c>
      <c r="BE683" s="6">
        <v>0.03419582</v>
      </c>
      <c r="BF683" s="6">
        <v>0.03770638</v>
      </c>
      <c r="BG683" s="6">
        <v>0.02871266</v>
      </c>
      <c r="BH683" s="6">
        <v>0.03039646</v>
      </c>
      <c r="BI683" s="6">
        <v>0.21470859</v>
      </c>
      <c r="BJ683" s="6">
        <v>0.12366373</v>
      </c>
      <c r="BK683" s="6">
        <v>0.1409291</v>
      </c>
      <c r="BL683" s="6">
        <v>0.12522516</v>
      </c>
      <c r="BM683" s="6">
        <v>0.1592662</v>
      </c>
      <c r="BN683" s="6">
        <v>0.17561655</v>
      </c>
      <c r="BO683" s="6">
        <v>0.1337285</v>
      </c>
      <c r="BP683" s="6">
        <v>0.14157076</v>
      </c>
      <c r="BQ683" s="6">
        <v>0.03288308</v>
      </c>
      <c r="BR683" s="6">
        <v>0.02883212</v>
      </c>
      <c r="BS683" s="6">
        <v>0.02979383</v>
      </c>
      <c r="BT683" s="6">
        <v>0.02792368</v>
      </c>
      <c r="BU683" s="6">
        <v>0.02040741</v>
      </c>
      <c r="BV683" s="6">
        <v>0.051346</v>
      </c>
      <c r="BW683" s="6">
        <v>0.04223713</v>
      </c>
      <c r="BX683" s="12">
        <v>6129</v>
      </c>
      <c r="BY683" s="13">
        <v>3699</v>
      </c>
      <c r="BZ683" s="12">
        <v>4743.61</v>
      </c>
      <c r="CA683" s="6">
        <f t="shared" si="66"/>
        <v>1.65693430656934</v>
      </c>
      <c r="CB683" s="6">
        <f t="shared" si="67"/>
        <v>1.29205394203992</v>
      </c>
      <c r="CC683" s="7">
        <v>163683638.8</v>
      </c>
      <c r="CD683" s="7">
        <f t="shared" si="62"/>
        <v>3.45061332613769</v>
      </c>
      <c r="CE683" s="8">
        <v>1614</v>
      </c>
      <c r="CF683" s="8">
        <v>3658.1</v>
      </c>
      <c r="CG683" s="8">
        <v>3222.6</v>
      </c>
      <c r="CH683" s="8">
        <v>10371</v>
      </c>
      <c r="CI683" s="14">
        <v>0</v>
      </c>
      <c r="CJ683" s="14">
        <v>0</v>
      </c>
      <c r="CK683" s="14">
        <f t="shared" si="63"/>
        <v>0</v>
      </c>
      <c r="CL683">
        <f t="shared" si="64"/>
        <v>3.57740717995078</v>
      </c>
      <c r="CM683">
        <f t="shared" si="65"/>
        <v>0.0354429472059242</v>
      </c>
      <c r="CN683" s="15">
        <v>5905.41</v>
      </c>
      <c r="CO683" s="15">
        <v>7400.1</v>
      </c>
      <c r="CP683" s="15">
        <v>288.23</v>
      </c>
      <c r="CQ683" s="15">
        <v>1488.94</v>
      </c>
      <c r="CR683" s="15">
        <v>210.66</v>
      </c>
      <c r="CS683" s="15">
        <v>34.8</v>
      </c>
      <c r="CT683" s="15">
        <v>221.99</v>
      </c>
      <c r="CU683" s="15">
        <v>0.99</v>
      </c>
      <c r="CV683" s="15">
        <v>28.43</v>
      </c>
      <c r="CW683" s="15">
        <v>580.73</v>
      </c>
    </row>
    <row r="684" spans="1:101">
      <c r="A684" s="6">
        <v>2007</v>
      </c>
      <c r="B684" s="6" t="s">
        <v>127</v>
      </c>
      <c r="C684" s="6">
        <v>0.25529124</v>
      </c>
      <c r="D684" s="6">
        <v>0.043532</v>
      </c>
      <c r="E684" s="6">
        <v>0.01056</v>
      </c>
      <c r="F684" s="6">
        <v>0.019391</v>
      </c>
      <c r="G684" s="6">
        <v>0.006217</v>
      </c>
      <c r="H684" s="6">
        <v>0.007365</v>
      </c>
      <c r="I684" s="6">
        <v>0.046205</v>
      </c>
      <c r="J684" s="6">
        <v>0.020953</v>
      </c>
      <c r="K684" s="6">
        <v>0.28990087</v>
      </c>
      <c r="L684" s="6">
        <v>0.20916295</v>
      </c>
      <c r="M684" s="6">
        <v>0.25511857</v>
      </c>
      <c r="N684" s="6">
        <v>0.1552709</v>
      </c>
      <c r="O684" s="6">
        <v>0.18968974</v>
      </c>
      <c r="P684" s="6">
        <v>0.42485791</v>
      </c>
      <c r="Q684" s="6">
        <v>0.30485767</v>
      </c>
      <c r="R684" s="6">
        <v>217.69486</v>
      </c>
      <c r="S684" s="6">
        <v>0.00133168</v>
      </c>
      <c r="T684" s="6">
        <v>169.97573</v>
      </c>
      <c r="U684" s="6">
        <v>0.00123055</v>
      </c>
      <c r="V684" s="6">
        <v>197.11803</v>
      </c>
      <c r="W684" s="6">
        <v>0.00129424</v>
      </c>
      <c r="X684" s="6">
        <v>134.47093</v>
      </c>
      <c r="Y684" s="6">
        <v>0.00115468</v>
      </c>
      <c r="Z684" s="6">
        <v>134.86767</v>
      </c>
      <c r="AA684" s="6">
        <v>0.00140649</v>
      </c>
      <c r="AB684" s="6">
        <v>294.9318</v>
      </c>
      <c r="AC684" s="6">
        <v>0.00144053</v>
      </c>
      <c r="AD684" s="6">
        <v>243.86163</v>
      </c>
      <c r="AE684" s="6">
        <v>0.00125013</v>
      </c>
      <c r="AF684" s="6">
        <v>775</v>
      </c>
      <c r="AG684" s="6">
        <v>-0.0088175</v>
      </c>
      <c r="AH684" s="6">
        <v>-0.00824502</v>
      </c>
      <c r="AI684" s="6">
        <v>-0.00860649</v>
      </c>
      <c r="AJ684" s="6">
        <v>-0.00781018</v>
      </c>
      <c r="AK684" s="6">
        <v>-0.00923593</v>
      </c>
      <c r="AL684" s="6">
        <v>-0.00942502</v>
      </c>
      <c r="AM684" s="6">
        <v>-0.00835648</v>
      </c>
      <c r="AN684" s="6">
        <v>-6.4762184</v>
      </c>
      <c r="AO684" s="6">
        <v>-6.4515561</v>
      </c>
      <c r="AP684" s="6">
        <v>-6.4739881</v>
      </c>
      <c r="AQ684" s="6">
        <v>-6.4253629</v>
      </c>
      <c r="AR684" s="6">
        <v>-6.4020076</v>
      </c>
      <c r="AS684" s="6">
        <v>-6.4618417</v>
      </c>
      <c r="AT684" s="6">
        <v>-6.4506396</v>
      </c>
      <c r="AU684" s="6">
        <v>0.97344833</v>
      </c>
      <c r="AV684" s="6">
        <v>0.96974131</v>
      </c>
      <c r="AW684" s="6">
        <v>0.97311308</v>
      </c>
      <c r="AX684" s="6">
        <v>0.96580418</v>
      </c>
      <c r="AY684" s="6">
        <v>0.96229362</v>
      </c>
      <c r="AZ684" s="6">
        <v>0.97128734</v>
      </c>
      <c r="BA684" s="6">
        <v>0.96960354</v>
      </c>
      <c r="BB684" s="6">
        <v>0.02655167</v>
      </c>
      <c r="BC684" s="6">
        <v>0.03025869</v>
      </c>
      <c r="BD684" s="6">
        <v>0.02688692</v>
      </c>
      <c r="BE684" s="6">
        <v>0.03419582</v>
      </c>
      <c r="BF684" s="6">
        <v>0.03770638</v>
      </c>
      <c r="BG684" s="6">
        <v>0.02871266</v>
      </c>
      <c r="BH684" s="6">
        <v>0.03039646</v>
      </c>
      <c r="BI684" s="6">
        <v>0.21470859</v>
      </c>
      <c r="BJ684" s="6">
        <v>0.12366373</v>
      </c>
      <c r="BK684" s="6">
        <v>0.1409291</v>
      </c>
      <c r="BL684" s="6">
        <v>0.12522516</v>
      </c>
      <c r="BM684" s="6">
        <v>0.1592662</v>
      </c>
      <c r="BN684" s="6">
        <v>0.17561655</v>
      </c>
      <c r="BO684" s="6">
        <v>0.1337285</v>
      </c>
      <c r="BP684" s="6">
        <v>0.14157076</v>
      </c>
      <c r="BQ684" s="6">
        <v>0.03585022</v>
      </c>
      <c r="BR684" s="6">
        <v>0.02947715</v>
      </c>
      <c r="BS684" s="6">
        <v>0.03194726</v>
      </c>
      <c r="BT684" s="6">
        <v>0.02472941</v>
      </c>
      <c r="BU684" s="6">
        <v>0.03331266</v>
      </c>
      <c r="BV684" s="6">
        <v>0.05681561</v>
      </c>
      <c r="BW684" s="6">
        <v>0.04315893</v>
      </c>
      <c r="BX684" s="12">
        <v>6775</v>
      </c>
      <c r="BY684" s="13">
        <v>3708</v>
      </c>
      <c r="BZ684" s="12">
        <v>5757.29</v>
      </c>
      <c r="CA684" s="6">
        <f t="shared" si="66"/>
        <v>1.82713052858684</v>
      </c>
      <c r="CB684" s="6">
        <f t="shared" si="67"/>
        <v>1.1767689312159</v>
      </c>
      <c r="CC684" s="7">
        <v>193745080.8</v>
      </c>
      <c r="CD684" s="7">
        <f t="shared" si="62"/>
        <v>3.3652131610532</v>
      </c>
      <c r="CE684" s="8">
        <v>1966.5</v>
      </c>
      <c r="CF684" s="8">
        <v>4607.7</v>
      </c>
      <c r="CG684" s="8">
        <v>3987.8</v>
      </c>
      <c r="CH684" s="8">
        <v>12963</v>
      </c>
      <c r="CI684" s="14">
        <v>0</v>
      </c>
      <c r="CJ684" s="14">
        <v>0</v>
      </c>
      <c r="CK684" s="14">
        <f t="shared" si="63"/>
        <v>0</v>
      </c>
      <c r="CL684">
        <f t="shared" si="64"/>
        <v>3.23986794305777</v>
      </c>
      <c r="CM684">
        <f t="shared" si="65"/>
        <v>0</v>
      </c>
      <c r="CN684" s="15">
        <v>6639.48</v>
      </c>
      <c r="CO684" s="15">
        <v>7893.75</v>
      </c>
      <c r="CP684" s="15">
        <v>407</v>
      </c>
      <c r="CQ684" s="15">
        <v>1608.85</v>
      </c>
      <c r="CR684" s="15">
        <v>286.77</v>
      </c>
      <c r="CS684" s="15">
        <v>1.78</v>
      </c>
      <c r="CT684" s="15">
        <v>279.89</v>
      </c>
      <c r="CU684" s="15">
        <v>1.13</v>
      </c>
      <c r="CV684" s="15">
        <v>41.34</v>
      </c>
      <c r="CW684" s="15">
        <v>653.69</v>
      </c>
    </row>
    <row r="685" spans="1:101">
      <c r="A685" s="6">
        <v>2008</v>
      </c>
      <c r="B685" s="6" t="s">
        <v>127</v>
      </c>
      <c r="C685" s="6">
        <v>0.26460046</v>
      </c>
      <c r="D685" s="6">
        <v>0.045403</v>
      </c>
      <c r="E685" s="6">
        <v>0.011837</v>
      </c>
      <c r="F685" s="6">
        <v>0.020754</v>
      </c>
      <c r="G685" s="6">
        <v>0.006652</v>
      </c>
      <c r="H685" s="6">
        <v>0.00616</v>
      </c>
      <c r="I685" s="6">
        <v>0.04535</v>
      </c>
      <c r="J685" s="6">
        <v>0.023426</v>
      </c>
      <c r="K685" s="6">
        <v>0.30457929</v>
      </c>
      <c r="L685" s="6">
        <v>0.23937062</v>
      </c>
      <c r="M685" s="6">
        <v>0.27606066</v>
      </c>
      <c r="N685" s="6">
        <v>0.16814729</v>
      </c>
      <c r="O685" s="6">
        <v>0.15318558</v>
      </c>
      <c r="P685" s="6">
        <v>0.41533539</v>
      </c>
      <c r="Q685" s="6">
        <v>0.34898974</v>
      </c>
      <c r="R685" s="6">
        <v>217.69486</v>
      </c>
      <c r="S685" s="6">
        <v>0.00139911</v>
      </c>
      <c r="T685" s="6">
        <v>169.97573</v>
      </c>
      <c r="U685" s="6">
        <v>0.00140826</v>
      </c>
      <c r="V685" s="6">
        <v>197.11803</v>
      </c>
      <c r="W685" s="6">
        <v>0.00140048</v>
      </c>
      <c r="X685" s="6">
        <v>134.47093</v>
      </c>
      <c r="Y685" s="6">
        <v>0.00125044</v>
      </c>
      <c r="Z685" s="6">
        <v>134.86767</v>
      </c>
      <c r="AA685" s="6">
        <v>0.00113582</v>
      </c>
      <c r="AB685" s="6">
        <v>294.9318</v>
      </c>
      <c r="AC685" s="6">
        <v>0.00140824</v>
      </c>
      <c r="AD685" s="6">
        <v>243.86163</v>
      </c>
      <c r="AE685" s="6">
        <v>0.0014311</v>
      </c>
      <c r="AF685" s="6">
        <v>775</v>
      </c>
      <c r="AG685" s="6">
        <v>-0.00919484</v>
      </c>
      <c r="AH685" s="6">
        <v>-0.00924581</v>
      </c>
      <c r="AI685" s="6">
        <v>-0.00920249</v>
      </c>
      <c r="AJ685" s="6">
        <v>-0.00835824</v>
      </c>
      <c r="AK685" s="6">
        <v>-0.00770132</v>
      </c>
      <c r="AL685" s="6">
        <v>-0.00924569</v>
      </c>
      <c r="AM685" s="6">
        <v>-0.00937271</v>
      </c>
      <c r="AN685" s="6">
        <v>-6.4762184</v>
      </c>
      <c r="AO685" s="6">
        <v>-6.4515561</v>
      </c>
      <c r="AP685" s="6">
        <v>-6.4739881</v>
      </c>
      <c r="AQ685" s="6">
        <v>-6.4253629</v>
      </c>
      <c r="AR685" s="6">
        <v>-6.4020076</v>
      </c>
      <c r="AS685" s="6">
        <v>-6.4618417</v>
      </c>
      <c r="AT685" s="6">
        <v>-6.4506396</v>
      </c>
      <c r="AU685" s="6">
        <v>0.97344833</v>
      </c>
      <c r="AV685" s="6">
        <v>0.96974131</v>
      </c>
      <c r="AW685" s="6">
        <v>0.97311308</v>
      </c>
      <c r="AX685" s="6">
        <v>0.96580418</v>
      </c>
      <c r="AY685" s="6">
        <v>0.96229362</v>
      </c>
      <c r="AZ685" s="6">
        <v>0.97128734</v>
      </c>
      <c r="BA685" s="6">
        <v>0.96960354</v>
      </c>
      <c r="BB685" s="6">
        <v>0.02655167</v>
      </c>
      <c r="BC685" s="6">
        <v>0.03025869</v>
      </c>
      <c r="BD685" s="6">
        <v>0.02688692</v>
      </c>
      <c r="BE685" s="6">
        <v>0.03419582</v>
      </c>
      <c r="BF685" s="6">
        <v>0.03770638</v>
      </c>
      <c r="BG685" s="6">
        <v>0.02871266</v>
      </c>
      <c r="BH685" s="6">
        <v>0.03039646</v>
      </c>
      <c r="BI685" s="6">
        <v>0.21470859</v>
      </c>
      <c r="BJ685" s="6">
        <v>0.12366373</v>
      </c>
      <c r="BK685" s="6">
        <v>0.1409291</v>
      </c>
      <c r="BL685" s="6">
        <v>0.12522516</v>
      </c>
      <c r="BM685" s="6">
        <v>0.1592662</v>
      </c>
      <c r="BN685" s="6">
        <v>0.17561655</v>
      </c>
      <c r="BO685" s="6">
        <v>0.1337285</v>
      </c>
      <c r="BP685" s="6">
        <v>0.14157076</v>
      </c>
      <c r="BQ685" s="6">
        <v>0.03766541</v>
      </c>
      <c r="BR685" s="6">
        <v>0.03373429</v>
      </c>
      <c r="BS685" s="6">
        <v>0.03456974</v>
      </c>
      <c r="BT685" s="6">
        <v>0.02678018</v>
      </c>
      <c r="BU685" s="6">
        <v>0.02690192</v>
      </c>
      <c r="BV685" s="6">
        <v>0.05554218</v>
      </c>
      <c r="BW685" s="6">
        <v>0.04940674</v>
      </c>
      <c r="BX685" s="12">
        <v>7417</v>
      </c>
      <c r="BY685" s="13">
        <v>3718</v>
      </c>
      <c r="BZ685" s="12">
        <v>7314.58</v>
      </c>
      <c r="CA685" s="6">
        <f t="shared" si="66"/>
        <v>1.99488972565896</v>
      </c>
      <c r="CB685" s="6">
        <f t="shared" si="67"/>
        <v>1.0140021710064</v>
      </c>
      <c r="CC685" s="7">
        <v>215007934.1</v>
      </c>
      <c r="CD685" s="7">
        <f t="shared" si="62"/>
        <v>2.93944333235811</v>
      </c>
      <c r="CE685" s="8">
        <v>2139</v>
      </c>
      <c r="CF685" s="8">
        <v>5766.5</v>
      </c>
      <c r="CG685" s="8">
        <v>4850.8</v>
      </c>
      <c r="CH685" s="8">
        <v>15685</v>
      </c>
      <c r="CI685" s="14">
        <v>0</v>
      </c>
      <c r="CJ685" s="14">
        <v>0</v>
      </c>
      <c r="CK685" s="14">
        <f t="shared" si="63"/>
        <v>0</v>
      </c>
      <c r="CL685">
        <f t="shared" si="64"/>
        <v>2.71728515287532</v>
      </c>
      <c r="CM685">
        <f t="shared" si="65"/>
        <v>0</v>
      </c>
      <c r="CN685" s="15">
        <v>7417</v>
      </c>
      <c r="CO685" s="15">
        <v>8941</v>
      </c>
      <c r="CP685" s="15">
        <v>387.95</v>
      </c>
      <c r="CQ685" s="15">
        <v>1764.73</v>
      </c>
      <c r="CR685" s="15">
        <v>219.13</v>
      </c>
      <c r="CS685" s="15">
        <v>15.65</v>
      </c>
      <c r="CT685" s="15">
        <v>443.55</v>
      </c>
      <c r="CU685" s="15">
        <v>5.93</v>
      </c>
      <c r="CV685" s="15">
        <v>51.6</v>
      </c>
      <c r="CW685" s="15">
        <v>708.02</v>
      </c>
    </row>
    <row r="686" spans="1:101">
      <c r="A686" s="6">
        <v>2009</v>
      </c>
      <c r="B686" s="6" t="s">
        <v>127</v>
      </c>
      <c r="C686" s="6">
        <v>0.24074904</v>
      </c>
      <c r="D686" s="6">
        <v>0.041847</v>
      </c>
      <c r="E686" s="6">
        <v>0.010521</v>
      </c>
      <c r="F686" s="6">
        <v>0.018911</v>
      </c>
      <c r="G686" s="6">
        <v>0.006951</v>
      </c>
      <c r="H686" s="6">
        <v>0.005465</v>
      </c>
      <c r="I686" s="6">
        <v>0.044568</v>
      </c>
      <c r="J686" s="6">
        <v>0.01986</v>
      </c>
      <c r="K686" s="6">
        <v>0.27668549</v>
      </c>
      <c r="L686" s="6">
        <v>0.20824405</v>
      </c>
      <c r="M686" s="6">
        <v>0.24773567</v>
      </c>
      <c r="N686" s="6">
        <v>0.17698549</v>
      </c>
      <c r="O686" s="6">
        <v>0.13210642</v>
      </c>
      <c r="P686" s="6">
        <v>0.40662179</v>
      </c>
      <c r="Q686" s="6">
        <v>0.28535476</v>
      </c>
      <c r="R686" s="6">
        <v>217.69486</v>
      </c>
      <c r="S686" s="6">
        <v>0.00127098</v>
      </c>
      <c r="T686" s="6">
        <v>169.97573</v>
      </c>
      <c r="U686" s="6">
        <v>0.00122514</v>
      </c>
      <c r="V686" s="6">
        <v>197.11803</v>
      </c>
      <c r="W686" s="6">
        <v>0.00125679</v>
      </c>
      <c r="X686" s="6">
        <v>134.47093</v>
      </c>
      <c r="Y686" s="6">
        <v>0.00131616</v>
      </c>
      <c r="Z686" s="6">
        <v>134.86767</v>
      </c>
      <c r="AA686" s="6">
        <v>0.00097953</v>
      </c>
      <c r="AB686" s="6">
        <v>294.9318</v>
      </c>
      <c r="AC686" s="6">
        <v>0.0013787</v>
      </c>
      <c r="AD686" s="6">
        <v>243.86163</v>
      </c>
      <c r="AE686" s="6">
        <v>0.00117015</v>
      </c>
      <c r="AF686" s="6">
        <v>775</v>
      </c>
      <c r="AG686" s="6">
        <v>-0.00847484</v>
      </c>
      <c r="AH686" s="6">
        <v>-0.0082142</v>
      </c>
      <c r="AI686" s="6">
        <v>-0.00839434</v>
      </c>
      <c r="AJ686" s="6">
        <v>-0.00873015</v>
      </c>
      <c r="AK686" s="6">
        <v>-0.00678659</v>
      </c>
      <c r="AL686" s="6">
        <v>-0.00908095</v>
      </c>
      <c r="AM686" s="6">
        <v>-0.00789924</v>
      </c>
      <c r="AN686" s="6">
        <v>-6.4762184</v>
      </c>
      <c r="AO686" s="6">
        <v>-6.4515561</v>
      </c>
      <c r="AP686" s="6">
        <v>-6.4739881</v>
      </c>
      <c r="AQ686" s="6">
        <v>-6.4253629</v>
      </c>
      <c r="AR686" s="6">
        <v>-6.4020076</v>
      </c>
      <c r="AS686" s="6">
        <v>-6.4618417</v>
      </c>
      <c r="AT686" s="6">
        <v>-6.4506396</v>
      </c>
      <c r="AU686" s="6">
        <v>0.97344833</v>
      </c>
      <c r="AV686" s="6">
        <v>0.96974131</v>
      </c>
      <c r="AW686" s="6">
        <v>0.97311308</v>
      </c>
      <c r="AX686" s="6">
        <v>0.96580418</v>
      </c>
      <c r="AY686" s="6">
        <v>0.96229362</v>
      </c>
      <c r="AZ686" s="6">
        <v>0.97128734</v>
      </c>
      <c r="BA686" s="6">
        <v>0.96960354</v>
      </c>
      <c r="BB686" s="6">
        <v>0.02655167</v>
      </c>
      <c r="BC686" s="6">
        <v>0.03025869</v>
      </c>
      <c r="BD686" s="6">
        <v>0.02688692</v>
      </c>
      <c r="BE686" s="6">
        <v>0.03419582</v>
      </c>
      <c r="BF686" s="6">
        <v>0.03770638</v>
      </c>
      <c r="BG686" s="6">
        <v>0.02871266</v>
      </c>
      <c r="BH686" s="6">
        <v>0.03039646</v>
      </c>
      <c r="BI686" s="6">
        <v>0.21470859</v>
      </c>
      <c r="BJ686" s="6">
        <v>0.12366373</v>
      </c>
      <c r="BK686" s="6">
        <v>0.1409291</v>
      </c>
      <c r="BL686" s="6">
        <v>0.12522516</v>
      </c>
      <c r="BM686" s="6">
        <v>0.1592662</v>
      </c>
      <c r="BN686" s="6">
        <v>0.17561655</v>
      </c>
      <c r="BO686" s="6">
        <v>0.1337285</v>
      </c>
      <c r="BP686" s="6">
        <v>0.14157076</v>
      </c>
      <c r="BQ686" s="6">
        <v>0.03421596</v>
      </c>
      <c r="BR686" s="6">
        <v>0.02934765</v>
      </c>
      <c r="BS686" s="6">
        <v>0.03102274</v>
      </c>
      <c r="BT686" s="6">
        <v>0.02818781</v>
      </c>
      <c r="BU686" s="6">
        <v>0.02320007</v>
      </c>
      <c r="BV686" s="6">
        <v>0.05437692</v>
      </c>
      <c r="BW686" s="6">
        <v>0.04039789</v>
      </c>
      <c r="BX686" s="12">
        <v>8044</v>
      </c>
      <c r="BY686" s="13">
        <v>3727</v>
      </c>
      <c r="BZ686" s="12">
        <v>8169.8</v>
      </c>
      <c r="CA686" s="6">
        <f t="shared" si="66"/>
        <v>2.15830426616582</v>
      </c>
      <c r="CB686" s="6">
        <f t="shared" si="67"/>
        <v>0.984601826238096</v>
      </c>
      <c r="CC686" s="7">
        <v>231562640.6</v>
      </c>
      <c r="CD686" s="7">
        <f t="shared" si="62"/>
        <v>2.83437343141815</v>
      </c>
      <c r="CE686" s="8">
        <v>2160.4</v>
      </c>
      <c r="CF686" s="8">
        <v>6653.2</v>
      </c>
      <c r="CG686" s="8">
        <v>5377</v>
      </c>
      <c r="CH686" s="8">
        <v>17387</v>
      </c>
      <c r="CI686" s="14">
        <v>0</v>
      </c>
      <c r="CJ686" s="14">
        <v>0</v>
      </c>
      <c r="CK686" s="14">
        <f t="shared" si="63"/>
        <v>0</v>
      </c>
      <c r="CL686">
        <f t="shared" si="64"/>
        <v>2.66960201713366</v>
      </c>
      <c r="CM686">
        <f t="shared" si="65"/>
        <v>0</v>
      </c>
      <c r="CN686" s="15">
        <v>8044</v>
      </c>
      <c r="CO686" s="15">
        <v>9497</v>
      </c>
      <c r="CP686" s="15">
        <v>655</v>
      </c>
      <c r="CQ686" s="15">
        <v>1870.1</v>
      </c>
      <c r="CR686" s="15">
        <v>248.49</v>
      </c>
      <c r="CS686" s="15">
        <v>8.48</v>
      </c>
      <c r="CT686" s="15">
        <v>493.29</v>
      </c>
      <c r="CU686" s="15">
        <v>0.03</v>
      </c>
      <c r="CV686" s="15">
        <v>50.01</v>
      </c>
      <c r="CW686" s="15">
        <v>740.11</v>
      </c>
    </row>
    <row r="687" spans="1:101">
      <c r="A687" s="6">
        <v>2010</v>
      </c>
      <c r="B687" s="6" t="s">
        <v>127</v>
      </c>
      <c r="C687" s="6">
        <v>0.28017924</v>
      </c>
      <c r="D687" s="6">
        <v>0.048023</v>
      </c>
      <c r="E687" s="6">
        <v>0.011269</v>
      </c>
      <c r="F687" s="6">
        <v>0.021266</v>
      </c>
      <c r="G687" s="6">
        <v>0.007334</v>
      </c>
      <c r="H687" s="6">
        <v>0.008153</v>
      </c>
      <c r="I687" s="6">
        <v>0.045852</v>
      </c>
      <c r="J687" s="6">
        <v>0.02318</v>
      </c>
      <c r="K687" s="6">
        <v>0.32512559</v>
      </c>
      <c r="L687" s="6">
        <v>0.22594363</v>
      </c>
      <c r="M687" s="6">
        <v>0.28393648</v>
      </c>
      <c r="N687" s="6">
        <v>0.18829804</v>
      </c>
      <c r="O687" s="6">
        <v>0.21358662</v>
      </c>
      <c r="P687" s="6">
        <v>0.42092893</v>
      </c>
      <c r="Q687" s="6">
        <v>0.34460449</v>
      </c>
      <c r="R687" s="6">
        <v>217.69486</v>
      </c>
      <c r="S687" s="6">
        <v>0.00149349</v>
      </c>
      <c r="T687" s="6">
        <v>169.97573</v>
      </c>
      <c r="U687" s="6">
        <v>0.00132927</v>
      </c>
      <c r="V687" s="6">
        <v>197.11803</v>
      </c>
      <c r="W687" s="6">
        <v>0.00144044</v>
      </c>
      <c r="X687" s="6">
        <v>134.47093</v>
      </c>
      <c r="Y687" s="6">
        <v>0.00140029</v>
      </c>
      <c r="Z687" s="6">
        <v>134.86767</v>
      </c>
      <c r="AA687" s="6">
        <v>0.00158368</v>
      </c>
      <c r="AB687" s="6">
        <v>294.9318</v>
      </c>
      <c r="AC687" s="6">
        <v>0.00142721</v>
      </c>
      <c r="AD687" s="6">
        <v>243.86163</v>
      </c>
      <c r="AE687" s="6">
        <v>0.00141311</v>
      </c>
      <c r="AF687" s="6">
        <v>775</v>
      </c>
      <c r="AG687" s="6">
        <v>-0.00971761</v>
      </c>
      <c r="AH687" s="6">
        <v>-0.00880392</v>
      </c>
      <c r="AI687" s="6">
        <v>-0.00942451</v>
      </c>
      <c r="AJ687" s="6">
        <v>-0.0092014</v>
      </c>
      <c r="AK687" s="6">
        <v>-0.01021155</v>
      </c>
      <c r="AL687" s="6">
        <v>-0.00935112</v>
      </c>
      <c r="AM687" s="6">
        <v>-0.0092728</v>
      </c>
      <c r="AN687" s="6">
        <v>-6.4762184</v>
      </c>
      <c r="AO687" s="6">
        <v>-6.4515561</v>
      </c>
      <c r="AP687" s="6">
        <v>-6.4739881</v>
      </c>
      <c r="AQ687" s="6">
        <v>-6.4253629</v>
      </c>
      <c r="AR687" s="6">
        <v>-6.4020076</v>
      </c>
      <c r="AS687" s="6">
        <v>-6.4618417</v>
      </c>
      <c r="AT687" s="6">
        <v>-6.4506396</v>
      </c>
      <c r="AU687" s="6">
        <v>0.97344833</v>
      </c>
      <c r="AV687" s="6">
        <v>0.96974131</v>
      </c>
      <c r="AW687" s="6">
        <v>0.97311308</v>
      </c>
      <c r="AX687" s="6">
        <v>0.96580418</v>
      </c>
      <c r="AY687" s="6">
        <v>0.96229362</v>
      </c>
      <c r="AZ687" s="6">
        <v>0.97128734</v>
      </c>
      <c r="BA687" s="6">
        <v>0.96960354</v>
      </c>
      <c r="BB687" s="6">
        <v>0.02655167</v>
      </c>
      <c r="BC687" s="6">
        <v>0.03025869</v>
      </c>
      <c r="BD687" s="6">
        <v>0.02688692</v>
      </c>
      <c r="BE687" s="6">
        <v>0.03419582</v>
      </c>
      <c r="BF687" s="6">
        <v>0.03770638</v>
      </c>
      <c r="BG687" s="6">
        <v>0.02871266</v>
      </c>
      <c r="BH687" s="6">
        <v>0.03039646</v>
      </c>
      <c r="BI687" s="6">
        <v>0.21470859</v>
      </c>
      <c r="BJ687" s="6">
        <v>0.12366373</v>
      </c>
      <c r="BK687" s="6">
        <v>0.1409291</v>
      </c>
      <c r="BL687" s="6">
        <v>0.12522516</v>
      </c>
      <c r="BM687" s="6">
        <v>0.1592662</v>
      </c>
      <c r="BN687" s="6">
        <v>0.17561655</v>
      </c>
      <c r="BO687" s="6">
        <v>0.1337285</v>
      </c>
      <c r="BP687" s="6">
        <v>0.14157076</v>
      </c>
      <c r="BQ687" s="6">
        <v>0.04020624</v>
      </c>
      <c r="BR687" s="6">
        <v>0.03184203</v>
      </c>
      <c r="BS687" s="6">
        <v>0.03555599</v>
      </c>
      <c r="BT687" s="6">
        <v>0.02998951</v>
      </c>
      <c r="BU687" s="6">
        <v>0.03750934</v>
      </c>
      <c r="BV687" s="6">
        <v>0.05629019</v>
      </c>
      <c r="BW687" s="6">
        <v>0.04878592</v>
      </c>
      <c r="BX687" s="12">
        <v>8882</v>
      </c>
      <c r="BY687" s="13">
        <v>3735</v>
      </c>
      <c r="BZ687" s="12">
        <v>10123.48</v>
      </c>
      <c r="CA687" s="6">
        <f t="shared" si="66"/>
        <v>2.37804551539491</v>
      </c>
      <c r="CB687" s="6">
        <f t="shared" si="67"/>
        <v>0.877366281160234</v>
      </c>
      <c r="CC687" s="7">
        <v>250104562.1</v>
      </c>
      <c r="CD687" s="7">
        <f t="shared" si="62"/>
        <v>2.47053940048284</v>
      </c>
      <c r="CE687" s="8">
        <v>2384.9</v>
      </c>
      <c r="CF687" s="8">
        <v>8283.2</v>
      </c>
      <c r="CG687" s="8">
        <v>6556.7</v>
      </c>
      <c r="CH687" s="8">
        <v>21230</v>
      </c>
      <c r="CI687" s="14">
        <v>0</v>
      </c>
      <c r="CJ687" s="14">
        <v>0</v>
      </c>
      <c r="CK687" s="14">
        <f t="shared" si="63"/>
        <v>0</v>
      </c>
      <c r="CL687">
        <f t="shared" si="64"/>
        <v>2.40850270516871</v>
      </c>
      <c r="CM687">
        <f t="shared" si="65"/>
        <v>0</v>
      </c>
      <c r="CN687" s="15">
        <v>8882.11</v>
      </c>
      <c r="CO687" s="15">
        <v>11638.53</v>
      </c>
      <c r="CP687" s="15">
        <v>731.25</v>
      </c>
      <c r="CQ687" s="15">
        <v>2104.61</v>
      </c>
      <c r="CR687" s="15">
        <v>255.23</v>
      </c>
      <c r="CS687" s="15">
        <v>8.94</v>
      </c>
      <c r="CT687" s="15">
        <v>531.5</v>
      </c>
      <c r="CU687" s="15">
        <v>0.14</v>
      </c>
      <c r="CV687" s="15">
        <v>59.19</v>
      </c>
      <c r="CW687" s="15">
        <v>859.22</v>
      </c>
    </row>
    <row r="688" spans="1:101">
      <c r="A688" s="6">
        <v>2011</v>
      </c>
      <c r="B688" s="6" t="s">
        <v>127</v>
      </c>
      <c r="C688" s="6">
        <v>0.307421</v>
      </c>
      <c r="D688" s="6">
        <v>0.051692</v>
      </c>
      <c r="E688" s="6">
        <v>0.013582</v>
      </c>
      <c r="F688" s="6">
        <v>0.022563</v>
      </c>
      <c r="G688" s="6">
        <v>0.008171</v>
      </c>
      <c r="H688" s="6">
        <v>0.007376</v>
      </c>
      <c r="I688" s="6">
        <v>0.051795</v>
      </c>
      <c r="J688" s="6">
        <v>0.025091</v>
      </c>
      <c r="K688" s="6">
        <v>0.35390446</v>
      </c>
      <c r="L688" s="6">
        <v>0.28061591</v>
      </c>
      <c r="M688" s="6">
        <v>0.30386257</v>
      </c>
      <c r="N688" s="6">
        <v>0.21305159</v>
      </c>
      <c r="O688" s="6">
        <v>0.19002636</v>
      </c>
      <c r="P688" s="6">
        <v>0.48711698</v>
      </c>
      <c r="Q688" s="6">
        <v>0.37869791</v>
      </c>
      <c r="R688" s="6">
        <v>217.69486</v>
      </c>
      <c r="S688" s="6">
        <v>0.00162569</v>
      </c>
      <c r="T688" s="6">
        <v>169.97573</v>
      </c>
      <c r="U688" s="6">
        <v>0.00165092</v>
      </c>
      <c r="V688" s="6">
        <v>197.11803</v>
      </c>
      <c r="W688" s="6">
        <v>0.00154153</v>
      </c>
      <c r="X688" s="6">
        <v>134.47093</v>
      </c>
      <c r="Y688" s="6">
        <v>0.00158437</v>
      </c>
      <c r="Z688" s="6">
        <v>134.86767</v>
      </c>
      <c r="AA688" s="6">
        <v>0.00140898</v>
      </c>
      <c r="AB688" s="6">
        <v>294.9318</v>
      </c>
      <c r="AC688" s="6">
        <v>0.00165163</v>
      </c>
      <c r="AD688" s="6">
        <v>243.86163</v>
      </c>
      <c r="AE688" s="6">
        <v>0.00155292</v>
      </c>
      <c r="AF688" s="6">
        <v>775</v>
      </c>
      <c r="AG688" s="6">
        <v>-0.0104399</v>
      </c>
      <c r="AH688" s="6">
        <v>-0.01057648</v>
      </c>
      <c r="AI688" s="6">
        <v>-0.00998135</v>
      </c>
      <c r="AJ688" s="6">
        <v>-0.01021533</v>
      </c>
      <c r="AK688" s="6">
        <v>-0.00924982</v>
      </c>
      <c r="AL688" s="6">
        <v>-0.01058031</v>
      </c>
      <c r="AM688" s="6">
        <v>-0.0100437</v>
      </c>
      <c r="AN688" s="6">
        <v>-6.4762184</v>
      </c>
      <c r="AO688" s="6">
        <v>-6.4515561</v>
      </c>
      <c r="AP688" s="6">
        <v>-6.4739881</v>
      </c>
      <c r="AQ688" s="6">
        <v>-6.4253629</v>
      </c>
      <c r="AR688" s="6">
        <v>-6.4020076</v>
      </c>
      <c r="AS688" s="6">
        <v>-6.4618417</v>
      </c>
      <c r="AT688" s="6">
        <v>-6.4506396</v>
      </c>
      <c r="AU688" s="6">
        <v>0.97344833</v>
      </c>
      <c r="AV688" s="6">
        <v>0.96974131</v>
      </c>
      <c r="AW688" s="6">
        <v>0.97311308</v>
      </c>
      <c r="AX688" s="6">
        <v>0.96580418</v>
      </c>
      <c r="AY688" s="6">
        <v>0.96229362</v>
      </c>
      <c r="AZ688" s="6">
        <v>0.97128734</v>
      </c>
      <c r="BA688" s="6">
        <v>0.96960354</v>
      </c>
      <c r="BB688" s="6">
        <v>0.02655167</v>
      </c>
      <c r="BC688" s="6">
        <v>0.03025869</v>
      </c>
      <c r="BD688" s="6">
        <v>0.02688692</v>
      </c>
      <c r="BE688" s="6">
        <v>0.03419582</v>
      </c>
      <c r="BF688" s="6">
        <v>0.03770638</v>
      </c>
      <c r="BG688" s="6">
        <v>0.02871266</v>
      </c>
      <c r="BH688" s="6">
        <v>0.03039646</v>
      </c>
      <c r="BI688" s="6">
        <v>0.21470859</v>
      </c>
      <c r="BJ688" s="6">
        <v>0.12366373</v>
      </c>
      <c r="BK688" s="6">
        <v>0.1409291</v>
      </c>
      <c r="BL688" s="6">
        <v>0.12522516</v>
      </c>
      <c r="BM688" s="6">
        <v>0.1592662</v>
      </c>
      <c r="BN688" s="6">
        <v>0.17561655</v>
      </c>
      <c r="BO688" s="6">
        <v>0.1337285</v>
      </c>
      <c r="BP688" s="6">
        <v>0.14157076</v>
      </c>
      <c r="BQ688" s="6">
        <v>0.04376515</v>
      </c>
      <c r="BR688" s="6">
        <v>0.03954695</v>
      </c>
      <c r="BS688" s="6">
        <v>0.03805124</v>
      </c>
      <c r="BT688" s="6">
        <v>0.03393192</v>
      </c>
      <c r="BU688" s="6">
        <v>0.03337177</v>
      </c>
      <c r="BV688" s="6">
        <v>0.06514142</v>
      </c>
      <c r="BW688" s="6">
        <v>0.05361255</v>
      </c>
      <c r="BX688" s="12">
        <v>9761</v>
      </c>
      <c r="BY688" s="13">
        <v>3765</v>
      </c>
      <c r="BZ688" s="12">
        <v>12512.3</v>
      </c>
      <c r="CA688" s="6">
        <f t="shared" si="66"/>
        <v>2.5925630810093</v>
      </c>
      <c r="CB688" s="6">
        <f t="shared" si="67"/>
        <v>0.780112369428482</v>
      </c>
      <c r="CC688" s="7">
        <v>277501217.5</v>
      </c>
      <c r="CD688" s="7">
        <f t="shared" si="62"/>
        <v>2.21782739784052</v>
      </c>
      <c r="CE688" s="8">
        <v>2854.6</v>
      </c>
      <c r="CF688" s="8">
        <v>10014.4</v>
      </c>
      <c r="CG688" s="8">
        <v>8181.9</v>
      </c>
      <c r="CH688" s="8">
        <v>26136</v>
      </c>
      <c r="CI688" s="14">
        <v>0</v>
      </c>
      <c r="CJ688" s="14">
        <v>0</v>
      </c>
      <c r="CK688" s="14">
        <f t="shared" si="63"/>
        <v>0</v>
      </c>
      <c r="CL688">
        <f t="shared" si="64"/>
        <v>2.18035126729488</v>
      </c>
      <c r="CM688">
        <f t="shared" si="65"/>
        <v>0</v>
      </c>
      <c r="CN688" s="15">
        <v>9761</v>
      </c>
      <c r="CO688" s="15">
        <v>13318</v>
      </c>
      <c r="CP688" s="15">
        <v>793.68</v>
      </c>
      <c r="CQ688" s="15">
        <v>2095.67</v>
      </c>
      <c r="CR688" s="15">
        <v>279.6</v>
      </c>
      <c r="CS688" s="15">
        <v>9.67</v>
      </c>
      <c r="CT688" s="15">
        <v>573.75</v>
      </c>
      <c r="CU688" s="15">
        <v>0.16</v>
      </c>
      <c r="CV688" s="15">
        <v>62.49</v>
      </c>
      <c r="CW688" s="15">
        <v>982</v>
      </c>
    </row>
    <row r="689" spans="1:101">
      <c r="A689" s="6">
        <v>2012</v>
      </c>
      <c r="B689" s="6" t="s">
        <v>127</v>
      </c>
      <c r="C689" s="6">
        <v>0.29641507</v>
      </c>
      <c r="D689" s="6">
        <v>0.050822</v>
      </c>
      <c r="E689" s="6">
        <v>0.011823</v>
      </c>
      <c r="F689" s="6">
        <v>0.022813</v>
      </c>
      <c r="G689" s="6">
        <v>0.008113</v>
      </c>
      <c r="H689" s="6">
        <v>0.008072</v>
      </c>
      <c r="I689" s="6">
        <v>0.04994</v>
      </c>
      <c r="J689" s="6">
        <v>0.022932</v>
      </c>
      <c r="K689" s="6">
        <v>0.34708311</v>
      </c>
      <c r="L689" s="6">
        <v>0.23904059</v>
      </c>
      <c r="M689" s="6">
        <v>0.30771839</v>
      </c>
      <c r="N689" s="6">
        <v>0.21132172</v>
      </c>
      <c r="O689" s="6">
        <v>0.21113407</v>
      </c>
      <c r="P689" s="6">
        <v>0.46645465</v>
      </c>
      <c r="Q689" s="6">
        <v>0.3401712</v>
      </c>
      <c r="R689" s="6">
        <v>217.69486</v>
      </c>
      <c r="S689" s="6">
        <v>0.00159436</v>
      </c>
      <c r="T689" s="6">
        <v>169.97573</v>
      </c>
      <c r="U689" s="6">
        <v>0.00140632</v>
      </c>
      <c r="V689" s="6">
        <v>197.11803</v>
      </c>
      <c r="W689" s="6">
        <v>0.00156109</v>
      </c>
      <c r="X689" s="6">
        <v>134.47093</v>
      </c>
      <c r="Y689" s="6">
        <v>0.0015715</v>
      </c>
      <c r="Z689" s="6">
        <v>134.86767</v>
      </c>
      <c r="AA689" s="6">
        <v>0.00156549</v>
      </c>
      <c r="AB689" s="6">
        <v>294.9318</v>
      </c>
      <c r="AC689" s="6">
        <v>0.00158157</v>
      </c>
      <c r="AD689" s="6">
        <v>243.86163</v>
      </c>
      <c r="AE689" s="6">
        <v>0.00139494</v>
      </c>
      <c r="AF689" s="6">
        <v>775</v>
      </c>
      <c r="AG689" s="6">
        <v>-0.0102697</v>
      </c>
      <c r="AH689" s="6">
        <v>-0.009235</v>
      </c>
      <c r="AI689" s="6">
        <v>-0.01008833</v>
      </c>
      <c r="AJ689" s="6">
        <v>-0.0101452</v>
      </c>
      <c r="AK689" s="6">
        <v>-0.01011237</v>
      </c>
      <c r="AL689" s="6">
        <v>-0.01020007</v>
      </c>
      <c r="AM689" s="6">
        <v>-0.00917157</v>
      </c>
      <c r="AN689" s="6">
        <v>-6.4762184</v>
      </c>
      <c r="AO689" s="6">
        <v>-6.4515561</v>
      </c>
      <c r="AP689" s="6">
        <v>-6.4739881</v>
      </c>
      <c r="AQ689" s="6">
        <v>-6.4253629</v>
      </c>
      <c r="AR689" s="6">
        <v>-6.4020076</v>
      </c>
      <c r="AS689" s="6">
        <v>-6.4618417</v>
      </c>
      <c r="AT689" s="6">
        <v>-6.4506396</v>
      </c>
      <c r="AU689" s="6">
        <v>0.97344833</v>
      </c>
      <c r="AV689" s="6">
        <v>0.96974131</v>
      </c>
      <c r="AW689" s="6">
        <v>0.97311308</v>
      </c>
      <c r="AX689" s="6">
        <v>0.96580418</v>
      </c>
      <c r="AY689" s="6">
        <v>0.96229362</v>
      </c>
      <c r="AZ689" s="6">
        <v>0.97128734</v>
      </c>
      <c r="BA689" s="6">
        <v>0.96960354</v>
      </c>
      <c r="BB689" s="6">
        <v>0.02655167</v>
      </c>
      <c r="BC689" s="6">
        <v>0.03025869</v>
      </c>
      <c r="BD689" s="6">
        <v>0.02688692</v>
      </c>
      <c r="BE689" s="6">
        <v>0.03419582</v>
      </c>
      <c r="BF689" s="6">
        <v>0.03770638</v>
      </c>
      <c r="BG689" s="6">
        <v>0.02871266</v>
      </c>
      <c r="BH689" s="6">
        <v>0.03039646</v>
      </c>
      <c r="BI689" s="6">
        <v>0.21470859</v>
      </c>
      <c r="BJ689" s="6">
        <v>0.12366373</v>
      </c>
      <c r="BK689" s="6">
        <v>0.1409291</v>
      </c>
      <c r="BL689" s="6">
        <v>0.12522516</v>
      </c>
      <c r="BM689" s="6">
        <v>0.1592662</v>
      </c>
      <c r="BN689" s="6">
        <v>0.17561655</v>
      </c>
      <c r="BO689" s="6">
        <v>0.1337285</v>
      </c>
      <c r="BP689" s="6">
        <v>0.14157076</v>
      </c>
      <c r="BQ689" s="6">
        <v>0.04292159</v>
      </c>
      <c r="BR689" s="6">
        <v>0.03368777</v>
      </c>
      <c r="BS689" s="6">
        <v>0.03853408</v>
      </c>
      <c r="BT689" s="6">
        <v>0.03365641</v>
      </c>
      <c r="BU689" s="6">
        <v>0.03707864</v>
      </c>
      <c r="BV689" s="6">
        <v>0.06237828</v>
      </c>
      <c r="BW689" s="6">
        <v>0.0481583</v>
      </c>
      <c r="BX689" s="12">
        <v>10626</v>
      </c>
      <c r="BY689" s="13">
        <v>3787</v>
      </c>
      <c r="BZ689" s="12">
        <v>14453.68</v>
      </c>
      <c r="CA689" s="6">
        <f t="shared" si="66"/>
        <v>2.80591497227357</v>
      </c>
      <c r="CB689" s="6">
        <f t="shared" si="67"/>
        <v>0.735176093562331</v>
      </c>
      <c r="CC689" s="7">
        <v>277327415.4</v>
      </c>
      <c r="CD689" s="7">
        <f t="shared" si="62"/>
        <v>1.91873222182863</v>
      </c>
      <c r="CE689" s="8">
        <v>3142.6</v>
      </c>
      <c r="CF689" s="8">
        <v>11231.1</v>
      </c>
      <c r="CG689" s="8">
        <v>9548.8</v>
      </c>
      <c r="CH689" s="8">
        <v>29627</v>
      </c>
      <c r="CI689" s="14">
        <v>0</v>
      </c>
      <c r="CJ689" s="14">
        <v>0</v>
      </c>
      <c r="CK689" s="14">
        <f t="shared" si="63"/>
        <v>0</v>
      </c>
      <c r="CL689">
        <f t="shared" si="64"/>
        <v>2.01609935715007</v>
      </c>
      <c r="CM689">
        <f t="shared" si="65"/>
        <v>0.0482948099636717</v>
      </c>
      <c r="CN689" s="15">
        <v>10625.71</v>
      </c>
      <c r="CO689" s="15">
        <v>15774</v>
      </c>
      <c r="CP689" s="15">
        <v>895.44</v>
      </c>
      <c r="CQ689" s="15">
        <v>2267.96</v>
      </c>
      <c r="CR689" s="15">
        <v>287.01</v>
      </c>
      <c r="CS689" s="15">
        <v>10.11</v>
      </c>
      <c r="CT689" s="15">
        <v>586.5</v>
      </c>
      <c r="CU689" s="15">
        <v>0.09</v>
      </c>
      <c r="CV689" s="15">
        <v>65.97</v>
      </c>
      <c r="CW689" s="15">
        <v>1066.75</v>
      </c>
    </row>
    <row r="690" spans="1:101">
      <c r="A690" s="6">
        <v>2013</v>
      </c>
      <c r="B690" s="6" t="s">
        <v>127</v>
      </c>
      <c r="C690" s="6">
        <v>0.33633252</v>
      </c>
      <c r="D690" s="6">
        <v>0.054636</v>
      </c>
      <c r="E690" s="6">
        <v>0.012871</v>
      </c>
      <c r="F690" s="6">
        <v>0.024706</v>
      </c>
      <c r="G690" s="6">
        <v>0.007967</v>
      </c>
      <c r="H690" s="6">
        <v>0.009092</v>
      </c>
      <c r="I690" s="6">
        <v>0.056743</v>
      </c>
      <c r="J690" s="6">
        <v>0.028557</v>
      </c>
      <c r="K690" s="6">
        <v>0.37700286</v>
      </c>
      <c r="L690" s="6">
        <v>0.26380058</v>
      </c>
      <c r="M690" s="6">
        <v>0.33680774</v>
      </c>
      <c r="N690" s="6">
        <v>0.20701703</v>
      </c>
      <c r="O690" s="6">
        <v>0.24204585</v>
      </c>
      <c r="P690" s="6">
        <v>0.5422279</v>
      </c>
      <c r="Q690" s="6">
        <v>0.44053983</v>
      </c>
      <c r="R690" s="6">
        <v>217.69486</v>
      </c>
      <c r="S690" s="6">
        <v>0.00173179</v>
      </c>
      <c r="T690" s="6">
        <v>169.97573</v>
      </c>
      <c r="U690" s="6">
        <v>0.00155199</v>
      </c>
      <c r="V690" s="6">
        <v>197.11803</v>
      </c>
      <c r="W690" s="6">
        <v>0.00170866</v>
      </c>
      <c r="X690" s="6">
        <v>134.47093</v>
      </c>
      <c r="Y690" s="6">
        <v>0.00153949</v>
      </c>
      <c r="Z690" s="6">
        <v>134.86767</v>
      </c>
      <c r="AA690" s="6">
        <v>0.00179469</v>
      </c>
      <c r="AB690" s="6">
        <v>294.9318</v>
      </c>
      <c r="AC690" s="6">
        <v>0.00183849</v>
      </c>
      <c r="AD690" s="6">
        <v>243.86163</v>
      </c>
      <c r="AE690" s="6">
        <v>0.00180652</v>
      </c>
      <c r="AF690" s="6">
        <v>775</v>
      </c>
      <c r="AG690" s="6">
        <v>-0.01101179</v>
      </c>
      <c r="AH690" s="6">
        <v>-0.01003861</v>
      </c>
      <c r="AI690" s="6">
        <v>-0.01088766</v>
      </c>
      <c r="AJ690" s="6">
        <v>-0.00997022</v>
      </c>
      <c r="AK690" s="6">
        <v>-0.01134769</v>
      </c>
      <c r="AL690" s="6">
        <v>-0.01158028</v>
      </c>
      <c r="AM690" s="6">
        <v>-0.01141059</v>
      </c>
      <c r="AN690" s="6">
        <v>-6.4762184</v>
      </c>
      <c r="AO690" s="6">
        <v>-6.4515561</v>
      </c>
      <c r="AP690" s="6">
        <v>-6.4739881</v>
      </c>
      <c r="AQ690" s="6">
        <v>-6.4253629</v>
      </c>
      <c r="AR690" s="6">
        <v>-6.4020076</v>
      </c>
      <c r="AS690" s="6">
        <v>-6.4618417</v>
      </c>
      <c r="AT690" s="6">
        <v>-6.4506396</v>
      </c>
      <c r="AU690" s="6">
        <v>0.97344833</v>
      </c>
      <c r="AV690" s="6">
        <v>0.96974131</v>
      </c>
      <c r="AW690" s="6">
        <v>0.97311308</v>
      </c>
      <c r="AX690" s="6">
        <v>0.96580418</v>
      </c>
      <c r="AY690" s="6">
        <v>0.96229362</v>
      </c>
      <c r="AZ690" s="6">
        <v>0.97128734</v>
      </c>
      <c r="BA690" s="6">
        <v>0.96960354</v>
      </c>
      <c r="BB690" s="6">
        <v>0.02655167</v>
      </c>
      <c r="BC690" s="6">
        <v>0.03025869</v>
      </c>
      <c r="BD690" s="6">
        <v>0.02688692</v>
      </c>
      <c r="BE690" s="6">
        <v>0.03419582</v>
      </c>
      <c r="BF690" s="6">
        <v>0.03770638</v>
      </c>
      <c r="BG690" s="6">
        <v>0.02871266</v>
      </c>
      <c r="BH690" s="6">
        <v>0.03039646</v>
      </c>
      <c r="BI690" s="6">
        <v>0.21470859</v>
      </c>
      <c r="BJ690" s="6">
        <v>0.12366373</v>
      </c>
      <c r="BK690" s="6">
        <v>0.1409291</v>
      </c>
      <c r="BL690" s="6">
        <v>0.12522516</v>
      </c>
      <c r="BM690" s="6">
        <v>0.1592662</v>
      </c>
      <c r="BN690" s="6">
        <v>0.17561655</v>
      </c>
      <c r="BO690" s="6">
        <v>0.1337285</v>
      </c>
      <c r="BP690" s="6">
        <v>0.14157076</v>
      </c>
      <c r="BQ690" s="6">
        <v>0.04662158</v>
      </c>
      <c r="BR690" s="6">
        <v>0.03717718</v>
      </c>
      <c r="BS690" s="6">
        <v>0.0421768</v>
      </c>
      <c r="BT690" s="6">
        <v>0.03297082</v>
      </c>
      <c r="BU690" s="6">
        <v>0.04250726</v>
      </c>
      <c r="BV690" s="6">
        <v>0.07251132</v>
      </c>
      <c r="BW690" s="6">
        <v>0.06236756</v>
      </c>
      <c r="BX690" s="12">
        <v>10610</v>
      </c>
      <c r="BY690" s="13">
        <v>3804</v>
      </c>
      <c r="BZ690" s="12">
        <v>16205.45</v>
      </c>
      <c r="CA690" s="6">
        <f t="shared" si="66"/>
        <v>2.78916929547844</v>
      </c>
      <c r="CB690" s="6">
        <f t="shared" si="67"/>
        <v>0.654718011533157</v>
      </c>
      <c r="CC690" s="7">
        <v>294633089.7</v>
      </c>
      <c r="CD690" s="7">
        <f t="shared" si="62"/>
        <v>1.81811112742935</v>
      </c>
      <c r="CE690" s="8">
        <v>3257.4</v>
      </c>
      <c r="CF690" s="8">
        <v>12418.9</v>
      </c>
      <c r="CG690" s="8">
        <v>10841.7</v>
      </c>
      <c r="CH690" s="8">
        <v>32750</v>
      </c>
      <c r="CI690" s="14">
        <v>0</v>
      </c>
      <c r="CJ690" s="14">
        <v>0</v>
      </c>
      <c r="CK690" s="14">
        <f t="shared" si="63"/>
        <v>0</v>
      </c>
      <c r="CL690">
        <f t="shared" si="64"/>
        <v>1.91398219724656</v>
      </c>
      <c r="CM690">
        <f t="shared" si="65"/>
        <v>0.0500898440722851</v>
      </c>
      <c r="CN690" s="15">
        <v>10610</v>
      </c>
      <c r="CO690" s="15">
        <v>17247.95</v>
      </c>
      <c r="CP690" s="15">
        <v>935.22</v>
      </c>
      <c r="CQ690" s="15">
        <v>2230.64</v>
      </c>
      <c r="CR690" s="15">
        <v>220.98</v>
      </c>
      <c r="CS690" s="15">
        <v>32.27</v>
      </c>
      <c r="CT690" s="15">
        <v>521.87</v>
      </c>
      <c r="CU690" s="15">
        <v>21.7</v>
      </c>
      <c r="CV690" s="15">
        <v>70.3</v>
      </c>
      <c r="CW690" s="15">
        <v>1152.22</v>
      </c>
    </row>
    <row r="691" spans="1:101">
      <c r="A691" s="6">
        <v>2014</v>
      </c>
      <c r="B691" s="6" t="s">
        <v>127</v>
      </c>
      <c r="C691" s="6">
        <v>0.330291</v>
      </c>
      <c r="D691" s="6">
        <v>0.053114</v>
      </c>
      <c r="E691" s="6">
        <v>0.013256</v>
      </c>
      <c r="F691" s="6">
        <v>0.024293</v>
      </c>
      <c r="G691" s="6">
        <v>0.008415</v>
      </c>
      <c r="H691" s="6">
        <v>0.00715</v>
      </c>
      <c r="I691" s="6">
        <v>0.058181</v>
      </c>
      <c r="J691" s="6">
        <v>0.028966</v>
      </c>
      <c r="K691" s="6">
        <v>0.36506104</v>
      </c>
      <c r="L691" s="6">
        <v>0.27290547</v>
      </c>
      <c r="M691" s="6">
        <v>0.33046319</v>
      </c>
      <c r="N691" s="6">
        <v>0.22025892</v>
      </c>
      <c r="O691" s="6">
        <v>0.1831735</v>
      </c>
      <c r="P691" s="6">
        <v>0.558253</v>
      </c>
      <c r="Q691" s="6">
        <v>0.44784054</v>
      </c>
      <c r="R691" s="6">
        <v>217.69486</v>
      </c>
      <c r="S691" s="6">
        <v>0.00167694</v>
      </c>
      <c r="T691" s="6">
        <v>169.97573</v>
      </c>
      <c r="U691" s="6">
        <v>0.00160556</v>
      </c>
      <c r="V691" s="6">
        <v>197.11803</v>
      </c>
      <c r="W691" s="6">
        <v>0.00167647</v>
      </c>
      <c r="X691" s="6">
        <v>134.47093</v>
      </c>
      <c r="Y691" s="6">
        <v>0.00163797</v>
      </c>
      <c r="Z691" s="6">
        <v>134.86767</v>
      </c>
      <c r="AA691" s="6">
        <v>0.00135817</v>
      </c>
      <c r="AB691" s="6">
        <v>294.9318</v>
      </c>
      <c r="AC691" s="6">
        <v>0.00189282</v>
      </c>
      <c r="AD691" s="6">
        <v>243.86163</v>
      </c>
      <c r="AE691" s="6">
        <v>0.00183645</v>
      </c>
      <c r="AF691" s="6">
        <v>775</v>
      </c>
      <c r="AG691" s="6">
        <v>-0.01071696</v>
      </c>
      <c r="AH691" s="6">
        <v>-0.0103306</v>
      </c>
      <c r="AI691" s="6">
        <v>-0.01071445</v>
      </c>
      <c r="AJ691" s="6">
        <v>-0.01050641</v>
      </c>
      <c r="AK691" s="6">
        <v>-0.00896613</v>
      </c>
      <c r="AL691" s="6">
        <v>-0.01186739</v>
      </c>
      <c r="AM691" s="6">
        <v>-0.01156951</v>
      </c>
      <c r="AN691" s="6">
        <v>-6.4762184</v>
      </c>
      <c r="AO691" s="6">
        <v>-6.4515561</v>
      </c>
      <c r="AP691" s="6">
        <v>-6.4739881</v>
      </c>
      <c r="AQ691" s="6">
        <v>-6.4253629</v>
      </c>
      <c r="AR691" s="6">
        <v>-6.4020076</v>
      </c>
      <c r="AS691" s="6">
        <v>-6.4618417</v>
      </c>
      <c r="AT691" s="6">
        <v>-6.4506396</v>
      </c>
      <c r="AU691" s="6">
        <v>0.97344833</v>
      </c>
      <c r="AV691" s="6">
        <v>0.96974131</v>
      </c>
      <c r="AW691" s="6">
        <v>0.97311308</v>
      </c>
      <c r="AX691" s="6">
        <v>0.96580418</v>
      </c>
      <c r="AY691" s="6">
        <v>0.96229362</v>
      </c>
      <c r="AZ691" s="6">
        <v>0.97128734</v>
      </c>
      <c r="BA691" s="6">
        <v>0.96960354</v>
      </c>
      <c r="BB691" s="6">
        <v>0.02655167</v>
      </c>
      <c r="BC691" s="6">
        <v>0.03025869</v>
      </c>
      <c r="BD691" s="6">
        <v>0.02688692</v>
      </c>
      <c r="BE691" s="6">
        <v>0.03419582</v>
      </c>
      <c r="BF691" s="6">
        <v>0.03770638</v>
      </c>
      <c r="BG691" s="6">
        <v>0.02871266</v>
      </c>
      <c r="BH691" s="6">
        <v>0.03039646</v>
      </c>
      <c r="BI691" s="6">
        <v>0.21470859</v>
      </c>
      <c r="BJ691" s="6">
        <v>0.12366373</v>
      </c>
      <c r="BK691" s="6">
        <v>0.1409291</v>
      </c>
      <c r="BL691" s="6">
        <v>0.12522516</v>
      </c>
      <c r="BM691" s="6">
        <v>0.1592662</v>
      </c>
      <c r="BN691" s="6">
        <v>0.17561655</v>
      </c>
      <c r="BO691" s="6">
        <v>0.1337285</v>
      </c>
      <c r="BP691" s="6">
        <v>0.14157076</v>
      </c>
      <c r="BQ691" s="6">
        <v>0.04514481</v>
      </c>
      <c r="BR691" s="6">
        <v>0.03846032</v>
      </c>
      <c r="BS691" s="6">
        <v>0.04138231</v>
      </c>
      <c r="BT691" s="6">
        <v>0.0350798</v>
      </c>
      <c r="BU691" s="6">
        <v>0.0321683</v>
      </c>
      <c r="BV691" s="6">
        <v>0.07465433</v>
      </c>
      <c r="BW691" s="6">
        <v>0.06340113</v>
      </c>
      <c r="BX691" s="12">
        <v>11222</v>
      </c>
      <c r="BY691" s="13">
        <v>3827</v>
      </c>
      <c r="BZ691" s="12">
        <v>17689.94</v>
      </c>
      <c r="CA691" s="6">
        <f t="shared" si="66"/>
        <v>2.93232296838254</v>
      </c>
      <c r="CB691" s="6">
        <f t="shared" si="67"/>
        <v>0.634371852024371</v>
      </c>
      <c r="CC691" s="7">
        <v>291516245.6</v>
      </c>
      <c r="CD691" s="7">
        <f t="shared" si="62"/>
        <v>1.64792105343489</v>
      </c>
      <c r="CE691" s="8">
        <v>3524.7</v>
      </c>
      <c r="CF691" s="8">
        <v>13082.7</v>
      </c>
      <c r="CG691" s="8">
        <v>12283.9</v>
      </c>
      <c r="CH691" s="8">
        <v>35563</v>
      </c>
      <c r="CI691" s="14">
        <v>0</v>
      </c>
      <c r="CJ691" s="14">
        <v>0</v>
      </c>
      <c r="CK691" s="14">
        <f t="shared" si="63"/>
        <v>0</v>
      </c>
      <c r="CL691">
        <f t="shared" si="64"/>
        <v>1.79640226266579</v>
      </c>
      <c r="CM691">
        <f t="shared" si="65"/>
        <v>0.0826547663164021</v>
      </c>
      <c r="CN691" s="15">
        <v>11222.46</v>
      </c>
      <c r="CO691" s="15">
        <v>18375.34</v>
      </c>
      <c r="CP691" s="15">
        <v>975.07</v>
      </c>
      <c r="CQ691" s="15">
        <v>2249.6</v>
      </c>
      <c r="CR691" s="15">
        <v>229.92</v>
      </c>
      <c r="CS691" s="15">
        <v>36.26</v>
      </c>
      <c r="CT691" s="15">
        <v>539.43</v>
      </c>
      <c r="CU691" s="15">
        <v>17.53</v>
      </c>
      <c r="CV691" s="15">
        <v>74.26</v>
      </c>
      <c r="CW691" s="15">
        <v>1226.01</v>
      </c>
    </row>
    <row r="692" spans="1:101">
      <c r="A692" s="6">
        <v>2015</v>
      </c>
      <c r="B692" s="6" t="s">
        <v>127</v>
      </c>
      <c r="C692" s="6">
        <v>0.3584854</v>
      </c>
      <c r="D692" s="6">
        <v>0.054288</v>
      </c>
      <c r="E692" s="6">
        <v>0.013673</v>
      </c>
      <c r="F692" s="6">
        <v>0.023817</v>
      </c>
      <c r="G692" s="6">
        <v>0.007636</v>
      </c>
      <c r="H692" s="6">
        <v>0.009163</v>
      </c>
      <c r="I692" s="6">
        <v>0.060994</v>
      </c>
      <c r="J692" s="6">
        <v>0.035044</v>
      </c>
      <c r="K692" s="6">
        <v>0.37426767</v>
      </c>
      <c r="L692" s="6">
        <v>0.28275963</v>
      </c>
      <c r="M692" s="6">
        <v>0.32313456</v>
      </c>
      <c r="N692" s="6">
        <v>0.19721847</v>
      </c>
      <c r="O692" s="6">
        <v>0.24418284</v>
      </c>
      <c r="P692" s="6">
        <v>0.58957734</v>
      </c>
      <c r="Q692" s="6">
        <v>0.55627551</v>
      </c>
      <c r="R692" s="6">
        <v>217.69486</v>
      </c>
      <c r="S692" s="6">
        <v>0.00171923</v>
      </c>
      <c r="T692" s="6">
        <v>169.97573</v>
      </c>
      <c r="U692" s="6">
        <v>0.00166353</v>
      </c>
      <c r="V692" s="6">
        <v>197.11803</v>
      </c>
      <c r="W692" s="6">
        <v>0.00163929</v>
      </c>
      <c r="X692" s="6">
        <v>134.47093</v>
      </c>
      <c r="Y692" s="6">
        <v>0.00146663</v>
      </c>
      <c r="Z692" s="6">
        <v>134.86767</v>
      </c>
      <c r="AA692" s="6">
        <v>0.00181054</v>
      </c>
      <c r="AB692" s="6">
        <v>294.9318</v>
      </c>
      <c r="AC692" s="6">
        <v>0.00199903</v>
      </c>
      <c r="AD692" s="6">
        <v>243.86163</v>
      </c>
      <c r="AE692" s="6">
        <v>0.00228111</v>
      </c>
      <c r="AF692" s="6">
        <v>775</v>
      </c>
      <c r="AG692" s="6">
        <v>-0.01094441</v>
      </c>
      <c r="AH692" s="6">
        <v>-0.01064461</v>
      </c>
      <c r="AI692" s="6">
        <v>-0.0105136</v>
      </c>
      <c r="AJ692" s="6">
        <v>-0.00956942</v>
      </c>
      <c r="AK692" s="6">
        <v>-0.01143197</v>
      </c>
      <c r="AL692" s="6">
        <v>-0.01242415</v>
      </c>
      <c r="AM692" s="6">
        <v>-0.01387621</v>
      </c>
      <c r="AN692" s="6">
        <v>-6.4762184</v>
      </c>
      <c r="AO692" s="6">
        <v>-6.4515561</v>
      </c>
      <c r="AP692" s="6">
        <v>-6.4739881</v>
      </c>
      <c r="AQ692" s="6">
        <v>-6.4253629</v>
      </c>
      <c r="AR692" s="6">
        <v>-6.4020076</v>
      </c>
      <c r="AS692" s="6">
        <v>-6.4618417</v>
      </c>
      <c r="AT692" s="6">
        <v>-6.4506396</v>
      </c>
      <c r="AU692" s="6">
        <v>0.97344833</v>
      </c>
      <c r="AV692" s="6">
        <v>0.96974131</v>
      </c>
      <c r="AW692" s="6">
        <v>0.97311308</v>
      </c>
      <c r="AX692" s="6">
        <v>0.96580418</v>
      </c>
      <c r="AY692" s="6">
        <v>0.96229362</v>
      </c>
      <c r="AZ692" s="6">
        <v>0.97128734</v>
      </c>
      <c r="BA692" s="6">
        <v>0.96960354</v>
      </c>
      <c r="BB692" s="6">
        <v>0.02655167</v>
      </c>
      <c r="BC692" s="6">
        <v>0.03025869</v>
      </c>
      <c r="BD692" s="6">
        <v>0.02688692</v>
      </c>
      <c r="BE692" s="6">
        <v>0.03419582</v>
      </c>
      <c r="BF692" s="6">
        <v>0.03770638</v>
      </c>
      <c r="BG692" s="6">
        <v>0.02871266</v>
      </c>
      <c r="BH692" s="6">
        <v>0.03039646</v>
      </c>
      <c r="BI692" s="6">
        <v>0.21470859</v>
      </c>
      <c r="BJ692" s="6">
        <v>0.12366373</v>
      </c>
      <c r="BK692" s="6">
        <v>0.1409291</v>
      </c>
      <c r="BL692" s="6">
        <v>0.12522516</v>
      </c>
      <c r="BM692" s="6">
        <v>0.1592662</v>
      </c>
      <c r="BN692" s="6">
        <v>0.17561655</v>
      </c>
      <c r="BO692" s="6">
        <v>0.1337285</v>
      </c>
      <c r="BP692" s="6">
        <v>0.14157076</v>
      </c>
      <c r="BQ692" s="6">
        <v>0.04628334</v>
      </c>
      <c r="BR692" s="6">
        <v>0.03984906</v>
      </c>
      <c r="BS692" s="6">
        <v>0.04046458</v>
      </c>
      <c r="BT692" s="6">
        <v>0.03141024</v>
      </c>
      <c r="BU692" s="6">
        <v>0.04288255</v>
      </c>
      <c r="BV692" s="6">
        <v>0.07884329</v>
      </c>
      <c r="BW692" s="6">
        <v>0.07875235</v>
      </c>
      <c r="BX692" s="12">
        <v>11746</v>
      </c>
      <c r="BY692" s="13">
        <v>3846</v>
      </c>
      <c r="BZ692" s="12">
        <v>18021.8609</v>
      </c>
      <c r="CA692" s="6">
        <f t="shared" si="66"/>
        <v>3.05408216328653</v>
      </c>
      <c r="CB692" s="6">
        <f t="shared" si="67"/>
        <v>0.651763991808415</v>
      </c>
      <c r="CC692" s="7">
        <v>295209176.4</v>
      </c>
      <c r="CD692" s="7">
        <f t="shared" si="62"/>
        <v>1.63806156333168</v>
      </c>
      <c r="CE692" s="8">
        <v>3661</v>
      </c>
      <c r="CF692" s="8">
        <v>13192.5</v>
      </c>
      <c r="CG692" s="8">
        <v>13488.6</v>
      </c>
      <c r="CH692" s="8">
        <v>37150</v>
      </c>
      <c r="CI692" s="14">
        <v>0</v>
      </c>
      <c r="CJ692" s="14">
        <v>0</v>
      </c>
      <c r="CK692" s="14">
        <f t="shared" si="63"/>
        <v>0</v>
      </c>
      <c r="CL692">
        <f t="shared" si="64"/>
        <v>1.71577514742415</v>
      </c>
      <c r="CM692">
        <f t="shared" si="65"/>
        <v>0.0452935713686814</v>
      </c>
      <c r="CN692" s="15">
        <v>11746</v>
      </c>
      <c r="CO692" s="15">
        <v>18373.61</v>
      </c>
      <c r="CP692" s="15">
        <v>960.47</v>
      </c>
      <c r="CQ692" s="15">
        <v>2101.1</v>
      </c>
      <c r="CR692" s="15">
        <v>243.51</v>
      </c>
      <c r="CS692" s="15">
        <v>34.48</v>
      </c>
      <c r="CT692" s="15">
        <v>409.39</v>
      </c>
      <c r="CU692" s="15">
        <v>13.81</v>
      </c>
      <c r="CV692" s="15">
        <v>92.35</v>
      </c>
      <c r="CW692" s="15">
        <v>1222</v>
      </c>
    </row>
    <row r="693" spans="1:101">
      <c r="A693" s="6">
        <v>2016</v>
      </c>
      <c r="B693" s="6" t="s">
        <v>127</v>
      </c>
      <c r="C693" s="6">
        <v>0.35116108</v>
      </c>
      <c r="D693" s="6">
        <v>0.060574</v>
      </c>
      <c r="E693" s="6">
        <v>0.015081</v>
      </c>
      <c r="F693" s="6">
        <v>0.027579</v>
      </c>
      <c r="G693" s="6">
        <v>0.008887</v>
      </c>
      <c r="H693" s="6">
        <v>0.009028</v>
      </c>
      <c r="I693" s="6">
        <v>0.053714</v>
      </c>
      <c r="J693" s="6">
        <v>0.027251</v>
      </c>
      <c r="K693" s="6">
        <v>0.42357977</v>
      </c>
      <c r="L693" s="6">
        <v>0.3160485</v>
      </c>
      <c r="M693" s="6">
        <v>0.38095793</v>
      </c>
      <c r="N693" s="6">
        <v>0.2342198</v>
      </c>
      <c r="O693" s="6">
        <v>0.24007966</v>
      </c>
      <c r="P693" s="6">
        <v>0.50849618</v>
      </c>
      <c r="Q693" s="6">
        <v>0.41723296</v>
      </c>
      <c r="R693" s="6">
        <v>217.69486</v>
      </c>
      <c r="S693" s="6">
        <v>0.00194575</v>
      </c>
      <c r="T693" s="6">
        <v>169.97573</v>
      </c>
      <c r="U693" s="6">
        <v>0.00185937</v>
      </c>
      <c r="V693" s="6">
        <v>197.11803</v>
      </c>
      <c r="W693" s="6">
        <v>0.00193264</v>
      </c>
      <c r="X693" s="6">
        <v>134.47093</v>
      </c>
      <c r="Y693" s="6">
        <v>0.00174179</v>
      </c>
      <c r="Z693" s="6">
        <v>134.86767</v>
      </c>
      <c r="AA693" s="6">
        <v>0.00178011</v>
      </c>
      <c r="AB693" s="6">
        <v>294.9318</v>
      </c>
      <c r="AC693" s="6">
        <v>0.00172411</v>
      </c>
      <c r="AD693" s="6">
        <v>243.86163</v>
      </c>
      <c r="AE693" s="6">
        <v>0.00171094</v>
      </c>
      <c r="AF693" s="6">
        <v>775</v>
      </c>
      <c r="AG693" s="6">
        <v>-0.01214558</v>
      </c>
      <c r="AH693" s="6">
        <v>-0.01169084</v>
      </c>
      <c r="AI693" s="6">
        <v>-0.01207681</v>
      </c>
      <c r="AJ693" s="6">
        <v>-0.0110653</v>
      </c>
      <c r="AK693" s="6">
        <v>-0.01127003</v>
      </c>
      <c r="AL693" s="6">
        <v>-0.01097061</v>
      </c>
      <c r="AM693" s="6">
        <v>-0.01089991</v>
      </c>
      <c r="AN693" s="6">
        <v>-6.4762184</v>
      </c>
      <c r="AO693" s="6">
        <v>-6.4515561</v>
      </c>
      <c r="AP693" s="6">
        <v>-6.4739881</v>
      </c>
      <c r="AQ693" s="6">
        <v>-6.4253629</v>
      </c>
      <c r="AR693" s="6">
        <v>-6.4020076</v>
      </c>
      <c r="AS693" s="6">
        <v>-6.4618417</v>
      </c>
      <c r="AT693" s="6">
        <v>-6.4506396</v>
      </c>
      <c r="AU693" s="6">
        <v>0.97344833</v>
      </c>
      <c r="AV693" s="6">
        <v>0.96974131</v>
      </c>
      <c r="AW693" s="6">
        <v>0.97311308</v>
      </c>
      <c r="AX693" s="6">
        <v>0.96580418</v>
      </c>
      <c r="AY693" s="6">
        <v>0.96229362</v>
      </c>
      <c r="AZ693" s="6">
        <v>0.97128734</v>
      </c>
      <c r="BA693" s="6">
        <v>0.96960354</v>
      </c>
      <c r="BB693" s="6">
        <v>0.02655167</v>
      </c>
      <c r="BC693" s="6">
        <v>0.03025869</v>
      </c>
      <c r="BD693" s="6">
        <v>0.02688692</v>
      </c>
      <c r="BE693" s="6">
        <v>0.03419582</v>
      </c>
      <c r="BF693" s="6">
        <v>0.03770638</v>
      </c>
      <c r="BG693" s="6">
        <v>0.02871266</v>
      </c>
      <c r="BH693" s="6">
        <v>0.03039646</v>
      </c>
      <c r="BI693" s="6">
        <v>0.21470859</v>
      </c>
      <c r="BJ693" s="6">
        <v>0.12366373</v>
      </c>
      <c r="BK693" s="6">
        <v>0.1409291</v>
      </c>
      <c r="BL693" s="6">
        <v>0.12522516</v>
      </c>
      <c r="BM693" s="6">
        <v>0.1592662</v>
      </c>
      <c r="BN693" s="6">
        <v>0.17561655</v>
      </c>
      <c r="BO693" s="6">
        <v>0.1337285</v>
      </c>
      <c r="BP693" s="6">
        <v>0.14157076</v>
      </c>
      <c r="BQ693" s="6">
        <v>0.05238146</v>
      </c>
      <c r="BR693" s="6">
        <v>0.04454043</v>
      </c>
      <c r="BS693" s="6">
        <v>0.04770552</v>
      </c>
      <c r="BT693" s="6">
        <v>0.0373033</v>
      </c>
      <c r="BU693" s="6">
        <v>0.04216196</v>
      </c>
      <c r="BV693" s="6">
        <v>0.06800043</v>
      </c>
      <c r="BW693" s="6">
        <v>0.05906799</v>
      </c>
      <c r="BX693" s="12">
        <v>12146</v>
      </c>
      <c r="BY693" s="13">
        <v>3874</v>
      </c>
      <c r="BZ693" s="12">
        <v>19399.59</v>
      </c>
      <c r="CA693" s="6">
        <f t="shared" si="66"/>
        <v>3.13526071244192</v>
      </c>
      <c r="CB693" s="6">
        <f t="shared" si="67"/>
        <v>0.626095706146367</v>
      </c>
      <c r="CC693" s="7">
        <v>293190892.2</v>
      </c>
      <c r="CD693" s="7">
        <f t="shared" si="62"/>
        <v>1.51132519914081</v>
      </c>
      <c r="CE693" s="8">
        <v>3900.6</v>
      </c>
      <c r="CF693" s="8">
        <v>13450.1</v>
      </c>
      <c r="CG693" s="8">
        <v>15787.8</v>
      </c>
      <c r="CH693" s="8">
        <v>40297</v>
      </c>
      <c r="CI693" s="14">
        <v>0</v>
      </c>
      <c r="CJ693" s="14">
        <v>0</v>
      </c>
      <c r="CK693" s="14">
        <f t="shared" si="63"/>
        <v>0</v>
      </c>
      <c r="CL693">
        <f t="shared" si="64"/>
        <v>1.62438398605541</v>
      </c>
      <c r="CM693">
        <f t="shared" si="65"/>
        <v>0.0696010228401385</v>
      </c>
      <c r="CN693" s="15">
        <v>12146</v>
      </c>
      <c r="CO693" s="15">
        <v>19392.24</v>
      </c>
      <c r="CP693" s="15">
        <v>830.38</v>
      </c>
      <c r="CQ693" s="15">
        <v>1823.86</v>
      </c>
      <c r="CR693" s="15">
        <v>257.31</v>
      </c>
      <c r="CS693" s="15">
        <v>30.03</v>
      </c>
      <c r="CT693" s="15">
        <v>409.63</v>
      </c>
      <c r="CU693" s="15">
        <v>12.35</v>
      </c>
      <c r="CV693" s="15">
        <v>98.22</v>
      </c>
      <c r="CW693" s="15">
        <v>1357.06</v>
      </c>
    </row>
    <row r="694" spans="1:101">
      <c r="A694" s="6">
        <v>2017</v>
      </c>
      <c r="B694" s="6" t="s">
        <v>127</v>
      </c>
      <c r="C694" s="6">
        <v>0.35850715</v>
      </c>
      <c r="D694" s="6">
        <v>0.06146</v>
      </c>
      <c r="E694" s="6">
        <v>0.015059</v>
      </c>
      <c r="F694" s="6">
        <v>0.028877</v>
      </c>
      <c r="G694" s="6">
        <v>0.008592</v>
      </c>
      <c r="H694" s="6">
        <v>0.008932</v>
      </c>
      <c r="I694" s="6">
        <v>0.05776</v>
      </c>
      <c r="J694" s="6">
        <v>0.027225</v>
      </c>
      <c r="K694" s="6">
        <v>0.43052573</v>
      </c>
      <c r="L694" s="6">
        <v>0.31552995</v>
      </c>
      <c r="M694" s="6">
        <v>0.40091384</v>
      </c>
      <c r="N694" s="6">
        <v>0.22547829</v>
      </c>
      <c r="O694" s="6">
        <v>0.23719361</v>
      </c>
      <c r="P694" s="6">
        <v>0.55355537</v>
      </c>
      <c r="Q694" s="6">
        <v>0.41677083</v>
      </c>
      <c r="R694" s="6">
        <v>217.69486</v>
      </c>
      <c r="S694" s="6">
        <v>0.00197766</v>
      </c>
      <c r="T694" s="6">
        <v>169.97573</v>
      </c>
      <c r="U694" s="6">
        <v>0.00185632</v>
      </c>
      <c r="V694" s="6">
        <v>197.11803</v>
      </c>
      <c r="W694" s="6">
        <v>0.00203388</v>
      </c>
      <c r="X694" s="6">
        <v>134.47093</v>
      </c>
      <c r="Y694" s="6">
        <v>0.00167678</v>
      </c>
      <c r="Z694" s="6">
        <v>134.86767</v>
      </c>
      <c r="AA694" s="6">
        <v>0.00175871</v>
      </c>
      <c r="AB694" s="6">
        <v>294.9318</v>
      </c>
      <c r="AC694" s="6">
        <v>0.00187689</v>
      </c>
      <c r="AD694" s="6">
        <v>243.86163</v>
      </c>
      <c r="AE694" s="6">
        <v>0.00170905</v>
      </c>
      <c r="AF694" s="6">
        <v>775</v>
      </c>
      <c r="AG694" s="6">
        <v>-0.01231258</v>
      </c>
      <c r="AH694" s="6">
        <v>-0.01167471</v>
      </c>
      <c r="AI694" s="6">
        <v>-0.01260559</v>
      </c>
      <c r="AJ694" s="6">
        <v>-0.0107161</v>
      </c>
      <c r="AK694" s="6">
        <v>-0.01115582</v>
      </c>
      <c r="AL694" s="6">
        <v>-0.01178339</v>
      </c>
      <c r="AM694" s="6">
        <v>-0.01088974</v>
      </c>
      <c r="AN694" s="6">
        <v>-6.4762184</v>
      </c>
      <c r="AO694" s="6">
        <v>-6.4515561</v>
      </c>
      <c r="AP694" s="6">
        <v>-6.4739881</v>
      </c>
      <c r="AQ694" s="6">
        <v>-6.4253629</v>
      </c>
      <c r="AR694" s="6">
        <v>-6.4020076</v>
      </c>
      <c r="AS694" s="6">
        <v>-6.4618417</v>
      </c>
      <c r="AT694" s="6">
        <v>-6.4506396</v>
      </c>
      <c r="AU694" s="6">
        <v>0.97344833</v>
      </c>
      <c r="AV694" s="6">
        <v>0.96974131</v>
      </c>
      <c r="AW694" s="6">
        <v>0.97311308</v>
      </c>
      <c r="AX694" s="6">
        <v>0.96580418</v>
      </c>
      <c r="AY694" s="6">
        <v>0.96229362</v>
      </c>
      <c r="AZ694" s="6">
        <v>0.97128734</v>
      </c>
      <c r="BA694" s="6">
        <v>0.96960354</v>
      </c>
      <c r="BB694" s="6">
        <v>0.02655167</v>
      </c>
      <c r="BC694" s="6">
        <v>0.03025869</v>
      </c>
      <c r="BD694" s="6">
        <v>0.02688692</v>
      </c>
      <c r="BE694" s="6">
        <v>0.03419582</v>
      </c>
      <c r="BF694" s="6">
        <v>0.03770638</v>
      </c>
      <c r="BG694" s="6">
        <v>0.02871266</v>
      </c>
      <c r="BH694" s="6">
        <v>0.03039646</v>
      </c>
      <c r="BI694" s="6">
        <v>0.21470859</v>
      </c>
      <c r="BJ694" s="6">
        <v>0.12366373</v>
      </c>
      <c r="BK694" s="6">
        <v>0.1409291</v>
      </c>
      <c r="BL694" s="6">
        <v>0.12522516</v>
      </c>
      <c r="BM694" s="6">
        <v>0.1592662</v>
      </c>
      <c r="BN694" s="6">
        <v>0.17561655</v>
      </c>
      <c r="BO694" s="6">
        <v>0.1337285</v>
      </c>
      <c r="BP694" s="6">
        <v>0.14157076</v>
      </c>
      <c r="BQ694" s="6">
        <v>0.05324042</v>
      </c>
      <c r="BR694" s="6">
        <v>0.04446735</v>
      </c>
      <c r="BS694" s="6">
        <v>0.0502045</v>
      </c>
      <c r="BT694" s="6">
        <v>0.03591107</v>
      </c>
      <c r="BU694" s="6">
        <v>0.04165512</v>
      </c>
      <c r="BV694" s="6">
        <v>0.07402613</v>
      </c>
      <c r="BW694" s="6">
        <v>0.05900257</v>
      </c>
      <c r="BX694" s="12">
        <v>12549</v>
      </c>
      <c r="BY694" s="13">
        <v>3904</v>
      </c>
      <c r="BZ694" s="12">
        <v>21898.81</v>
      </c>
      <c r="CA694" s="6">
        <f t="shared" si="66"/>
        <v>3.21439549180328</v>
      </c>
      <c r="CB694" s="6">
        <f t="shared" si="67"/>
        <v>0.573044836682907</v>
      </c>
      <c r="CC694" s="7">
        <v>295654615.5</v>
      </c>
      <c r="CD694" s="7">
        <f t="shared" si="62"/>
        <v>1.35009443663834</v>
      </c>
      <c r="CE694" s="8">
        <v>4262.5</v>
      </c>
      <c r="CF694" s="8">
        <v>14569.2</v>
      </c>
      <c r="CG694" s="8">
        <v>19073.5</v>
      </c>
      <c r="CH694" s="8">
        <v>45835</v>
      </c>
      <c r="CI694" s="14">
        <v>1</v>
      </c>
      <c r="CJ694" s="14">
        <v>0</v>
      </c>
      <c r="CK694" s="14">
        <f t="shared" si="63"/>
        <v>0</v>
      </c>
      <c r="CL694">
        <f t="shared" si="64"/>
        <v>1.56738551218677</v>
      </c>
      <c r="CM694">
        <f t="shared" si="65"/>
        <v>0.13863282125485</v>
      </c>
      <c r="CN694" s="15">
        <v>12549</v>
      </c>
      <c r="CO694" s="15">
        <v>20065.4</v>
      </c>
      <c r="CP694" s="15">
        <v>829.6</v>
      </c>
      <c r="CQ694" s="15">
        <v>1853.57</v>
      </c>
      <c r="CR694" s="15">
        <v>277.42</v>
      </c>
      <c r="CS694" s="15">
        <v>50</v>
      </c>
      <c r="CT694" s="15">
        <v>373.81</v>
      </c>
      <c r="CU694" s="15">
        <v>19.46</v>
      </c>
      <c r="CV694" s="15">
        <v>103.16</v>
      </c>
      <c r="CW694" s="15">
        <v>1494.75</v>
      </c>
    </row>
    <row r="695" spans="1:101">
      <c r="A695" s="6">
        <v>2018</v>
      </c>
      <c r="B695" s="6" t="s">
        <v>127</v>
      </c>
      <c r="C695" s="6">
        <v>0.4084364</v>
      </c>
      <c r="D695" s="6">
        <v>0.061414</v>
      </c>
      <c r="E695" s="6">
        <v>0.015693</v>
      </c>
      <c r="F695" s="6">
        <v>0.02665</v>
      </c>
      <c r="G695" s="6">
        <v>0.007976</v>
      </c>
      <c r="H695" s="6">
        <v>0.011095</v>
      </c>
      <c r="I695" s="6">
        <v>0.066136</v>
      </c>
      <c r="J695" s="6">
        <v>0.03952</v>
      </c>
      <c r="K695" s="6">
        <v>0.43016694</v>
      </c>
      <c r="L695" s="6">
        <v>0.33053143</v>
      </c>
      <c r="M695" s="6">
        <v>0.36667991</v>
      </c>
      <c r="N695" s="6">
        <v>0.20728915</v>
      </c>
      <c r="O695" s="6">
        <v>0.30272652</v>
      </c>
      <c r="P695" s="6">
        <v>0.64685444</v>
      </c>
      <c r="Q695" s="6">
        <v>0.63615175</v>
      </c>
      <c r="R695" s="6">
        <v>217.69486</v>
      </c>
      <c r="S695" s="6">
        <v>0.00197601</v>
      </c>
      <c r="T695" s="6">
        <v>169.97573</v>
      </c>
      <c r="U695" s="6">
        <v>0.00194458</v>
      </c>
      <c r="V695" s="6">
        <v>197.11803</v>
      </c>
      <c r="W695" s="6">
        <v>0.0018602</v>
      </c>
      <c r="X695" s="6">
        <v>134.47093</v>
      </c>
      <c r="Y695" s="6">
        <v>0.00154152</v>
      </c>
      <c r="Z695" s="6">
        <v>134.86767</v>
      </c>
      <c r="AA695" s="6">
        <v>0.00224462</v>
      </c>
      <c r="AB695" s="6">
        <v>294.9318</v>
      </c>
      <c r="AC695" s="6">
        <v>0.00219323</v>
      </c>
      <c r="AD695" s="6">
        <v>243.86163</v>
      </c>
      <c r="AE695" s="6">
        <v>0.00260866</v>
      </c>
      <c r="AF695" s="6">
        <v>775</v>
      </c>
      <c r="AG695" s="6">
        <v>-0.01230397</v>
      </c>
      <c r="AH695" s="6">
        <v>-0.01213945</v>
      </c>
      <c r="AI695" s="6">
        <v>-0.01169524</v>
      </c>
      <c r="AJ695" s="6">
        <v>-0.0099813</v>
      </c>
      <c r="AK695" s="6">
        <v>-0.01369042</v>
      </c>
      <c r="AL695" s="6">
        <v>-0.01342781</v>
      </c>
      <c r="AM695" s="6">
        <v>-0.0155187</v>
      </c>
      <c r="AN695" s="6">
        <v>-6.4762184</v>
      </c>
      <c r="AO695" s="6">
        <v>-6.4515561</v>
      </c>
      <c r="AP695" s="6">
        <v>-6.4739881</v>
      </c>
      <c r="AQ695" s="6">
        <v>-6.4253629</v>
      </c>
      <c r="AR695" s="6">
        <v>-6.4020076</v>
      </c>
      <c r="AS695" s="6">
        <v>-6.4618417</v>
      </c>
      <c r="AT695" s="6">
        <v>-6.4506396</v>
      </c>
      <c r="AU695" s="6">
        <v>0.97344833</v>
      </c>
      <c r="AV695" s="6">
        <v>0.96974131</v>
      </c>
      <c r="AW695" s="6">
        <v>0.97311308</v>
      </c>
      <c r="AX695" s="6">
        <v>0.96580418</v>
      </c>
      <c r="AY695" s="6">
        <v>0.96229362</v>
      </c>
      <c r="AZ695" s="6">
        <v>0.97128734</v>
      </c>
      <c r="BA695" s="6">
        <v>0.96960354</v>
      </c>
      <c r="BB695" s="6">
        <v>0.02655167</v>
      </c>
      <c r="BC695" s="6">
        <v>0.03025869</v>
      </c>
      <c r="BD695" s="6">
        <v>0.02688692</v>
      </c>
      <c r="BE695" s="6">
        <v>0.03419582</v>
      </c>
      <c r="BF695" s="6">
        <v>0.03770638</v>
      </c>
      <c r="BG695" s="6">
        <v>0.02871266</v>
      </c>
      <c r="BH695" s="6">
        <v>0.03039646</v>
      </c>
      <c r="BI695" s="6">
        <v>0.21470859</v>
      </c>
      <c r="BJ695" s="6">
        <v>0.12366373</v>
      </c>
      <c r="BK695" s="6">
        <v>0.1409291</v>
      </c>
      <c r="BL695" s="6">
        <v>0.12522516</v>
      </c>
      <c r="BM695" s="6">
        <v>0.1592662</v>
      </c>
      <c r="BN695" s="6">
        <v>0.17561655</v>
      </c>
      <c r="BO695" s="6">
        <v>0.1337285</v>
      </c>
      <c r="BP695" s="6">
        <v>0.14157076</v>
      </c>
      <c r="BQ695" s="6">
        <v>0.05319605</v>
      </c>
      <c r="BR695" s="6">
        <v>0.0465815</v>
      </c>
      <c r="BS695" s="6">
        <v>0.04591755</v>
      </c>
      <c r="BT695" s="6">
        <v>0.03301416</v>
      </c>
      <c r="BU695" s="6">
        <v>0.05316379</v>
      </c>
      <c r="BV695" s="6">
        <v>0.08650287</v>
      </c>
      <c r="BW695" s="6">
        <v>0.09006049</v>
      </c>
      <c r="BX695" s="12">
        <v>12900</v>
      </c>
      <c r="BY695" s="13">
        <v>3931</v>
      </c>
      <c r="BZ695" s="12">
        <v>24438.32</v>
      </c>
      <c r="CA695" s="6">
        <f t="shared" si="66"/>
        <v>3.28160773340117</v>
      </c>
      <c r="CB695" s="6">
        <f t="shared" si="67"/>
        <v>0.527859525532033</v>
      </c>
      <c r="CC695" s="7">
        <v>325154185.3</v>
      </c>
      <c r="CD695" s="7">
        <f t="shared" si="62"/>
        <v>1.33050956571483</v>
      </c>
      <c r="CE695" s="8">
        <v>4427.4</v>
      </c>
      <c r="CF695" s="8">
        <v>16056.9</v>
      </c>
      <c r="CG695" s="8">
        <v>22417.7</v>
      </c>
      <c r="CH695" s="8">
        <v>51658</v>
      </c>
      <c r="CI695" s="14">
        <v>1</v>
      </c>
      <c r="CJ695" s="14">
        <v>0</v>
      </c>
      <c r="CK695" s="14">
        <f t="shared" si="63"/>
        <v>0</v>
      </c>
      <c r="CL695">
        <f t="shared" si="64"/>
        <v>1.51591455826218</v>
      </c>
      <c r="CM695">
        <f t="shared" si="65"/>
        <v>0.122305700896422</v>
      </c>
      <c r="CN695" s="15">
        <v>12900</v>
      </c>
      <c r="CO695" s="15">
        <v>19395.89</v>
      </c>
      <c r="CP695" s="15">
        <v>769.12</v>
      </c>
      <c r="CQ695" s="15">
        <v>1864.17</v>
      </c>
      <c r="CR695" s="15">
        <v>298.34</v>
      </c>
      <c r="CS695" s="15">
        <v>77.96</v>
      </c>
      <c r="CT695" s="15">
        <v>400.54</v>
      </c>
      <c r="CU695" s="15">
        <v>28.09</v>
      </c>
      <c r="CV695" s="15">
        <v>105.52</v>
      </c>
      <c r="CW695" s="15">
        <v>1594.17</v>
      </c>
    </row>
    <row r="696" spans="1:101">
      <c r="A696" s="6">
        <v>2019</v>
      </c>
      <c r="B696" s="6" t="s">
        <v>127</v>
      </c>
      <c r="C696" s="6">
        <v>0.38321518</v>
      </c>
      <c r="D696" s="6">
        <v>0.062809</v>
      </c>
      <c r="E696" s="6">
        <v>0.0151</v>
      </c>
      <c r="F696" s="6">
        <v>0.028549</v>
      </c>
      <c r="G696" s="6">
        <v>0.010114</v>
      </c>
      <c r="H696" s="6">
        <v>0.009046</v>
      </c>
      <c r="I696" s="6">
        <v>0.061566</v>
      </c>
      <c r="J696" s="6">
        <v>0.031363</v>
      </c>
      <c r="K696" s="6">
        <v>0.44110973</v>
      </c>
      <c r="L696" s="6">
        <v>0.31651795</v>
      </c>
      <c r="M696" s="6">
        <v>0.39587143</v>
      </c>
      <c r="N696" s="6">
        <v>0.27047532</v>
      </c>
      <c r="O696" s="6">
        <v>0.24062809</v>
      </c>
      <c r="P696" s="6">
        <v>0.5959523</v>
      </c>
      <c r="Q696" s="6">
        <v>0.49059984</v>
      </c>
      <c r="R696" s="6">
        <v>217.69486</v>
      </c>
      <c r="S696" s="6">
        <v>0.00202628</v>
      </c>
      <c r="T696" s="6">
        <v>169.97573</v>
      </c>
      <c r="U696" s="6">
        <v>0.00186214</v>
      </c>
      <c r="V696" s="6">
        <v>197.11803</v>
      </c>
      <c r="W696" s="6">
        <v>0.0020083</v>
      </c>
      <c r="X696" s="6">
        <v>134.47093</v>
      </c>
      <c r="Y696" s="6">
        <v>0.0020114</v>
      </c>
      <c r="Z696" s="6">
        <v>134.86767</v>
      </c>
      <c r="AA696" s="6">
        <v>0.00178418</v>
      </c>
      <c r="AB696" s="6">
        <v>294.9318</v>
      </c>
      <c r="AC696" s="6">
        <v>0.00202064</v>
      </c>
      <c r="AD696" s="6">
        <v>243.86163</v>
      </c>
      <c r="AE696" s="6">
        <v>0.0020118</v>
      </c>
      <c r="AF696" s="6">
        <v>775</v>
      </c>
      <c r="AG696" s="6">
        <v>-0.01256606</v>
      </c>
      <c r="AH696" s="6">
        <v>-0.01170545</v>
      </c>
      <c r="AI696" s="6">
        <v>-0.01247246</v>
      </c>
      <c r="AJ696" s="6">
        <v>-0.01248865</v>
      </c>
      <c r="AK696" s="6">
        <v>-0.01129171</v>
      </c>
      <c r="AL696" s="6">
        <v>-0.01253676</v>
      </c>
      <c r="AM696" s="6">
        <v>-0.01249069</v>
      </c>
      <c r="AN696" s="6">
        <v>-6.4762184</v>
      </c>
      <c r="AO696" s="6">
        <v>-6.4515561</v>
      </c>
      <c r="AP696" s="6">
        <v>-6.4739881</v>
      </c>
      <c r="AQ696" s="6">
        <v>-6.4253629</v>
      </c>
      <c r="AR696" s="6">
        <v>-6.4020076</v>
      </c>
      <c r="AS696" s="6">
        <v>-6.4618417</v>
      </c>
      <c r="AT696" s="6">
        <v>-6.4506396</v>
      </c>
      <c r="AU696" s="6">
        <v>0.97344833</v>
      </c>
      <c r="AV696" s="6">
        <v>0.96974131</v>
      </c>
      <c r="AW696" s="6">
        <v>0.97311308</v>
      </c>
      <c r="AX696" s="6">
        <v>0.96580418</v>
      </c>
      <c r="AY696" s="6">
        <v>0.96229362</v>
      </c>
      <c r="AZ696" s="6">
        <v>0.97128734</v>
      </c>
      <c r="BA696" s="6">
        <v>0.96960354</v>
      </c>
      <c r="BB696" s="6">
        <v>0.02655167</v>
      </c>
      <c r="BC696" s="6">
        <v>0.03025869</v>
      </c>
      <c r="BD696" s="6">
        <v>0.02688692</v>
      </c>
      <c r="BE696" s="6">
        <v>0.03419582</v>
      </c>
      <c r="BF696" s="6">
        <v>0.03770638</v>
      </c>
      <c r="BG696" s="6">
        <v>0.02871266</v>
      </c>
      <c r="BH696" s="6">
        <v>0.03039646</v>
      </c>
      <c r="BI696" s="6">
        <v>0.21470859</v>
      </c>
      <c r="BJ696" s="6">
        <v>0.12366373</v>
      </c>
      <c r="BK696" s="6">
        <v>0.1409291</v>
      </c>
      <c r="BL696" s="6">
        <v>0.12522516</v>
      </c>
      <c r="BM696" s="6">
        <v>0.1592662</v>
      </c>
      <c r="BN696" s="6">
        <v>0.17561655</v>
      </c>
      <c r="BO696" s="6">
        <v>0.1337285</v>
      </c>
      <c r="BP696" s="6">
        <v>0.14157076</v>
      </c>
      <c r="BQ696" s="6">
        <v>0.05454928</v>
      </c>
      <c r="BR696" s="6">
        <v>0.04460659</v>
      </c>
      <c r="BS696" s="6">
        <v>0.04957306</v>
      </c>
      <c r="BT696" s="6">
        <v>0.04307758</v>
      </c>
      <c r="BU696" s="6">
        <v>0.04225827</v>
      </c>
      <c r="BV696" s="6">
        <v>0.0796958</v>
      </c>
      <c r="BW696" s="6">
        <v>0.06945459</v>
      </c>
      <c r="BX696" s="12">
        <v>14436.63</v>
      </c>
      <c r="BY696" s="13">
        <v>3944</v>
      </c>
      <c r="BZ696" s="12">
        <v>25793.17</v>
      </c>
      <c r="CA696" s="6">
        <f t="shared" si="66"/>
        <v>3.66040314401623</v>
      </c>
      <c r="CB696" s="6">
        <f t="shared" si="67"/>
        <v>0.559707472947296</v>
      </c>
      <c r="CC696" s="7">
        <v>345242861.9</v>
      </c>
      <c r="CD696" s="7">
        <f t="shared" si="62"/>
        <v>1.33850496817568</v>
      </c>
      <c r="CE696" s="8">
        <v>4807.5</v>
      </c>
      <c r="CF696" s="8">
        <v>17187.9</v>
      </c>
      <c r="CG696" s="8">
        <v>24368.3</v>
      </c>
      <c r="CH696" s="8">
        <v>55619</v>
      </c>
      <c r="CI696" s="14">
        <v>1</v>
      </c>
      <c r="CJ696" s="14">
        <v>0</v>
      </c>
      <c r="CK696" s="14">
        <f t="shared" si="63"/>
        <v>0</v>
      </c>
      <c r="CL696">
        <f t="shared" si="64"/>
        <v>1.5000536746505</v>
      </c>
      <c r="CM696">
        <f t="shared" si="65"/>
        <v>0.107695283978727</v>
      </c>
      <c r="CN696" s="15">
        <v>13478</v>
      </c>
      <c r="CO696" s="15">
        <v>21548.81</v>
      </c>
      <c r="CP696" s="15">
        <v>750.78</v>
      </c>
      <c r="CQ696" s="15">
        <v>1837.74</v>
      </c>
      <c r="CR696" s="15">
        <v>305.88</v>
      </c>
      <c r="CS696" s="15">
        <v>91.12</v>
      </c>
      <c r="CT696" s="15">
        <v>377.11</v>
      </c>
      <c r="CU696" s="15">
        <v>8.51</v>
      </c>
      <c r="CV696" s="15">
        <v>122.86</v>
      </c>
      <c r="CW696" s="15">
        <v>1912.34</v>
      </c>
    </row>
    <row r="697" spans="1:101">
      <c r="A697" s="6">
        <v>2020</v>
      </c>
      <c r="B697" s="6" t="s">
        <v>127</v>
      </c>
      <c r="C697" s="6">
        <v>0.39253524</v>
      </c>
      <c r="D697" s="6">
        <v>0.06307</v>
      </c>
      <c r="E697" s="6">
        <v>0.015854</v>
      </c>
      <c r="F697" s="6">
        <v>0.026969</v>
      </c>
      <c r="G697" s="6">
        <v>0.009362</v>
      </c>
      <c r="H697" s="6">
        <v>0.010885</v>
      </c>
      <c r="I697" s="6">
        <v>0.06364</v>
      </c>
      <c r="J697" s="6">
        <v>0.031466</v>
      </c>
      <c r="K697" s="6">
        <v>0.44315548</v>
      </c>
      <c r="L697" s="6">
        <v>0.33434059</v>
      </c>
      <c r="M697" s="6">
        <v>0.37158505</v>
      </c>
      <c r="N697" s="6">
        <v>0.24824915</v>
      </c>
      <c r="O697" s="6">
        <v>0.2963595</v>
      </c>
      <c r="P697" s="6">
        <v>0.61905283</v>
      </c>
      <c r="Q697" s="6">
        <v>0.49243589</v>
      </c>
      <c r="R697" s="6">
        <v>217.69486</v>
      </c>
      <c r="S697" s="6">
        <v>0.00203567</v>
      </c>
      <c r="T697" s="6">
        <v>169.97573</v>
      </c>
      <c r="U697" s="6">
        <v>0.00196699</v>
      </c>
      <c r="V697" s="6">
        <v>197.11803</v>
      </c>
      <c r="W697" s="6">
        <v>0.00188509</v>
      </c>
      <c r="X697" s="6">
        <v>134.47093</v>
      </c>
      <c r="Y697" s="6">
        <v>0.00184612</v>
      </c>
      <c r="Z697" s="6">
        <v>134.86767</v>
      </c>
      <c r="AA697" s="6">
        <v>0.00219741</v>
      </c>
      <c r="AB697" s="6">
        <v>294.9318</v>
      </c>
      <c r="AC697" s="6">
        <v>0.00209897</v>
      </c>
      <c r="AD697" s="6">
        <v>243.86163</v>
      </c>
      <c r="AE697" s="6">
        <v>0.00201933</v>
      </c>
      <c r="AF697" s="6">
        <v>775</v>
      </c>
      <c r="AG697" s="6">
        <v>-0.01261492</v>
      </c>
      <c r="AH697" s="6">
        <v>-0.01225681</v>
      </c>
      <c r="AI697" s="6">
        <v>-0.01182663</v>
      </c>
      <c r="AJ697" s="6">
        <v>-0.0116207</v>
      </c>
      <c r="AK697" s="6">
        <v>-0.01344919</v>
      </c>
      <c r="AL697" s="6">
        <v>-0.01294289</v>
      </c>
      <c r="AM697" s="6">
        <v>-0.0125299</v>
      </c>
      <c r="AN697" s="6">
        <v>-6.4762184</v>
      </c>
      <c r="AO697" s="6">
        <v>-6.4515561</v>
      </c>
      <c r="AP697" s="6">
        <v>-6.4739881</v>
      </c>
      <c r="AQ697" s="6">
        <v>-6.4253629</v>
      </c>
      <c r="AR697" s="6">
        <v>-6.4020076</v>
      </c>
      <c r="AS697" s="6">
        <v>-6.4618417</v>
      </c>
      <c r="AT697" s="6">
        <v>-6.4506396</v>
      </c>
      <c r="AU697" s="6">
        <v>0.97344833</v>
      </c>
      <c r="AV697" s="6">
        <v>0.96974131</v>
      </c>
      <c r="AW697" s="6">
        <v>0.97311308</v>
      </c>
      <c r="AX697" s="6">
        <v>0.96580418</v>
      </c>
      <c r="AY697" s="6">
        <v>0.96229362</v>
      </c>
      <c r="AZ697" s="6">
        <v>0.97128734</v>
      </c>
      <c r="BA697" s="6">
        <v>0.96960354</v>
      </c>
      <c r="BB697" s="6">
        <v>0.02655167</v>
      </c>
      <c r="BC697" s="6">
        <v>0.03025869</v>
      </c>
      <c r="BD697" s="6">
        <v>0.02688692</v>
      </c>
      <c r="BE697" s="6">
        <v>0.03419582</v>
      </c>
      <c r="BF697" s="6">
        <v>0.03770638</v>
      </c>
      <c r="BG697" s="6">
        <v>0.02871266</v>
      </c>
      <c r="BH697" s="6">
        <v>0.03039646</v>
      </c>
      <c r="BI697" s="6">
        <v>0.21470859</v>
      </c>
      <c r="BJ697" s="6">
        <v>0.12366373</v>
      </c>
      <c r="BK697" s="6">
        <v>0.1409291</v>
      </c>
      <c r="BL697" s="6">
        <v>0.12522516</v>
      </c>
      <c r="BM697" s="6">
        <v>0.1592662</v>
      </c>
      <c r="BN697" s="6">
        <v>0.17561655</v>
      </c>
      <c r="BO697" s="6">
        <v>0.1337285</v>
      </c>
      <c r="BP697" s="6">
        <v>0.14157076</v>
      </c>
      <c r="BQ697" s="6">
        <v>0.05480226</v>
      </c>
      <c r="BR697" s="6">
        <v>0.04711832</v>
      </c>
      <c r="BS697" s="6">
        <v>0.0465318</v>
      </c>
      <c r="BT697" s="6">
        <v>0.0395377</v>
      </c>
      <c r="BU697" s="6">
        <v>0.05204563</v>
      </c>
      <c r="BV697" s="6">
        <v>0.082785</v>
      </c>
      <c r="BW697" s="6">
        <v>0.06971453</v>
      </c>
      <c r="BX697" s="12">
        <v>14442.87</v>
      </c>
      <c r="BY697" s="13">
        <v>3954.69</v>
      </c>
      <c r="BZ697" s="12">
        <v>26181.86</v>
      </c>
      <c r="CA697" s="6">
        <f t="shared" si="66"/>
        <v>3.65208650994136</v>
      </c>
      <c r="CB697" s="6">
        <f t="shared" si="67"/>
        <v>0.551636514747233</v>
      </c>
      <c r="CC697" s="7">
        <v>356979050.6</v>
      </c>
      <c r="CD697" s="7">
        <f t="shared" si="62"/>
        <v>1.36345947384945</v>
      </c>
      <c r="CE697" s="8">
        <v>5556.9</v>
      </c>
      <c r="CF697" s="8">
        <v>17505.6</v>
      </c>
      <c r="CG697" s="8">
        <v>25439.2</v>
      </c>
      <c r="CH697" s="8">
        <v>58009</v>
      </c>
      <c r="CI697" s="14">
        <v>1</v>
      </c>
      <c r="CJ697" s="14">
        <v>0</v>
      </c>
      <c r="CK697" s="14">
        <f t="shared" si="63"/>
        <v>0</v>
      </c>
      <c r="CL697">
        <f t="shared" si="64"/>
        <v>1.47141701078949</v>
      </c>
      <c r="CM697">
        <f t="shared" si="65"/>
        <v>0.0733697763097869</v>
      </c>
      <c r="CN697" s="15">
        <v>13512.26</v>
      </c>
      <c r="CO697" s="15">
        <v>22594.58</v>
      </c>
      <c r="CP697" s="15">
        <v>796.68</v>
      </c>
      <c r="CQ697" s="15">
        <v>1843.68</v>
      </c>
      <c r="CR697" s="15">
        <v>288.73</v>
      </c>
      <c r="CS697" s="15">
        <v>83.2</v>
      </c>
      <c r="CT697" s="15">
        <v>308.47</v>
      </c>
      <c r="CU697" s="15">
        <v>6.57</v>
      </c>
      <c r="CV697" s="15">
        <v>101.6</v>
      </c>
      <c r="CW697" s="15">
        <v>1741</v>
      </c>
    </row>
    <row r="698" spans="1:101">
      <c r="A698" s="6">
        <v>2021</v>
      </c>
      <c r="B698" s="6" t="s">
        <v>127</v>
      </c>
      <c r="C698" s="6">
        <v>0.41155459</v>
      </c>
      <c r="D698" s="6">
        <v>0.067032</v>
      </c>
      <c r="E698" s="6">
        <v>0.017371</v>
      </c>
      <c r="F698" s="6">
        <v>0.029818</v>
      </c>
      <c r="G698" s="6">
        <v>0.011751</v>
      </c>
      <c r="H698" s="6">
        <v>0.008092</v>
      </c>
      <c r="I698" s="6">
        <v>0.066316</v>
      </c>
      <c r="J698" s="6">
        <v>0.033155</v>
      </c>
      <c r="K698" s="6">
        <v>0.47423359</v>
      </c>
      <c r="L698" s="6">
        <v>0.37019491</v>
      </c>
      <c r="M698" s="6">
        <v>0.41537144</v>
      </c>
      <c r="N698" s="6">
        <v>0.31887123</v>
      </c>
      <c r="O698" s="6">
        <v>0.21173165</v>
      </c>
      <c r="P698" s="6">
        <v>0.64886056</v>
      </c>
      <c r="Q698" s="6">
        <v>0.52258508</v>
      </c>
      <c r="R698" s="6">
        <v>217.69486</v>
      </c>
      <c r="S698" s="6">
        <v>0.00217843</v>
      </c>
      <c r="T698" s="6">
        <v>169.97573</v>
      </c>
      <c r="U698" s="6">
        <v>0.00217793</v>
      </c>
      <c r="V698" s="6">
        <v>197.11803</v>
      </c>
      <c r="W698" s="6">
        <v>0.00210722</v>
      </c>
      <c r="X698" s="6">
        <v>134.47093</v>
      </c>
      <c r="Y698" s="6">
        <v>0.0023713</v>
      </c>
      <c r="Z698" s="6">
        <v>134.86767</v>
      </c>
      <c r="AA698" s="6">
        <v>0.00156992</v>
      </c>
      <c r="AB698" s="6">
        <v>294.9318</v>
      </c>
      <c r="AC698" s="6">
        <v>0.00220004</v>
      </c>
      <c r="AD698" s="6">
        <v>243.86163</v>
      </c>
      <c r="AE698" s="6">
        <v>0.00214296</v>
      </c>
      <c r="AF698" s="6">
        <v>775</v>
      </c>
      <c r="AG698" s="6">
        <v>-0.01335194</v>
      </c>
      <c r="AH698" s="6">
        <v>-0.01334935</v>
      </c>
      <c r="AI698" s="6">
        <v>-0.01298551</v>
      </c>
      <c r="AJ698" s="6">
        <v>-0.0143329</v>
      </c>
      <c r="AK698" s="6">
        <v>-0.01013656</v>
      </c>
      <c r="AL698" s="6">
        <v>-0.01346264</v>
      </c>
      <c r="AM698" s="6">
        <v>-0.01316969</v>
      </c>
      <c r="AN698" s="6">
        <v>-6.4762184</v>
      </c>
      <c r="AO698" s="6">
        <v>-6.4515561</v>
      </c>
      <c r="AP698" s="6">
        <v>-6.4739881</v>
      </c>
      <c r="AQ698" s="6">
        <v>-6.4253629</v>
      </c>
      <c r="AR698" s="6">
        <v>-6.4020076</v>
      </c>
      <c r="AS698" s="6">
        <v>-6.4618417</v>
      </c>
      <c r="AT698" s="6">
        <v>-6.4506396</v>
      </c>
      <c r="AU698" s="6">
        <v>0.97344833</v>
      </c>
      <c r="AV698" s="6">
        <v>0.96974131</v>
      </c>
      <c r="AW698" s="6">
        <v>0.97311308</v>
      </c>
      <c r="AX698" s="6">
        <v>0.96580418</v>
      </c>
      <c r="AY698" s="6">
        <v>0.96229362</v>
      </c>
      <c r="AZ698" s="6">
        <v>0.97128734</v>
      </c>
      <c r="BA698" s="6">
        <v>0.96960354</v>
      </c>
      <c r="BB698" s="6">
        <v>0.02655167</v>
      </c>
      <c r="BC698" s="6">
        <v>0.03025869</v>
      </c>
      <c r="BD698" s="6">
        <v>0.02688692</v>
      </c>
      <c r="BE698" s="6">
        <v>0.03419582</v>
      </c>
      <c r="BF698" s="6">
        <v>0.03770638</v>
      </c>
      <c r="BG698" s="6">
        <v>0.02871266</v>
      </c>
      <c r="BH698" s="6">
        <v>0.03039646</v>
      </c>
      <c r="BI698" s="6">
        <v>0.21470859</v>
      </c>
      <c r="BJ698" s="6">
        <v>0.12366373</v>
      </c>
      <c r="BK698" s="6">
        <v>0.1409291</v>
      </c>
      <c r="BL698" s="6">
        <v>0.12522516</v>
      </c>
      <c r="BM698" s="6">
        <v>0.1592662</v>
      </c>
      <c r="BN698" s="6">
        <v>0.17561655</v>
      </c>
      <c r="BO698" s="6">
        <v>0.1337285</v>
      </c>
      <c r="BP698" s="6">
        <v>0.14157076</v>
      </c>
      <c r="BQ698" s="6">
        <v>0.0586455</v>
      </c>
      <c r="BR698" s="6">
        <v>0.05217124</v>
      </c>
      <c r="BS698" s="6">
        <v>0.05201496</v>
      </c>
      <c r="BT698" s="6">
        <v>0.05078541</v>
      </c>
      <c r="BU698" s="6">
        <v>0.03718358</v>
      </c>
      <c r="BV698" s="6">
        <v>0.08677115</v>
      </c>
      <c r="BW698" s="6">
        <v>0.07398277</v>
      </c>
      <c r="BX698" s="12">
        <v>15260.07</v>
      </c>
      <c r="BY698" s="13">
        <v>3954</v>
      </c>
      <c r="BZ698" s="12">
        <v>29801</v>
      </c>
      <c r="CA698" s="6">
        <f t="shared" si="66"/>
        <v>3.85940060698027</v>
      </c>
      <c r="CB698" s="6">
        <f t="shared" si="67"/>
        <v>0.512065702493205</v>
      </c>
      <c r="CC698" s="7">
        <v>380256236.7</v>
      </c>
      <c r="CD698" s="7">
        <f t="shared" si="62"/>
        <v>1.27598482165028</v>
      </c>
      <c r="CE698" s="8">
        <v>5662</v>
      </c>
      <c r="CF698" s="8">
        <v>19949.7</v>
      </c>
      <c r="CG698" s="8">
        <v>28476.2</v>
      </c>
      <c r="CH698" s="8">
        <v>64610</v>
      </c>
      <c r="CI698" s="14">
        <v>1</v>
      </c>
      <c r="CJ698" s="14">
        <v>0</v>
      </c>
      <c r="CK698" s="14">
        <f t="shared" si="63"/>
        <v>0</v>
      </c>
      <c r="CL698">
        <f t="shared" si="64"/>
        <v>1.36781889095748</v>
      </c>
      <c r="CM698">
        <f t="shared" si="65"/>
        <v>0.0671390561384285</v>
      </c>
      <c r="CN698" s="15">
        <v>14515.23</v>
      </c>
      <c r="CO698" s="15">
        <v>27477.13</v>
      </c>
      <c r="CP698" s="15">
        <v>766.45</v>
      </c>
      <c r="CQ698" s="15">
        <v>1856.17</v>
      </c>
      <c r="CR698" s="15">
        <v>297.26</v>
      </c>
      <c r="CS698" s="15">
        <v>82.89</v>
      </c>
      <c r="CT698" s="15">
        <v>318.15</v>
      </c>
      <c r="CU698" s="15">
        <v>6.91</v>
      </c>
      <c r="CV698" s="15">
        <v>119.38</v>
      </c>
      <c r="CW698" s="15">
        <v>2217</v>
      </c>
    </row>
    <row r="699" spans="1:101">
      <c r="A699" s="6">
        <v>2022</v>
      </c>
      <c r="B699" s="6" t="s">
        <v>127</v>
      </c>
      <c r="C699" s="6">
        <v>0.41404799</v>
      </c>
      <c r="D699" s="6">
        <v>0.065787</v>
      </c>
      <c r="E699" s="6">
        <v>0.016598</v>
      </c>
      <c r="F699" s="6">
        <v>0.029711</v>
      </c>
      <c r="G699" s="6">
        <v>0.010592</v>
      </c>
      <c r="H699" s="6">
        <v>0.008886</v>
      </c>
      <c r="I699" s="6">
        <v>0.067001</v>
      </c>
      <c r="J699" s="6">
        <v>0.035805</v>
      </c>
      <c r="K699" s="6">
        <v>0.46446787</v>
      </c>
      <c r="L699" s="6">
        <v>0.35192375</v>
      </c>
      <c r="M699" s="6">
        <v>0.41372883</v>
      </c>
      <c r="N699" s="6">
        <v>0.28459405</v>
      </c>
      <c r="O699" s="6">
        <v>0.2358026</v>
      </c>
      <c r="P699" s="6">
        <v>0.65648905</v>
      </c>
      <c r="Q699" s="6">
        <v>0.56986527</v>
      </c>
      <c r="R699" s="6">
        <v>217.69486</v>
      </c>
      <c r="S699" s="6">
        <v>0.00213357</v>
      </c>
      <c r="T699" s="6">
        <v>169.97573</v>
      </c>
      <c r="U699" s="6">
        <v>0.00207044</v>
      </c>
      <c r="V699" s="6">
        <v>197.11803</v>
      </c>
      <c r="W699" s="6">
        <v>0.00209889</v>
      </c>
      <c r="X699" s="6">
        <v>134.47093</v>
      </c>
      <c r="Y699" s="6">
        <v>0.0021164</v>
      </c>
      <c r="Z699" s="6">
        <v>134.86767</v>
      </c>
      <c r="AA699" s="6">
        <v>0.0017484</v>
      </c>
      <c r="AB699" s="6">
        <v>294.9318</v>
      </c>
      <c r="AC699" s="6">
        <v>0.0022259</v>
      </c>
      <c r="AD699" s="6">
        <v>243.86163</v>
      </c>
      <c r="AE699" s="6">
        <v>0.00233684</v>
      </c>
      <c r="AF699" s="6">
        <v>775</v>
      </c>
      <c r="AG699" s="6">
        <v>-0.01312138</v>
      </c>
      <c r="AH699" s="6">
        <v>-0.01279528</v>
      </c>
      <c r="AI699" s="6">
        <v>-0.01294248</v>
      </c>
      <c r="AJ699" s="6">
        <v>-0.01303286</v>
      </c>
      <c r="AK699" s="6">
        <v>-0.01110069</v>
      </c>
      <c r="AL699" s="6">
        <v>-0.0135949</v>
      </c>
      <c r="AM699" s="6">
        <v>-0.0141588</v>
      </c>
      <c r="AN699" s="6">
        <v>-6.4762184</v>
      </c>
      <c r="AO699" s="6">
        <v>-6.4515561</v>
      </c>
      <c r="AP699" s="6">
        <v>-6.4739881</v>
      </c>
      <c r="AQ699" s="6">
        <v>-6.4253629</v>
      </c>
      <c r="AR699" s="6">
        <v>-6.4020076</v>
      </c>
      <c r="AS699" s="6">
        <v>-6.4618417</v>
      </c>
      <c r="AT699" s="6">
        <v>-6.4506396</v>
      </c>
      <c r="AU699" s="6">
        <v>0.97344833</v>
      </c>
      <c r="AV699" s="6">
        <v>0.96974131</v>
      </c>
      <c r="AW699" s="6">
        <v>0.97311308</v>
      </c>
      <c r="AX699" s="6">
        <v>0.96580418</v>
      </c>
      <c r="AY699" s="6">
        <v>0.96229362</v>
      </c>
      <c r="AZ699" s="6">
        <v>0.97128734</v>
      </c>
      <c r="BA699" s="6">
        <v>0.96960354</v>
      </c>
      <c r="BB699" s="6">
        <v>0.02655167</v>
      </c>
      <c r="BC699" s="6">
        <v>0.03025869</v>
      </c>
      <c r="BD699" s="6">
        <v>0.02688692</v>
      </c>
      <c r="BE699" s="6">
        <v>0.03419582</v>
      </c>
      <c r="BF699" s="6">
        <v>0.03770638</v>
      </c>
      <c r="BG699" s="6">
        <v>0.02871266</v>
      </c>
      <c r="BH699" s="6">
        <v>0.03039646</v>
      </c>
      <c r="BI699" s="6">
        <v>0.21470859</v>
      </c>
      <c r="BJ699" s="6">
        <v>0.12366373</v>
      </c>
      <c r="BK699" s="6">
        <v>0.1409291</v>
      </c>
      <c r="BL699" s="6">
        <v>0.12522516</v>
      </c>
      <c r="BM699" s="6">
        <v>0.1592662</v>
      </c>
      <c r="BN699" s="6">
        <v>0.17561655</v>
      </c>
      <c r="BO699" s="6">
        <v>0.1337285</v>
      </c>
      <c r="BP699" s="6">
        <v>0.14157076</v>
      </c>
      <c r="BQ699" s="6">
        <v>0.05743783</v>
      </c>
      <c r="BR699" s="6">
        <v>0.0495963</v>
      </c>
      <c r="BS699" s="6">
        <v>0.05180926</v>
      </c>
      <c r="BT699" s="6">
        <v>0.04532621</v>
      </c>
      <c r="BU699" s="6">
        <v>0.04141084</v>
      </c>
      <c r="BV699" s="6">
        <v>0.08779129</v>
      </c>
      <c r="BW699" s="6">
        <v>0.08067626</v>
      </c>
      <c r="BX699" s="12">
        <v>16677.71</v>
      </c>
      <c r="BY699" s="13">
        <v>3956</v>
      </c>
      <c r="BZ699" s="12">
        <v>32772.7</v>
      </c>
      <c r="CA699" s="6">
        <f t="shared" si="66"/>
        <v>4.21580131445905</v>
      </c>
      <c r="CB699" s="6">
        <f t="shared" si="67"/>
        <v>0.508890326399717</v>
      </c>
      <c r="CC699" s="7">
        <v>381359488.2</v>
      </c>
      <c r="CD699" s="7">
        <f t="shared" si="62"/>
        <v>1.16364989213583</v>
      </c>
      <c r="CE699" s="8">
        <v>5965.5</v>
      </c>
      <c r="CF699" s="8">
        <v>20591.4</v>
      </c>
      <c r="CG699" s="8">
        <v>30053.3</v>
      </c>
      <c r="CH699" s="8">
        <v>67610</v>
      </c>
      <c r="CI699" s="14">
        <v>1</v>
      </c>
      <c r="CJ699" s="14">
        <v>0</v>
      </c>
      <c r="CK699" s="14">
        <f t="shared" si="63"/>
        <v>0</v>
      </c>
      <c r="CL699">
        <f t="shared" si="64"/>
        <v>1.27047633725244</v>
      </c>
      <c r="CM699">
        <f t="shared" si="65"/>
        <v>0.0840837739234346</v>
      </c>
      <c r="CN699" s="15">
        <v>16099.2805700783</v>
      </c>
      <c r="CO699" s="15">
        <v>29067.93</v>
      </c>
      <c r="CP699" s="15">
        <v>866.21</v>
      </c>
      <c r="CQ699" s="15">
        <v>1925.92</v>
      </c>
      <c r="CR699" s="15">
        <v>288.59</v>
      </c>
      <c r="CS699" s="15">
        <v>43.31</v>
      </c>
      <c r="CT699" s="15">
        <v>325.8</v>
      </c>
      <c r="CU699" s="15">
        <v>7.6</v>
      </c>
      <c r="CV699" s="15">
        <v>147.95</v>
      </c>
      <c r="CW699" s="15">
        <v>2375.9</v>
      </c>
    </row>
    <row r="700" spans="1:101">
      <c r="A700" s="6">
        <v>2023</v>
      </c>
      <c r="B700" s="6" t="s">
        <v>127</v>
      </c>
      <c r="C700" s="6">
        <v>0.41242621</v>
      </c>
      <c r="D700" s="6">
        <v>0.064339</v>
      </c>
      <c r="E700" s="6">
        <v>0.015622</v>
      </c>
      <c r="F700" s="6">
        <v>0.029401</v>
      </c>
      <c r="G700" s="6">
        <v>0.009229</v>
      </c>
      <c r="H700" s="6">
        <v>0.009478</v>
      </c>
      <c r="I700" s="6">
        <v>0.067483</v>
      </c>
      <c r="J700" s="6">
        <v>0.038252</v>
      </c>
      <c r="K700" s="6">
        <v>0.45310981</v>
      </c>
      <c r="L700" s="6">
        <v>0.32885314</v>
      </c>
      <c r="M700" s="6">
        <v>0.40896621</v>
      </c>
      <c r="N700" s="6">
        <v>0.24431634</v>
      </c>
      <c r="O700" s="6">
        <v>0.25372172</v>
      </c>
      <c r="P700" s="6">
        <v>0.66185648</v>
      </c>
      <c r="Q700" s="6">
        <v>0.61352343</v>
      </c>
      <c r="R700" s="6">
        <v>217.69486</v>
      </c>
      <c r="S700" s="6">
        <v>0.0020814</v>
      </c>
      <c r="T700" s="6">
        <v>169.97573</v>
      </c>
      <c r="U700" s="6">
        <v>0.00193471</v>
      </c>
      <c r="V700" s="6">
        <v>197.11803</v>
      </c>
      <c r="W700" s="6">
        <v>0.00207473</v>
      </c>
      <c r="X700" s="6">
        <v>134.47093</v>
      </c>
      <c r="Y700" s="6">
        <v>0.00181687</v>
      </c>
      <c r="Z700" s="6">
        <v>134.86767</v>
      </c>
      <c r="AA700" s="6">
        <v>0.00188126</v>
      </c>
      <c r="AB700" s="6">
        <v>294.9318</v>
      </c>
      <c r="AC700" s="6">
        <v>0.0022441</v>
      </c>
      <c r="AD700" s="6">
        <v>243.86163</v>
      </c>
      <c r="AE700" s="6">
        <v>0.00251587</v>
      </c>
      <c r="AF700" s="6">
        <v>775</v>
      </c>
      <c r="AG700" s="6">
        <v>-0.01285204</v>
      </c>
      <c r="AH700" s="6">
        <v>-0.01208766</v>
      </c>
      <c r="AI700" s="6">
        <v>-0.01281751</v>
      </c>
      <c r="AJ700" s="6">
        <v>-0.01146562</v>
      </c>
      <c r="AK700" s="6">
        <v>-0.01180646</v>
      </c>
      <c r="AL700" s="6">
        <v>-0.01368778</v>
      </c>
      <c r="AM700" s="6">
        <v>-0.01505781</v>
      </c>
      <c r="AN700" s="6">
        <v>-6.4762184</v>
      </c>
      <c r="AO700" s="6">
        <v>-6.4515561</v>
      </c>
      <c r="AP700" s="6">
        <v>-6.4739881</v>
      </c>
      <c r="AQ700" s="6">
        <v>-6.4253629</v>
      </c>
      <c r="AR700" s="6">
        <v>-6.4020076</v>
      </c>
      <c r="AS700" s="6">
        <v>-6.4618417</v>
      </c>
      <c r="AT700" s="6">
        <v>-6.4506396</v>
      </c>
      <c r="AU700" s="6">
        <v>0.97344833</v>
      </c>
      <c r="AV700" s="6">
        <v>0.96974131</v>
      </c>
      <c r="AW700" s="6">
        <v>0.97311308</v>
      </c>
      <c r="AX700" s="6">
        <v>0.96580418</v>
      </c>
      <c r="AY700" s="6">
        <v>0.96229362</v>
      </c>
      <c r="AZ700" s="6">
        <v>0.97128734</v>
      </c>
      <c r="BA700" s="6">
        <v>0.96960354</v>
      </c>
      <c r="BB700" s="6">
        <v>0.02655167</v>
      </c>
      <c r="BC700" s="6">
        <v>0.03025869</v>
      </c>
      <c r="BD700" s="6">
        <v>0.02688692</v>
      </c>
      <c r="BE700" s="6">
        <v>0.03419582</v>
      </c>
      <c r="BF700" s="6">
        <v>0.03770638</v>
      </c>
      <c r="BG700" s="6">
        <v>0.02871266</v>
      </c>
      <c r="BH700" s="6">
        <v>0.03039646</v>
      </c>
      <c r="BI700" s="6">
        <v>0.21470859</v>
      </c>
      <c r="BJ700" s="6">
        <v>0.12366373</v>
      </c>
      <c r="BK700" s="6">
        <v>0.1409291</v>
      </c>
      <c r="BL700" s="6">
        <v>0.12522516</v>
      </c>
      <c r="BM700" s="6">
        <v>0.1592662</v>
      </c>
      <c r="BN700" s="6">
        <v>0.17561655</v>
      </c>
      <c r="BO700" s="6">
        <v>0.1337285</v>
      </c>
      <c r="BP700" s="6">
        <v>0.14157076</v>
      </c>
      <c r="BQ700" s="6">
        <v>0.05603325</v>
      </c>
      <c r="BR700" s="6">
        <v>0.04634498</v>
      </c>
      <c r="BS700" s="6">
        <v>0.05121286</v>
      </c>
      <c r="BT700" s="6">
        <v>0.03891134</v>
      </c>
      <c r="BU700" s="6">
        <v>0.04455773</v>
      </c>
      <c r="BV700" s="6">
        <v>0.08850907</v>
      </c>
      <c r="BW700" s="6">
        <v>0.08685698</v>
      </c>
      <c r="BX700" s="12">
        <v>17654.79</v>
      </c>
      <c r="BY700" s="13">
        <v>3952</v>
      </c>
      <c r="BZ700" s="12">
        <v>33786.1</v>
      </c>
      <c r="CA700" s="6">
        <f t="shared" si="66"/>
        <v>4.46730516194332</v>
      </c>
      <c r="CB700" s="6">
        <f t="shared" si="67"/>
        <v>0.522545958249102</v>
      </c>
      <c r="CC700" s="7">
        <v>419222274.9</v>
      </c>
      <c r="CD700" s="7">
        <f t="shared" si="62"/>
        <v>1.24081286357407</v>
      </c>
      <c r="CE700" s="8">
        <v>6056.6</v>
      </c>
      <c r="CF700" s="8">
        <v>21306.7</v>
      </c>
      <c r="CG700" s="8">
        <v>32769.5</v>
      </c>
      <c r="CH700" s="8">
        <v>71835</v>
      </c>
      <c r="CI700" s="14">
        <v>1</v>
      </c>
      <c r="CJ700" s="14">
        <v>0</v>
      </c>
      <c r="CK700" s="14">
        <f t="shared" si="63"/>
        <v>0</v>
      </c>
      <c r="CL700">
        <f t="shared" si="64"/>
        <v>1.2756783895882</v>
      </c>
      <c r="CM700">
        <f t="shared" si="65"/>
        <v>0.0273309686036003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</row>
    <row r="701" spans="1:101">
      <c r="A701" s="6">
        <v>2024</v>
      </c>
      <c r="B701" s="6" t="s">
        <v>127</v>
      </c>
      <c r="C701" s="6">
        <v>0.41595229</v>
      </c>
      <c r="D701" s="6">
        <v>0.064971</v>
      </c>
      <c r="E701" s="6">
        <v>0.015636</v>
      </c>
      <c r="F701" s="6">
        <v>0.030033</v>
      </c>
      <c r="G701" s="6">
        <v>0.009638</v>
      </c>
      <c r="H701" s="6">
        <v>0.009339</v>
      </c>
      <c r="I701" s="6">
        <v>0.067809</v>
      </c>
      <c r="J701" s="6">
        <v>0.038243</v>
      </c>
      <c r="K701" s="6">
        <v>0.45806612</v>
      </c>
      <c r="L701" s="6">
        <v>0.32918745</v>
      </c>
      <c r="M701" s="6">
        <v>0.41868554</v>
      </c>
      <c r="N701" s="6">
        <v>0.25640238</v>
      </c>
      <c r="O701" s="6">
        <v>0.24951396</v>
      </c>
      <c r="P701" s="6">
        <v>0.66548814</v>
      </c>
      <c r="Q701" s="6">
        <v>0.6133634</v>
      </c>
      <c r="R701" s="6">
        <v>217.69486</v>
      </c>
      <c r="S701" s="6">
        <v>0.00210417</v>
      </c>
      <c r="T701" s="6">
        <v>169.97573</v>
      </c>
      <c r="U701" s="6">
        <v>0.00193667</v>
      </c>
      <c r="V701" s="6">
        <v>197.11803</v>
      </c>
      <c r="W701" s="6">
        <v>0.00212403</v>
      </c>
      <c r="X701" s="6">
        <v>134.47093</v>
      </c>
      <c r="Y701" s="6">
        <v>0.00190675</v>
      </c>
      <c r="Z701" s="6">
        <v>134.86767</v>
      </c>
      <c r="AA701" s="6">
        <v>0.00185007</v>
      </c>
      <c r="AB701" s="6">
        <v>294.9318</v>
      </c>
      <c r="AC701" s="6">
        <v>0.00225641</v>
      </c>
      <c r="AD701" s="6">
        <v>243.86163</v>
      </c>
      <c r="AE701" s="6">
        <v>0.00251521</v>
      </c>
      <c r="AF701" s="6">
        <v>775</v>
      </c>
      <c r="AG701" s="6">
        <v>-0.01296973</v>
      </c>
      <c r="AH701" s="6">
        <v>-0.01209798</v>
      </c>
      <c r="AI701" s="6">
        <v>-0.01307224</v>
      </c>
      <c r="AJ701" s="6">
        <v>-0.01194074</v>
      </c>
      <c r="AK701" s="6">
        <v>-0.0116416</v>
      </c>
      <c r="AL701" s="6">
        <v>-0.01375054</v>
      </c>
      <c r="AM701" s="6">
        <v>-0.01505454</v>
      </c>
      <c r="AN701" s="6">
        <v>-6.4762184</v>
      </c>
      <c r="AO701" s="6">
        <v>-6.4515561</v>
      </c>
      <c r="AP701" s="6">
        <v>-6.4739881</v>
      </c>
      <c r="AQ701" s="6">
        <v>-6.4253629</v>
      </c>
      <c r="AR701" s="6">
        <v>-6.4020076</v>
      </c>
      <c r="AS701" s="6">
        <v>-6.4618417</v>
      </c>
      <c r="AT701" s="6">
        <v>-6.4506396</v>
      </c>
      <c r="AU701" s="6">
        <v>0.97344833</v>
      </c>
      <c r="AV701" s="6">
        <v>0.96974131</v>
      </c>
      <c r="AW701" s="6">
        <v>0.97311308</v>
      </c>
      <c r="AX701" s="6">
        <v>0.96580418</v>
      </c>
      <c r="AY701" s="6">
        <v>0.96229362</v>
      </c>
      <c r="AZ701" s="6">
        <v>0.97128734</v>
      </c>
      <c r="BA701" s="6">
        <v>0.96960354</v>
      </c>
      <c r="BB701" s="6">
        <v>0.02655167</v>
      </c>
      <c r="BC701" s="6">
        <v>0.03025869</v>
      </c>
      <c r="BD701" s="6">
        <v>0.02688692</v>
      </c>
      <c r="BE701" s="6">
        <v>0.03419582</v>
      </c>
      <c r="BF701" s="6">
        <v>0.03770638</v>
      </c>
      <c r="BG701" s="6">
        <v>0.02871266</v>
      </c>
      <c r="BH701" s="6">
        <v>0.03039646</v>
      </c>
      <c r="BI701" s="6">
        <v>0.21470859</v>
      </c>
      <c r="BJ701" s="6">
        <v>0.12366373</v>
      </c>
      <c r="BK701" s="6">
        <v>0.1409291</v>
      </c>
      <c r="BL701" s="6">
        <v>0.12522516</v>
      </c>
      <c r="BM701" s="6">
        <v>0.1592662</v>
      </c>
      <c r="BN701" s="6">
        <v>0.17561655</v>
      </c>
      <c r="BO701" s="6">
        <v>0.1337285</v>
      </c>
      <c r="BP701" s="6">
        <v>0.14157076</v>
      </c>
      <c r="BQ701" s="6">
        <v>0.05664617</v>
      </c>
      <c r="BR701" s="6">
        <v>0.04639209</v>
      </c>
      <c r="BS701" s="6">
        <v>0.05242996</v>
      </c>
      <c r="BT701" s="6">
        <v>0.04083623</v>
      </c>
      <c r="BU701" s="6">
        <v>0.04381878</v>
      </c>
      <c r="BV701" s="6">
        <v>0.08899473</v>
      </c>
      <c r="BW701" s="6">
        <v>0.08683433</v>
      </c>
      <c r="BX701" s="12">
        <v>18643.11</v>
      </c>
      <c r="BY701" s="13">
        <v>3953</v>
      </c>
      <c r="BZ701" s="12">
        <v>35538.8</v>
      </c>
      <c r="CA701" s="6">
        <f t="shared" si="66"/>
        <v>4.71619276498862</v>
      </c>
      <c r="CB701" s="6">
        <f t="shared" si="67"/>
        <v>0.524584679280111</v>
      </c>
      <c r="CC701" s="7">
        <v>448428822.3</v>
      </c>
      <c r="CD701" s="7">
        <f t="shared" si="62"/>
        <v>1.26180068629217</v>
      </c>
      <c r="CE701" s="8">
        <v>5619.9</v>
      </c>
      <c r="CF701" s="8">
        <v>22816.9</v>
      </c>
      <c r="CG701" s="8">
        <v>36260.2</v>
      </c>
      <c r="CH701" s="8">
        <v>77333</v>
      </c>
      <c r="CI701" s="14">
        <v>1</v>
      </c>
      <c r="CJ701" s="14">
        <v>0</v>
      </c>
      <c r="CK701" s="14">
        <f t="shared" si="63"/>
        <v>0</v>
      </c>
      <c r="CL701">
        <f t="shared" si="64"/>
        <v>1.21200651315194</v>
      </c>
      <c r="CM701">
        <f t="shared" si="65"/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</row>
    <row r="702" spans="1:101">
      <c r="A702" s="6">
        <v>2000</v>
      </c>
      <c r="B702" s="6" t="s">
        <v>128</v>
      </c>
      <c r="C702" s="6">
        <v>0.01214181</v>
      </c>
      <c r="D702" s="6">
        <v>0.009384</v>
      </c>
      <c r="E702" s="6">
        <v>0.002341</v>
      </c>
      <c r="F702" s="6">
        <v>0.004174</v>
      </c>
      <c r="G702" s="6">
        <v>0.001363</v>
      </c>
      <c r="H702" s="6">
        <v>0.001507</v>
      </c>
      <c r="I702" s="6">
        <v>0.008236</v>
      </c>
      <c r="J702" s="6">
        <v>0.004021</v>
      </c>
      <c r="K702" s="6">
        <v>0.02203983</v>
      </c>
      <c r="L702" s="6">
        <v>0.0148454</v>
      </c>
      <c r="M702" s="6">
        <v>0.02123772</v>
      </c>
      <c r="N702" s="6">
        <v>0.01178988</v>
      </c>
      <c r="O702" s="6">
        <v>0.0121578</v>
      </c>
      <c r="P702" s="6">
        <v>0.00195074</v>
      </c>
      <c r="Q702" s="6">
        <v>0.00276133</v>
      </c>
      <c r="R702" s="6">
        <v>217.69486</v>
      </c>
      <c r="S702" s="6">
        <v>0.00010124</v>
      </c>
      <c r="T702" s="6">
        <v>169.97573</v>
      </c>
      <c r="U702" s="6">
        <v>8.734e-5</v>
      </c>
      <c r="V702" s="6">
        <v>197.11803</v>
      </c>
      <c r="W702" s="6">
        <v>0.00010774</v>
      </c>
      <c r="X702" s="6">
        <v>134.47093</v>
      </c>
      <c r="Y702" s="6">
        <v>8.768e-5</v>
      </c>
      <c r="Z702" s="6">
        <v>134.86767</v>
      </c>
      <c r="AA702" s="6">
        <v>9.015e-5</v>
      </c>
      <c r="AB702" s="6">
        <v>294.9318</v>
      </c>
      <c r="AC702" s="16">
        <v>6.614e-6</v>
      </c>
      <c r="AD702" s="6">
        <v>243.86163</v>
      </c>
      <c r="AE702" s="6">
        <v>1.132e-5</v>
      </c>
      <c r="AF702" s="6">
        <v>775</v>
      </c>
      <c r="AG702" s="6">
        <v>-0.00093122</v>
      </c>
      <c r="AH702" s="6">
        <v>-0.00081624</v>
      </c>
      <c r="AI702" s="6">
        <v>-0.0009843</v>
      </c>
      <c r="AJ702" s="6">
        <v>-0.00081906</v>
      </c>
      <c r="AK702" s="6">
        <v>-0.00083963</v>
      </c>
      <c r="AL702" s="6">
        <v>-7.888e-5</v>
      </c>
      <c r="AM702" s="6">
        <v>-0.00012896</v>
      </c>
      <c r="AN702" s="6">
        <v>-6.4762184</v>
      </c>
      <c r="AO702" s="6">
        <v>-6.4515561</v>
      </c>
      <c r="AP702" s="6">
        <v>-6.4739881</v>
      </c>
      <c r="AQ702" s="6">
        <v>-6.4253629</v>
      </c>
      <c r="AR702" s="6">
        <v>-6.4020076</v>
      </c>
      <c r="AS702" s="6">
        <v>-6.4618417</v>
      </c>
      <c r="AT702" s="6">
        <v>-6.4506396</v>
      </c>
      <c r="AU702" s="6">
        <v>0.97344833</v>
      </c>
      <c r="AV702" s="6">
        <v>0.96974131</v>
      </c>
      <c r="AW702" s="6">
        <v>0.97311308</v>
      </c>
      <c r="AX702" s="6">
        <v>0.96580418</v>
      </c>
      <c r="AY702" s="6">
        <v>0.96229362</v>
      </c>
      <c r="AZ702" s="6">
        <v>0.97128734</v>
      </c>
      <c r="BA702" s="6">
        <v>0.96960354</v>
      </c>
      <c r="BB702" s="6">
        <v>0.02655167</v>
      </c>
      <c r="BC702" s="6">
        <v>0.03025869</v>
      </c>
      <c r="BD702" s="6">
        <v>0.02688692</v>
      </c>
      <c r="BE702" s="6">
        <v>0.03419582</v>
      </c>
      <c r="BF702" s="6">
        <v>0.03770638</v>
      </c>
      <c r="BG702" s="6">
        <v>0.02871266</v>
      </c>
      <c r="BH702" s="6">
        <v>0.03039646</v>
      </c>
      <c r="BI702" s="6">
        <v>0.21470859</v>
      </c>
      <c r="BJ702" s="6">
        <v>0.12366373</v>
      </c>
      <c r="BK702" s="6">
        <v>0.1409291</v>
      </c>
      <c r="BL702" s="6">
        <v>0.12522516</v>
      </c>
      <c r="BM702" s="6">
        <v>0.1592662</v>
      </c>
      <c r="BN702" s="6">
        <v>0.17561655</v>
      </c>
      <c r="BO702" s="6">
        <v>0.1337285</v>
      </c>
      <c r="BP702" s="6">
        <v>0.14157076</v>
      </c>
      <c r="BQ702" s="6">
        <v>0.00272553</v>
      </c>
      <c r="BR702" s="6">
        <v>0.00209215</v>
      </c>
      <c r="BS702" s="6">
        <v>0.0026595</v>
      </c>
      <c r="BT702" s="6">
        <v>0.00187773</v>
      </c>
      <c r="BU702" s="6">
        <v>0.00213511</v>
      </c>
      <c r="BV702" s="6">
        <v>0.00026087</v>
      </c>
      <c r="BW702" s="6">
        <v>0.00039092</v>
      </c>
      <c r="BX702" s="12">
        <v>897.23</v>
      </c>
      <c r="BY702" s="13">
        <v>516.5</v>
      </c>
      <c r="BZ702" s="12">
        <v>263.59</v>
      </c>
      <c r="CA702" s="6">
        <f t="shared" si="66"/>
        <v>1.73713455953533</v>
      </c>
      <c r="CB702" s="6">
        <f t="shared" si="67"/>
        <v>3.40388482112372</v>
      </c>
      <c r="CC702" s="7">
        <v>23938725.96</v>
      </c>
      <c r="CD702" s="7">
        <f t="shared" si="62"/>
        <v>9.08180354338177</v>
      </c>
      <c r="CE702" s="8">
        <v>557.4</v>
      </c>
      <c r="CF702" s="8">
        <v>730.9</v>
      </c>
      <c r="CG702" s="8">
        <v>791.8</v>
      </c>
      <c r="CH702" s="8">
        <v>4652</v>
      </c>
      <c r="CI702" s="14">
        <v>0</v>
      </c>
      <c r="CJ702" s="14">
        <v>0</v>
      </c>
      <c r="CK702" s="14">
        <f t="shared" si="63"/>
        <v>0</v>
      </c>
      <c r="CL702">
        <f t="shared" si="64"/>
        <v>4.53658228674969</v>
      </c>
      <c r="CM702">
        <f t="shared" si="65"/>
        <v>0</v>
      </c>
      <c r="CN702" s="15">
        <v>897.2</v>
      </c>
      <c r="CO702" s="15">
        <v>522.2</v>
      </c>
      <c r="CP702" s="15">
        <v>15.59</v>
      </c>
      <c r="CQ702" s="15">
        <v>62.17</v>
      </c>
      <c r="CR702" s="15">
        <v>16.31</v>
      </c>
      <c r="CS702" s="15">
        <v>0.06</v>
      </c>
      <c r="CT702" s="15">
        <v>19.29</v>
      </c>
      <c r="CU702" s="15">
        <v>6.93</v>
      </c>
      <c r="CV702" s="15">
        <v>3.91</v>
      </c>
      <c r="CW702" s="15">
        <v>109.1</v>
      </c>
    </row>
    <row r="703" spans="1:101">
      <c r="A703" s="6">
        <v>2001</v>
      </c>
      <c r="B703" s="6" t="s">
        <v>128</v>
      </c>
      <c r="C703" s="6">
        <v>0.01793918</v>
      </c>
      <c r="D703" s="6">
        <v>0.009447</v>
      </c>
      <c r="E703" s="6">
        <v>0.002306</v>
      </c>
      <c r="F703" s="6">
        <v>0.004253</v>
      </c>
      <c r="G703" s="6">
        <v>0.001525</v>
      </c>
      <c r="H703" s="6">
        <v>0.001362</v>
      </c>
      <c r="I703" s="6">
        <v>0.010023</v>
      </c>
      <c r="J703" s="6">
        <v>0.005225</v>
      </c>
      <c r="K703" s="6">
        <v>0.02253405</v>
      </c>
      <c r="L703" s="6">
        <v>0.01403271</v>
      </c>
      <c r="M703" s="6">
        <v>0.02245678</v>
      </c>
      <c r="N703" s="6">
        <v>0.01660089</v>
      </c>
      <c r="O703" s="6">
        <v>0.00777291</v>
      </c>
      <c r="P703" s="6">
        <v>0.02185119</v>
      </c>
      <c r="Q703" s="6">
        <v>0.02423968</v>
      </c>
      <c r="R703" s="6">
        <v>217.69486</v>
      </c>
      <c r="S703" s="6">
        <v>0.00010351</v>
      </c>
      <c r="T703" s="6">
        <v>169.97573</v>
      </c>
      <c r="U703" s="6">
        <v>8.256e-5</v>
      </c>
      <c r="V703" s="6">
        <v>197.11803</v>
      </c>
      <c r="W703" s="6">
        <v>0.00011393</v>
      </c>
      <c r="X703" s="6">
        <v>134.47093</v>
      </c>
      <c r="Y703" s="6">
        <v>0.00012345</v>
      </c>
      <c r="Z703" s="6">
        <v>134.86767</v>
      </c>
      <c r="AA703" s="6">
        <v>5.763e-5</v>
      </c>
      <c r="AB703" s="6">
        <v>294.9318</v>
      </c>
      <c r="AC703" s="6">
        <v>7.409e-5</v>
      </c>
      <c r="AD703" s="6">
        <v>243.86163</v>
      </c>
      <c r="AE703" s="6">
        <v>9.94e-5</v>
      </c>
      <c r="AF703" s="6">
        <v>775</v>
      </c>
      <c r="AG703" s="6">
        <v>-0.00094981</v>
      </c>
      <c r="AH703" s="6">
        <v>-0.0007762</v>
      </c>
      <c r="AI703" s="6">
        <v>-0.00103444</v>
      </c>
      <c r="AJ703" s="6">
        <v>-0.00111104</v>
      </c>
      <c r="AK703" s="6">
        <v>-0.00056258</v>
      </c>
      <c r="AL703" s="6">
        <v>-0.0007046</v>
      </c>
      <c r="AM703" s="6">
        <v>-0.0009161</v>
      </c>
      <c r="AN703" s="6">
        <v>-6.4762184</v>
      </c>
      <c r="AO703" s="6">
        <v>-6.4515561</v>
      </c>
      <c r="AP703" s="6">
        <v>-6.4739881</v>
      </c>
      <c r="AQ703" s="6">
        <v>-6.4253629</v>
      </c>
      <c r="AR703" s="6">
        <v>-6.4020076</v>
      </c>
      <c r="AS703" s="6">
        <v>-6.4618417</v>
      </c>
      <c r="AT703" s="6">
        <v>-6.4506396</v>
      </c>
      <c r="AU703" s="6">
        <v>0.97344833</v>
      </c>
      <c r="AV703" s="6">
        <v>0.96974131</v>
      </c>
      <c r="AW703" s="6">
        <v>0.97311308</v>
      </c>
      <c r="AX703" s="6">
        <v>0.96580418</v>
      </c>
      <c r="AY703" s="6">
        <v>0.96229362</v>
      </c>
      <c r="AZ703" s="6">
        <v>0.97128734</v>
      </c>
      <c r="BA703" s="6">
        <v>0.96960354</v>
      </c>
      <c r="BB703" s="6">
        <v>0.02655167</v>
      </c>
      <c r="BC703" s="6">
        <v>0.03025869</v>
      </c>
      <c r="BD703" s="6">
        <v>0.02688692</v>
      </c>
      <c r="BE703" s="6">
        <v>0.03419582</v>
      </c>
      <c r="BF703" s="6">
        <v>0.03770638</v>
      </c>
      <c r="BG703" s="6">
        <v>0.02871266</v>
      </c>
      <c r="BH703" s="6">
        <v>0.03039646</v>
      </c>
      <c r="BI703" s="6">
        <v>0.21470859</v>
      </c>
      <c r="BJ703" s="6">
        <v>0.12366373</v>
      </c>
      <c r="BK703" s="6">
        <v>0.1409291</v>
      </c>
      <c r="BL703" s="6">
        <v>0.12522516</v>
      </c>
      <c r="BM703" s="6">
        <v>0.1592662</v>
      </c>
      <c r="BN703" s="6">
        <v>0.17561655</v>
      </c>
      <c r="BO703" s="6">
        <v>0.1337285</v>
      </c>
      <c r="BP703" s="6">
        <v>0.14157076</v>
      </c>
      <c r="BQ703" s="6">
        <v>0.00278664</v>
      </c>
      <c r="BR703" s="6">
        <v>0.00197762</v>
      </c>
      <c r="BS703" s="6">
        <v>0.00281215</v>
      </c>
      <c r="BT703" s="6">
        <v>0.00264396</v>
      </c>
      <c r="BU703" s="6">
        <v>0.00136505</v>
      </c>
      <c r="BV703" s="6">
        <v>0.00292213</v>
      </c>
      <c r="BW703" s="6">
        <v>0.00343163</v>
      </c>
      <c r="BX703" s="12">
        <v>939.33</v>
      </c>
      <c r="BY703" s="13">
        <v>523.1</v>
      </c>
      <c r="BZ703" s="12">
        <v>300.13</v>
      </c>
      <c r="CA703" s="6">
        <f t="shared" si="66"/>
        <v>1.79569871917415</v>
      </c>
      <c r="CB703" s="6">
        <f t="shared" si="67"/>
        <v>3.12974377769633</v>
      </c>
      <c r="CC703" s="7">
        <v>24437535.66</v>
      </c>
      <c r="CD703" s="7">
        <f t="shared" si="62"/>
        <v>8.14231688268417</v>
      </c>
      <c r="CE703" s="8">
        <v>576.3</v>
      </c>
      <c r="CF703" s="8">
        <v>769.2</v>
      </c>
      <c r="CG703" s="8">
        <v>933.8</v>
      </c>
      <c r="CH703" s="8">
        <v>5058</v>
      </c>
      <c r="CI703" s="14">
        <v>0</v>
      </c>
      <c r="CJ703" s="14">
        <v>0</v>
      </c>
      <c r="CK703" s="14">
        <f t="shared" si="63"/>
        <v>0</v>
      </c>
      <c r="CL703">
        <f t="shared" si="64"/>
        <v>4.16809156222866</v>
      </c>
      <c r="CM703">
        <f t="shared" si="65"/>
        <v>0</v>
      </c>
      <c r="CN703" s="15">
        <v>930</v>
      </c>
      <c r="CO703" s="15">
        <v>642</v>
      </c>
      <c r="CP703" s="15">
        <v>17.44</v>
      </c>
      <c r="CQ703" s="15">
        <v>65.4</v>
      </c>
      <c r="CR703" s="15">
        <v>17.61</v>
      </c>
      <c r="CS703">
        <v>0</v>
      </c>
      <c r="CT703" s="15">
        <v>18.59</v>
      </c>
      <c r="CU703" s="15">
        <v>4.86</v>
      </c>
      <c r="CV703" s="15">
        <v>5.85</v>
      </c>
      <c r="CW703" s="15">
        <v>111.81</v>
      </c>
    </row>
    <row r="704" spans="1:101">
      <c r="A704" s="6">
        <v>2002</v>
      </c>
      <c r="B704" s="6" t="s">
        <v>128</v>
      </c>
      <c r="C704" s="6">
        <v>0.01465072</v>
      </c>
      <c r="D704" s="6">
        <v>0.009086</v>
      </c>
      <c r="E704" s="6">
        <v>0.002151</v>
      </c>
      <c r="F704" s="6">
        <v>0.004058</v>
      </c>
      <c r="G704" s="6">
        <v>0.001554</v>
      </c>
      <c r="H704" s="6">
        <v>0.001324</v>
      </c>
      <c r="I704" s="6">
        <v>0.009688</v>
      </c>
      <c r="J704" s="6">
        <v>0.004641</v>
      </c>
      <c r="K704" s="6">
        <v>0.01970495</v>
      </c>
      <c r="L704" s="6">
        <v>0.01035442</v>
      </c>
      <c r="M704" s="6">
        <v>0.01944925</v>
      </c>
      <c r="N704" s="6">
        <v>0.01744877</v>
      </c>
      <c r="O704" s="6">
        <v>0.00661855</v>
      </c>
      <c r="P704" s="6">
        <v>0.01811959</v>
      </c>
      <c r="Q704" s="6">
        <v>0.01380741</v>
      </c>
      <c r="R704" s="6">
        <v>217.69486</v>
      </c>
      <c r="S704" s="6">
        <v>9.052e-5</v>
      </c>
      <c r="T704" s="6">
        <v>169.97573</v>
      </c>
      <c r="U704" s="6">
        <v>6.092e-5</v>
      </c>
      <c r="V704" s="6">
        <v>197.11803</v>
      </c>
      <c r="W704" s="6">
        <v>9.867e-5</v>
      </c>
      <c r="X704" s="6">
        <v>134.47093</v>
      </c>
      <c r="Y704" s="6">
        <v>0.00012976</v>
      </c>
      <c r="Z704" s="6">
        <v>134.86767</v>
      </c>
      <c r="AA704" s="6">
        <v>4.907e-5</v>
      </c>
      <c r="AB704" s="6">
        <v>294.9318</v>
      </c>
      <c r="AC704" s="6">
        <v>6.144e-5</v>
      </c>
      <c r="AD704" s="6">
        <v>243.86163</v>
      </c>
      <c r="AE704" s="6">
        <v>5.662e-5</v>
      </c>
      <c r="AF704" s="6">
        <v>775</v>
      </c>
      <c r="AG704" s="6">
        <v>-0.00084271</v>
      </c>
      <c r="AH704" s="6">
        <v>-0.00059126</v>
      </c>
      <c r="AI704" s="6">
        <v>-0.00091009</v>
      </c>
      <c r="AJ704" s="6">
        <v>-0.00116132</v>
      </c>
      <c r="AK704" s="6">
        <v>-0.00048692</v>
      </c>
      <c r="AL704" s="6">
        <v>-0.00059578</v>
      </c>
      <c r="AM704" s="6">
        <v>-0.00055369</v>
      </c>
      <c r="AN704" s="6">
        <v>-6.4762184</v>
      </c>
      <c r="AO704" s="6">
        <v>-6.4515561</v>
      </c>
      <c r="AP704" s="6">
        <v>-6.4739881</v>
      </c>
      <c r="AQ704" s="6">
        <v>-6.4253629</v>
      </c>
      <c r="AR704" s="6">
        <v>-6.4020076</v>
      </c>
      <c r="AS704" s="6">
        <v>-6.4618417</v>
      </c>
      <c r="AT704" s="6">
        <v>-6.4506396</v>
      </c>
      <c r="AU704" s="6">
        <v>0.97344833</v>
      </c>
      <c r="AV704" s="6">
        <v>0.96974131</v>
      </c>
      <c r="AW704" s="6">
        <v>0.97311308</v>
      </c>
      <c r="AX704" s="6">
        <v>0.96580418</v>
      </c>
      <c r="AY704" s="6">
        <v>0.96229362</v>
      </c>
      <c r="AZ704" s="6">
        <v>0.97128734</v>
      </c>
      <c r="BA704" s="6">
        <v>0.96960354</v>
      </c>
      <c r="BB704" s="6">
        <v>0.02655167</v>
      </c>
      <c r="BC704" s="6">
        <v>0.03025869</v>
      </c>
      <c r="BD704" s="6">
        <v>0.02688692</v>
      </c>
      <c r="BE704" s="6">
        <v>0.03419582</v>
      </c>
      <c r="BF704" s="6">
        <v>0.03770638</v>
      </c>
      <c r="BG704" s="6">
        <v>0.02871266</v>
      </c>
      <c r="BH704" s="6">
        <v>0.03039646</v>
      </c>
      <c r="BI704" s="6">
        <v>0.21470859</v>
      </c>
      <c r="BJ704" s="6">
        <v>0.12366373</v>
      </c>
      <c r="BK704" s="6">
        <v>0.1409291</v>
      </c>
      <c r="BL704" s="6">
        <v>0.12522516</v>
      </c>
      <c r="BM704" s="6">
        <v>0.1592662</v>
      </c>
      <c r="BN704" s="6">
        <v>0.17561655</v>
      </c>
      <c r="BO704" s="6">
        <v>0.1337285</v>
      </c>
      <c r="BP704" s="6">
        <v>0.14157076</v>
      </c>
      <c r="BQ704" s="6">
        <v>0.00243679</v>
      </c>
      <c r="BR704" s="6">
        <v>0.00145924</v>
      </c>
      <c r="BS704" s="6">
        <v>0.00243554</v>
      </c>
      <c r="BT704" s="6">
        <v>0.002779</v>
      </c>
      <c r="BU704" s="6">
        <v>0.00116233</v>
      </c>
      <c r="BV704" s="6">
        <v>0.00242311</v>
      </c>
      <c r="BW704" s="6">
        <v>0.00195473</v>
      </c>
      <c r="BX704" s="12">
        <v>1018.83</v>
      </c>
      <c r="BY704" s="13">
        <v>528.6</v>
      </c>
      <c r="BZ704" s="12">
        <v>340.65</v>
      </c>
      <c r="CA704" s="6">
        <f t="shared" si="66"/>
        <v>1.92741203178207</v>
      </c>
      <c r="CB704" s="6">
        <f t="shared" si="67"/>
        <v>2.99084103918978</v>
      </c>
      <c r="CC704" s="7">
        <v>26447095.75</v>
      </c>
      <c r="CD704" s="7">
        <f t="shared" si="62"/>
        <v>7.76371517686775</v>
      </c>
      <c r="CE704" s="8">
        <v>602</v>
      </c>
      <c r="CF704" s="8">
        <v>844.8</v>
      </c>
      <c r="CG704" s="8">
        <v>1077</v>
      </c>
      <c r="CH704" s="8">
        <v>5559</v>
      </c>
      <c r="CI704" s="14">
        <v>0</v>
      </c>
      <c r="CJ704" s="14">
        <v>0</v>
      </c>
      <c r="CK704" s="14">
        <f t="shared" si="63"/>
        <v>0</v>
      </c>
      <c r="CL704">
        <f t="shared" si="64"/>
        <v>4.06804884448575</v>
      </c>
      <c r="CM704">
        <f t="shared" si="65"/>
        <v>0</v>
      </c>
      <c r="CN704" s="15">
        <v>1019</v>
      </c>
      <c r="CO704" s="15">
        <v>620</v>
      </c>
      <c r="CP704" s="15">
        <v>17.88</v>
      </c>
      <c r="CQ704" s="15">
        <v>62.43</v>
      </c>
      <c r="CR704" s="15">
        <v>16.1</v>
      </c>
      <c r="CS704">
        <v>0</v>
      </c>
      <c r="CT704" s="15">
        <v>18.64</v>
      </c>
      <c r="CU704" s="15">
        <v>4.2</v>
      </c>
      <c r="CV704" s="15">
        <v>11.27</v>
      </c>
      <c r="CW704" s="15">
        <v>132.67</v>
      </c>
    </row>
    <row r="705" spans="1:101">
      <c r="A705" s="6">
        <v>2003</v>
      </c>
      <c r="B705" s="6" t="s">
        <v>128</v>
      </c>
      <c r="C705" s="6">
        <v>0.01221693</v>
      </c>
      <c r="D705" s="6">
        <v>0.008973</v>
      </c>
      <c r="E705" s="6">
        <v>0.002214</v>
      </c>
      <c r="F705" s="6">
        <v>0.004009</v>
      </c>
      <c r="G705" s="6">
        <v>0.001419</v>
      </c>
      <c r="H705" s="6">
        <v>0.001331</v>
      </c>
      <c r="I705" s="6">
        <v>0.008556</v>
      </c>
      <c r="J705" s="6">
        <v>0.004578</v>
      </c>
      <c r="K705" s="6">
        <v>0.0188164</v>
      </c>
      <c r="L705" s="6">
        <v>0.01184298</v>
      </c>
      <c r="M705" s="6">
        <v>0.01869556</v>
      </c>
      <c r="N705" s="6">
        <v>0.01346976</v>
      </c>
      <c r="O705" s="6">
        <v>0.00684311</v>
      </c>
      <c r="P705" s="6">
        <v>0.00550811</v>
      </c>
      <c r="Q705" s="6">
        <v>0.01268777</v>
      </c>
      <c r="R705" s="6">
        <v>217.69486</v>
      </c>
      <c r="S705" s="6">
        <v>8.643e-5</v>
      </c>
      <c r="T705" s="6">
        <v>169.97573</v>
      </c>
      <c r="U705" s="6">
        <v>6.967e-5</v>
      </c>
      <c r="V705" s="6">
        <v>197.11803</v>
      </c>
      <c r="W705" s="6">
        <v>9.484e-5</v>
      </c>
      <c r="X705" s="6">
        <v>134.47093</v>
      </c>
      <c r="Y705" s="6">
        <v>0.00010017</v>
      </c>
      <c r="Z705" s="6">
        <v>134.86767</v>
      </c>
      <c r="AA705" s="6">
        <v>5.074e-5</v>
      </c>
      <c r="AB705" s="6">
        <v>294.9318</v>
      </c>
      <c r="AC705" s="6">
        <v>1.868e-5</v>
      </c>
      <c r="AD705" s="6">
        <v>243.86163</v>
      </c>
      <c r="AE705" s="6">
        <v>5.203e-5</v>
      </c>
      <c r="AF705" s="6">
        <v>775</v>
      </c>
      <c r="AG705" s="6">
        <v>-0.00080869</v>
      </c>
      <c r="AH705" s="6">
        <v>-0.0006669</v>
      </c>
      <c r="AI705" s="6">
        <v>-0.00087857</v>
      </c>
      <c r="AJ705" s="6">
        <v>-0.00092242</v>
      </c>
      <c r="AK705" s="6">
        <v>-0.00050175</v>
      </c>
      <c r="AL705" s="6">
        <v>-0.00020335</v>
      </c>
      <c r="AM705" s="6">
        <v>-0.00051319</v>
      </c>
      <c r="AN705" s="6">
        <v>-6.4762184</v>
      </c>
      <c r="AO705" s="6">
        <v>-6.4515561</v>
      </c>
      <c r="AP705" s="6">
        <v>-6.4739881</v>
      </c>
      <c r="AQ705" s="6">
        <v>-6.4253629</v>
      </c>
      <c r="AR705" s="6">
        <v>-6.4020076</v>
      </c>
      <c r="AS705" s="6">
        <v>-6.4618417</v>
      </c>
      <c r="AT705" s="6">
        <v>-6.4506396</v>
      </c>
      <c r="AU705" s="6">
        <v>0.97344833</v>
      </c>
      <c r="AV705" s="6">
        <v>0.96974131</v>
      </c>
      <c r="AW705" s="6">
        <v>0.97311308</v>
      </c>
      <c r="AX705" s="6">
        <v>0.96580418</v>
      </c>
      <c r="AY705" s="6">
        <v>0.96229362</v>
      </c>
      <c r="AZ705" s="6">
        <v>0.97128734</v>
      </c>
      <c r="BA705" s="6">
        <v>0.96960354</v>
      </c>
      <c r="BB705" s="6">
        <v>0.02655167</v>
      </c>
      <c r="BC705" s="6">
        <v>0.03025869</v>
      </c>
      <c r="BD705" s="6">
        <v>0.02688692</v>
      </c>
      <c r="BE705" s="6">
        <v>0.03419582</v>
      </c>
      <c r="BF705" s="6">
        <v>0.03770638</v>
      </c>
      <c r="BG705" s="6">
        <v>0.02871266</v>
      </c>
      <c r="BH705" s="6">
        <v>0.03039646</v>
      </c>
      <c r="BI705" s="6">
        <v>0.21470859</v>
      </c>
      <c r="BJ705" s="6">
        <v>0.12366373</v>
      </c>
      <c r="BK705" s="6">
        <v>0.1409291</v>
      </c>
      <c r="BL705" s="6">
        <v>0.12522516</v>
      </c>
      <c r="BM705" s="6">
        <v>0.1592662</v>
      </c>
      <c r="BN705" s="6">
        <v>0.17561655</v>
      </c>
      <c r="BO705" s="6">
        <v>0.1337285</v>
      </c>
      <c r="BP705" s="6">
        <v>0.14157076</v>
      </c>
      <c r="BQ705" s="6">
        <v>0.00232691</v>
      </c>
      <c r="BR705" s="6">
        <v>0.00166902</v>
      </c>
      <c r="BS705" s="6">
        <v>0.00234115</v>
      </c>
      <c r="BT705" s="6">
        <v>0.00214528</v>
      </c>
      <c r="BU705" s="6">
        <v>0.00120176</v>
      </c>
      <c r="BV705" s="6">
        <v>0.00073659</v>
      </c>
      <c r="BW705" s="6">
        <v>0.00179622</v>
      </c>
      <c r="BX705" s="12">
        <v>1122.7</v>
      </c>
      <c r="BY705" s="13">
        <v>533.8</v>
      </c>
      <c r="BZ705" s="12">
        <v>390.2</v>
      </c>
      <c r="CA705" s="6">
        <f t="shared" si="66"/>
        <v>2.10322218059198</v>
      </c>
      <c r="CB705" s="6">
        <f t="shared" si="67"/>
        <v>2.87724243977447</v>
      </c>
      <c r="CC705" s="7">
        <v>29860029.11</v>
      </c>
      <c r="CD705" s="7">
        <f t="shared" si="62"/>
        <v>7.65249336494106</v>
      </c>
      <c r="CE705" s="8">
        <v>659.6</v>
      </c>
      <c r="CF705" s="8">
        <v>955.1</v>
      </c>
      <c r="CG705" s="8">
        <v>1183.4</v>
      </c>
      <c r="CH705" s="8">
        <v>6120</v>
      </c>
      <c r="CI705" s="14">
        <v>0</v>
      </c>
      <c r="CJ705" s="14">
        <v>0</v>
      </c>
      <c r="CK705" s="14">
        <f t="shared" si="63"/>
        <v>0</v>
      </c>
      <c r="CL705">
        <f t="shared" si="64"/>
        <v>4.08414499624993</v>
      </c>
      <c r="CM705">
        <f t="shared" si="65"/>
        <v>0</v>
      </c>
      <c r="CN705" s="15">
        <v>1122.7</v>
      </c>
      <c r="CO705" s="15">
        <v>675.43</v>
      </c>
      <c r="CP705" s="15">
        <v>30.27</v>
      </c>
      <c r="CQ705" s="15">
        <v>66.73</v>
      </c>
      <c r="CR705" s="15">
        <v>17.16</v>
      </c>
      <c r="CS705">
        <v>0</v>
      </c>
      <c r="CT705" s="15">
        <v>22.63</v>
      </c>
      <c r="CU705" s="15">
        <v>3.9</v>
      </c>
      <c r="CV705" s="15">
        <v>15.15</v>
      </c>
      <c r="CW705" s="15">
        <v>158.51</v>
      </c>
    </row>
    <row r="706" spans="1:101">
      <c r="A706" s="6">
        <v>2004</v>
      </c>
      <c r="B706" s="6" t="s">
        <v>128</v>
      </c>
      <c r="C706" s="6">
        <v>0.02044134</v>
      </c>
      <c r="D706" s="6">
        <v>0.009606</v>
      </c>
      <c r="E706" s="6">
        <v>0.002339</v>
      </c>
      <c r="F706" s="6">
        <v>0.004233</v>
      </c>
      <c r="G706" s="6">
        <v>0.001585</v>
      </c>
      <c r="H706" s="6">
        <v>0.001448</v>
      </c>
      <c r="I706" s="6">
        <v>0.010777</v>
      </c>
      <c r="J706" s="6">
        <v>0.005387</v>
      </c>
      <c r="K706" s="6">
        <v>0.02378588</v>
      </c>
      <c r="L706" s="6">
        <v>0.014804</v>
      </c>
      <c r="M706" s="6">
        <v>0.02215202</v>
      </c>
      <c r="N706" s="6">
        <v>0.01837891</v>
      </c>
      <c r="O706" s="6">
        <v>0.01039868</v>
      </c>
      <c r="P706" s="6">
        <v>0.03024727</v>
      </c>
      <c r="Q706" s="6">
        <v>0.02713376</v>
      </c>
      <c r="R706" s="6">
        <v>217.69486</v>
      </c>
      <c r="S706" s="6">
        <v>0.00010926</v>
      </c>
      <c r="T706" s="6">
        <v>169.97573</v>
      </c>
      <c r="U706" s="6">
        <v>8.709e-5</v>
      </c>
      <c r="V706" s="6">
        <v>197.11803</v>
      </c>
      <c r="W706" s="6">
        <v>0.00011238</v>
      </c>
      <c r="X706" s="6">
        <v>134.47093</v>
      </c>
      <c r="Y706" s="6">
        <v>0.00013668</v>
      </c>
      <c r="Z706" s="6">
        <v>134.86767</v>
      </c>
      <c r="AA706" s="6">
        <v>7.71e-5</v>
      </c>
      <c r="AB706" s="6">
        <v>294.9318</v>
      </c>
      <c r="AC706" s="6">
        <v>0.00010256</v>
      </c>
      <c r="AD706" s="6">
        <v>243.86163</v>
      </c>
      <c r="AE706" s="6">
        <v>0.00011127</v>
      </c>
      <c r="AF706" s="6">
        <v>775</v>
      </c>
      <c r="AG706" s="6">
        <v>-0.00099667</v>
      </c>
      <c r="AH706" s="6">
        <v>-0.00081421</v>
      </c>
      <c r="AI706" s="6">
        <v>-0.00102194</v>
      </c>
      <c r="AJ706" s="6">
        <v>-0.00121613</v>
      </c>
      <c r="AK706" s="6">
        <v>-0.00073019</v>
      </c>
      <c r="AL706" s="6">
        <v>-0.00094199</v>
      </c>
      <c r="AM706" s="6">
        <v>-0.00101293</v>
      </c>
      <c r="AN706" s="6">
        <v>-6.4762184</v>
      </c>
      <c r="AO706" s="6">
        <v>-6.4515561</v>
      </c>
      <c r="AP706" s="6">
        <v>-6.4739881</v>
      </c>
      <c r="AQ706" s="6">
        <v>-6.4253629</v>
      </c>
      <c r="AR706" s="6">
        <v>-6.4020076</v>
      </c>
      <c r="AS706" s="6">
        <v>-6.4618417</v>
      </c>
      <c r="AT706" s="6">
        <v>-6.4506396</v>
      </c>
      <c r="AU706" s="6">
        <v>0.97344833</v>
      </c>
      <c r="AV706" s="6">
        <v>0.96974131</v>
      </c>
      <c r="AW706" s="6">
        <v>0.97311308</v>
      </c>
      <c r="AX706" s="6">
        <v>0.96580418</v>
      </c>
      <c r="AY706" s="6">
        <v>0.96229362</v>
      </c>
      <c r="AZ706" s="6">
        <v>0.97128734</v>
      </c>
      <c r="BA706" s="6">
        <v>0.96960354</v>
      </c>
      <c r="BB706" s="6">
        <v>0.02655167</v>
      </c>
      <c r="BC706" s="6">
        <v>0.03025869</v>
      </c>
      <c r="BD706" s="6">
        <v>0.02688692</v>
      </c>
      <c r="BE706" s="6">
        <v>0.03419582</v>
      </c>
      <c r="BF706" s="6">
        <v>0.03770638</v>
      </c>
      <c r="BG706" s="6">
        <v>0.02871266</v>
      </c>
      <c r="BH706" s="6">
        <v>0.03039646</v>
      </c>
      <c r="BI706" s="6">
        <v>0.21470859</v>
      </c>
      <c r="BJ706" s="6">
        <v>0.12366373</v>
      </c>
      <c r="BK706" s="6">
        <v>0.1409291</v>
      </c>
      <c r="BL706" s="6">
        <v>0.12522516</v>
      </c>
      <c r="BM706" s="6">
        <v>0.1592662</v>
      </c>
      <c r="BN706" s="6">
        <v>0.17561655</v>
      </c>
      <c r="BO706" s="6">
        <v>0.1337285</v>
      </c>
      <c r="BP706" s="6">
        <v>0.14157076</v>
      </c>
      <c r="BQ706" s="6">
        <v>0.00294145</v>
      </c>
      <c r="BR706" s="6">
        <v>0.00208631</v>
      </c>
      <c r="BS706" s="6">
        <v>0.00277399</v>
      </c>
      <c r="BT706" s="6">
        <v>0.00292714</v>
      </c>
      <c r="BU706" s="6">
        <v>0.00182618</v>
      </c>
      <c r="BV706" s="6">
        <v>0.00404492</v>
      </c>
      <c r="BW706" s="6">
        <v>0.00384135</v>
      </c>
      <c r="BX706" s="12">
        <v>1364.38</v>
      </c>
      <c r="BY706" s="13">
        <v>538.6</v>
      </c>
      <c r="BZ706" s="12">
        <v>466.1</v>
      </c>
      <c r="CA706" s="6">
        <f t="shared" si="66"/>
        <v>2.53319717786855</v>
      </c>
      <c r="CB706" s="6">
        <f t="shared" si="67"/>
        <v>2.92722591718515</v>
      </c>
      <c r="CC706" s="7">
        <v>35064756.1</v>
      </c>
      <c r="CD706" s="7">
        <f t="shared" si="62"/>
        <v>7.52301139240506</v>
      </c>
      <c r="CE706" s="8">
        <v>810.1</v>
      </c>
      <c r="CF706" s="8">
        <v>1151.1</v>
      </c>
      <c r="CG706" s="8">
        <v>1343.8</v>
      </c>
      <c r="CH706" s="8">
        <v>7182</v>
      </c>
      <c r="CI706" s="14">
        <v>0</v>
      </c>
      <c r="CJ706" s="14">
        <v>0</v>
      </c>
      <c r="CK706" s="14">
        <f t="shared" si="63"/>
        <v>0</v>
      </c>
      <c r="CL706">
        <f t="shared" si="64"/>
        <v>3.89549779892895</v>
      </c>
      <c r="CM706">
        <f t="shared" si="65"/>
        <v>0</v>
      </c>
      <c r="CN706" s="15">
        <v>1364.4</v>
      </c>
      <c r="CO706" s="15">
        <v>680.05</v>
      </c>
      <c r="CP706" s="15">
        <v>41.23</v>
      </c>
      <c r="CQ706" s="15">
        <v>83.41</v>
      </c>
      <c r="CR706" s="15">
        <v>16.81</v>
      </c>
      <c r="CS706">
        <v>0</v>
      </c>
      <c r="CT706" s="15">
        <v>23.93</v>
      </c>
      <c r="CU706" s="15">
        <v>2.2</v>
      </c>
      <c r="CV706" s="15">
        <v>17.91</v>
      </c>
      <c r="CW706" s="15">
        <v>199.64</v>
      </c>
    </row>
    <row r="707" spans="1:101">
      <c r="A707" s="6">
        <v>2005</v>
      </c>
      <c r="B707" s="6" t="s">
        <v>128</v>
      </c>
      <c r="C707" s="6">
        <v>0.0298717</v>
      </c>
      <c r="D707" s="6">
        <v>0.011587</v>
      </c>
      <c r="E707" s="6">
        <v>0.003019</v>
      </c>
      <c r="F707" s="6">
        <v>0.005384</v>
      </c>
      <c r="G707" s="6">
        <v>0.001826</v>
      </c>
      <c r="H707" s="6">
        <v>0.001358</v>
      </c>
      <c r="I707" s="6">
        <v>0.011142</v>
      </c>
      <c r="J707" s="6">
        <v>0.006113</v>
      </c>
      <c r="K707" s="6">
        <v>0.0393238</v>
      </c>
      <c r="L707" s="6">
        <v>0.03087468</v>
      </c>
      <c r="M707" s="6">
        <v>0.03983617</v>
      </c>
      <c r="N707" s="6">
        <v>0.02549076</v>
      </c>
      <c r="O707" s="6">
        <v>0.00766921</v>
      </c>
      <c r="P707" s="6">
        <v>0.03431626</v>
      </c>
      <c r="Q707" s="6">
        <v>0.04007486</v>
      </c>
      <c r="R707" s="6">
        <v>217.69486</v>
      </c>
      <c r="S707" s="6">
        <v>0.00018064</v>
      </c>
      <c r="T707" s="6">
        <v>169.97573</v>
      </c>
      <c r="U707" s="6">
        <v>0.00018164</v>
      </c>
      <c r="V707" s="6">
        <v>197.11803</v>
      </c>
      <c r="W707" s="6">
        <v>0.00020209</v>
      </c>
      <c r="X707" s="6">
        <v>134.47093</v>
      </c>
      <c r="Y707" s="6">
        <v>0.00018956</v>
      </c>
      <c r="Z707" s="6">
        <v>134.86767</v>
      </c>
      <c r="AA707" s="6">
        <v>5.686e-5</v>
      </c>
      <c r="AB707" s="6">
        <v>294.9318</v>
      </c>
      <c r="AC707" s="6">
        <v>0.00011635</v>
      </c>
      <c r="AD707" s="6">
        <v>243.86163</v>
      </c>
      <c r="AE707" s="6">
        <v>0.00016433</v>
      </c>
      <c r="AF707" s="6">
        <v>775</v>
      </c>
      <c r="AG707" s="6">
        <v>-0.00155692</v>
      </c>
      <c r="AH707" s="6">
        <v>-0.00156457</v>
      </c>
      <c r="AI707" s="6">
        <v>-0.00171916</v>
      </c>
      <c r="AJ707" s="6">
        <v>-0.00162471</v>
      </c>
      <c r="AK707" s="6">
        <v>-0.00055584</v>
      </c>
      <c r="AL707" s="6">
        <v>-0.00105403</v>
      </c>
      <c r="AM707" s="6">
        <v>-0.00143195</v>
      </c>
      <c r="AN707" s="6">
        <v>-6.4762184</v>
      </c>
      <c r="AO707" s="6">
        <v>-6.4515561</v>
      </c>
      <c r="AP707" s="6">
        <v>-6.4739881</v>
      </c>
      <c r="AQ707" s="6">
        <v>-6.4253629</v>
      </c>
      <c r="AR707" s="6">
        <v>-6.4020076</v>
      </c>
      <c r="AS707" s="6">
        <v>-6.4618417</v>
      </c>
      <c r="AT707" s="6">
        <v>-6.4506396</v>
      </c>
      <c r="AU707" s="6">
        <v>0.97344833</v>
      </c>
      <c r="AV707" s="6">
        <v>0.96974131</v>
      </c>
      <c r="AW707" s="6">
        <v>0.97311308</v>
      </c>
      <c r="AX707" s="6">
        <v>0.96580418</v>
      </c>
      <c r="AY707" s="6">
        <v>0.96229362</v>
      </c>
      <c r="AZ707" s="6">
        <v>0.97128734</v>
      </c>
      <c r="BA707" s="6">
        <v>0.96960354</v>
      </c>
      <c r="BB707" s="6">
        <v>0.02655167</v>
      </c>
      <c r="BC707" s="6">
        <v>0.03025869</v>
      </c>
      <c r="BD707" s="6">
        <v>0.02688692</v>
      </c>
      <c r="BE707" s="6">
        <v>0.03419582</v>
      </c>
      <c r="BF707" s="6">
        <v>0.03770638</v>
      </c>
      <c r="BG707" s="6">
        <v>0.02871266</v>
      </c>
      <c r="BH707" s="6">
        <v>0.03039646</v>
      </c>
      <c r="BI707" s="6">
        <v>0.21470859</v>
      </c>
      <c r="BJ707" s="6">
        <v>0.12366373</v>
      </c>
      <c r="BK707" s="6">
        <v>0.1409291</v>
      </c>
      <c r="BL707" s="6">
        <v>0.12522516</v>
      </c>
      <c r="BM707" s="6">
        <v>0.1592662</v>
      </c>
      <c r="BN707" s="6">
        <v>0.17561655</v>
      </c>
      <c r="BO707" s="6">
        <v>0.1337285</v>
      </c>
      <c r="BP707" s="6">
        <v>0.14157076</v>
      </c>
      <c r="BQ707" s="6">
        <v>0.00486293</v>
      </c>
      <c r="BR707" s="6">
        <v>0.00435114</v>
      </c>
      <c r="BS707" s="6">
        <v>0.00498849</v>
      </c>
      <c r="BT707" s="6">
        <v>0.00405982</v>
      </c>
      <c r="BU707" s="6">
        <v>0.00134684</v>
      </c>
      <c r="BV707" s="6">
        <v>0.00458906</v>
      </c>
      <c r="BW707" s="6">
        <v>0.00567343</v>
      </c>
      <c r="BX707" s="12">
        <v>1830.48</v>
      </c>
      <c r="BY707" s="13">
        <v>543.2</v>
      </c>
      <c r="BZ707" s="12">
        <v>543.32</v>
      </c>
      <c r="CA707" s="6">
        <f t="shared" si="66"/>
        <v>3.36980854197349</v>
      </c>
      <c r="CB707" s="6">
        <f t="shared" si="67"/>
        <v>3.36906427151586</v>
      </c>
      <c r="CC707" s="7">
        <v>38329944.24</v>
      </c>
      <c r="CD707" s="7">
        <f t="shared" ref="CD707:CD751" si="68">CC707/10000/BZ707</f>
        <v>7.05476408746227</v>
      </c>
      <c r="CE707" s="8">
        <v>904.8</v>
      </c>
      <c r="CF707" s="8">
        <v>1324.3</v>
      </c>
      <c r="CG707" s="8">
        <v>1513.1</v>
      </c>
      <c r="CH707" s="8">
        <v>8069</v>
      </c>
      <c r="CI707" s="14">
        <v>0</v>
      </c>
      <c r="CJ707" s="14">
        <v>0</v>
      </c>
      <c r="CK707" s="14">
        <f t="shared" ref="CK707:CK751" si="69">CI707*CJ707</f>
        <v>0</v>
      </c>
      <c r="CL707">
        <f t="shared" ref="CL707:CL751" si="70">AVERAGEIF($A:$A,$A707,$CD:$CD)</f>
        <v>3.71995059106252</v>
      </c>
      <c r="CM707">
        <f t="shared" ref="CM707:CM751" si="71">MAX(0,1-CD707/CL707)</f>
        <v>0</v>
      </c>
      <c r="CN707" s="15">
        <v>1670.2</v>
      </c>
      <c r="CO707" s="15">
        <v>698.97</v>
      </c>
      <c r="CP707" s="15">
        <v>41.84</v>
      </c>
      <c r="CQ707" s="15">
        <v>95.02</v>
      </c>
      <c r="CR707" s="15">
        <v>17.5</v>
      </c>
      <c r="CS707">
        <v>0</v>
      </c>
      <c r="CT707" s="15">
        <v>24.85</v>
      </c>
      <c r="CU707" s="15">
        <v>0.02</v>
      </c>
      <c r="CV707" s="15">
        <v>22.11</v>
      </c>
      <c r="CW707" s="15">
        <v>206.56</v>
      </c>
    </row>
    <row r="708" spans="1:101">
      <c r="A708" s="6">
        <v>2006</v>
      </c>
      <c r="B708" s="6" t="s">
        <v>128</v>
      </c>
      <c r="C708" s="6">
        <v>0.03188082</v>
      </c>
      <c r="D708" s="6">
        <v>0.011835</v>
      </c>
      <c r="E708" s="6">
        <v>0.002863</v>
      </c>
      <c r="F708" s="6">
        <v>0.005359</v>
      </c>
      <c r="G708" s="6">
        <v>0.001658</v>
      </c>
      <c r="H708" s="6">
        <v>0.001956</v>
      </c>
      <c r="I708" s="6">
        <v>0.012425</v>
      </c>
      <c r="J708" s="6">
        <v>0.005336</v>
      </c>
      <c r="K708" s="6">
        <v>0.04127069</v>
      </c>
      <c r="L708" s="6">
        <v>0.02720149</v>
      </c>
      <c r="M708" s="6">
        <v>0.03944374</v>
      </c>
      <c r="N708" s="6">
        <v>0.02051832</v>
      </c>
      <c r="O708" s="6">
        <v>0.02577055</v>
      </c>
      <c r="P708" s="6">
        <v>0.04860701</v>
      </c>
      <c r="Q708" s="6">
        <v>0.02620985</v>
      </c>
      <c r="R708" s="6">
        <v>217.69486</v>
      </c>
      <c r="S708" s="6">
        <v>0.00018958</v>
      </c>
      <c r="T708" s="6">
        <v>169.97573</v>
      </c>
      <c r="U708" s="6">
        <v>0.00016003</v>
      </c>
      <c r="V708" s="6">
        <v>197.11803</v>
      </c>
      <c r="W708" s="6">
        <v>0.0002001</v>
      </c>
      <c r="X708" s="6">
        <v>134.47093</v>
      </c>
      <c r="Y708" s="6">
        <v>0.00015259</v>
      </c>
      <c r="Z708" s="6">
        <v>134.86767</v>
      </c>
      <c r="AA708" s="6">
        <v>0.00019108</v>
      </c>
      <c r="AB708" s="6">
        <v>294.9318</v>
      </c>
      <c r="AC708" s="6">
        <v>0.00016481</v>
      </c>
      <c r="AD708" s="6">
        <v>243.86163</v>
      </c>
      <c r="AE708" s="6">
        <v>0.00010748</v>
      </c>
      <c r="AF708" s="6">
        <v>775</v>
      </c>
      <c r="AG708" s="6">
        <v>-0.00162484</v>
      </c>
      <c r="AH708" s="6">
        <v>-0.0013987</v>
      </c>
      <c r="AI708" s="6">
        <v>-0.00170421</v>
      </c>
      <c r="AJ708" s="6">
        <v>-0.00134089</v>
      </c>
      <c r="AK708" s="6">
        <v>-0.00163619</v>
      </c>
      <c r="AL708" s="6">
        <v>-0.00143559</v>
      </c>
      <c r="AM708" s="6">
        <v>-0.00098216</v>
      </c>
      <c r="AN708" s="6">
        <v>-6.4762184</v>
      </c>
      <c r="AO708" s="6">
        <v>-6.4515561</v>
      </c>
      <c r="AP708" s="6">
        <v>-6.4739881</v>
      </c>
      <c r="AQ708" s="6">
        <v>-6.4253629</v>
      </c>
      <c r="AR708" s="6">
        <v>-6.4020076</v>
      </c>
      <c r="AS708" s="6">
        <v>-6.4618417</v>
      </c>
      <c r="AT708" s="6">
        <v>-6.4506396</v>
      </c>
      <c r="AU708" s="6">
        <v>0.97344833</v>
      </c>
      <c r="AV708" s="6">
        <v>0.96974131</v>
      </c>
      <c r="AW708" s="6">
        <v>0.97311308</v>
      </c>
      <c r="AX708" s="6">
        <v>0.96580418</v>
      </c>
      <c r="AY708" s="6">
        <v>0.96229362</v>
      </c>
      <c r="AZ708" s="6">
        <v>0.97128734</v>
      </c>
      <c r="BA708" s="6">
        <v>0.96960354</v>
      </c>
      <c r="BB708" s="6">
        <v>0.02655167</v>
      </c>
      <c r="BC708" s="6">
        <v>0.03025869</v>
      </c>
      <c r="BD708" s="6">
        <v>0.02688692</v>
      </c>
      <c r="BE708" s="6">
        <v>0.03419582</v>
      </c>
      <c r="BF708" s="6">
        <v>0.03770638</v>
      </c>
      <c r="BG708" s="6">
        <v>0.02871266</v>
      </c>
      <c r="BH708" s="6">
        <v>0.03039646</v>
      </c>
      <c r="BI708" s="6">
        <v>0.21470859</v>
      </c>
      <c r="BJ708" s="6">
        <v>0.12366373</v>
      </c>
      <c r="BK708" s="6">
        <v>0.1409291</v>
      </c>
      <c r="BL708" s="6">
        <v>0.12522516</v>
      </c>
      <c r="BM708" s="6">
        <v>0.1592662</v>
      </c>
      <c r="BN708" s="6">
        <v>0.17561655</v>
      </c>
      <c r="BO708" s="6">
        <v>0.1337285</v>
      </c>
      <c r="BP708" s="6">
        <v>0.14157076</v>
      </c>
      <c r="BQ708" s="6">
        <v>0.00510369</v>
      </c>
      <c r="BR708" s="6">
        <v>0.00383348</v>
      </c>
      <c r="BS708" s="6">
        <v>0.00493935</v>
      </c>
      <c r="BT708" s="6">
        <v>0.00326788</v>
      </c>
      <c r="BU708" s="6">
        <v>0.00452574</v>
      </c>
      <c r="BV708" s="6">
        <v>0.00650014</v>
      </c>
      <c r="BW708" s="6">
        <v>0.00371055</v>
      </c>
      <c r="BX708" s="12">
        <v>2085.84</v>
      </c>
      <c r="BY708" s="13">
        <v>547.7</v>
      </c>
      <c r="BZ708" s="12">
        <v>648.5</v>
      </c>
      <c r="CA708" s="6">
        <f t="shared" si="66"/>
        <v>3.80836224210334</v>
      </c>
      <c r="CB708" s="6">
        <f t="shared" si="67"/>
        <v>3.21640709329221</v>
      </c>
      <c r="CC708" s="7">
        <v>46220572.44</v>
      </c>
      <c r="CD708" s="7">
        <f t="shared" si="68"/>
        <v>7.12730492521203</v>
      </c>
      <c r="CE708" s="8">
        <v>1024.3</v>
      </c>
      <c r="CF708" s="8">
        <v>1604.7</v>
      </c>
      <c r="CG708" s="8">
        <v>1788.8</v>
      </c>
      <c r="CH708" s="8">
        <v>9421</v>
      </c>
      <c r="CI708" s="14">
        <v>0</v>
      </c>
      <c r="CJ708" s="14">
        <v>0</v>
      </c>
      <c r="CK708" s="14">
        <f t="shared" si="69"/>
        <v>0</v>
      </c>
      <c r="CL708">
        <f t="shared" si="70"/>
        <v>3.57740717995078</v>
      </c>
      <c r="CM708">
        <f t="shared" si="71"/>
        <v>0</v>
      </c>
      <c r="CN708" s="15">
        <v>1903.22</v>
      </c>
      <c r="CO708" s="15">
        <v>912.39</v>
      </c>
      <c r="CP708" s="15">
        <v>89.51</v>
      </c>
      <c r="CQ708" s="15">
        <v>106.11</v>
      </c>
      <c r="CR708" s="15">
        <v>18.39</v>
      </c>
      <c r="CS708">
        <v>0</v>
      </c>
      <c r="CT708" s="15">
        <v>27.03</v>
      </c>
      <c r="CU708" s="15">
        <v>0.06</v>
      </c>
      <c r="CV708" s="15">
        <v>22.78</v>
      </c>
      <c r="CW708" s="15">
        <v>246.04</v>
      </c>
    </row>
    <row r="709" spans="1:101">
      <c r="A709" s="6">
        <v>2007</v>
      </c>
      <c r="B709" s="6" t="s">
        <v>128</v>
      </c>
      <c r="C709" s="6">
        <v>0.03541358</v>
      </c>
      <c r="D709" s="6">
        <v>0.01348</v>
      </c>
      <c r="E709" s="6">
        <v>0.003187</v>
      </c>
      <c r="F709" s="6">
        <v>0.005997</v>
      </c>
      <c r="G709" s="6">
        <v>0.00199</v>
      </c>
      <c r="H709" s="6">
        <v>0.002306</v>
      </c>
      <c r="I709" s="6">
        <v>0.010148</v>
      </c>
      <c r="J709" s="6">
        <v>0.005175</v>
      </c>
      <c r="K709" s="6">
        <v>0.05416766</v>
      </c>
      <c r="L709" s="6">
        <v>0.03485942</v>
      </c>
      <c r="M709" s="6">
        <v>0.04924872</v>
      </c>
      <c r="N709" s="6">
        <v>0.03034744</v>
      </c>
      <c r="O709" s="6">
        <v>0.03637109</v>
      </c>
      <c r="P709" s="6">
        <v>0.02324872</v>
      </c>
      <c r="Q709" s="6">
        <v>0.02334814</v>
      </c>
      <c r="R709" s="6">
        <v>217.69486</v>
      </c>
      <c r="S709" s="6">
        <v>0.00024882</v>
      </c>
      <c r="T709" s="6">
        <v>169.97573</v>
      </c>
      <c r="U709" s="6">
        <v>0.00020508</v>
      </c>
      <c r="V709" s="6">
        <v>197.11803</v>
      </c>
      <c r="W709" s="6">
        <v>0.00024984</v>
      </c>
      <c r="X709" s="6">
        <v>134.47093</v>
      </c>
      <c r="Y709" s="6">
        <v>0.00022568</v>
      </c>
      <c r="Z709" s="6">
        <v>134.86767</v>
      </c>
      <c r="AA709" s="6">
        <v>0.00026968</v>
      </c>
      <c r="AB709" s="6">
        <v>294.9318</v>
      </c>
      <c r="AC709" s="6">
        <v>7.883e-5</v>
      </c>
      <c r="AD709" s="6">
        <v>243.86163</v>
      </c>
      <c r="AE709" s="6">
        <v>9.574e-5</v>
      </c>
      <c r="AF709" s="6">
        <v>775</v>
      </c>
      <c r="AG709" s="6">
        <v>-0.00206493</v>
      </c>
      <c r="AH709" s="6">
        <v>-0.0017416</v>
      </c>
      <c r="AI709" s="6">
        <v>-0.00207237</v>
      </c>
      <c r="AJ709" s="6">
        <v>-0.0018949</v>
      </c>
      <c r="AK709" s="6">
        <v>-0.0022163</v>
      </c>
      <c r="AL709" s="6">
        <v>-0.00074478</v>
      </c>
      <c r="AM709" s="6">
        <v>-0.00088599</v>
      </c>
      <c r="AN709" s="6">
        <v>-6.4762184</v>
      </c>
      <c r="AO709" s="6">
        <v>-6.4515561</v>
      </c>
      <c r="AP709" s="6">
        <v>-6.4739881</v>
      </c>
      <c r="AQ709" s="6">
        <v>-6.4253629</v>
      </c>
      <c r="AR709" s="6">
        <v>-6.4020076</v>
      </c>
      <c r="AS709" s="6">
        <v>-6.4618417</v>
      </c>
      <c r="AT709" s="6">
        <v>-6.4506396</v>
      </c>
      <c r="AU709" s="6">
        <v>0.97344833</v>
      </c>
      <c r="AV709" s="6">
        <v>0.96974131</v>
      </c>
      <c r="AW709" s="6">
        <v>0.97311308</v>
      </c>
      <c r="AX709" s="6">
        <v>0.96580418</v>
      </c>
      <c r="AY709" s="6">
        <v>0.96229362</v>
      </c>
      <c r="AZ709" s="6">
        <v>0.97128734</v>
      </c>
      <c r="BA709" s="6">
        <v>0.96960354</v>
      </c>
      <c r="BB709" s="6">
        <v>0.02655167</v>
      </c>
      <c r="BC709" s="6">
        <v>0.03025869</v>
      </c>
      <c r="BD709" s="6">
        <v>0.02688692</v>
      </c>
      <c r="BE709" s="6">
        <v>0.03419582</v>
      </c>
      <c r="BF709" s="6">
        <v>0.03770638</v>
      </c>
      <c r="BG709" s="6">
        <v>0.02871266</v>
      </c>
      <c r="BH709" s="6">
        <v>0.03039646</v>
      </c>
      <c r="BI709" s="6">
        <v>0.21470859</v>
      </c>
      <c r="BJ709" s="6">
        <v>0.12366373</v>
      </c>
      <c r="BK709" s="6">
        <v>0.1409291</v>
      </c>
      <c r="BL709" s="6">
        <v>0.12522516</v>
      </c>
      <c r="BM709" s="6">
        <v>0.1592662</v>
      </c>
      <c r="BN709" s="6">
        <v>0.17561655</v>
      </c>
      <c r="BO709" s="6">
        <v>0.1337285</v>
      </c>
      <c r="BP709" s="6">
        <v>0.14157076</v>
      </c>
      <c r="BQ709" s="6">
        <v>0.00669857</v>
      </c>
      <c r="BR709" s="6">
        <v>0.00491271</v>
      </c>
      <c r="BS709" s="6">
        <v>0.00616718</v>
      </c>
      <c r="BT709" s="6">
        <v>0.00483332</v>
      </c>
      <c r="BU709" s="6">
        <v>0.00638737</v>
      </c>
      <c r="BV709" s="6">
        <v>0.00310902</v>
      </c>
      <c r="BW709" s="6">
        <v>0.00330541</v>
      </c>
      <c r="BX709" s="12">
        <v>2295.91</v>
      </c>
      <c r="BY709" s="13">
        <v>551.6</v>
      </c>
      <c r="BZ709" s="12">
        <v>797.35</v>
      </c>
      <c r="CA709" s="6">
        <f t="shared" si="66"/>
        <v>4.16227338651196</v>
      </c>
      <c r="CB709" s="6">
        <f t="shared" si="67"/>
        <v>2.87942559729103</v>
      </c>
      <c r="CC709" s="7">
        <v>52999592.65</v>
      </c>
      <c r="CD709" s="7">
        <f t="shared" si="68"/>
        <v>6.64696715996739</v>
      </c>
      <c r="CE709" s="8">
        <v>1214.9</v>
      </c>
      <c r="CF709" s="8">
        <v>2074</v>
      </c>
      <c r="CG709" s="8">
        <v>2185.9</v>
      </c>
      <c r="CH709" s="8">
        <v>11542</v>
      </c>
      <c r="CI709" s="14">
        <v>0</v>
      </c>
      <c r="CJ709" s="14">
        <v>0</v>
      </c>
      <c r="CK709" s="14">
        <f t="shared" si="69"/>
        <v>0</v>
      </c>
      <c r="CL709">
        <f t="shared" si="70"/>
        <v>3.23986794305777</v>
      </c>
      <c r="CM709">
        <f t="shared" si="71"/>
        <v>0</v>
      </c>
      <c r="CN709" s="15">
        <v>2094.89</v>
      </c>
      <c r="CO709" s="15">
        <v>1058.19</v>
      </c>
      <c r="CP709" s="15">
        <v>96.62</v>
      </c>
      <c r="CQ709" s="15">
        <v>110.15</v>
      </c>
      <c r="CR709" s="15">
        <v>16.42</v>
      </c>
      <c r="CS709" s="15">
        <v>2.02</v>
      </c>
      <c r="CT709" s="15">
        <v>48.35</v>
      </c>
      <c r="CU709" s="15">
        <v>0.18</v>
      </c>
      <c r="CV709" s="15">
        <v>20.25</v>
      </c>
      <c r="CW709" s="15">
        <v>287.11</v>
      </c>
    </row>
    <row r="710" spans="1:101">
      <c r="A710" s="6">
        <v>2008</v>
      </c>
      <c r="B710" s="6" t="s">
        <v>128</v>
      </c>
      <c r="C710" s="6">
        <v>0.04682081</v>
      </c>
      <c r="D710" s="6">
        <v>0.013167</v>
      </c>
      <c r="E710" s="6">
        <v>0.00315</v>
      </c>
      <c r="F710" s="6">
        <v>0.006108</v>
      </c>
      <c r="G710" s="6">
        <v>0.001754</v>
      </c>
      <c r="H710" s="6">
        <v>0.002155</v>
      </c>
      <c r="I710" s="6">
        <v>0.014464</v>
      </c>
      <c r="J710" s="6">
        <v>0.007987</v>
      </c>
      <c r="K710" s="6">
        <v>0.05171857</v>
      </c>
      <c r="L710" s="6">
        <v>0.03398604</v>
      </c>
      <c r="M710" s="6">
        <v>0.05095699</v>
      </c>
      <c r="N710" s="6">
        <v>0.02337159</v>
      </c>
      <c r="O710" s="6">
        <v>0.03181231</v>
      </c>
      <c r="P710" s="6">
        <v>0.07132173</v>
      </c>
      <c r="Q710" s="6">
        <v>0.07351491</v>
      </c>
      <c r="R710" s="6">
        <v>217.69486</v>
      </c>
      <c r="S710" s="6">
        <v>0.00023757</v>
      </c>
      <c r="T710" s="6">
        <v>169.97573</v>
      </c>
      <c r="U710" s="6">
        <v>0.00019995</v>
      </c>
      <c r="V710" s="6">
        <v>197.11803</v>
      </c>
      <c r="W710" s="6">
        <v>0.00025851</v>
      </c>
      <c r="X710" s="6">
        <v>134.47093</v>
      </c>
      <c r="Y710" s="6">
        <v>0.0001738</v>
      </c>
      <c r="Z710" s="6">
        <v>134.86767</v>
      </c>
      <c r="AA710" s="6">
        <v>0.00023588</v>
      </c>
      <c r="AB710" s="6">
        <v>294.9318</v>
      </c>
      <c r="AC710" s="6">
        <v>0.00024182</v>
      </c>
      <c r="AD710" s="6">
        <v>243.86163</v>
      </c>
      <c r="AE710" s="6">
        <v>0.00030146</v>
      </c>
      <c r="AF710" s="6">
        <v>775</v>
      </c>
      <c r="AG710" s="6">
        <v>-0.00198256</v>
      </c>
      <c r="AH710" s="6">
        <v>-0.00170304</v>
      </c>
      <c r="AI710" s="6">
        <v>-0.00213544</v>
      </c>
      <c r="AJ710" s="6">
        <v>-0.00150472</v>
      </c>
      <c r="AK710" s="6">
        <v>-0.0019701</v>
      </c>
      <c r="AL710" s="6">
        <v>-0.00201374</v>
      </c>
      <c r="AM710" s="6">
        <v>-0.00244391</v>
      </c>
      <c r="AN710" s="6">
        <v>-6.4762184</v>
      </c>
      <c r="AO710" s="6">
        <v>-6.4515561</v>
      </c>
      <c r="AP710" s="6">
        <v>-6.4739881</v>
      </c>
      <c r="AQ710" s="6">
        <v>-6.4253629</v>
      </c>
      <c r="AR710" s="6">
        <v>-6.4020076</v>
      </c>
      <c r="AS710" s="6">
        <v>-6.4618417</v>
      </c>
      <c r="AT710" s="6">
        <v>-6.4506396</v>
      </c>
      <c r="AU710" s="6">
        <v>0.97344833</v>
      </c>
      <c r="AV710" s="6">
        <v>0.96974131</v>
      </c>
      <c r="AW710" s="6">
        <v>0.97311308</v>
      </c>
      <c r="AX710" s="6">
        <v>0.96580418</v>
      </c>
      <c r="AY710" s="6">
        <v>0.96229362</v>
      </c>
      <c r="AZ710" s="6">
        <v>0.97128734</v>
      </c>
      <c r="BA710" s="6">
        <v>0.96960354</v>
      </c>
      <c r="BB710" s="6">
        <v>0.02655167</v>
      </c>
      <c r="BC710" s="6">
        <v>0.03025869</v>
      </c>
      <c r="BD710" s="6">
        <v>0.02688692</v>
      </c>
      <c r="BE710" s="6">
        <v>0.03419582</v>
      </c>
      <c r="BF710" s="6">
        <v>0.03770638</v>
      </c>
      <c r="BG710" s="6">
        <v>0.02871266</v>
      </c>
      <c r="BH710" s="6">
        <v>0.03039646</v>
      </c>
      <c r="BI710" s="6">
        <v>0.21470859</v>
      </c>
      <c r="BJ710" s="6">
        <v>0.12366373</v>
      </c>
      <c r="BK710" s="6">
        <v>0.1409291</v>
      </c>
      <c r="BL710" s="6">
        <v>0.12522516</v>
      </c>
      <c r="BM710" s="6">
        <v>0.1592662</v>
      </c>
      <c r="BN710" s="6">
        <v>0.17561655</v>
      </c>
      <c r="BO710" s="6">
        <v>0.1337285</v>
      </c>
      <c r="BP710" s="6">
        <v>0.14157076</v>
      </c>
      <c r="BQ710" s="6">
        <v>0.00639571</v>
      </c>
      <c r="BR710" s="6">
        <v>0.00478962</v>
      </c>
      <c r="BS710" s="6">
        <v>0.0063811</v>
      </c>
      <c r="BT710" s="6">
        <v>0.0037223</v>
      </c>
      <c r="BU710" s="6">
        <v>0.00558677</v>
      </c>
      <c r="BV710" s="6">
        <v>0.00953775</v>
      </c>
      <c r="BW710" s="6">
        <v>0.01040756</v>
      </c>
      <c r="BX710" s="12">
        <v>2497.74</v>
      </c>
      <c r="BY710" s="13">
        <v>554.3</v>
      </c>
      <c r="BZ710" s="12">
        <v>1018.62</v>
      </c>
      <c r="CA710" s="6">
        <f t="shared" si="66"/>
        <v>4.50611582175717</v>
      </c>
      <c r="CB710" s="6">
        <f t="shared" si="67"/>
        <v>2.45208222889792</v>
      </c>
      <c r="CC710" s="7">
        <v>52938699.8</v>
      </c>
      <c r="CD710" s="7">
        <f t="shared" si="68"/>
        <v>5.19709997840215</v>
      </c>
      <c r="CE710" s="8">
        <v>1422.3</v>
      </c>
      <c r="CF710" s="8">
        <v>2466</v>
      </c>
      <c r="CG710" s="8">
        <v>2567.2</v>
      </c>
      <c r="CH710" s="8">
        <v>13471</v>
      </c>
      <c r="CI710" s="14">
        <v>0</v>
      </c>
      <c r="CJ710" s="14">
        <v>0</v>
      </c>
      <c r="CK710" s="14">
        <f t="shared" si="69"/>
        <v>0</v>
      </c>
      <c r="CL710">
        <f t="shared" si="70"/>
        <v>2.71728515287532</v>
      </c>
      <c r="CM710">
        <f t="shared" si="71"/>
        <v>0</v>
      </c>
      <c r="CN710" s="15">
        <v>2279</v>
      </c>
      <c r="CO710" s="15">
        <v>1316</v>
      </c>
      <c r="CP710" s="15">
        <v>150.16</v>
      </c>
      <c r="CQ710" s="15">
        <v>109.2</v>
      </c>
      <c r="CR710" s="15">
        <v>21.38</v>
      </c>
      <c r="CS710" s="15">
        <v>0.4</v>
      </c>
      <c r="CT710" s="15">
        <v>78.38</v>
      </c>
      <c r="CU710" s="15">
        <v>0.13</v>
      </c>
      <c r="CV710" s="15">
        <v>22.9</v>
      </c>
      <c r="CW710" s="15">
        <v>313.23</v>
      </c>
    </row>
    <row r="711" spans="1:101">
      <c r="A711" s="6">
        <v>2009</v>
      </c>
      <c r="B711" s="6" t="s">
        <v>128</v>
      </c>
      <c r="C711" s="6">
        <v>0.04911834</v>
      </c>
      <c r="D711" s="6">
        <v>0.01384</v>
      </c>
      <c r="E711" s="6">
        <v>0.003369</v>
      </c>
      <c r="F711" s="6">
        <v>0.006373</v>
      </c>
      <c r="G711" s="6">
        <v>0.002015</v>
      </c>
      <c r="H711" s="6">
        <v>0.002083</v>
      </c>
      <c r="I711" s="6">
        <v>0.015527</v>
      </c>
      <c r="J711" s="6">
        <v>0.007188</v>
      </c>
      <c r="K711" s="6">
        <v>0.0569913</v>
      </c>
      <c r="L711" s="6">
        <v>0.03915602</v>
      </c>
      <c r="M711" s="6">
        <v>0.05503853</v>
      </c>
      <c r="N711" s="6">
        <v>0.03106218</v>
      </c>
      <c r="O711" s="6">
        <v>0.02962399</v>
      </c>
      <c r="P711" s="6">
        <v>0.08316086</v>
      </c>
      <c r="Q711" s="6">
        <v>0.05926053</v>
      </c>
      <c r="R711" s="6">
        <v>217.69486</v>
      </c>
      <c r="S711" s="6">
        <v>0.00026179</v>
      </c>
      <c r="T711" s="6">
        <v>169.97573</v>
      </c>
      <c r="U711" s="6">
        <v>0.00023036</v>
      </c>
      <c r="V711" s="6">
        <v>197.11803</v>
      </c>
      <c r="W711" s="6">
        <v>0.00027922</v>
      </c>
      <c r="X711" s="6">
        <v>134.47093</v>
      </c>
      <c r="Y711" s="6">
        <v>0.000231</v>
      </c>
      <c r="Z711" s="6">
        <v>134.86767</v>
      </c>
      <c r="AA711" s="6">
        <v>0.00021965</v>
      </c>
      <c r="AB711" s="6">
        <v>294.9318</v>
      </c>
      <c r="AC711" s="6">
        <v>0.00028197</v>
      </c>
      <c r="AD711" s="6">
        <v>243.86163</v>
      </c>
      <c r="AE711" s="6">
        <v>0.00024301</v>
      </c>
      <c r="AF711" s="6">
        <v>775</v>
      </c>
      <c r="AG711" s="6">
        <v>-0.00215927</v>
      </c>
      <c r="AH711" s="6">
        <v>-0.00192948</v>
      </c>
      <c r="AI711" s="6">
        <v>-0.00228497</v>
      </c>
      <c r="AJ711" s="6">
        <v>-0.00193415</v>
      </c>
      <c r="AK711" s="6">
        <v>-0.00185023</v>
      </c>
      <c r="AL711" s="6">
        <v>-0.00230472</v>
      </c>
      <c r="AM711" s="6">
        <v>-0.00202242</v>
      </c>
      <c r="AN711" s="6">
        <v>-6.4762184</v>
      </c>
      <c r="AO711" s="6">
        <v>-6.4515561</v>
      </c>
      <c r="AP711" s="6">
        <v>-6.4739881</v>
      </c>
      <c r="AQ711" s="6">
        <v>-6.4253629</v>
      </c>
      <c r="AR711" s="6">
        <v>-6.4020076</v>
      </c>
      <c r="AS711" s="6">
        <v>-6.4618417</v>
      </c>
      <c r="AT711" s="6">
        <v>-6.4506396</v>
      </c>
      <c r="AU711" s="6">
        <v>0.97344833</v>
      </c>
      <c r="AV711" s="6">
        <v>0.96974131</v>
      </c>
      <c r="AW711" s="6">
        <v>0.97311308</v>
      </c>
      <c r="AX711" s="6">
        <v>0.96580418</v>
      </c>
      <c r="AY711" s="6">
        <v>0.96229362</v>
      </c>
      <c r="AZ711" s="6">
        <v>0.97128734</v>
      </c>
      <c r="BA711" s="6">
        <v>0.96960354</v>
      </c>
      <c r="BB711" s="6">
        <v>0.02655167</v>
      </c>
      <c r="BC711" s="6">
        <v>0.03025869</v>
      </c>
      <c r="BD711" s="6">
        <v>0.02688692</v>
      </c>
      <c r="BE711" s="6">
        <v>0.03419582</v>
      </c>
      <c r="BF711" s="6">
        <v>0.03770638</v>
      </c>
      <c r="BG711" s="6">
        <v>0.02871266</v>
      </c>
      <c r="BH711" s="6">
        <v>0.03039646</v>
      </c>
      <c r="BI711" s="6">
        <v>0.21470859</v>
      </c>
      <c r="BJ711" s="6">
        <v>0.12366373</v>
      </c>
      <c r="BK711" s="6">
        <v>0.1409291</v>
      </c>
      <c r="BL711" s="6">
        <v>0.12522516</v>
      </c>
      <c r="BM711" s="6">
        <v>0.1592662</v>
      </c>
      <c r="BN711" s="6">
        <v>0.17561655</v>
      </c>
      <c r="BO711" s="6">
        <v>0.1337285</v>
      </c>
      <c r="BP711" s="6">
        <v>0.14157076</v>
      </c>
      <c r="BQ711" s="6">
        <v>0.00704776</v>
      </c>
      <c r="BR711" s="6">
        <v>0.00551822</v>
      </c>
      <c r="BS711" s="6">
        <v>0.00689221</v>
      </c>
      <c r="BT711" s="6">
        <v>0.00494716</v>
      </c>
      <c r="BU711" s="6">
        <v>0.00520246</v>
      </c>
      <c r="BV711" s="6">
        <v>0.01112098</v>
      </c>
      <c r="BW711" s="6">
        <v>0.00838956</v>
      </c>
      <c r="BX711" s="12">
        <v>2573.44</v>
      </c>
      <c r="BY711" s="13">
        <v>557.3</v>
      </c>
      <c r="BZ711" s="12">
        <v>1081.27</v>
      </c>
      <c r="CA711" s="6">
        <f t="shared" si="66"/>
        <v>4.61769244572044</v>
      </c>
      <c r="CB711" s="6">
        <f t="shared" si="67"/>
        <v>2.38001609218789</v>
      </c>
      <c r="CC711" s="7">
        <v>54091197.36</v>
      </c>
      <c r="CD711" s="7">
        <f t="shared" si="68"/>
        <v>5.00256155816771</v>
      </c>
      <c r="CE711" s="8">
        <v>1425.5</v>
      </c>
      <c r="CF711" s="8">
        <v>2715.3</v>
      </c>
      <c r="CG711" s="8">
        <v>2972.1</v>
      </c>
      <c r="CH711" s="8">
        <v>14708</v>
      </c>
      <c r="CI711" s="14">
        <v>0</v>
      </c>
      <c r="CJ711" s="14">
        <v>0</v>
      </c>
      <c r="CK711" s="14">
        <f t="shared" si="69"/>
        <v>0</v>
      </c>
      <c r="CL711">
        <f t="shared" si="70"/>
        <v>2.66960201713366</v>
      </c>
      <c r="CM711">
        <f t="shared" si="71"/>
        <v>0</v>
      </c>
      <c r="CN711" s="15">
        <v>2348</v>
      </c>
      <c r="CO711" s="15">
        <v>1310</v>
      </c>
      <c r="CP711" s="15">
        <v>185.56</v>
      </c>
      <c r="CQ711" s="15">
        <v>82.03</v>
      </c>
      <c r="CR711" s="15">
        <v>23.17</v>
      </c>
      <c r="CS711" s="15">
        <v>0.16</v>
      </c>
      <c r="CT711" s="15">
        <v>87.11</v>
      </c>
      <c r="CU711" s="15">
        <v>0.16</v>
      </c>
      <c r="CV711" s="15">
        <v>24.56</v>
      </c>
      <c r="CW711" s="15">
        <v>337.24</v>
      </c>
    </row>
    <row r="712" spans="1:101">
      <c r="A712" s="6">
        <v>2010</v>
      </c>
      <c r="B712" s="6" t="s">
        <v>128</v>
      </c>
      <c r="C712" s="6">
        <v>0.0458625</v>
      </c>
      <c r="D712" s="6">
        <v>0.013607</v>
      </c>
      <c r="E712" s="6">
        <v>0.003431</v>
      </c>
      <c r="F712" s="6">
        <v>0.005962</v>
      </c>
      <c r="G712" s="6">
        <v>0.002134</v>
      </c>
      <c r="H712" s="6">
        <v>0.002081</v>
      </c>
      <c r="I712" s="6">
        <v>0.014362</v>
      </c>
      <c r="J712" s="6">
        <v>0.00669</v>
      </c>
      <c r="K712" s="6">
        <v>0.05516866</v>
      </c>
      <c r="L712" s="6">
        <v>0.04061706</v>
      </c>
      <c r="M712" s="6">
        <v>0.04872108</v>
      </c>
      <c r="N712" s="6">
        <v>0.03458601</v>
      </c>
      <c r="O712" s="6">
        <v>0.02955329</v>
      </c>
      <c r="P712" s="6">
        <v>0.07018538</v>
      </c>
      <c r="Q712" s="6">
        <v>0.0503684</v>
      </c>
      <c r="R712" s="6">
        <v>217.69486</v>
      </c>
      <c r="S712" s="6">
        <v>0.00025342</v>
      </c>
      <c r="T712" s="6">
        <v>169.97573</v>
      </c>
      <c r="U712" s="6">
        <v>0.00023896</v>
      </c>
      <c r="V712" s="6">
        <v>197.11803</v>
      </c>
      <c r="W712" s="6">
        <v>0.00024717</v>
      </c>
      <c r="X712" s="6">
        <v>134.47093</v>
      </c>
      <c r="Y712" s="6">
        <v>0.0002572</v>
      </c>
      <c r="Z712" s="6">
        <v>134.86767</v>
      </c>
      <c r="AA712" s="6">
        <v>0.00021913</v>
      </c>
      <c r="AB712" s="6">
        <v>294.9318</v>
      </c>
      <c r="AC712" s="6">
        <v>0.00023797</v>
      </c>
      <c r="AD712" s="6">
        <v>243.86163</v>
      </c>
      <c r="AE712" s="6">
        <v>0.00020655</v>
      </c>
      <c r="AF712" s="6">
        <v>775</v>
      </c>
      <c r="AG712" s="6">
        <v>-0.00209845</v>
      </c>
      <c r="AH712" s="6">
        <v>-0.00199272</v>
      </c>
      <c r="AI712" s="6">
        <v>-0.00205283</v>
      </c>
      <c r="AJ712" s="6">
        <v>-0.00212593</v>
      </c>
      <c r="AK712" s="6">
        <v>-0.00184634</v>
      </c>
      <c r="AL712" s="6">
        <v>-0.00198548</v>
      </c>
      <c r="AM712" s="6">
        <v>-0.00175253</v>
      </c>
      <c r="AN712" s="6">
        <v>-6.4762184</v>
      </c>
      <c r="AO712" s="6">
        <v>-6.4515561</v>
      </c>
      <c r="AP712" s="6">
        <v>-6.4739881</v>
      </c>
      <c r="AQ712" s="6">
        <v>-6.4253629</v>
      </c>
      <c r="AR712" s="6">
        <v>-6.4020076</v>
      </c>
      <c r="AS712" s="6">
        <v>-6.4618417</v>
      </c>
      <c r="AT712" s="6">
        <v>-6.4506396</v>
      </c>
      <c r="AU712" s="6">
        <v>0.97344833</v>
      </c>
      <c r="AV712" s="6">
        <v>0.96974131</v>
      </c>
      <c r="AW712" s="6">
        <v>0.97311308</v>
      </c>
      <c r="AX712" s="6">
        <v>0.96580418</v>
      </c>
      <c r="AY712" s="6">
        <v>0.96229362</v>
      </c>
      <c r="AZ712" s="6">
        <v>0.97128734</v>
      </c>
      <c r="BA712" s="6">
        <v>0.96960354</v>
      </c>
      <c r="BB712" s="6">
        <v>0.02655167</v>
      </c>
      <c r="BC712" s="6">
        <v>0.03025869</v>
      </c>
      <c r="BD712" s="6">
        <v>0.02688692</v>
      </c>
      <c r="BE712" s="6">
        <v>0.03419582</v>
      </c>
      <c r="BF712" s="6">
        <v>0.03770638</v>
      </c>
      <c r="BG712" s="6">
        <v>0.02871266</v>
      </c>
      <c r="BH712" s="6">
        <v>0.03039646</v>
      </c>
      <c r="BI712" s="6">
        <v>0.21470859</v>
      </c>
      <c r="BJ712" s="6">
        <v>0.12366373</v>
      </c>
      <c r="BK712" s="6">
        <v>0.1409291</v>
      </c>
      <c r="BL712" s="6">
        <v>0.12522516</v>
      </c>
      <c r="BM712" s="6">
        <v>0.1592662</v>
      </c>
      <c r="BN712" s="6">
        <v>0.17561655</v>
      </c>
      <c r="BO712" s="6">
        <v>0.1337285</v>
      </c>
      <c r="BP712" s="6">
        <v>0.14157076</v>
      </c>
      <c r="BQ712" s="6">
        <v>0.00682236</v>
      </c>
      <c r="BR712" s="6">
        <v>0.00572413</v>
      </c>
      <c r="BS712" s="6">
        <v>0.00610111</v>
      </c>
      <c r="BT712" s="6">
        <v>0.00550838</v>
      </c>
      <c r="BU712" s="6">
        <v>0.00519005</v>
      </c>
      <c r="BV712" s="6">
        <v>0.00938579</v>
      </c>
      <c r="BW712" s="6">
        <v>0.00713069</v>
      </c>
      <c r="BX712" s="12">
        <v>2814.57</v>
      </c>
      <c r="BY712" s="13">
        <v>563.47</v>
      </c>
      <c r="BZ712" s="12">
        <v>1350.43</v>
      </c>
      <c r="CA712" s="6">
        <f t="shared" si="66"/>
        <v>4.995066285694</v>
      </c>
      <c r="CB712" s="6">
        <f t="shared" si="67"/>
        <v>2.0842028094755</v>
      </c>
      <c r="CC712" s="7">
        <v>58242129.95</v>
      </c>
      <c r="CD712" s="7">
        <f t="shared" si="68"/>
        <v>4.31285812296824</v>
      </c>
      <c r="CE712" s="8">
        <v>1639.7</v>
      </c>
      <c r="CF712" s="8">
        <v>3465.2</v>
      </c>
      <c r="CG712" s="8">
        <v>3447.6</v>
      </c>
      <c r="CH712" s="8">
        <v>18070</v>
      </c>
      <c r="CI712" s="14">
        <v>0</v>
      </c>
      <c r="CJ712" s="14">
        <v>0</v>
      </c>
      <c r="CK712" s="14">
        <f t="shared" si="69"/>
        <v>0</v>
      </c>
      <c r="CL712">
        <f t="shared" si="70"/>
        <v>2.40850270516871</v>
      </c>
      <c r="CM712">
        <f t="shared" si="71"/>
        <v>0</v>
      </c>
      <c r="CN712" s="15">
        <v>2568.26</v>
      </c>
      <c r="CO712" s="15">
        <v>1270.68</v>
      </c>
      <c r="CP712" s="15">
        <v>160.13</v>
      </c>
      <c r="CQ712" s="15">
        <v>127.98</v>
      </c>
      <c r="CR712" s="15">
        <v>26.19</v>
      </c>
      <c r="CS712" s="15">
        <v>0.17</v>
      </c>
      <c r="CT712" s="15">
        <v>89.89</v>
      </c>
      <c r="CU712" s="15">
        <v>0.12</v>
      </c>
      <c r="CV712" s="15">
        <v>23.72</v>
      </c>
      <c r="CW712" s="15">
        <v>465.18</v>
      </c>
    </row>
    <row r="713" spans="1:101">
      <c r="A713" s="6">
        <v>2011</v>
      </c>
      <c r="B713" s="6" t="s">
        <v>128</v>
      </c>
      <c r="C713" s="6">
        <v>0.04963706</v>
      </c>
      <c r="D713" s="6">
        <v>0.013897</v>
      </c>
      <c r="E713" s="6">
        <v>0.003645</v>
      </c>
      <c r="F713" s="6">
        <v>0.00603</v>
      </c>
      <c r="G713" s="6">
        <v>0.002428</v>
      </c>
      <c r="H713" s="6">
        <v>0.001794</v>
      </c>
      <c r="I713" s="6">
        <v>0.015054</v>
      </c>
      <c r="J713" s="6">
        <v>0.007386</v>
      </c>
      <c r="K713" s="6">
        <v>0.05743882</v>
      </c>
      <c r="L713" s="6">
        <v>0.04567787</v>
      </c>
      <c r="M713" s="6">
        <v>0.04975921</v>
      </c>
      <c r="N713" s="6">
        <v>0.04328865</v>
      </c>
      <c r="O713" s="6">
        <v>0.02086803</v>
      </c>
      <c r="P713" s="6">
        <v>0.07788727</v>
      </c>
      <c r="Q713" s="6">
        <v>0.06279951</v>
      </c>
      <c r="R713" s="6">
        <v>217.69486</v>
      </c>
      <c r="S713" s="6">
        <v>0.00026385</v>
      </c>
      <c r="T713" s="6">
        <v>169.97573</v>
      </c>
      <c r="U713" s="6">
        <v>0.00026873</v>
      </c>
      <c r="V713" s="6">
        <v>197.11803</v>
      </c>
      <c r="W713" s="6">
        <v>0.00025243</v>
      </c>
      <c r="X713" s="6">
        <v>134.47093</v>
      </c>
      <c r="Y713" s="6">
        <v>0.00032192</v>
      </c>
      <c r="Z713" s="6">
        <v>134.86767</v>
      </c>
      <c r="AA713" s="6">
        <v>0.00015473</v>
      </c>
      <c r="AB713" s="6">
        <v>294.9318</v>
      </c>
      <c r="AC713" s="6">
        <v>0.00026409</v>
      </c>
      <c r="AD713" s="6">
        <v>243.86163</v>
      </c>
      <c r="AE713" s="6">
        <v>0.00025752</v>
      </c>
      <c r="AF713" s="6">
        <v>775</v>
      </c>
      <c r="AG713" s="6">
        <v>-0.00217416</v>
      </c>
      <c r="AH713" s="6">
        <v>-0.00220946</v>
      </c>
      <c r="AI713" s="6">
        <v>-0.00209125</v>
      </c>
      <c r="AJ713" s="6">
        <v>-0.00258861</v>
      </c>
      <c r="AK713" s="6">
        <v>-0.00135757</v>
      </c>
      <c r="AL713" s="6">
        <v>-0.00217586</v>
      </c>
      <c r="AM713" s="6">
        <v>-0.00212826</v>
      </c>
      <c r="AN713" s="6">
        <v>-6.4762184</v>
      </c>
      <c r="AO713" s="6">
        <v>-6.4515561</v>
      </c>
      <c r="AP713" s="6">
        <v>-6.4739881</v>
      </c>
      <c r="AQ713" s="6">
        <v>-6.4253629</v>
      </c>
      <c r="AR713" s="6">
        <v>-6.4020076</v>
      </c>
      <c r="AS713" s="6">
        <v>-6.4618417</v>
      </c>
      <c r="AT713" s="6">
        <v>-6.4506396</v>
      </c>
      <c r="AU713" s="6">
        <v>0.97344833</v>
      </c>
      <c r="AV713" s="6">
        <v>0.96974131</v>
      </c>
      <c r="AW713" s="6">
        <v>0.97311308</v>
      </c>
      <c r="AX713" s="6">
        <v>0.96580418</v>
      </c>
      <c r="AY713" s="6">
        <v>0.96229362</v>
      </c>
      <c r="AZ713" s="6">
        <v>0.97128734</v>
      </c>
      <c r="BA713" s="6">
        <v>0.96960354</v>
      </c>
      <c r="BB713" s="6">
        <v>0.02655167</v>
      </c>
      <c r="BC713" s="6">
        <v>0.03025869</v>
      </c>
      <c r="BD713" s="6">
        <v>0.02688692</v>
      </c>
      <c r="BE713" s="6">
        <v>0.03419582</v>
      </c>
      <c r="BF713" s="6">
        <v>0.03770638</v>
      </c>
      <c r="BG713" s="6">
        <v>0.02871266</v>
      </c>
      <c r="BH713" s="6">
        <v>0.03039646</v>
      </c>
      <c r="BI713" s="6">
        <v>0.21470859</v>
      </c>
      <c r="BJ713" s="6">
        <v>0.12366373</v>
      </c>
      <c r="BK713" s="6">
        <v>0.1409291</v>
      </c>
      <c r="BL713" s="6">
        <v>0.12522516</v>
      </c>
      <c r="BM713" s="6">
        <v>0.1592662</v>
      </c>
      <c r="BN713" s="6">
        <v>0.17561655</v>
      </c>
      <c r="BO713" s="6">
        <v>0.1337285</v>
      </c>
      <c r="BP713" s="6">
        <v>0.14157076</v>
      </c>
      <c r="BQ713" s="6">
        <v>0.0071031</v>
      </c>
      <c r="BR713" s="6">
        <v>0.00643734</v>
      </c>
      <c r="BS713" s="6">
        <v>0.0062311</v>
      </c>
      <c r="BT713" s="6">
        <v>0.00689442</v>
      </c>
      <c r="BU713" s="6">
        <v>0.00366477</v>
      </c>
      <c r="BV713" s="6">
        <v>0.01041575</v>
      </c>
      <c r="BW713" s="6">
        <v>0.00889057</v>
      </c>
      <c r="BX713" s="12">
        <v>3145.28</v>
      </c>
      <c r="BY713" s="13">
        <v>568</v>
      </c>
      <c r="BZ713" s="12">
        <v>1670.44</v>
      </c>
      <c r="CA713" s="6">
        <f t="shared" si="66"/>
        <v>5.53746478873239</v>
      </c>
      <c r="CB713" s="6">
        <f t="shared" si="67"/>
        <v>1.88290510284715</v>
      </c>
      <c r="CC713" s="7">
        <v>63081663.63</v>
      </c>
      <c r="CD713" s="7">
        <f t="shared" si="68"/>
        <v>3.77635016103542</v>
      </c>
      <c r="CE713" s="8">
        <v>2006.4</v>
      </c>
      <c r="CF713" s="8">
        <v>4241.2</v>
      </c>
      <c r="CG713" s="8">
        <v>4052.3</v>
      </c>
      <c r="CH713" s="8">
        <v>22234</v>
      </c>
      <c r="CI713" s="14">
        <v>0</v>
      </c>
      <c r="CJ713" s="14">
        <v>0</v>
      </c>
      <c r="CK713" s="14">
        <f t="shared" si="69"/>
        <v>0</v>
      </c>
      <c r="CL713">
        <f t="shared" si="70"/>
        <v>2.18035126729488</v>
      </c>
      <c r="CM713">
        <f t="shared" si="71"/>
        <v>0</v>
      </c>
      <c r="CN713" s="15">
        <v>3189</v>
      </c>
      <c r="CO713" s="15">
        <v>1508</v>
      </c>
      <c r="CP713" s="15">
        <v>156.03</v>
      </c>
      <c r="CQ713" s="15">
        <v>156.25</v>
      </c>
      <c r="CR713" s="15">
        <v>28.97</v>
      </c>
      <c r="CS713" s="15">
        <v>0.19</v>
      </c>
      <c r="CT713" s="15">
        <v>102.37</v>
      </c>
      <c r="CU713" s="15">
        <v>0.1</v>
      </c>
      <c r="CV713" s="15">
        <v>32.05</v>
      </c>
      <c r="CW713" s="15">
        <v>561</v>
      </c>
    </row>
    <row r="714" spans="1:101">
      <c r="A714" s="6">
        <v>2012</v>
      </c>
      <c r="B714" s="6" t="s">
        <v>128</v>
      </c>
      <c r="C714" s="6">
        <v>0.0488025</v>
      </c>
      <c r="D714" s="6">
        <v>0.01345</v>
      </c>
      <c r="E714" s="6">
        <v>0.003181</v>
      </c>
      <c r="F714" s="6">
        <v>0.006086</v>
      </c>
      <c r="G714" s="6">
        <v>0.001818</v>
      </c>
      <c r="H714" s="6">
        <v>0.002366</v>
      </c>
      <c r="I714" s="6">
        <v>0.014615</v>
      </c>
      <c r="J714" s="6">
        <v>0.007988</v>
      </c>
      <c r="K714" s="6">
        <v>0.05393768</v>
      </c>
      <c r="L714" s="6">
        <v>0.03470688</v>
      </c>
      <c r="M714" s="6">
        <v>0.05062233</v>
      </c>
      <c r="N714" s="6">
        <v>0.02524279</v>
      </c>
      <c r="O714" s="6">
        <v>0.03820312</v>
      </c>
      <c r="P714" s="6">
        <v>0.07300485</v>
      </c>
      <c r="Q714" s="6">
        <v>0.07353014</v>
      </c>
      <c r="R714" s="6">
        <v>217.69486</v>
      </c>
      <c r="S714" s="6">
        <v>0.00024777</v>
      </c>
      <c r="T714" s="6">
        <v>169.97573</v>
      </c>
      <c r="U714" s="6">
        <v>0.00020419</v>
      </c>
      <c r="V714" s="6">
        <v>197.11803</v>
      </c>
      <c r="W714" s="6">
        <v>0.00025681</v>
      </c>
      <c r="X714" s="6">
        <v>134.47093</v>
      </c>
      <c r="Y714" s="6">
        <v>0.00018772</v>
      </c>
      <c r="Z714" s="6">
        <v>134.86767</v>
      </c>
      <c r="AA714" s="6">
        <v>0.00028326</v>
      </c>
      <c r="AB714" s="6">
        <v>294.9318</v>
      </c>
      <c r="AC714" s="6">
        <v>0.00024753</v>
      </c>
      <c r="AD714" s="6">
        <v>243.86163</v>
      </c>
      <c r="AE714" s="6">
        <v>0.00030152</v>
      </c>
      <c r="AF714" s="6">
        <v>775</v>
      </c>
      <c r="AG714" s="6">
        <v>-0.00205722</v>
      </c>
      <c r="AH714" s="6">
        <v>-0.00173487</v>
      </c>
      <c r="AI714" s="6">
        <v>-0.00212311</v>
      </c>
      <c r="AJ714" s="6">
        <v>-0.00161074</v>
      </c>
      <c r="AK714" s="6">
        <v>-0.00231402</v>
      </c>
      <c r="AL714" s="6">
        <v>-0.00205549</v>
      </c>
      <c r="AM714" s="6">
        <v>-0.00244435</v>
      </c>
      <c r="AN714" s="6">
        <v>-6.4762184</v>
      </c>
      <c r="AO714" s="6">
        <v>-6.4515561</v>
      </c>
      <c r="AP714" s="6">
        <v>-6.4739881</v>
      </c>
      <c r="AQ714" s="6">
        <v>-6.4253629</v>
      </c>
      <c r="AR714" s="6">
        <v>-6.4020076</v>
      </c>
      <c r="AS714" s="6">
        <v>-6.4618417</v>
      </c>
      <c r="AT714" s="6">
        <v>-6.4506396</v>
      </c>
      <c r="AU714" s="6">
        <v>0.97344833</v>
      </c>
      <c r="AV714" s="6">
        <v>0.96974131</v>
      </c>
      <c r="AW714" s="6">
        <v>0.97311308</v>
      </c>
      <c r="AX714" s="6">
        <v>0.96580418</v>
      </c>
      <c r="AY714" s="6">
        <v>0.96229362</v>
      </c>
      <c r="AZ714" s="6">
        <v>0.97128734</v>
      </c>
      <c r="BA714" s="6">
        <v>0.96960354</v>
      </c>
      <c r="BB714" s="6">
        <v>0.02655167</v>
      </c>
      <c r="BC714" s="6">
        <v>0.03025869</v>
      </c>
      <c r="BD714" s="6">
        <v>0.02688692</v>
      </c>
      <c r="BE714" s="6">
        <v>0.03419582</v>
      </c>
      <c r="BF714" s="6">
        <v>0.03770638</v>
      </c>
      <c r="BG714" s="6">
        <v>0.02871266</v>
      </c>
      <c r="BH714" s="6">
        <v>0.03039646</v>
      </c>
      <c r="BI714" s="6">
        <v>0.21470859</v>
      </c>
      <c r="BJ714" s="6">
        <v>0.12366373</v>
      </c>
      <c r="BK714" s="6">
        <v>0.1409291</v>
      </c>
      <c r="BL714" s="6">
        <v>0.12522516</v>
      </c>
      <c r="BM714" s="6">
        <v>0.1592662</v>
      </c>
      <c r="BN714" s="6">
        <v>0.17561655</v>
      </c>
      <c r="BO714" s="6">
        <v>0.1337285</v>
      </c>
      <c r="BP714" s="6">
        <v>0.14157076</v>
      </c>
      <c r="BQ714" s="6">
        <v>0.00667013</v>
      </c>
      <c r="BR714" s="6">
        <v>0.00489121</v>
      </c>
      <c r="BS714" s="6">
        <v>0.00633919</v>
      </c>
      <c r="BT714" s="6">
        <v>0.00402032</v>
      </c>
      <c r="BU714" s="6">
        <v>0.0067091</v>
      </c>
      <c r="BV714" s="6">
        <v>0.00976283</v>
      </c>
      <c r="BW714" s="6">
        <v>0.01040972</v>
      </c>
      <c r="BX714" s="12">
        <v>3475.88</v>
      </c>
      <c r="BY714" s="13">
        <v>571</v>
      </c>
      <c r="BZ714" s="12">
        <v>1893.54</v>
      </c>
      <c r="CA714" s="6">
        <f t="shared" si="66"/>
        <v>6.08735551663748</v>
      </c>
      <c r="CB714" s="6">
        <f t="shared" si="67"/>
        <v>1.8356517422394</v>
      </c>
      <c r="CC714" s="7">
        <v>66082605.61</v>
      </c>
      <c r="CD714" s="7">
        <f t="shared" si="68"/>
        <v>3.48989752579824</v>
      </c>
      <c r="CE714" s="8">
        <v>2126.4</v>
      </c>
      <c r="CF714" s="8">
        <v>4503.1</v>
      </c>
      <c r="CG714" s="8">
        <v>4674.1</v>
      </c>
      <c r="CH714" s="8">
        <v>24181</v>
      </c>
      <c r="CI714" s="14">
        <v>0</v>
      </c>
      <c r="CJ714" s="14">
        <v>0</v>
      </c>
      <c r="CK714" s="14">
        <f t="shared" si="69"/>
        <v>0</v>
      </c>
      <c r="CL714">
        <f t="shared" si="70"/>
        <v>2.01609935715007</v>
      </c>
      <c r="CM714">
        <f t="shared" si="71"/>
        <v>0</v>
      </c>
      <c r="CN714" s="15">
        <v>3524.06</v>
      </c>
      <c r="CO714" s="15">
        <v>1859</v>
      </c>
      <c r="CP714" s="15">
        <v>196.33</v>
      </c>
      <c r="CQ714" s="15">
        <v>145.44</v>
      </c>
      <c r="CR714" s="15">
        <v>29.91</v>
      </c>
      <c r="CS714">
        <v>0</v>
      </c>
      <c r="CT714" s="15">
        <v>106.16</v>
      </c>
      <c r="CU714" s="15">
        <v>0.17</v>
      </c>
      <c r="CV714" s="15">
        <v>40.11</v>
      </c>
      <c r="CW714" s="15">
        <v>602.22</v>
      </c>
    </row>
    <row r="715" spans="1:101">
      <c r="A715" s="6">
        <v>2013</v>
      </c>
      <c r="B715" s="6" t="s">
        <v>128</v>
      </c>
      <c r="C715" s="6">
        <v>0.04358104</v>
      </c>
      <c r="D715" s="6">
        <v>0.012951</v>
      </c>
      <c r="E715" s="6">
        <v>0.003136</v>
      </c>
      <c r="F715" s="6">
        <v>0.005812</v>
      </c>
      <c r="G715" s="6">
        <v>0.002048</v>
      </c>
      <c r="H715" s="6">
        <v>0.001956</v>
      </c>
      <c r="I715" s="6">
        <v>0.013291</v>
      </c>
      <c r="J715" s="6">
        <v>0.007596</v>
      </c>
      <c r="K715" s="6">
        <v>0.05002442</v>
      </c>
      <c r="L715" s="6">
        <v>0.03364486</v>
      </c>
      <c r="M715" s="6">
        <v>0.04640896</v>
      </c>
      <c r="N715" s="6">
        <v>0.03203962</v>
      </c>
      <c r="O715" s="6">
        <v>0.02578537</v>
      </c>
      <c r="P715" s="6">
        <v>0.0582543</v>
      </c>
      <c r="Q715" s="6">
        <v>0.0665413</v>
      </c>
      <c r="R715" s="6">
        <v>217.69486</v>
      </c>
      <c r="S715" s="6">
        <v>0.00022979</v>
      </c>
      <c r="T715" s="6">
        <v>169.97573</v>
      </c>
      <c r="U715" s="6">
        <v>0.00019794</v>
      </c>
      <c r="V715" s="6">
        <v>197.11803</v>
      </c>
      <c r="W715" s="6">
        <v>0.00023544</v>
      </c>
      <c r="X715" s="6">
        <v>134.47093</v>
      </c>
      <c r="Y715" s="6">
        <v>0.00023826</v>
      </c>
      <c r="Z715" s="6">
        <v>134.86767</v>
      </c>
      <c r="AA715" s="6">
        <v>0.00019119</v>
      </c>
      <c r="AB715" s="6">
        <v>294.9318</v>
      </c>
      <c r="AC715" s="6">
        <v>0.00019752</v>
      </c>
      <c r="AD715" s="6">
        <v>243.86163</v>
      </c>
      <c r="AE715" s="6">
        <v>0.00027287</v>
      </c>
      <c r="AF715" s="6">
        <v>775</v>
      </c>
      <c r="AG715" s="6">
        <v>-0.00192527</v>
      </c>
      <c r="AH715" s="6">
        <v>-0.00168794</v>
      </c>
      <c r="AI715" s="6">
        <v>-0.00196686</v>
      </c>
      <c r="AJ715" s="6">
        <v>-0.00198763</v>
      </c>
      <c r="AK715" s="6">
        <v>-0.00163702</v>
      </c>
      <c r="AL715" s="6">
        <v>-0.00168476</v>
      </c>
      <c r="AM715" s="6">
        <v>-0.00223928</v>
      </c>
      <c r="AN715" s="6">
        <v>-6.4762184</v>
      </c>
      <c r="AO715" s="6">
        <v>-6.4515561</v>
      </c>
      <c r="AP715" s="6">
        <v>-6.4739881</v>
      </c>
      <c r="AQ715" s="6">
        <v>-6.4253629</v>
      </c>
      <c r="AR715" s="6">
        <v>-6.4020076</v>
      </c>
      <c r="AS715" s="6">
        <v>-6.4618417</v>
      </c>
      <c r="AT715" s="6">
        <v>-6.4506396</v>
      </c>
      <c r="AU715" s="6">
        <v>0.97344833</v>
      </c>
      <c r="AV715" s="6">
        <v>0.96974131</v>
      </c>
      <c r="AW715" s="6">
        <v>0.97311308</v>
      </c>
      <c r="AX715" s="6">
        <v>0.96580418</v>
      </c>
      <c r="AY715" s="6">
        <v>0.96229362</v>
      </c>
      <c r="AZ715" s="6">
        <v>0.97128734</v>
      </c>
      <c r="BA715" s="6">
        <v>0.96960354</v>
      </c>
      <c r="BB715" s="6">
        <v>0.02655167</v>
      </c>
      <c r="BC715" s="6">
        <v>0.03025869</v>
      </c>
      <c r="BD715" s="6">
        <v>0.02688692</v>
      </c>
      <c r="BE715" s="6">
        <v>0.03419582</v>
      </c>
      <c r="BF715" s="6">
        <v>0.03770638</v>
      </c>
      <c r="BG715" s="6">
        <v>0.02871266</v>
      </c>
      <c r="BH715" s="6">
        <v>0.03039646</v>
      </c>
      <c r="BI715" s="6">
        <v>0.21470859</v>
      </c>
      <c r="BJ715" s="6">
        <v>0.12366373</v>
      </c>
      <c r="BK715" s="6">
        <v>0.1409291</v>
      </c>
      <c r="BL715" s="6">
        <v>0.12522516</v>
      </c>
      <c r="BM715" s="6">
        <v>0.1592662</v>
      </c>
      <c r="BN715" s="6">
        <v>0.17561655</v>
      </c>
      <c r="BO715" s="6">
        <v>0.1337285</v>
      </c>
      <c r="BP715" s="6">
        <v>0.14157076</v>
      </c>
      <c r="BQ715" s="6">
        <v>0.00618621</v>
      </c>
      <c r="BR715" s="6">
        <v>0.00474154</v>
      </c>
      <c r="BS715" s="6">
        <v>0.00581157</v>
      </c>
      <c r="BT715" s="6">
        <v>0.00510283</v>
      </c>
      <c r="BU715" s="6">
        <v>0.00452834</v>
      </c>
      <c r="BV715" s="6">
        <v>0.00779026</v>
      </c>
      <c r="BW715" s="6">
        <v>0.0094203</v>
      </c>
      <c r="BX715" s="12">
        <v>3768.16</v>
      </c>
      <c r="BY715" s="13">
        <v>571</v>
      </c>
      <c r="BZ715" s="12">
        <v>2122.06</v>
      </c>
      <c r="CA715" s="6">
        <f t="shared" si="66"/>
        <v>6.59922942206655</v>
      </c>
      <c r="CB715" s="6">
        <f t="shared" si="67"/>
        <v>1.77570850965571</v>
      </c>
      <c r="CC715" s="7">
        <v>69441748.2</v>
      </c>
      <c r="CD715" s="7">
        <f t="shared" si="68"/>
        <v>3.27237440034683</v>
      </c>
      <c r="CE715" s="8">
        <v>2290.6</v>
      </c>
      <c r="CF715" s="8">
        <v>4709.3</v>
      </c>
      <c r="CG715" s="8">
        <v>5448.4</v>
      </c>
      <c r="CH715" s="8">
        <v>26416</v>
      </c>
      <c r="CI715" s="14">
        <v>0</v>
      </c>
      <c r="CJ715" s="14">
        <v>0</v>
      </c>
      <c r="CK715" s="14">
        <f t="shared" si="69"/>
        <v>0</v>
      </c>
      <c r="CL715">
        <f t="shared" si="70"/>
        <v>1.91398219724656</v>
      </c>
      <c r="CM715">
        <f t="shared" si="71"/>
        <v>0</v>
      </c>
      <c r="CN715" s="15">
        <v>3768</v>
      </c>
      <c r="CO715" s="15">
        <v>2073.15</v>
      </c>
      <c r="CP715" s="15">
        <v>230.22</v>
      </c>
      <c r="CQ715" s="15">
        <v>146.19</v>
      </c>
      <c r="CR715" s="15">
        <v>32.85</v>
      </c>
      <c r="CS715">
        <v>0</v>
      </c>
      <c r="CT715" s="15">
        <v>110.77</v>
      </c>
      <c r="CU715" s="15">
        <v>0.12</v>
      </c>
      <c r="CV715" s="15">
        <v>41.56</v>
      </c>
      <c r="CW715" s="15">
        <v>676.29</v>
      </c>
    </row>
    <row r="716" spans="1:101">
      <c r="A716" s="6">
        <v>2014</v>
      </c>
      <c r="B716" s="6" t="s">
        <v>128</v>
      </c>
      <c r="C716" s="6">
        <v>0.05499513</v>
      </c>
      <c r="D716" s="6">
        <v>0.014192</v>
      </c>
      <c r="E716" s="6">
        <v>0.003531</v>
      </c>
      <c r="F716" s="6">
        <v>0.006395</v>
      </c>
      <c r="G716" s="6">
        <v>0.001919</v>
      </c>
      <c r="H716" s="6">
        <v>0.002348</v>
      </c>
      <c r="I716" s="6">
        <v>0.015799</v>
      </c>
      <c r="J716" s="6">
        <v>0.008611</v>
      </c>
      <c r="K716" s="6">
        <v>0.05975286</v>
      </c>
      <c r="L716" s="6">
        <v>0.04297607</v>
      </c>
      <c r="M716" s="6">
        <v>0.05537428</v>
      </c>
      <c r="N716" s="6">
        <v>0.02822402</v>
      </c>
      <c r="O716" s="6">
        <v>0.03764428</v>
      </c>
      <c r="P716" s="6">
        <v>0.08618186</v>
      </c>
      <c r="Q716" s="6">
        <v>0.08465009</v>
      </c>
      <c r="R716" s="6">
        <v>217.69486</v>
      </c>
      <c r="S716" s="6">
        <v>0.00027448</v>
      </c>
      <c r="T716" s="6">
        <v>169.97573</v>
      </c>
      <c r="U716" s="6">
        <v>0.00025284</v>
      </c>
      <c r="V716" s="6">
        <v>197.11803</v>
      </c>
      <c r="W716" s="6">
        <v>0.00028092</v>
      </c>
      <c r="X716" s="6">
        <v>134.47093</v>
      </c>
      <c r="Y716" s="6">
        <v>0.00020989</v>
      </c>
      <c r="Z716" s="6">
        <v>134.86767</v>
      </c>
      <c r="AA716" s="6">
        <v>0.00027912</v>
      </c>
      <c r="AB716" s="6">
        <v>294.9318</v>
      </c>
      <c r="AC716" s="6">
        <v>0.00029221</v>
      </c>
      <c r="AD716" s="6">
        <v>243.86163</v>
      </c>
      <c r="AE716" s="6">
        <v>0.00034712</v>
      </c>
      <c r="AF716" s="6">
        <v>775</v>
      </c>
      <c r="AG716" s="6">
        <v>-0.00225091</v>
      </c>
      <c r="AH716" s="6">
        <v>-0.00209419</v>
      </c>
      <c r="AI716" s="6">
        <v>-0.0022972</v>
      </c>
      <c r="AJ716" s="6">
        <v>-0.00177754</v>
      </c>
      <c r="AK716" s="6">
        <v>-0.00228428</v>
      </c>
      <c r="AL716" s="6">
        <v>-0.00237801</v>
      </c>
      <c r="AM716" s="6">
        <v>-0.00276513</v>
      </c>
      <c r="AN716" s="6">
        <v>-6.4762184</v>
      </c>
      <c r="AO716" s="6">
        <v>-6.4515561</v>
      </c>
      <c r="AP716" s="6">
        <v>-6.4739881</v>
      </c>
      <c r="AQ716" s="6">
        <v>-6.4253629</v>
      </c>
      <c r="AR716" s="6">
        <v>-6.4020076</v>
      </c>
      <c r="AS716" s="6">
        <v>-6.4618417</v>
      </c>
      <c r="AT716" s="6">
        <v>-6.4506396</v>
      </c>
      <c r="AU716" s="6">
        <v>0.97344833</v>
      </c>
      <c r="AV716" s="6">
        <v>0.96974131</v>
      </c>
      <c r="AW716" s="6">
        <v>0.97311308</v>
      </c>
      <c r="AX716" s="6">
        <v>0.96580418</v>
      </c>
      <c r="AY716" s="6">
        <v>0.96229362</v>
      </c>
      <c r="AZ716" s="6">
        <v>0.97128734</v>
      </c>
      <c r="BA716" s="6">
        <v>0.96960354</v>
      </c>
      <c r="BB716" s="6">
        <v>0.02655167</v>
      </c>
      <c r="BC716" s="6">
        <v>0.03025869</v>
      </c>
      <c r="BD716" s="6">
        <v>0.02688692</v>
      </c>
      <c r="BE716" s="6">
        <v>0.03419582</v>
      </c>
      <c r="BF716" s="6">
        <v>0.03770638</v>
      </c>
      <c r="BG716" s="6">
        <v>0.02871266</v>
      </c>
      <c r="BH716" s="6">
        <v>0.03039646</v>
      </c>
      <c r="BI716" s="6">
        <v>0.21470859</v>
      </c>
      <c r="BJ716" s="6">
        <v>0.12366373</v>
      </c>
      <c r="BK716" s="6">
        <v>0.1409291</v>
      </c>
      <c r="BL716" s="6">
        <v>0.12522516</v>
      </c>
      <c r="BM716" s="6">
        <v>0.1592662</v>
      </c>
      <c r="BN716" s="6">
        <v>0.17561655</v>
      </c>
      <c r="BO716" s="6">
        <v>0.1337285</v>
      </c>
      <c r="BP716" s="6">
        <v>0.14157076</v>
      </c>
      <c r="BQ716" s="6">
        <v>0.00738926</v>
      </c>
      <c r="BR716" s="6">
        <v>0.00605658</v>
      </c>
      <c r="BS716" s="6">
        <v>0.00693425</v>
      </c>
      <c r="BT716" s="6">
        <v>0.00449513</v>
      </c>
      <c r="BU716" s="6">
        <v>0.00661096</v>
      </c>
      <c r="BV716" s="6">
        <v>0.01152497</v>
      </c>
      <c r="BW716" s="6">
        <v>0.01198398</v>
      </c>
      <c r="BX716" s="12">
        <v>3991.7</v>
      </c>
      <c r="BY716" s="13">
        <v>576</v>
      </c>
      <c r="BZ716" s="12">
        <v>2303.32</v>
      </c>
      <c r="CA716" s="6">
        <f t="shared" si="66"/>
        <v>6.93003472222222</v>
      </c>
      <c r="CB716" s="6">
        <f t="shared" si="67"/>
        <v>1.73302016220065</v>
      </c>
      <c r="CC716" s="7">
        <v>69846957.31</v>
      </c>
      <c r="CD716" s="7">
        <f t="shared" si="68"/>
        <v>3.03244695960613</v>
      </c>
      <c r="CE716" s="8">
        <v>2413.4</v>
      </c>
      <c r="CF716" s="8">
        <v>5145.6</v>
      </c>
      <c r="CG716" s="8">
        <v>6028.8</v>
      </c>
      <c r="CH716" s="8">
        <v>28603</v>
      </c>
      <c r="CI716" s="14">
        <v>0</v>
      </c>
      <c r="CJ716" s="14">
        <v>0</v>
      </c>
      <c r="CK716" s="14">
        <f t="shared" si="69"/>
        <v>0</v>
      </c>
      <c r="CL716">
        <f t="shared" si="70"/>
        <v>1.79640226266579</v>
      </c>
      <c r="CM716">
        <f t="shared" si="71"/>
        <v>0</v>
      </c>
      <c r="CN716" s="15">
        <v>3991.7</v>
      </c>
      <c r="CO716" s="15">
        <v>1816.51</v>
      </c>
      <c r="CP716" s="15">
        <v>253.22</v>
      </c>
      <c r="CQ716" s="15">
        <v>143.34</v>
      </c>
      <c r="CR716" s="15">
        <v>37.17</v>
      </c>
      <c r="CS716">
        <v>0</v>
      </c>
      <c r="CT716" s="15">
        <v>113.73</v>
      </c>
      <c r="CU716" s="15">
        <v>0.04</v>
      </c>
      <c r="CV716" s="15">
        <v>40.59</v>
      </c>
      <c r="CW716" s="15">
        <v>723.21</v>
      </c>
    </row>
    <row r="717" spans="1:101">
      <c r="A717" s="6">
        <v>2015</v>
      </c>
      <c r="B717" s="6" t="s">
        <v>128</v>
      </c>
      <c r="C717" s="6">
        <v>0.05730455</v>
      </c>
      <c r="D717" s="6">
        <v>0.016201</v>
      </c>
      <c r="E717" s="6">
        <v>0.004217</v>
      </c>
      <c r="F717" s="6">
        <v>0.007492</v>
      </c>
      <c r="G717" s="6">
        <v>0.00239</v>
      </c>
      <c r="H717" s="6">
        <v>0.002103</v>
      </c>
      <c r="I717" s="6">
        <v>0.015127</v>
      </c>
      <c r="J717" s="6">
        <v>0.007047</v>
      </c>
      <c r="K717" s="6">
        <v>0.07551332</v>
      </c>
      <c r="L717" s="6">
        <v>0.0591947</v>
      </c>
      <c r="M717" s="6">
        <v>0.07223157</v>
      </c>
      <c r="N717" s="6">
        <v>0.04214955</v>
      </c>
      <c r="O717" s="6">
        <v>0.03022975</v>
      </c>
      <c r="P717" s="6">
        <v>0.07869906</v>
      </c>
      <c r="Q717" s="6">
        <v>0.05673966</v>
      </c>
      <c r="R717" s="6">
        <v>217.69486</v>
      </c>
      <c r="S717" s="6">
        <v>0.00034688</v>
      </c>
      <c r="T717" s="6">
        <v>169.97573</v>
      </c>
      <c r="U717" s="6">
        <v>0.00034825</v>
      </c>
      <c r="V717" s="6">
        <v>197.11803</v>
      </c>
      <c r="W717" s="6">
        <v>0.00036644</v>
      </c>
      <c r="X717" s="6">
        <v>134.47093</v>
      </c>
      <c r="Y717" s="6">
        <v>0.00031345</v>
      </c>
      <c r="Z717" s="6">
        <v>134.86767</v>
      </c>
      <c r="AA717" s="6">
        <v>0.00022414</v>
      </c>
      <c r="AB717" s="6">
        <v>294.9318</v>
      </c>
      <c r="AC717" s="6">
        <v>0.00026684</v>
      </c>
      <c r="AD717" s="6">
        <v>243.86163</v>
      </c>
      <c r="AE717" s="6">
        <v>0.00023267</v>
      </c>
      <c r="AF717" s="6">
        <v>775</v>
      </c>
      <c r="AG717" s="6">
        <v>-0.00276341</v>
      </c>
      <c r="AH717" s="6">
        <v>-0.002773</v>
      </c>
      <c r="AI717" s="6">
        <v>-0.00289914</v>
      </c>
      <c r="AJ717" s="6">
        <v>-0.00252886</v>
      </c>
      <c r="AK717" s="6">
        <v>-0.00188353</v>
      </c>
      <c r="AL717" s="6">
        <v>-0.00219578</v>
      </c>
      <c r="AM717" s="6">
        <v>-0.0019465</v>
      </c>
      <c r="AN717" s="6">
        <v>-6.4762184</v>
      </c>
      <c r="AO717" s="6">
        <v>-6.4515561</v>
      </c>
      <c r="AP717" s="6">
        <v>-6.4739881</v>
      </c>
      <c r="AQ717" s="6">
        <v>-6.4253629</v>
      </c>
      <c r="AR717" s="6">
        <v>-6.4020076</v>
      </c>
      <c r="AS717" s="6">
        <v>-6.4618417</v>
      </c>
      <c r="AT717" s="6">
        <v>-6.4506396</v>
      </c>
      <c r="AU717" s="6">
        <v>0.97344833</v>
      </c>
      <c r="AV717" s="6">
        <v>0.96974131</v>
      </c>
      <c r="AW717" s="6">
        <v>0.97311308</v>
      </c>
      <c r="AX717" s="6">
        <v>0.96580418</v>
      </c>
      <c r="AY717" s="6">
        <v>0.96229362</v>
      </c>
      <c r="AZ717" s="6">
        <v>0.97128734</v>
      </c>
      <c r="BA717" s="6">
        <v>0.96960354</v>
      </c>
      <c r="BB717" s="6">
        <v>0.02655167</v>
      </c>
      <c r="BC717" s="6">
        <v>0.03025869</v>
      </c>
      <c r="BD717" s="6">
        <v>0.02688692</v>
      </c>
      <c r="BE717" s="6">
        <v>0.03419582</v>
      </c>
      <c r="BF717" s="6">
        <v>0.03770638</v>
      </c>
      <c r="BG717" s="6">
        <v>0.02871266</v>
      </c>
      <c r="BH717" s="6">
        <v>0.03039646</v>
      </c>
      <c r="BI717" s="6">
        <v>0.21470859</v>
      </c>
      <c r="BJ717" s="6">
        <v>0.12366373</v>
      </c>
      <c r="BK717" s="6">
        <v>0.1409291</v>
      </c>
      <c r="BL717" s="6">
        <v>0.12522516</v>
      </c>
      <c r="BM717" s="6">
        <v>0.1592662</v>
      </c>
      <c r="BN717" s="6">
        <v>0.17561655</v>
      </c>
      <c r="BO717" s="6">
        <v>0.1337285</v>
      </c>
      <c r="BP717" s="6">
        <v>0.14157076</v>
      </c>
      <c r="BQ717" s="6">
        <v>0.00933826</v>
      </c>
      <c r="BR717" s="6">
        <v>0.00834226</v>
      </c>
      <c r="BS717" s="6">
        <v>0.00904521</v>
      </c>
      <c r="BT717" s="6">
        <v>0.006713</v>
      </c>
      <c r="BU717" s="6">
        <v>0.00530884</v>
      </c>
      <c r="BV717" s="6">
        <v>0.01052431</v>
      </c>
      <c r="BW717" s="6">
        <v>0.00803268</v>
      </c>
      <c r="BX717" s="12">
        <v>4124.97</v>
      </c>
      <c r="BY717" s="13">
        <v>577</v>
      </c>
      <c r="BZ717" s="12">
        <v>2417.05</v>
      </c>
      <c r="CA717" s="6">
        <f t="shared" si="66"/>
        <v>7.14899480069324</v>
      </c>
      <c r="CB717" s="6">
        <f t="shared" si="67"/>
        <v>1.7066134337312</v>
      </c>
      <c r="CC717" s="7">
        <v>75769520.1</v>
      </c>
      <c r="CD717" s="7">
        <f t="shared" si="68"/>
        <v>3.13479324383029</v>
      </c>
      <c r="CE717" s="8">
        <v>2565.5</v>
      </c>
      <c r="CF717" s="8">
        <v>5391</v>
      </c>
      <c r="CG717" s="8">
        <v>6841.4</v>
      </c>
      <c r="CH717" s="8">
        <v>30890</v>
      </c>
      <c r="CI717" s="14">
        <v>0</v>
      </c>
      <c r="CJ717" s="14">
        <v>0</v>
      </c>
      <c r="CK717" s="14">
        <f t="shared" si="69"/>
        <v>0</v>
      </c>
      <c r="CL717">
        <f t="shared" si="70"/>
        <v>1.71577514742415</v>
      </c>
      <c r="CM717">
        <f t="shared" si="71"/>
        <v>0</v>
      </c>
      <c r="CN717" s="15">
        <v>4125</v>
      </c>
      <c r="CO717" s="15">
        <v>1508.12</v>
      </c>
      <c r="CP717" s="15">
        <v>249.21</v>
      </c>
      <c r="CQ717" s="15">
        <v>154.33</v>
      </c>
      <c r="CR717" s="15">
        <v>44.96</v>
      </c>
      <c r="CS717" s="15">
        <v>0.01</v>
      </c>
      <c r="CT717" s="15">
        <v>114.53</v>
      </c>
      <c r="CU717" s="15">
        <v>0.03</v>
      </c>
      <c r="CV717" s="15">
        <v>44.38</v>
      </c>
      <c r="CW717" s="15">
        <v>658</v>
      </c>
    </row>
    <row r="718" spans="1:101">
      <c r="A718" s="6">
        <v>2016</v>
      </c>
      <c r="B718" s="6" t="s">
        <v>128</v>
      </c>
      <c r="C718" s="6">
        <v>0.05285348</v>
      </c>
      <c r="D718" s="6">
        <v>0.015565</v>
      </c>
      <c r="E718" s="6">
        <v>0.003851</v>
      </c>
      <c r="F718" s="6">
        <v>0.007171</v>
      </c>
      <c r="G718" s="6">
        <v>0.002182</v>
      </c>
      <c r="H718" s="6">
        <v>0.002362</v>
      </c>
      <c r="I718" s="6">
        <v>0.013479</v>
      </c>
      <c r="J718" s="6">
        <v>0.007068</v>
      </c>
      <c r="K718" s="6">
        <v>0.07052852</v>
      </c>
      <c r="L718" s="6">
        <v>0.05055265</v>
      </c>
      <c r="M718" s="6">
        <v>0.06729376</v>
      </c>
      <c r="N718" s="6">
        <v>0.0360029</v>
      </c>
      <c r="O718" s="6">
        <v>0.03808633</v>
      </c>
      <c r="P718" s="6">
        <v>0.06034849</v>
      </c>
      <c r="Q718" s="6">
        <v>0.05712689</v>
      </c>
      <c r="R718" s="6">
        <v>217.69486</v>
      </c>
      <c r="S718" s="6">
        <v>0.00032398</v>
      </c>
      <c r="T718" s="6">
        <v>169.97573</v>
      </c>
      <c r="U718" s="6">
        <v>0.00029741</v>
      </c>
      <c r="V718" s="6">
        <v>197.11803</v>
      </c>
      <c r="W718" s="6">
        <v>0.00034139</v>
      </c>
      <c r="X718" s="6">
        <v>134.47093</v>
      </c>
      <c r="Y718" s="6">
        <v>0.00026774</v>
      </c>
      <c r="Z718" s="6">
        <v>134.86767</v>
      </c>
      <c r="AA718" s="6">
        <v>0.0002824</v>
      </c>
      <c r="AB718" s="6">
        <v>294.9318</v>
      </c>
      <c r="AC718" s="6">
        <v>0.00020462</v>
      </c>
      <c r="AD718" s="6">
        <v>243.86163</v>
      </c>
      <c r="AE718" s="6">
        <v>0.00023426</v>
      </c>
      <c r="AF718" s="6">
        <v>775</v>
      </c>
      <c r="AG718" s="6">
        <v>-0.00260312</v>
      </c>
      <c r="AH718" s="6">
        <v>-0.00241509</v>
      </c>
      <c r="AI718" s="6">
        <v>-0.00272513</v>
      </c>
      <c r="AJ718" s="6">
        <v>-0.00220228</v>
      </c>
      <c r="AK718" s="6">
        <v>-0.00230781</v>
      </c>
      <c r="AL718" s="6">
        <v>-0.0017381</v>
      </c>
      <c r="AM718" s="6">
        <v>-0.00195819</v>
      </c>
      <c r="AN718" s="6">
        <v>-6.4762184</v>
      </c>
      <c r="AO718" s="6">
        <v>-6.4515561</v>
      </c>
      <c r="AP718" s="6">
        <v>-6.4739881</v>
      </c>
      <c r="AQ718" s="6">
        <v>-6.4253629</v>
      </c>
      <c r="AR718" s="6">
        <v>-6.4020076</v>
      </c>
      <c r="AS718" s="6">
        <v>-6.4618417</v>
      </c>
      <c r="AT718" s="6">
        <v>-6.4506396</v>
      </c>
      <c r="AU718" s="6">
        <v>0.97344833</v>
      </c>
      <c r="AV718" s="6">
        <v>0.96974131</v>
      </c>
      <c r="AW718" s="6">
        <v>0.97311308</v>
      </c>
      <c r="AX718" s="6">
        <v>0.96580418</v>
      </c>
      <c r="AY718" s="6">
        <v>0.96229362</v>
      </c>
      <c r="AZ718" s="6">
        <v>0.97128734</v>
      </c>
      <c r="BA718" s="6">
        <v>0.96960354</v>
      </c>
      <c r="BB718" s="6">
        <v>0.02655167</v>
      </c>
      <c r="BC718" s="6">
        <v>0.03025869</v>
      </c>
      <c r="BD718" s="6">
        <v>0.02688692</v>
      </c>
      <c r="BE718" s="6">
        <v>0.03419582</v>
      </c>
      <c r="BF718" s="6">
        <v>0.03770638</v>
      </c>
      <c r="BG718" s="6">
        <v>0.02871266</v>
      </c>
      <c r="BH718" s="6">
        <v>0.03039646</v>
      </c>
      <c r="BI718" s="6">
        <v>0.21470859</v>
      </c>
      <c r="BJ718" s="6">
        <v>0.12366373</v>
      </c>
      <c r="BK718" s="6">
        <v>0.1409291</v>
      </c>
      <c r="BL718" s="6">
        <v>0.12522516</v>
      </c>
      <c r="BM718" s="6">
        <v>0.1592662</v>
      </c>
      <c r="BN718" s="6">
        <v>0.17561655</v>
      </c>
      <c r="BO718" s="6">
        <v>0.1337285</v>
      </c>
      <c r="BP718" s="6">
        <v>0.14157076</v>
      </c>
      <c r="BQ718" s="6">
        <v>0.00872182</v>
      </c>
      <c r="BR718" s="6">
        <v>0.00712434</v>
      </c>
      <c r="BS718" s="6">
        <v>0.00842687</v>
      </c>
      <c r="BT718" s="6">
        <v>0.00573405</v>
      </c>
      <c r="BU718" s="6">
        <v>0.00668859</v>
      </c>
      <c r="BV718" s="6">
        <v>0.00807031</v>
      </c>
      <c r="BW718" s="6">
        <v>0.0080875</v>
      </c>
      <c r="BX718" s="12">
        <v>4101.36</v>
      </c>
      <c r="BY718" s="13">
        <v>582</v>
      </c>
      <c r="BZ718" s="12">
        <v>2572.49</v>
      </c>
      <c r="CA718" s="6">
        <f t="shared" si="66"/>
        <v>7.04701030927835</v>
      </c>
      <c r="CB718" s="6">
        <f t="shared" si="67"/>
        <v>1.59431523543337</v>
      </c>
      <c r="CC718" s="7">
        <v>78088976.87</v>
      </c>
      <c r="CD718" s="7">
        <f t="shared" si="68"/>
        <v>3.03554054126547</v>
      </c>
      <c r="CE718" s="8">
        <v>2800.3</v>
      </c>
      <c r="CF718" s="8">
        <v>5621</v>
      </c>
      <c r="CG718" s="8">
        <v>7695.3</v>
      </c>
      <c r="CH718" s="8">
        <v>33340</v>
      </c>
      <c r="CI718" s="14">
        <v>0</v>
      </c>
      <c r="CJ718" s="14">
        <v>0</v>
      </c>
      <c r="CK718" s="14">
        <f t="shared" si="69"/>
        <v>0</v>
      </c>
      <c r="CL718">
        <f t="shared" si="70"/>
        <v>1.62438398605541</v>
      </c>
      <c r="CM718">
        <f t="shared" si="71"/>
        <v>0</v>
      </c>
      <c r="CN718" s="15">
        <v>4101</v>
      </c>
      <c r="CO718" s="15">
        <v>1962.4</v>
      </c>
      <c r="CP718" s="15">
        <v>228.44</v>
      </c>
      <c r="CQ718" s="15">
        <v>149.45</v>
      </c>
      <c r="CR718" s="15">
        <v>56</v>
      </c>
      <c r="CS718" s="15">
        <v>0.01</v>
      </c>
      <c r="CT718" s="15">
        <v>128.92</v>
      </c>
      <c r="CU718" s="15">
        <v>0.1</v>
      </c>
      <c r="CV718" s="15">
        <v>46.25</v>
      </c>
      <c r="CW718" s="15">
        <v>637.51</v>
      </c>
    </row>
    <row r="719" spans="1:101">
      <c r="A719" s="6">
        <v>2017</v>
      </c>
      <c r="B719" s="6" t="s">
        <v>128</v>
      </c>
      <c r="C719" s="6">
        <v>0.07912714</v>
      </c>
      <c r="D719" s="6">
        <v>0.01888</v>
      </c>
      <c r="E719" s="6">
        <v>0.004661</v>
      </c>
      <c r="F719" s="6">
        <v>0.008573</v>
      </c>
      <c r="G719" s="6">
        <v>0.00258</v>
      </c>
      <c r="H719" s="6">
        <v>0.003066</v>
      </c>
      <c r="I719" s="6">
        <v>0.018042</v>
      </c>
      <c r="J719" s="6">
        <v>0.009144</v>
      </c>
      <c r="K719" s="6">
        <v>0.0965288</v>
      </c>
      <c r="L719" s="6">
        <v>0.06969877</v>
      </c>
      <c r="M719" s="6">
        <v>0.08885024</v>
      </c>
      <c r="N719" s="6">
        <v>0.0477916</v>
      </c>
      <c r="O719" s="6">
        <v>0.05940508</v>
      </c>
      <c r="P719" s="6">
        <v>0.11117048</v>
      </c>
      <c r="Q719" s="6">
        <v>0.09416063</v>
      </c>
      <c r="R719" s="6">
        <v>217.69486</v>
      </c>
      <c r="S719" s="6">
        <v>0.00044341</v>
      </c>
      <c r="T719" s="6">
        <v>169.97573</v>
      </c>
      <c r="U719" s="6">
        <v>0.00041005</v>
      </c>
      <c r="V719" s="6">
        <v>197.11803</v>
      </c>
      <c r="W719" s="6">
        <v>0.00045075</v>
      </c>
      <c r="X719" s="6">
        <v>134.47093</v>
      </c>
      <c r="Y719" s="6">
        <v>0.0003554</v>
      </c>
      <c r="Z719" s="6">
        <v>134.86767</v>
      </c>
      <c r="AA719" s="6">
        <v>0.00044047</v>
      </c>
      <c r="AB719" s="6">
        <v>294.9318</v>
      </c>
      <c r="AC719" s="6">
        <v>0.00037694</v>
      </c>
      <c r="AD719" s="6">
        <v>243.86163</v>
      </c>
      <c r="AE719" s="6">
        <v>0.00038612</v>
      </c>
      <c r="AF719" s="6">
        <v>775</v>
      </c>
      <c r="AG719" s="6">
        <v>-0.0034236</v>
      </c>
      <c r="AH719" s="6">
        <v>-0.00319808</v>
      </c>
      <c r="AI719" s="6">
        <v>-0.00347282</v>
      </c>
      <c r="AJ719" s="6">
        <v>-0.00282271</v>
      </c>
      <c r="AK719" s="6">
        <v>-0.0034038</v>
      </c>
      <c r="AL719" s="6">
        <v>-0.00297155</v>
      </c>
      <c r="AM719" s="6">
        <v>-0.00303468</v>
      </c>
      <c r="AN719" s="6">
        <v>-6.4762184</v>
      </c>
      <c r="AO719" s="6">
        <v>-6.4515561</v>
      </c>
      <c r="AP719" s="6">
        <v>-6.4739881</v>
      </c>
      <c r="AQ719" s="6">
        <v>-6.4253629</v>
      </c>
      <c r="AR719" s="6">
        <v>-6.4020076</v>
      </c>
      <c r="AS719" s="6">
        <v>-6.4618417</v>
      </c>
      <c r="AT719" s="6">
        <v>-6.4506396</v>
      </c>
      <c r="AU719" s="6">
        <v>0.97344833</v>
      </c>
      <c r="AV719" s="6">
        <v>0.96974131</v>
      </c>
      <c r="AW719" s="6">
        <v>0.97311308</v>
      </c>
      <c r="AX719" s="6">
        <v>0.96580418</v>
      </c>
      <c r="AY719" s="6">
        <v>0.96229362</v>
      </c>
      <c r="AZ719" s="6">
        <v>0.97128734</v>
      </c>
      <c r="BA719" s="6">
        <v>0.96960354</v>
      </c>
      <c r="BB719" s="6">
        <v>0.02655167</v>
      </c>
      <c r="BC719" s="6">
        <v>0.03025869</v>
      </c>
      <c r="BD719" s="6">
        <v>0.02688692</v>
      </c>
      <c r="BE719" s="6">
        <v>0.03419582</v>
      </c>
      <c r="BF719" s="6">
        <v>0.03770638</v>
      </c>
      <c r="BG719" s="6">
        <v>0.02871266</v>
      </c>
      <c r="BH719" s="6">
        <v>0.03039646</v>
      </c>
      <c r="BI719" s="6">
        <v>0.21470859</v>
      </c>
      <c r="BJ719" s="6">
        <v>0.12366373</v>
      </c>
      <c r="BK719" s="6">
        <v>0.1409291</v>
      </c>
      <c r="BL719" s="6">
        <v>0.12522516</v>
      </c>
      <c r="BM719" s="6">
        <v>0.1592662</v>
      </c>
      <c r="BN719" s="6">
        <v>0.17561655</v>
      </c>
      <c r="BO719" s="6">
        <v>0.1337285</v>
      </c>
      <c r="BP719" s="6">
        <v>0.14157076</v>
      </c>
      <c r="BQ719" s="6">
        <v>0.01193711</v>
      </c>
      <c r="BR719" s="6">
        <v>0.00982259</v>
      </c>
      <c r="BS719" s="6">
        <v>0.01112629</v>
      </c>
      <c r="BT719" s="6">
        <v>0.00761159</v>
      </c>
      <c r="BU719" s="6">
        <v>0.01043252</v>
      </c>
      <c r="BV719" s="6">
        <v>0.01486666</v>
      </c>
      <c r="BW719" s="6">
        <v>0.01333039</v>
      </c>
      <c r="BX719" s="12">
        <v>4193.1</v>
      </c>
      <c r="BY719" s="13">
        <v>586</v>
      </c>
      <c r="BZ719" s="12">
        <v>2624.83</v>
      </c>
      <c r="CA719" s="6">
        <f t="shared" si="66"/>
        <v>7.15546075085324</v>
      </c>
      <c r="CB719" s="6">
        <f t="shared" si="67"/>
        <v>1.59747488408773</v>
      </c>
      <c r="CC719" s="7">
        <v>79293537.46</v>
      </c>
      <c r="CD719" s="7">
        <f t="shared" si="68"/>
        <v>3.02090182830888</v>
      </c>
      <c r="CE719" s="8">
        <v>2878.3</v>
      </c>
      <c r="CF719" s="8">
        <v>6138.3</v>
      </c>
      <c r="CG719" s="8">
        <v>8774.1</v>
      </c>
      <c r="CH719" s="8">
        <v>36441</v>
      </c>
      <c r="CI719" s="14">
        <v>1</v>
      </c>
      <c r="CJ719" s="14">
        <v>0</v>
      </c>
      <c r="CK719" s="14">
        <f t="shared" si="69"/>
        <v>0</v>
      </c>
      <c r="CL719">
        <f t="shared" si="70"/>
        <v>1.56738551218677</v>
      </c>
      <c r="CM719">
        <f t="shared" si="71"/>
        <v>0</v>
      </c>
      <c r="CN719" s="15">
        <v>4193</v>
      </c>
      <c r="CO719" s="15">
        <v>1747.01</v>
      </c>
      <c r="CP719" s="15">
        <v>219</v>
      </c>
      <c r="CQ719" s="15">
        <v>152.53</v>
      </c>
      <c r="CR719" s="15">
        <v>60.05</v>
      </c>
      <c r="CS719" s="15">
        <v>0.02</v>
      </c>
      <c r="CT719" s="15">
        <v>152.26</v>
      </c>
      <c r="CU719" s="15">
        <v>0.22</v>
      </c>
      <c r="CV719" s="15">
        <v>49.56</v>
      </c>
      <c r="CW719" s="15">
        <v>687.01</v>
      </c>
    </row>
    <row r="720" spans="1:101">
      <c r="A720" s="6">
        <v>2018</v>
      </c>
      <c r="B720" s="6" t="s">
        <v>128</v>
      </c>
      <c r="C720" s="6">
        <v>0.06701356</v>
      </c>
      <c r="D720" s="6">
        <v>0.01707</v>
      </c>
      <c r="E720" s="6">
        <v>0.004513</v>
      </c>
      <c r="F720" s="6">
        <v>0.007784</v>
      </c>
      <c r="G720" s="6">
        <v>0.002479</v>
      </c>
      <c r="H720" s="6">
        <v>0.002294</v>
      </c>
      <c r="I720" s="6">
        <v>0.018008</v>
      </c>
      <c r="J720" s="6">
        <v>0.007675</v>
      </c>
      <c r="K720" s="6">
        <v>0.08232856</v>
      </c>
      <c r="L720" s="6">
        <v>0.06619752</v>
      </c>
      <c r="M720" s="6">
        <v>0.07671926</v>
      </c>
      <c r="N720" s="6">
        <v>0.04478917</v>
      </c>
      <c r="O720" s="6">
        <v>0.03602892</v>
      </c>
      <c r="P720" s="6">
        <v>0.11079349</v>
      </c>
      <c r="Q720" s="6">
        <v>0.06794651</v>
      </c>
      <c r="R720" s="6">
        <v>217.69486</v>
      </c>
      <c r="S720" s="6">
        <v>0.00037818</v>
      </c>
      <c r="T720" s="6">
        <v>169.97573</v>
      </c>
      <c r="U720" s="6">
        <v>0.00038945</v>
      </c>
      <c r="V720" s="6">
        <v>197.11803</v>
      </c>
      <c r="W720" s="6">
        <v>0.0003892</v>
      </c>
      <c r="X720" s="6">
        <v>134.47093</v>
      </c>
      <c r="Y720" s="6">
        <v>0.00033308</v>
      </c>
      <c r="Z720" s="6">
        <v>134.86767</v>
      </c>
      <c r="AA720" s="6">
        <v>0.00026714</v>
      </c>
      <c r="AB720" s="6">
        <v>294.9318</v>
      </c>
      <c r="AC720" s="6">
        <v>0.00037566</v>
      </c>
      <c r="AD720" s="6">
        <v>243.86163</v>
      </c>
      <c r="AE720" s="6">
        <v>0.00027863</v>
      </c>
      <c r="AF720" s="6">
        <v>775</v>
      </c>
      <c r="AG720" s="6">
        <v>-0.00298013</v>
      </c>
      <c r="AH720" s="6">
        <v>-0.0030575</v>
      </c>
      <c r="AI720" s="6">
        <v>-0.0030558</v>
      </c>
      <c r="AJ720" s="6">
        <v>-0.00266699</v>
      </c>
      <c r="AK720" s="6">
        <v>-0.00219798</v>
      </c>
      <c r="AL720" s="6">
        <v>-0.00296275</v>
      </c>
      <c r="AM720" s="6">
        <v>-0.00228074</v>
      </c>
      <c r="AN720" s="6">
        <v>-6.4762184</v>
      </c>
      <c r="AO720" s="6">
        <v>-6.4515561</v>
      </c>
      <c r="AP720" s="6">
        <v>-6.4739881</v>
      </c>
      <c r="AQ720" s="6">
        <v>-6.4253629</v>
      </c>
      <c r="AR720" s="6">
        <v>-6.4020076</v>
      </c>
      <c r="AS720" s="6">
        <v>-6.4618417</v>
      </c>
      <c r="AT720" s="6">
        <v>-6.4506396</v>
      </c>
      <c r="AU720" s="6">
        <v>0.97344833</v>
      </c>
      <c r="AV720" s="6">
        <v>0.96974131</v>
      </c>
      <c r="AW720" s="6">
        <v>0.97311308</v>
      </c>
      <c r="AX720" s="6">
        <v>0.96580418</v>
      </c>
      <c r="AY720" s="6">
        <v>0.96229362</v>
      </c>
      <c r="AZ720" s="6">
        <v>0.97128734</v>
      </c>
      <c r="BA720" s="6">
        <v>0.96960354</v>
      </c>
      <c r="BB720" s="6">
        <v>0.02655167</v>
      </c>
      <c r="BC720" s="6">
        <v>0.03025869</v>
      </c>
      <c r="BD720" s="6">
        <v>0.02688692</v>
      </c>
      <c r="BE720" s="6">
        <v>0.03419582</v>
      </c>
      <c r="BF720" s="6">
        <v>0.03770638</v>
      </c>
      <c r="BG720" s="6">
        <v>0.02871266</v>
      </c>
      <c r="BH720" s="6">
        <v>0.03039646</v>
      </c>
      <c r="BI720" s="6">
        <v>0.21470859</v>
      </c>
      <c r="BJ720" s="6">
        <v>0.12366373</v>
      </c>
      <c r="BK720" s="6">
        <v>0.1409291</v>
      </c>
      <c r="BL720" s="6">
        <v>0.12522516</v>
      </c>
      <c r="BM720" s="6">
        <v>0.1592662</v>
      </c>
      <c r="BN720" s="6">
        <v>0.17561655</v>
      </c>
      <c r="BO720" s="6">
        <v>0.1337285</v>
      </c>
      <c r="BP720" s="6">
        <v>0.14157076</v>
      </c>
      <c r="BQ720" s="6">
        <v>0.01018106</v>
      </c>
      <c r="BR720" s="6">
        <v>0.00932916</v>
      </c>
      <c r="BS720" s="6">
        <v>0.00960718</v>
      </c>
      <c r="BT720" s="6">
        <v>0.0071334</v>
      </c>
      <c r="BU720" s="6">
        <v>0.00632728</v>
      </c>
      <c r="BV720" s="6">
        <v>0.01481625</v>
      </c>
      <c r="BW720" s="6">
        <v>0.00961924</v>
      </c>
      <c r="BX720" s="12">
        <v>4364.22</v>
      </c>
      <c r="BY720" s="13">
        <v>587</v>
      </c>
      <c r="BZ720" s="12">
        <v>2865.23</v>
      </c>
      <c r="CA720" s="6">
        <f t="shared" si="66"/>
        <v>7.4347870528109</v>
      </c>
      <c r="CB720" s="6">
        <f t="shared" si="67"/>
        <v>1.52316567954405</v>
      </c>
      <c r="CC720" s="7">
        <v>82106776.66</v>
      </c>
      <c r="CD720" s="7">
        <f t="shared" si="68"/>
        <v>2.86562602862597</v>
      </c>
      <c r="CE720" s="8">
        <v>3021.1</v>
      </c>
      <c r="CF720" s="8">
        <v>6692.9</v>
      </c>
      <c r="CG720" s="8">
        <v>9913.9</v>
      </c>
      <c r="CH720" s="8">
        <v>39837</v>
      </c>
      <c r="CI720" s="14">
        <v>1</v>
      </c>
      <c r="CJ720" s="14">
        <v>0</v>
      </c>
      <c r="CK720" s="14">
        <f t="shared" si="69"/>
        <v>0</v>
      </c>
      <c r="CL720">
        <f t="shared" si="70"/>
        <v>1.51591455826218</v>
      </c>
      <c r="CM720">
        <f t="shared" si="71"/>
        <v>0</v>
      </c>
      <c r="CN720" s="15">
        <v>4364</v>
      </c>
      <c r="CO720" s="15">
        <v>1639.64</v>
      </c>
      <c r="CP720" s="15">
        <v>233.12</v>
      </c>
      <c r="CQ720" s="15">
        <v>142.51</v>
      </c>
      <c r="CR720" s="15">
        <v>62.08</v>
      </c>
      <c r="CS720" s="15">
        <v>0.02</v>
      </c>
      <c r="CT720" s="15">
        <v>159.36</v>
      </c>
      <c r="CU720" s="15">
        <v>0.18</v>
      </c>
      <c r="CV720" s="15">
        <v>51.25</v>
      </c>
      <c r="CW720" s="15">
        <v>738.34</v>
      </c>
    </row>
    <row r="721" spans="1:101">
      <c r="A721" s="6">
        <v>2019</v>
      </c>
      <c r="B721" s="6" t="s">
        <v>128</v>
      </c>
      <c r="C721" s="6">
        <v>0.06922246</v>
      </c>
      <c r="D721" s="6">
        <v>0.017139</v>
      </c>
      <c r="E721" s="6">
        <v>0.004377</v>
      </c>
      <c r="F721" s="6">
        <v>0.00793</v>
      </c>
      <c r="G721" s="6">
        <v>0.002504</v>
      </c>
      <c r="H721" s="6">
        <v>0.002329</v>
      </c>
      <c r="I721" s="6">
        <v>0.016582</v>
      </c>
      <c r="J721" s="6">
        <v>0.009312</v>
      </c>
      <c r="K721" s="6">
        <v>0.08287539</v>
      </c>
      <c r="L721" s="6">
        <v>0.0629887</v>
      </c>
      <c r="M721" s="6">
        <v>0.07895945</v>
      </c>
      <c r="N721" s="6">
        <v>0.04553294</v>
      </c>
      <c r="O721" s="6">
        <v>0.03707504</v>
      </c>
      <c r="P721" s="6">
        <v>0.09490619</v>
      </c>
      <c r="Q721" s="6">
        <v>0.09715718</v>
      </c>
      <c r="R721" s="6">
        <v>217.69486</v>
      </c>
      <c r="S721" s="6">
        <v>0.0003807</v>
      </c>
      <c r="T721" s="6">
        <v>169.97573</v>
      </c>
      <c r="U721" s="6">
        <v>0.00037057</v>
      </c>
      <c r="V721" s="6">
        <v>197.11803</v>
      </c>
      <c r="W721" s="6">
        <v>0.00040057</v>
      </c>
      <c r="X721" s="6">
        <v>134.47093</v>
      </c>
      <c r="Y721" s="6">
        <v>0.00033861</v>
      </c>
      <c r="Z721" s="6">
        <v>134.86767</v>
      </c>
      <c r="AA721" s="6">
        <v>0.0002749</v>
      </c>
      <c r="AB721" s="6">
        <v>294.9318</v>
      </c>
      <c r="AC721" s="6">
        <v>0.00032179</v>
      </c>
      <c r="AD721" s="6">
        <v>243.86163</v>
      </c>
      <c r="AE721" s="6">
        <v>0.00039841</v>
      </c>
      <c r="AF721" s="6">
        <v>775</v>
      </c>
      <c r="AG721" s="6">
        <v>-0.00299741</v>
      </c>
      <c r="AH721" s="6">
        <v>-0.00292771</v>
      </c>
      <c r="AI721" s="6">
        <v>-0.0031335</v>
      </c>
      <c r="AJ721" s="6">
        <v>-0.0027057</v>
      </c>
      <c r="AK721" s="6">
        <v>-0.00225393</v>
      </c>
      <c r="AL721" s="6">
        <v>-0.00258771</v>
      </c>
      <c r="AM721" s="6">
        <v>-0.00311877</v>
      </c>
      <c r="AN721" s="6">
        <v>-6.4762184</v>
      </c>
      <c r="AO721" s="6">
        <v>-6.4515561</v>
      </c>
      <c r="AP721" s="6">
        <v>-6.4739881</v>
      </c>
      <c r="AQ721" s="6">
        <v>-6.4253629</v>
      </c>
      <c r="AR721" s="6">
        <v>-6.4020076</v>
      </c>
      <c r="AS721" s="6">
        <v>-6.4618417</v>
      </c>
      <c r="AT721" s="6">
        <v>-6.4506396</v>
      </c>
      <c r="AU721" s="6">
        <v>0.97344833</v>
      </c>
      <c r="AV721" s="6">
        <v>0.96974131</v>
      </c>
      <c r="AW721" s="6">
        <v>0.97311308</v>
      </c>
      <c r="AX721" s="6">
        <v>0.96580418</v>
      </c>
      <c r="AY721" s="6">
        <v>0.96229362</v>
      </c>
      <c r="AZ721" s="6">
        <v>0.97128734</v>
      </c>
      <c r="BA721" s="6">
        <v>0.96960354</v>
      </c>
      <c r="BB721" s="6">
        <v>0.02655167</v>
      </c>
      <c r="BC721" s="6">
        <v>0.03025869</v>
      </c>
      <c r="BD721" s="6">
        <v>0.02688692</v>
      </c>
      <c r="BE721" s="6">
        <v>0.03419582</v>
      </c>
      <c r="BF721" s="6">
        <v>0.03770638</v>
      </c>
      <c r="BG721" s="6">
        <v>0.02871266</v>
      </c>
      <c r="BH721" s="6">
        <v>0.03039646</v>
      </c>
      <c r="BI721" s="6">
        <v>0.21470859</v>
      </c>
      <c r="BJ721" s="6">
        <v>0.12366373</v>
      </c>
      <c r="BK721" s="6">
        <v>0.1409291</v>
      </c>
      <c r="BL721" s="6">
        <v>0.12522516</v>
      </c>
      <c r="BM721" s="6">
        <v>0.1592662</v>
      </c>
      <c r="BN721" s="6">
        <v>0.17561655</v>
      </c>
      <c r="BO721" s="6">
        <v>0.1337285</v>
      </c>
      <c r="BP721" s="6">
        <v>0.14157076</v>
      </c>
      <c r="BQ721" s="6">
        <v>0.01024868</v>
      </c>
      <c r="BR721" s="6">
        <v>0.00887694</v>
      </c>
      <c r="BS721" s="6">
        <v>0.00988771</v>
      </c>
      <c r="BT721" s="6">
        <v>0.00725186</v>
      </c>
      <c r="BU721" s="6">
        <v>0.00651099</v>
      </c>
      <c r="BV721" s="6">
        <v>0.01269166</v>
      </c>
      <c r="BW721" s="6">
        <v>0.01375462</v>
      </c>
      <c r="BX721" s="12">
        <v>4225.77</v>
      </c>
      <c r="BY721" s="13">
        <v>590</v>
      </c>
      <c r="BZ721" s="12">
        <v>2965.95</v>
      </c>
      <c r="CA721" s="6">
        <f t="shared" si="66"/>
        <v>7.16232203389831</v>
      </c>
      <c r="CB721" s="6">
        <f t="shared" si="67"/>
        <v>1.42476103777879</v>
      </c>
      <c r="CC721" s="7">
        <v>80962492.19</v>
      </c>
      <c r="CD721" s="7">
        <f t="shared" si="68"/>
        <v>2.72973220013824</v>
      </c>
      <c r="CE721" s="8">
        <v>3389.7</v>
      </c>
      <c r="CF721" s="8">
        <v>7046.4</v>
      </c>
      <c r="CG721" s="8">
        <v>10801</v>
      </c>
      <c r="CH721" s="8">
        <v>42778</v>
      </c>
      <c r="CI721" s="14">
        <v>1</v>
      </c>
      <c r="CJ721" s="14">
        <v>0</v>
      </c>
      <c r="CK721" s="14">
        <f t="shared" si="69"/>
        <v>0</v>
      </c>
      <c r="CL721">
        <f t="shared" si="70"/>
        <v>1.5000536746505</v>
      </c>
      <c r="CM721">
        <f t="shared" si="71"/>
        <v>0</v>
      </c>
      <c r="CN721" s="15">
        <v>4235</v>
      </c>
      <c r="CO721" s="15">
        <v>1541.92</v>
      </c>
      <c r="CP721" s="15">
        <v>236.06</v>
      </c>
      <c r="CQ721" s="15">
        <v>156.45</v>
      </c>
      <c r="CR721" s="15">
        <v>66.78</v>
      </c>
      <c r="CS721" s="15">
        <v>0.02</v>
      </c>
      <c r="CT721" s="15">
        <v>169.08</v>
      </c>
      <c r="CU721" s="15">
        <v>0.2</v>
      </c>
      <c r="CV721" s="15">
        <v>52.12</v>
      </c>
      <c r="CW721" s="15">
        <v>716.47</v>
      </c>
    </row>
    <row r="722" spans="1:101">
      <c r="A722" s="6">
        <v>2020</v>
      </c>
      <c r="B722" s="6" t="s">
        <v>128</v>
      </c>
      <c r="C722" s="6">
        <v>0.0624092</v>
      </c>
      <c r="D722" s="6">
        <v>0.016779</v>
      </c>
      <c r="E722" s="6">
        <v>0.004281</v>
      </c>
      <c r="F722" s="6">
        <v>0.007328</v>
      </c>
      <c r="G722" s="6">
        <v>0.002636</v>
      </c>
      <c r="H722" s="6">
        <v>0.002534</v>
      </c>
      <c r="I722" s="6">
        <v>0.015128</v>
      </c>
      <c r="J722" s="6">
        <v>0.007518</v>
      </c>
      <c r="K722" s="6">
        <v>0.08004667</v>
      </c>
      <c r="L722" s="6">
        <v>0.06072066</v>
      </c>
      <c r="M722" s="6">
        <v>0.06971063</v>
      </c>
      <c r="N722" s="6">
        <v>0.04943101</v>
      </c>
      <c r="O722" s="6">
        <v>0.04329344</v>
      </c>
      <c r="P722" s="6">
        <v>0.07871007</v>
      </c>
      <c r="Q722" s="6">
        <v>0.06514043</v>
      </c>
      <c r="R722" s="6">
        <v>217.69486</v>
      </c>
      <c r="S722" s="6">
        <v>0.0003677</v>
      </c>
      <c r="T722" s="6">
        <v>169.97573</v>
      </c>
      <c r="U722" s="6">
        <v>0.00035723</v>
      </c>
      <c r="V722" s="6">
        <v>197.11803</v>
      </c>
      <c r="W722" s="6">
        <v>0.00035365</v>
      </c>
      <c r="X722" s="6">
        <v>134.47093</v>
      </c>
      <c r="Y722" s="6">
        <v>0.0003676</v>
      </c>
      <c r="Z722" s="6">
        <v>134.86767</v>
      </c>
      <c r="AA722" s="6">
        <v>0.00032101</v>
      </c>
      <c r="AB722" s="6">
        <v>294.9318</v>
      </c>
      <c r="AC722" s="6">
        <v>0.00026688</v>
      </c>
      <c r="AD722" s="6">
        <v>243.86163</v>
      </c>
      <c r="AE722" s="6">
        <v>0.00026712</v>
      </c>
      <c r="AF722" s="6">
        <v>775</v>
      </c>
      <c r="AG722" s="6">
        <v>-0.00290787</v>
      </c>
      <c r="AH722" s="6">
        <v>-0.00283539</v>
      </c>
      <c r="AI722" s="6">
        <v>-0.00281052</v>
      </c>
      <c r="AJ722" s="6">
        <v>-0.00290714</v>
      </c>
      <c r="AK722" s="6">
        <v>-0.00258219</v>
      </c>
      <c r="AL722" s="6">
        <v>-0.00219605</v>
      </c>
      <c r="AM722" s="6">
        <v>-0.00219782</v>
      </c>
      <c r="AN722" s="6">
        <v>-6.4762184</v>
      </c>
      <c r="AO722" s="6">
        <v>-6.4515561</v>
      </c>
      <c r="AP722" s="6">
        <v>-6.4739881</v>
      </c>
      <c r="AQ722" s="6">
        <v>-6.4253629</v>
      </c>
      <c r="AR722" s="6">
        <v>-6.4020076</v>
      </c>
      <c r="AS722" s="6">
        <v>-6.4618417</v>
      </c>
      <c r="AT722" s="6">
        <v>-6.4506396</v>
      </c>
      <c r="AU722" s="6">
        <v>0.97344833</v>
      </c>
      <c r="AV722" s="6">
        <v>0.96974131</v>
      </c>
      <c r="AW722" s="6">
        <v>0.97311308</v>
      </c>
      <c r="AX722" s="6">
        <v>0.96580418</v>
      </c>
      <c r="AY722" s="6">
        <v>0.96229362</v>
      </c>
      <c r="AZ722" s="6">
        <v>0.97128734</v>
      </c>
      <c r="BA722" s="6">
        <v>0.96960354</v>
      </c>
      <c r="BB722" s="6">
        <v>0.02655167</v>
      </c>
      <c r="BC722" s="6">
        <v>0.03025869</v>
      </c>
      <c r="BD722" s="6">
        <v>0.02688692</v>
      </c>
      <c r="BE722" s="6">
        <v>0.03419582</v>
      </c>
      <c r="BF722" s="6">
        <v>0.03770638</v>
      </c>
      <c r="BG722" s="6">
        <v>0.02871266</v>
      </c>
      <c r="BH722" s="6">
        <v>0.03039646</v>
      </c>
      <c r="BI722" s="6">
        <v>0.21470859</v>
      </c>
      <c r="BJ722" s="6">
        <v>0.12366373</v>
      </c>
      <c r="BK722" s="6">
        <v>0.1409291</v>
      </c>
      <c r="BL722" s="6">
        <v>0.12522516</v>
      </c>
      <c r="BM722" s="6">
        <v>0.1592662</v>
      </c>
      <c r="BN722" s="6">
        <v>0.17561655</v>
      </c>
      <c r="BO722" s="6">
        <v>0.1337285</v>
      </c>
      <c r="BP722" s="6">
        <v>0.14157076</v>
      </c>
      <c r="BQ722" s="6">
        <v>0.00989887</v>
      </c>
      <c r="BR722" s="6">
        <v>0.00855731</v>
      </c>
      <c r="BS722" s="6">
        <v>0.00872952</v>
      </c>
      <c r="BT722" s="6">
        <v>0.00787269</v>
      </c>
      <c r="BU722" s="6">
        <v>0.00760305</v>
      </c>
      <c r="BV722" s="6">
        <v>0.01052578</v>
      </c>
      <c r="BW722" s="6">
        <v>0.00922198</v>
      </c>
      <c r="BX722" s="12">
        <v>4147.54</v>
      </c>
      <c r="BY722" s="13">
        <v>592.79</v>
      </c>
      <c r="BZ722" s="12">
        <v>3005.92</v>
      </c>
      <c r="CA722" s="6">
        <f t="shared" si="66"/>
        <v>6.99664299330286</v>
      </c>
      <c r="CB722" s="6">
        <f t="shared" si="67"/>
        <v>1.3797905466546</v>
      </c>
      <c r="CC722" s="7">
        <v>79801326.75</v>
      </c>
      <c r="CD722" s="7">
        <f t="shared" si="68"/>
        <v>2.65480540899292</v>
      </c>
      <c r="CE722" s="8">
        <v>3645.9</v>
      </c>
      <c r="CF722" s="8">
        <v>7046.8</v>
      </c>
      <c r="CG722" s="8">
        <v>11428.1</v>
      </c>
      <c r="CH722" s="8">
        <v>44237</v>
      </c>
      <c r="CI722" s="14">
        <v>1</v>
      </c>
      <c r="CJ722" s="14">
        <v>0</v>
      </c>
      <c r="CK722" s="14">
        <f t="shared" si="69"/>
        <v>0</v>
      </c>
      <c r="CL722">
        <f t="shared" si="70"/>
        <v>1.47141701078949</v>
      </c>
      <c r="CM722">
        <f t="shared" si="71"/>
        <v>0</v>
      </c>
      <c r="CN722" s="15">
        <v>4150.36</v>
      </c>
      <c r="CO722" s="15">
        <v>1396.38</v>
      </c>
      <c r="CP722" s="15">
        <v>231.98</v>
      </c>
      <c r="CQ722" s="15">
        <v>152.43</v>
      </c>
      <c r="CR722" s="15">
        <v>152.43</v>
      </c>
      <c r="CS722" s="15">
        <v>74.76</v>
      </c>
      <c r="CT722" s="15">
        <v>0.55</v>
      </c>
      <c r="CU722" s="15">
        <v>154.26</v>
      </c>
      <c r="CV722" s="15">
        <v>46.09</v>
      </c>
      <c r="CW722" s="15">
        <v>742</v>
      </c>
    </row>
    <row r="723" spans="1:101">
      <c r="A723" s="6">
        <v>2021</v>
      </c>
      <c r="B723" s="6" t="s">
        <v>128</v>
      </c>
      <c r="C723" s="6">
        <v>0.08241538</v>
      </c>
      <c r="D723" s="6">
        <v>0.019164</v>
      </c>
      <c r="E723" s="6">
        <v>0.004839</v>
      </c>
      <c r="F723" s="6">
        <v>0.008764</v>
      </c>
      <c r="G723" s="6">
        <v>0.002983</v>
      </c>
      <c r="H723" s="6">
        <v>0.002578</v>
      </c>
      <c r="I723" s="6">
        <v>0.018897</v>
      </c>
      <c r="J723" s="6">
        <v>0.00973</v>
      </c>
      <c r="K723" s="6">
        <v>0.09875517</v>
      </c>
      <c r="L723" s="6">
        <v>0.07392002</v>
      </c>
      <c r="M723" s="6">
        <v>0.09178786</v>
      </c>
      <c r="N723" s="6">
        <v>0.05967851</v>
      </c>
      <c r="O723" s="6">
        <v>0.04461691</v>
      </c>
      <c r="P723" s="6">
        <v>0.12069488</v>
      </c>
      <c r="Q723" s="6">
        <v>0.10461719</v>
      </c>
      <c r="R723" s="6">
        <v>217.69486</v>
      </c>
      <c r="S723" s="6">
        <v>0.00045364</v>
      </c>
      <c r="T723" s="6">
        <v>169.97573</v>
      </c>
      <c r="U723" s="6">
        <v>0.00043489</v>
      </c>
      <c r="V723" s="6">
        <v>197.11803</v>
      </c>
      <c r="W723" s="6">
        <v>0.00046565</v>
      </c>
      <c r="X723" s="6">
        <v>134.47093</v>
      </c>
      <c r="Y723" s="6">
        <v>0.0004438</v>
      </c>
      <c r="Z723" s="6">
        <v>134.86767</v>
      </c>
      <c r="AA723" s="6">
        <v>0.00033082</v>
      </c>
      <c r="AB723" s="6">
        <v>294.9318</v>
      </c>
      <c r="AC723" s="6">
        <v>0.00040923</v>
      </c>
      <c r="AD723" s="6">
        <v>243.86163</v>
      </c>
      <c r="AE723" s="6">
        <v>0.000429</v>
      </c>
      <c r="AF723" s="6">
        <v>775</v>
      </c>
      <c r="AG723" s="6">
        <v>-0.00349222</v>
      </c>
      <c r="AH723" s="6">
        <v>-0.0033662</v>
      </c>
      <c r="AI723" s="6">
        <v>-0.0035725</v>
      </c>
      <c r="AJ723" s="6">
        <v>-0.00342621</v>
      </c>
      <c r="AK723" s="6">
        <v>-0.00265117</v>
      </c>
      <c r="AL723" s="6">
        <v>-0.0031925</v>
      </c>
      <c r="AM723" s="6">
        <v>-0.0033265</v>
      </c>
      <c r="AN723" s="6">
        <v>-6.4762184</v>
      </c>
      <c r="AO723" s="6">
        <v>-6.4515561</v>
      </c>
      <c r="AP723" s="6">
        <v>-6.4739881</v>
      </c>
      <c r="AQ723" s="6">
        <v>-6.4253629</v>
      </c>
      <c r="AR723" s="6">
        <v>-6.4020076</v>
      </c>
      <c r="AS723" s="6">
        <v>-6.4618417</v>
      </c>
      <c r="AT723" s="6">
        <v>-6.4506396</v>
      </c>
      <c r="AU723" s="6">
        <v>0.97344833</v>
      </c>
      <c r="AV723" s="6">
        <v>0.96974131</v>
      </c>
      <c r="AW723" s="6">
        <v>0.97311308</v>
      </c>
      <c r="AX723" s="6">
        <v>0.96580418</v>
      </c>
      <c r="AY723" s="6">
        <v>0.96229362</v>
      </c>
      <c r="AZ723" s="6">
        <v>0.97128734</v>
      </c>
      <c r="BA723" s="6">
        <v>0.96960354</v>
      </c>
      <c r="BB723" s="6">
        <v>0.02655167</v>
      </c>
      <c r="BC723" s="6">
        <v>0.03025869</v>
      </c>
      <c r="BD723" s="6">
        <v>0.02688692</v>
      </c>
      <c r="BE723" s="6">
        <v>0.03419582</v>
      </c>
      <c r="BF723" s="6">
        <v>0.03770638</v>
      </c>
      <c r="BG723" s="6">
        <v>0.02871266</v>
      </c>
      <c r="BH723" s="6">
        <v>0.03039646</v>
      </c>
      <c r="BI723" s="6">
        <v>0.21470859</v>
      </c>
      <c r="BJ723" s="6">
        <v>0.12366373</v>
      </c>
      <c r="BK723" s="6">
        <v>0.1409291</v>
      </c>
      <c r="BL723" s="6">
        <v>0.12522516</v>
      </c>
      <c r="BM723" s="6">
        <v>0.1592662</v>
      </c>
      <c r="BN723" s="6">
        <v>0.17561655</v>
      </c>
      <c r="BO723" s="6">
        <v>0.1337285</v>
      </c>
      <c r="BP723" s="6">
        <v>0.14157076</v>
      </c>
      <c r="BQ723" s="6">
        <v>0.01221243</v>
      </c>
      <c r="BR723" s="6">
        <v>0.01041748</v>
      </c>
      <c r="BS723" s="6">
        <v>0.01149415</v>
      </c>
      <c r="BT723" s="6">
        <v>0.00950477</v>
      </c>
      <c r="BU723" s="6">
        <v>0.00783547</v>
      </c>
      <c r="BV723" s="6">
        <v>0.01614034</v>
      </c>
      <c r="BW723" s="6">
        <v>0.01481074</v>
      </c>
      <c r="BX723" s="12">
        <v>4696.03</v>
      </c>
      <c r="BY723" s="13">
        <v>594</v>
      </c>
      <c r="BZ723" s="12">
        <v>3346.6</v>
      </c>
      <c r="CA723" s="6">
        <f t="shared" si="66"/>
        <v>7.90577441077441</v>
      </c>
      <c r="CB723" s="6">
        <f t="shared" si="67"/>
        <v>1.40322416781211</v>
      </c>
      <c r="CC723" s="7">
        <v>83337486.7</v>
      </c>
      <c r="CD723" s="7">
        <f t="shared" si="68"/>
        <v>2.49021355106675</v>
      </c>
      <c r="CE723" s="8">
        <v>4051.3</v>
      </c>
      <c r="CF723" s="8">
        <v>8513.9</v>
      </c>
      <c r="CG723" s="8">
        <v>12643.9</v>
      </c>
      <c r="CH723" s="8">
        <v>50137</v>
      </c>
      <c r="CI723" s="14">
        <v>1</v>
      </c>
      <c r="CJ723" s="14">
        <v>0</v>
      </c>
      <c r="CK723" s="14">
        <f t="shared" si="69"/>
        <v>0</v>
      </c>
      <c r="CL723">
        <f t="shared" si="70"/>
        <v>1.36781889095748</v>
      </c>
      <c r="CM723">
        <f t="shared" si="71"/>
        <v>0</v>
      </c>
      <c r="CN723" s="15">
        <v>4694.47</v>
      </c>
      <c r="CO723" s="15">
        <v>1667.77</v>
      </c>
      <c r="CP723" s="15">
        <v>277.75</v>
      </c>
      <c r="CQ723" s="15">
        <v>143.47</v>
      </c>
      <c r="CR723" s="15">
        <v>81.95</v>
      </c>
      <c r="CS723" s="15">
        <v>0.6</v>
      </c>
      <c r="CT723" s="15">
        <v>167.71</v>
      </c>
      <c r="CU723" s="15">
        <v>0.17</v>
      </c>
      <c r="CV723" s="15">
        <v>51.43</v>
      </c>
      <c r="CW723" s="15">
        <v>858</v>
      </c>
    </row>
    <row r="724" spans="1:101">
      <c r="A724" s="6">
        <v>2022</v>
      </c>
      <c r="B724" s="6" t="s">
        <v>128</v>
      </c>
      <c r="C724" s="6">
        <v>0.07938572</v>
      </c>
      <c r="D724" s="6">
        <v>0.018442</v>
      </c>
      <c r="E724" s="6">
        <v>0.004286</v>
      </c>
      <c r="F724" s="6">
        <v>0.008395</v>
      </c>
      <c r="G724" s="6">
        <v>0.002908</v>
      </c>
      <c r="H724" s="6">
        <v>0.002853</v>
      </c>
      <c r="I724" s="6">
        <v>0.018285</v>
      </c>
      <c r="J724" s="6">
        <v>0.009738</v>
      </c>
      <c r="K724" s="6">
        <v>0.09309534</v>
      </c>
      <c r="L724" s="6">
        <v>0.06084148</v>
      </c>
      <c r="M724" s="6">
        <v>0.08611424</v>
      </c>
      <c r="N724" s="6">
        <v>0.05748173</v>
      </c>
      <c r="O724" s="6">
        <v>0.0529536</v>
      </c>
      <c r="P724" s="6">
        <v>0.11387903</v>
      </c>
      <c r="Q724" s="6">
        <v>0.10476671</v>
      </c>
      <c r="R724" s="6">
        <v>217.69486</v>
      </c>
      <c r="S724" s="6">
        <v>0.00042764</v>
      </c>
      <c r="T724" s="6">
        <v>169.97573</v>
      </c>
      <c r="U724" s="6">
        <v>0.00035794</v>
      </c>
      <c r="V724" s="6">
        <v>197.11803</v>
      </c>
      <c r="W724" s="6">
        <v>0.00043687</v>
      </c>
      <c r="X724" s="6">
        <v>134.47093</v>
      </c>
      <c r="Y724" s="6">
        <v>0.00042747</v>
      </c>
      <c r="Z724" s="6">
        <v>134.86767</v>
      </c>
      <c r="AA724" s="6">
        <v>0.00039263</v>
      </c>
      <c r="AB724" s="6">
        <v>294.9318</v>
      </c>
      <c r="AC724" s="6">
        <v>0.00038612</v>
      </c>
      <c r="AD724" s="6">
        <v>243.86163</v>
      </c>
      <c r="AE724" s="6">
        <v>0.00042962</v>
      </c>
      <c r="AF724" s="6">
        <v>775</v>
      </c>
      <c r="AG724" s="6">
        <v>-0.00331731</v>
      </c>
      <c r="AH724" s="6">
        <v>-0.00284032</v>
      </c>
      <c r="AI724" s="6">
        <v>-0.00337955</v>
      </c>
      <c r="AJ724" s="6">
        <v>-0.00331612</v>
      </c>
      <c r="AK724" s="6">
        <v>-0.00307928</v>
      </c>
      <c r="AL724" s="6">
        <v>-0.00303466</v>
      </c>
      <c r="AM724" s="6">
        <v>-0.00333064</v>
      </c>
      <c r="AN724" s="6">
        <v>-6.4762184</v>
      </c>
      <c r="AO724" s="6">
        <v>-6.4515561</v>
      </c>
      <c r="AP724" s="6">
        <v>-6.4739881</v>
      </c>
      <c r="AQ724" s="6">
        <v>-6.4253629</v>
      </c>
      <c r="AR724" s="6">
        <v>-6.4020076</v>
      </c>
      <c r="AS724" s="6">
        <v>-6.4618417</v>
      </c>
      <c r="AT724" s="6">
        <v>-6.4506396</v>
      </c>
      <c r="AU724" s="6">
        <v>0.97344833</v>
      </c>
      <c r="AV724" s="6">
        <v>0.96974131</v>
      </c>
      <c r="AW724" s="6">
        <v>0.97311308</v>
      </c>
      <c r="AX724" s="6">
        <v>0.96580418</v>
      </c>
      <c r="AY724" s="6">
        <v>0.96229362</v>
      </c>
      <c r="AZ724" s="6">
        <v>0.97128734</v>
      </c>
      <c r="BA724" s="6">
        <v>0.96960354</v>
      </c>
      <c r="BB724" s="6">
        <v>0.02655167</v>
      </c>
      <c r="BC724" s="6">
        <v>0.03025869</v>
      </c>
      <c r="BD724" s="6">
        <v>0.02688692</v>
      </c>
      <c r="BE724" s="6">
        <v>0.03419582</v>
      </c>
      <c r="BF724" s="6">
        <v>0.03770638</v>
      </c>
      <c r="BG724" s="6">
        <v>0.02871266</v>
      </c>
      <c r="BH724" s="6">
        <v>0.03039646</v>
      </c>
      <c r="BI724" s="6">
        <v>0.21470859</v>
      </c>
      <c r="BJ724" s="6">
        <v>0.12366373</v>
      </c>
      <c r="BK724" s="6">
        <v>0.1409291</v>
      </c>
      <c r="BL724" s="6">
        <v>0.12522516</v>
      </c>
      <c r="BM724" s="6">
        <v>0.1592662</v>
      </c>
      <c r="BN724" s="6">
        <v>0.17561655</v>
      </c>
      <c r="BO724" s="6">
        <v>0.1337285</v>
      </c>
      <c r="BP724" s="6">
        <v>0.14157076</v>
      </c>
      <c r="BQ724" s="6">
        <v>0.01151252</v>
      </c>
      <c r="BR724" s="6">
        <v>0.00857433</v>
      </c>
      <c r="BS724" s="6">
        <v>0.01078367</v>
      </c>
      <c r="BT724" s="6">
        <v>0.0091549</v>
      </c>
      <c r="BU724" s="6">
        <v>0.00929953</v>
      </c>
      <c r="BV724" s="6">
        <v>0.01522887</v>
      </c>
      <c r="BW724" s="6">
        <v>0.0148319</v>
      </c>
      <c r="BX724" s="12">
        <v>4802.8</v>
      </c>
      <c r="BY724" s="13">
        <v>595</v>
      </c>
      <c r="BZ724" s="12">
        <v>3610.1</v>
      </c>
      <c r="CA724" s="6">
        <f t="shared" si="66"/>
        <v>8.07193277310924</v>
      </c>
      <c r="CB724" s="6">
        <f t="shared" si="67"/>
        <v>1.33037865987092</v>
      </c>
      <c r="CC724" s="7">
        <v>82214112.44</v>
      </c>
      <c r="CD724" s="7">
        <f t="shared" si="68"/>
        <v>2.27733615246115</v>
      </c>
      <c r="CE724" s="8">
        <v>4270.4</v>
      </c>
      <c r="CF724" s="8">
        <v>8819.3</v>
      </c>
      <c r="CG724" s="8">
        <v>13096.3</v>
      </c>
      <c r="CH724" s="8">
        <v>51936</v>
      </c>
      <c r="CI724" s="14">
        <v>1</v>
      </c>
      <c r="CJ724" s="14">
        <v>0</v>
      </c>
      <c r="CK724" s="14">
        <f t="shared" si="69"/>
        <v>0</v>
      </c>
      <c r="CL724">
        <f t="shared" si="70"/>
        <v>1.27047633725244</v>
      </c>
      <c r="CM724">
        <f t="shared" si="71"/>
        <v>0</v>
      </c>
      <c r="CN724" s="15">
        <v>4798.03999778505</v>
      </c>
      <c r="CO724" s="15">
        <v>1723.87</v>
      </c>
      <c r="CP724" s="15">
        <v>245.6</v>
      </c>
      <c r="CQ724" s="15">
        <v>152.44</v>
      </c>
      <c r="CR724" s="15">
        <v>76.5</v>
      </c>
      <c r="CS724" s="15">
        <v>0.59</v>
      </c>
      <c r="CT724" s="15">
        <v>172.87</v>
      </c>
      <c r="CU724" s="15">
        <v>0.19</v>
      </c>
      <c r="CV724" s="15">
        <v>44.67</v>
      </c>
      <c r="CW724" s="15">
        <v>930.54</v>
      </c>
    </row>
    <row r="725" spans="1:101">
      <c r="A725" s="6">
        <v>2023</v>
      </c>
      <c r="B725" s="6" t="s">
        <v>128</v>
      </c>
      <c r="C725" s="6">
        <v>0.15488931</v>
      </c>
      <c r="D725" s="6">
        <v>0.021595</v>
      </c>
      <c r="E725" s="6">
        <v>0.007607</v>
      </c>
      <c r="F725" s="6">
        <v>0.0119</v>
      </c>
      <c r="G725" s="6">
        <v>0.006708</v>
      </c>
      <c r="H725" s="6">
        <v>0.007002</v>
      </c>
      <c r="I725" s="6">
        <v>0.021547</v>
      </c>
      <c r="J725" s="6">
        <v>0.013621</v>
      </c>
      <c r="K725" s="6">
        <v>0.11782332</v>
      </c>
      <c r="L725" s="6">
        <v>0.13935435</v>
      </c>
      <c r="M725" s="6">
        <v>0.13998234</v>
      </c>
      <c r="N725" s="6">
        <v>0.16979767</v>
      </c>
      <c r="O725" s="6">
        <v>0.17869021</v>
      </c>
      <c r="P725" s="6">
        <v>0.15021277</v>
      </c>
      <c r="Q725" s="6">
        <v>0.17403828</v>
      </c>
      <c r="R725" s="6">
        <v>217.69486</v>
      </c>
      <c r="S725" s="6">
        <v>0.00054123</v>
      </c>
      <c r="T725" s="6">
        <v>169.97573</v>
      </c>
      <c r="U725" s="6">
        <v>0.00081985</v>
      </c>
      <c r="V725" s="6">
        <v>197.11803</v>
      </c>
      <c r="W725" s="6">
        <v>0.00071014</v>
      </c>
      <c r="X725" s="6">
        <v>134.47093</v>
      </c>
      <c r="Y725" s="6">
        <v>0.00126271</v>
      </c>
      <c r="Z725" s="6">
        <v>134.86767</v>
      </c>
      <c r="AA725" s="6">
        <v>0.00132493</v>
      </c>
      <c r="AB725" s="6">
        <v>294.9318</v>
      </c>
      <c r="AC725" s="6">
        <v>0.00050931</v>
      </c>
      <c r="AD725" s="6">
        <v>243.86163</v>
      </c>
      <c r="AE725" s="6">
        <v>0.00071368</v>
      </c>
      <c r="AF725" s="6">
        <v>775</v>
      </c>
      <c r="AG725" s="6">
        <v>-0.00407096</v>
      </c>
      <c r="AH725" s="6">
        <v>-0.00582616</v>
      </c>
      <c r="AI725" s="6">
        <v>-0.00514858</v>
      </c>
      <c r="AJ725" s="6">
        <v>-0.00842795</v>
      </c>
      <c r="AK725" s="6">
        <v>-0.00877951</v>
      </c>
      <c r="AL725" s="6">
        <v>-0.00386184</v>
      </c>
      <c r="AM725" s="6">
        <v>-0.00517064</v>
      </c>
      <c r="AN725" s="6">
        <v>-6.4762184</v>
      </c>
      <c r="AO725" s="6">
        <v>-6.4515561</v>
      </c>
      <c r="AP725" s="6">
        <v>-6.4739881</v>
      </c>
      <c r="AQ725" s="6">
        <v>-6.4253629</v>
      </c>
      <c r="AR725" s="6">
        <v>-6.4020076</v>
      </c>
      <c r="AS725" s="6">
        <v>-6.4618417</v>
      </c>
      <c r="AT725" s="6">
        <v>-6.4506396</v>
      </c>
      <c r="AU725" s="6">
        <v>0.97344833</v>
      </c>
      <c r="AV725" s="6">
        <v>0.96974131</v>
      </c>
      <c r="AW725" s="6">
        <v>0.97311308</v>
      </c>
      <c r="AX725" s="6">
        <v>0.96580418</v>
      </c>
      <c r="AY725" s="6">
        <v>0.96229362</v>
      </c>
      <c r="AZ725" s="6">
        <v>0.97128734</v>
      </c>
      <c r="BA725" s="6">
        <v>0.96960354</v>
      </c>
      <c r="BB725" s="6">
        <v>0.02655167</v>
      </c>
      <c r="BC725" s="6">
        <v>0.03025869</v>
      </c>
      <c r="BD725" s="6">
        <v>0.02688692</v>
      </c>
      <c r="BE725" s="6">
        <v>0.03419582</v>
      </c>
      <c r="BF725" s="6">
        <v>0.03770638</v>
      </c>
      <c r="BG725" s="6">
        <v>0.02871266</v>
      </c>
      <c r="BH725" s="6">
        <v>0.03039646</v>
      </c>
      <c r="BI725" s="6">
        <v>0.21470859</v>
      </c>
      <c r="BJ725" s="6">
        <v>0.12366373</v>
      </c>
      <c r="BK725" s="6">
        <v>0.1409291</v>
      </c>
      <c r="BL725" s="6">
        <v>0.12522516</v>
      </c>
      <c r="BM725" s="6">
        <v>0.1592662</v>
      </c>
      <c r="BN725" s="6">
        <v>0.17561655</v>
      </c>
      <c r="BO725" s="6">
        <v>0.1337285</v>
      </c>
      <c r="BP725" s="6">
        <v>0.14157076</v>
      </c>
      <c r="BQ725" s="6">
        <v>0.01457047</v>
      </c>
      <c r="BR725" s="6">
        <v>0.01963908</v>
      </c>
      <c r="BS725" s="6">
        <v>0.01752931</v>
      </c>
      <c r="BT725" s="6">
        <v>0.02704303</v>
      </c>
      <c r="BU725" s="6">
        <v>0.03138096</v>
      </c>
      <c r="BV725" s="6">
        <v>0.02008773</v>
      </c>
      <c r="BW725" s="6">
        <v>0.02463873</v>
      </c>
      <c r="BX725" s="12">
        <v>5036.87</v>
      </c>
      <c r="BY725" s="13">
        <v>594</v>
      </c>
      <c r="BZ725" s="12">
        <v>3799.1</v>
      </c>
      <c r="CA725" s="6">
        <f t="shared" si="66"/>
        <v>8.47957912457912</v>
      </c>
      <c r="CB725" s="6">
        <f t="shared" si="67"/>
        <v>1.32580611197389</v>
      </c>
      <c r="CC725" s="7">
        <v>85037859.92</v>
      </c>
      <c r="CD725" s="7">
        <f t="shared" si="68"/>
        <v>2.23836855886921</v>
      </c>
      <c r="CE725" s="8">
        <v>4468.2</v>
      </c>
      <c r="CF725" s="8">
        <v>8924.1</v>
      </c>
      <c r="CG725" s="8">
        <v>13810.1</v>
      </c>
      <c r="CH725" s="8">
        <v>54005</v>
      </c>
      <c r="CI725" s="14">
        <v>1</v>
      </c>
      <c r="CJ725" s="14">
        <v>0</v>
      </c>
      <c r="CK725" s="14">
        <f t="shared" si="69"/>
        <v>0</v>
      </c>
      <c r="CL725">
        <f t="shared" si="70"/>
        <v>1.2756783895882</v>
      </c>
      <c r="CM725">
        <f t="shared" si="71"/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</row>
    <row r="726" spans="1:101">
      <c r="A726" s="6">
        <v>2024</v>
      </c>
      <c r="B726" s="6" t="s">
        <v>128</v>
      </c>
      <c r="C726" s="6">
        <v>0.19030883</v>
      </c>
      <c r="D726" s="6">
        <v>0.022711</v>
      </c>
      <c r="E726" s="6">
        <v>0.008731</v>
      </c>
      <c r="F726" s="6">
        <v>0.013124</v>
      </c>
      <c r="G726" s="6">
        <v>0.008688</v>
      </c>
      <c r="H726" s="6">
        <v>0.009357</v>
      </c>
      <c r="I726" s="6">
        <v>0.022531</v>
      </c>
      <c r="J726" s="6">
        <v>0.015567</v>
      </c>
      <c r="K726" s="6">
        <v>0.12657996</v>
      </c>
      <c r="L726" s="6">
        <v>0.16593178</v>
      </c>
      <c r="M726" s="6">
        <v>0.15879254</v>
      </c>
      <c r="N726" s="6">
        <v>0.22832732</v>
      </c>
      <c r="O726" s="6">
        <v>0.25005092</v>
      </c>
      <c r="P726" s="6">
        <v>0.16117071</v>
      </c>
      <c r="Q726" s="6">
        <v>0.20876503</v>
      </c>
      <c r="R726" s="6">
        <v>217.69486</v>
      </c>
      <c r="S726" s="6">
        <v>0.00058146</v>
      </c>
      <c r="T726" s="6">
        <v>169.97573</v>
      </c>
      <c r="U726" s="6">
        <v>0.00097621</v>
      </c>
      <c r="V726" s="6">
        <v>197.11803</v>
      </c>
      <c r="W726" s="6">
        <v>0.00080557</v>
      </c>
      <c r="X726" s="6">
        <v>134.47093</v>
      </c>
      <c r="Y726" s="6">
        <v>0.00169797</v>
      </c>
      <c r="Z726" s="6">
        <v>134.86767</v>
      </c>
      <c r="AA726" s="6">
        <v>0.00185405</v>
      </c>
      <c r="AB726" s="6">
        <v>294.9318</v>
      </c>
      <c r="AC726" s="6">
        <v>0.00054647</v>
      </c>
      <c r="AD726" s="6">
        <v>243.86163</v>
      </c>
      <c r="AE726" s="6">
        <v>0.00085608</v>
      </c>
      <c r="AF726" s="6">
        <v>775</v>
      </c>
      <c r="AG726" s="6">
        <v>-0.00433183</v>
      </c>
      <c r="AH726" s="6">
        <v>-0.00676692</v>
      </c>
      <c r="AI726" s="6">
        <v>-0.00573885</v>
      </c>
      <c r="AJ726" s="6">
        <v>-0.01083019</v>
      </c>
      <c r="AK726" s="6">
        <v>-0.01166267</v>
      </c>
      <c r="AL726" s="6">
        <v>-0.00410508</v>
      </c>
      <c r="AM726" s="6">
        <v>-0.00604662</v>
      </c>
      <c r="AN726" s="6">
        <v>-6.4762184</v>
      </c>
      <c r="AO726" s="6">
        <v>-6.4515561</v>
      </c>
      <c r="AP726" s="6">
        <v>-6.4739881</v>
      </c>
      <c r="AQ726" s="6">
        <v>-6.4253629</v>
      </c>
      <c r="AR726" s="6">
        <v>-6.4020076</v>
      </c>
      <c r="AS726" s="6">
        <v>-6.4618417</v>
      </c>
      <c r="AT726" s="6">
        <v>-6.4506396</v>
      </c>
      <c r="AU726" s="6">
        <v>0.97344833</v>
      </c>
      <c r="AV726" s="6">
        <v>0.96974131</v>
      </c>
      <c r="AW726" s="6">
        <v>0.97311308</v>
      </c>
      <c r="AX726" s="6">
        <v>0.96580418</v>
      </c>
      <c r="AY726" s="6">
        <v>0.96229362</v>
      </c>
      <c r="AZ726" s="6">
        <v>0.97128734</v>
      </c>
      <c r="BA726" s="6">
        <v>0.96960354</v>
      </c>
      <c r="BB726" s="6">
        <v>0.02655167</v>
      </c>
      <c r="BC726" s="6">
        <v>0.03025869</v>
      </c>
      <c r="BD726" s="6">
        <v>0.02688692</v>
      </c>
      <c r="BE726" s="6">
        <v>0.03419582</v>
      </c>
      <c r="BF726" s="6">
        <v>0.03770638</v>
      </c>
      <c r="BG726" s="6">
        <v>0.02871266</v>
      </c>
      <c r="BH726" s="6">
        <v>0.03039646</v>
      </c>
      <c r="BI726" s="6">
        <v>0.21470859</v>
      </c>
      <c r="BJ726" s="6">
        <v>0.12366373</v>
      </c>
      <c r="BK726" s="6">
        <v>0.1409291</v>
      </c>
      <c r="BL726" s="6">
        <v>0.12522516</v>
      </c>
      <c r="BM726" s="6">
        <v>0.1592662</v>
      </c>
      <c r="BN726" s="6">
        <v>0.17561655</v>
      </c>
      <c r="BO726" s="6">
        <v>0.1337285</v>
      </c>
      <c r="BP726" s="6">
        <v>0.14157076</v>
      </c>
      <c r="BQ726" s="6">
        <v>0.01565335</v>
      </c>
      <c r="BR726" s="6">
        <v>0.02338462</v>
      </c>
      <c r="BS726" s="6">
        <v>0.01988482</v>
      </c>
      <c r="BT726" s="6">
        <v>0.03636483</v>
      </c>
      <c r="BU726" s="6">
        <v>0.04391308</v>
      </c>
      <c r="BV726" s="6">
        <v>0.02155312</v>
      </c>
      <c r="BW726" s="6">
        <v>0.02955503</v>
      </c>
      <c r="BX726" s="12">
        <v>5163.91</v>
      </c>
      <c r="BY726" s="13">
        <v>593</v>
      </c>
      <c r="BZ726" s="12">
        <v>3950.8</v>
      </c>
      <c r="CA726" s="6">
        <f t="shared" si="66"/>
        <v>8.70811129848229</v>
      </c>
      <c r="CB726" s="6">
        <f t="shared" si="67"/>
        <v>1.30705426749013</v>
      </c>
      <c r="CC726" s="7">
        <v>88102436.97</v>
      </c>
      <c r="CD726" s="7">
        <f t="shared" si="68"/>
        <v>2.22998979877493</v>
      </c>
      <c r="CE726" s="8">
        <v>4751.5</v>
      </c>
      <c r="CF726" s="8">
        <v>9301</v>
      </c>
      <c r="CG726" s="8">
        <v>14596.9</v>
      </c>
      <c r="CH726" s="8">
        <v>57071</v>
      </c>
      <c r="CI726" s="14">
        <v>1</v>
      </c>
      <c r="CJ726" s="14">
        <v>0</v>
      </c>
      <c r="CK726" s="14">
        <f t="shared" si="69"/>
        <v>0</v>
      </c>
      <c r="CL726">
        <f t="shared" si="70"/>
        <v>1.21200651315194</v>
      </c>
      <c r="CM726">
        <f t="shared" si="71"/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</row>
    <row r="727" spans="1:101">
      <c r="A727" s="6">
        <v>2000</v>
      </c>
      <c r="B727" s="6" t="s">
        <v>129</v>
      </c>
      <c r="C727" s="6">
        <v>0.18414008</v>
      </c>
      <c r="D727" s="6">
        <v>0.030745</v>
      </c>
      <c r="E727" s="6">
        <v>0.007925</v>
      </c>
      <c r="F727" s="6">
        <v>0.013383</v>
      </c>
      <c r="G727" s="6">
        <v>0.00445</v>
      </c>
      <c r="H727" s="6">
        <v>0.004987</v>
      </c>
      <c r="I727" s="6">
        <v>0.036209</v>
      </c>
      <c r="J727" s="6">
        <v>0.019945</v>
      </c>
      <c r="K727" s="6">
        <v>0.18959987</v>
      </c>
      <c r="L727" s="6">
        <v>0.14687305</v>
      </c>
      <c r="M727" s="6">
        <v>0.16277859</v>
      </c>
      <c r="N727" s="6">
        <v>0.10306577</v>
      </c>
      <c r="O727" s="6">
        <v>0.11762028</v>
      </c>
      <c r="P727" s="6">
        <v>0.31352208</v>
      </c>
      <c r="Q727" s="6">
        <v>0.28687414</v>
      </c>
      <c r="R727" s="6">
        <v>217.69486</v>
      </c>
      <c r="S727" s="6">
        <v>0.00087094</v>
      </c>
      <c r="T727" s="6">
        <v>169.97573</v>
      </c>
      <c r="U727" s="6">
        <v>0.00086408</v>
      </c>
      <c r="V727" s="6">
        <v>197.11803</v>
      </c>
      <c r="W727" s="6">
        <v>0.00082579</v>
      </c>
      <c r="X727" s="6">
        <v>134.47093</v>
      </c>
      <c r="Y727" s="6">
        <v>0.00076645</v>
      </c>
      <c r="Z727" s="6">
        <v>134.86767</v>
      </c>
      <c r="AA727" s="6">
        <v>0.00087212</v>
      </c>
      <c r="AB727" s="6">
        <v>294.9318</v>
      </c>
      <c r="AC727" s="6">
        <v>0.00106303</v>
      </c>
      <c r="AD727" s="6">
        <v>243.86163</v>
      </c>
      <c r="AE727" s="6">
        <v>0.00117638</v>
      </c>
      <c r="AF727" s="6">
        <v>775</v>
      </c>
      <c r="AG727" s="6">
        <v>-0.00613661</v>
      </c>
      <c r="AH727" s="6">
        <v>-0.0060951</v>
      </c>
      <c r="AI727" s="6">
        <v>-0.00586244</v>
      </c>
      <c r="AJ727" s="6">
        <v>-0.00549834</v>
      </c>
      <c r="AK727" s="6">
        <v>-0.0061437</v>
      </c>
      <c r="AL727" s="6">
        <v>-0.00727819</v>
      </c>
      <c r="AM727" s="6">
        <v>-0.00793506</v>
      </c>
      <c r="AN727" s="6">
        <v>-6.4762184</v>
      </c>
      <c r="AO727" s="6">
        <v>-6.4515561</v>
      </c>
      <c r="AP727" s="6">
        <v>-6.4739881</v>
      </c>
      <c r="AQ727" s="6">
        <v>-6.4253629</v>
      </c>
      <c r="AR727" s="6">
        <v>-6.4020076</v>
      </c>
      <c r="AS727" s="6">
        <v>-6.4618417</v>
      </c>
      <c r="AT727" s="6">
        <v>-6.4506396</v>
      </c>
      <c r="AU727" s="6">
        <v>0.97344833</v>
      </c>
      <c r="AV727" s="6">
        <v>0.96974131</v>
      </c>
      <c r="AW727" s="6">
        <v>0.97311308</v>
      </c>
      <c r="AX727" s="6">
        <v>0.96580418</v>
      </c>
      <c r="AY727" s="6">
        <v>0.96229362</v>
      </c>
      <c r="AZ727" s="6">
        <v>0.97128734</v>
      </c>
      <c r="BA727" s="6">
        <v>0.96960354</v>
      </c>
      <c r="BB727" s="6">
        <v>0.02655167</v>
      </c>
      <c r="BC727" s="6">
        <v>0.03025869</v>
      </c>
      <c r="BD727" s="6">
        <v>0.02688692</v>
      </c>
      <c r="BE727" s="6">
        <v>0.03419582</v>
      </c>
      <c r="BF727" s="6">
        <v>0.03770638</v>
      </c>
      <c r="BG727" s="6">
        <v>0.02871266</v>
      </c>
      <c r="BH727" s="6">
        <v>0.03039646</v>
      </c>
      <c r="BI727" s="6">
        <v>0.21470859</v>
      </c>
      <c r="BJ727" s="6">
        <v>0.12366373</v>
      </c>
      <c r="BK727" s="6">
        <v>0.1409291</v>
      </c>
      <c r="BL727" s="6">
        <v>0.12522516</v>
      </c>
      <c r="BM727" s="6">
        <v>0.1592662</v>
      </c>
      <c r="BN727" s="6">
        <v>0.17561655</v>
      </c>
      <c r="BO727" s="6">
        <v>0.1337285</v>
      </c>
      <c r="BP727" s="6">
        <v>0.14157076</v>
      </c>
      <c r="BQ727" s="6">
        <v>0.02344663</v>
      </c>
      <c r="BR727" s="6">
        <v>0.02069869</v>
      </c>
      <c r="BS727" s="6">
        <v>0.02038397</v>
      </c>
      <c r="BT727" s="6">
        <v>0.01641489</v>
      </c>
      <c r="BU727" s="6">
        <v>0.02065607</v>
      </c>
      <c r="BV727" s="6">
        <v>0.04192684</v>
      </c>
      <c r="BW727" s="6">
        <v>0.04061299</v>
      </c>
      <c r="BX727" s="12">
        <v>6166</v>
      </c>
      <c r="BY727" s="13">
        <v>3807</v>
      </c>
      <c r="BZ727" s="12">
        <v>3253</v>
      </c>
      <c r="CA727" s="6">
        <f t="shared" si="66"/>
        <v>1.61964801681114</v>
      </c>
      <c r="CB727" s="6">
        <f t="shared" si="67"/>
        <v>1.89548109437442</v>
      </c>
      <c r="CC727" s="7">
        <v>104631228.7</v>
      </c>
      <c r="CD727" s="7">
        <f t="shared" si="68"/>
        <v>3.21645338764218</v>
      </c>
      <c r="CE727" s="8">
        <v>631</v>
      </c>
      <c r="CF727" s="8">
        <v>3287.1</v>
      </c>
      <c r="CG727" s="8">
        <v>2246.7</v>
      </c>
      <c r="CH727" s="8">
        <v>13467</v>
      </c>
      <c r="CI727" s="14">
        <v>0</v>
      </c>
      <c r="CJ727" s="14">
        <v>0</v>
      </c>
      <c r="CK727" s="14">
        <f t="shared" si="69"/>
        <v>0</v>
      </c>
      <c r="CL727">
        <f t="shared" si="70"/>
        <v>4.53658228674969</v>
      </c>
      <c r="CM727">
        <f t="shared" si="71"/>
        <v>0.290996352686757</v>
      </c>
      <c r="CN727" s="15">
        <v>6166.15</v>
      </c>
      <c r="CO727" s="15">
        <v>5815.15</v>
      </c>
      <c r="CP727" s="15">
        <v>72.83</v>
      </c>
      <c r="CQ727" s="15">
        <v>1601.27</v>
      </c>
      <c r="CR727" s="15">
        <v>244.04</v>
      </c>
      <c r="CS727" s="15">
        <v>8.74</v>
      </c>
      <c r="CT727" s="15">
        <v>409.71</v>
      </c>
      <c r="CU727" s="15">
        <v>135.38</v>
      </c>
      <c r="CV727" s="15">
        <v>23.04</v>
      </c>
      <c r="CW727" s="15">
        <v>442.28</v>
      </c>
    </row>
    <row r="728" spans="1:101">
      <c r="A728" s="6">
        <v>2001</v>
      </c>
      <c r="B728" s="6" t="s">
        <v>129</v>
      </c>
      <c r="C728" s="6">
        <v>0.20015734</v>
      </c>
      <c r="D728" s="6">
        <v>0.038943</v>
      </c>
      <c r="E728" s="6">
        <v>0.010002</v>
      </c>
      <c r="F728" s="6">
        <v>0.017587</v>
      </c>
      <c r="G728" s="6">
        <v>0.0063</v>
      </c>
      <c r="H728" s="6">
        <v>0.005054</v>
      </c>
      <c r="I728" s="6">
        <v>0.031511</v>
      </c>
      <c r="J728" s="6">
        <v>0.016376</v>
      </c>
      <c r="K728" s="6">
        <v>0.25390624</v>
      </c>
      <c r="L728" s="6">
        <v>0.19598447</v>
      </c>
      <c r="M728" s="6">
        <v>0.227393</v>
      </c>
      <c r="N728" s="6">
        <v>0.15774832</v>
      </c>
      <c r="O728" s="6">
        <v>0.11964772</v>
      </c>
      <c r="P728" s="6">
        <v>0.26119556</v>
      </c>
      <c r="Q728" s="6">
        <v>0.22319385</v>
      </c>
      <c r="R728" s="6">
        <v>217.69486</v>
      </c>
      <c r="S728" s="6">
        <v>0.00116634</v>
      </c>
      <c r="T728" s="6">
        <v>169.97573</v>
      </c>
      <c r="U728" s="6">
        <v>0.00115301</v>
      </c>
      <c r="V728" s="6">
        <v>197.11803</v>
      </c>
      <c r="W728" s="6">
        <v>0.00115359</v>
      </c>
      <c r="X728" s="6">
        <v>134.47093</v>
      </c>
      <c r="Y728" s="6">
        <v>0.0011731</v>
      </c>
      <c r="Z728" s="6">
        <v>134.86767</v>
      </c>
      <c r="AA728" s="6">
        <v>0.00088715</v>
      </c>
      <c r="AB728" s="6">
        <v>294.9318</v>
      </c>
      <c r="AC728" s="6">
        <v>0.00088561</v>
      </c>
      <c r="AD728" s="6">
        <v>243.86163</v>
      </c>
      <c r="AE728" s="6">
        <v>0.00091525</v>
      </c>
      <c r="AF728" s="6">
        <v>775</v>
      </c>
      <c r="AG728" s="6">
        <v>-0.00787733</v>
      </c>
      <c r="AH728" s="6">
        <v>-0.00780058</v>
      </c>
      <c r="AI728" s="6">
        <v>-0.00780388</v>
      </c>
      <c r="AJ728" s="6">
        <v>-0.00791622</v>
      </c>
      <c r="AK728" s="6">
        <v>-0.00623444</v>
      </c>
      <c r="AL728" s="6">
        <v>-0.00622518</v>
      </c>
      <c r="AM728" s="6">
        <v>-0.00640336</v>
      </c>
      <c r="AN728" s="6">
        <v>-6.4762184</v>
      </c>
      <c r="AO728" s="6">
        <v>-6.4515561</v>
      </c>
      <c r="AP728" s="6">
        <v>-6.4739881</v>
      </c>
      <c r="AQ728" s="6">
        <v>-6.4253629</v>
      </c>
      <c r="AR728" s="6">
        <v>-6.4020076</v>
      </c>
      <c r="AS728" s="6">
        <v>-6.4618417</v>
      </c>
      <c r="AT728" s="6">
        <v>-6.4506396</v>
      </c>
      <c r="AU728" s="6">
        <v>0.97344833</v>
      </c>
      <c r="AV728" s="6">
        <v>0.96974131</v>
      </c>
      <c r="AW728" s="6">
        <v>0.97311308</v>
      </c>
      <c r="AX728" s="6">
        <v>0.96580418</v>
      </c>
      <c r="AY728" s="6">
        <v>0.96229362</v>
      </c>
      <c r="AZ728" s="6">
        <v>0.97128734</v>
      </c>
      <c r="BA728" s="6">
        <v>0.96960354</v>
      </c>
      <c r="BB728" s="6">
        <v>0.02655167</v>
      </c>
      <c r="BC728" s="6">
        <v>0.03025869</v>
      </c>
      <c r="BD728" s="6">
        <v>0.02688692</v>
      </c>
      <c r="BE728" s="6">
        <v>0.03419582</v>
      </c>
      <c r="BF728" s="6">
        <v>0.03770638</v>
      </c>
      <c r="BG728" s="6">
        <v>0.02871266</v>
      </c>
      <c r="BH728" s="6">
        <v>0.03039646</v>
      </c>
      <c r="BI728" s="6">
        <v>0.21470859</v>
      </c>
      <c r="BJ728" s="6">
        <v>0.12366373</v>
      </c>
      <c r="BK728" s="6">
        <v>0.1409291</v>
      </c>
      <c r="BL728" s="6">
        <v>0.12522516</v>
      </c>
      <c r="BM728" s="6">
        <v>0.1592662</v>
      </c>
      <c r="BN728" s="6">
        <v>0.17561655</v>
      </c>
      <c r="BO728" s="6">
        <v>0.1337285</v>
      </c>
      <c r="BP728" s="6">
        <v>0.14157076</v>
      </c>
      <c r="BQ728" s="6">
        <v>0.03139899</v>
      </c>
      <c r="BR728" s="6">
        <v>0.02761991</v>
      </c>
      <c r="BS728" s="6">
        <v>0.02847533</v>
      </c>
      <c r="BT728" s="6">
        <v>0.02512398</v>
      </c>
      <c r="BU728" s="6">
        <v>0.02101212</v>
      </c>
      <c r="BV728" s="6">
        <v>0.03492929</v>
      </c>
      <c r="BW728" s="6">
        <v>0.03159772</v>
      </c>
      <c r="BX728" s="12">
        <v>6037</v>
      </c>
      <c r="BY728" s="13">
        <v>3811</v>
      </c>
      <c r="BZ728" s="12">
        <v>3390.13</v>
      </c>
      <c r="CA728" s="6">
        <f t="shared" si="66"/>
        <v>1.58409866176856</v>
      </c>
      <c r="CB728" s="6">
        <f t="shared" si="67"/>
        <v>1.78075767005985</v>
      </c>
      <c r="CC728" s="7">
        <v>107718689.8</v>
      </c>
      <c r="CD728" s="7">
        <f t="shared" si="68"/>
        <v>3.17742062398787</v>
      </c>
      <c r="CE728" s="8">
        <v>659.8</v>
      </c>
      <c r="CF728" s="8">
        <v>3590.1</v>
      </c>
      <c r="CG728" s="8">
        <v>2677.9</v>
      </c>
      <c r="CH728" s="8">
        <v>14726</v>
      </c>
      <c r="CI728" s="14">
        <v>0</v>
      </c>
      <c r="CJ728" s="14">
        <v>0</v>
      </c>
      <c r="CK728" s="14">
        <f t="shared" si="69"/>
        <v>0</v>
      </c>
      <c r="CL728">
        <f t="shared" si="70"/>
        <v>4.16809156222866</v>
      </c>
      <c r="CM728">
        <f t="shared" si="71"/>
        <v>0.237679744662588</v>
      </c>
      <c r="CN728" s="15">
        <v>6037</v>
      </c>
      <c r="CO728" s="15">
        <v>5537</v>
      </c>
      <c r="CP728" s="15">
        <v>90.44</v>
      </c>
      <c r="CQ728" s="15">
        <v>1615.5</v>
      </c>
      <c r="CR728" s="15">
        <v>269.84</v>
      </c>
      <c r="CS728" s="15">
        <v>7.91</v>
      </c>
      <c r="CT728" s="15">
        <v>391.02</v>
      </c>
      <c r="CU728" s="15">
        <v>88.74</v>
      </c>
      <c r="CV728" s="15">
        <v>22.03</v>
      </c>
      <c r="CW728" s="15">
        <v>468.13</v>
      </c>
    </row>
    <row r="729" spans="1:101">
      <c r="A729" s="6">
        <v>2002</v>
      </c>
      <c r="B729" s="6" t="s">
        <v>129</v>
      </c>
      <c r="C729" s="6">
        <v>0.21091106</v>
      </c>
      <c r="D729" s="6">
        <v>0.037667</v>
      </c>
      <c r="E729" s="6">
        <v>0.009433</v>
      </c>
      <c r="F729" s="6">
        <v>0.017179</v>
      </c>
      <c r="G729" s="6">
        <v>0.006093</v>
      </c>
      <c r="H729" s="6">
        <v>0.004963</v>
      </c>
      <c r="I729" s="6">
        <v>0.037933</v>
      </c>
      <c r="J729" s="6">
        <v>0.018977</v>
      </c>
      <c r="K729" s="6">
        <v>0.24389398</v>
      </c>
      <c r="L729" s="6">
        <v>0.18251836</v>
      </c>
      <c r="M729" s="6">
        <v>0.22111437</v>
      </c>
      <c r="N729" s="6">
        <v>0.15161752</v>
      </c>
      <c r="O729" s="6">
        <v>0.11689213</v>
      </c>
      <c r="P729" s="6">
        <v>0.33272244</v>
      </c>
      <c r="Q729" s="6">
        <v>0.26960922</v>
      </c>
      <c r="R729" s="6">
        <v>217.69486</v>
      </c>
      <c r="S729" s="6">
        <v>0.00112035</v>
      </c>
      <c r="T729" s="6">
        <v>169.97573</v>
      </c>
      <c r="U729" s="6">
        <v>0.00107379</v>
      </c>
      <c r="V729" s="6">
        <v>197.11803</v>
      </c>
      <c r="W729" s="6">
        <v>0.00112174</v>
      </c>
      <c r="X729" s="6">
        <v>134.47093</v>
      </c>
      <c r="Y729" s="6">
        <v>0.00112751</v>
      </c>
      <c r="Z729" s="6">
        <v>134.86767</v>
      </c>
      <c r="AA729" s="6">
        <v>0.00086672</v>
      </c>
      <c r="AB729" s="6">
        <v>294.9318</v>
      </c>
      <c r="AC729" s="6">
        <v>0.00112813</v>
      </c>
      <c r="AD729" s="6">
        <v>243.86163</v>
      </c>
      <c r="AE729" s="6">
        <v>0.00110558</v>
      </c>
      <c r="AF729" s="6">
        <v>775</v>
      </c>
      <c r="AG729" s="6">
        <v>-0.00761177</v>
      </c>
      <c r="AH729" s="6">
        <v>-0.00734103</v>
      </c>
      <c r="AI729" s="6">
        <v>-0.00761981</v>
      </c>
      <c r="AJ729" s="6">
        <v>-0.00765326</v>
      </c>
      <c r="AK729" s="6">
        <v>-0.00611105</v>
      </c>
      <c r="AL729" s="6">
        <v>-0.00765686</v>
      </c>
      <c r="AM729" s="6">
        <v>-0.00752613</v>
      </c>
      <c r="AN729" s="6">
        <v>-6.4762184</v>
      </c>
      <c r="AO729" s="6">
        <v>-6.4515561</v>
      </c>
      <c r="AP729" s="6">
        <v>-6.4739881</v>
      </c>
      <c r="AQ729" s="6">
        <v>-6.4253629</v>
      </c>
      <c r="AR729" s="6">
        <v>-6.4020076</v>
      </c>
      <c r="AS729" s="6">
        <v>-6.4618417</v>
      </c>
      <c r="AT729" s="6">
        <v>-6.4506396</v>
      </c>
      <c r="AU729" s="6">
        <v>0.97344833</v>
      </c>
      <c r="AV729" s="6">
        <v>0.96974131</v>
      </c>
      <c r="AW729" s="6">
        <v>0.97311308</v>
      </c>
      <c r="AX729" s="6">
        <v>0.96580418</v>
      </c>
      <c r="AY729" s="6">
        <v>0.96229362</v>
      </c>
      <c r="AZ729" s="6">
        <v>0.97128734</v>
      </c>
      <c r="BA729" s="6">
        <v>0.96960354</v>
      </c>
      <c r="BB729" s="6">
        <v>0.02655167</v>
      </c>
      <c r="BC729" s="6">
        <v>0.03025869</v>
      </c>
      <c r="BD729" s="6">
        <v>0.02688692</v>
      </c>
      <c r="BE729" s="6">
        <v>0.03419582</v>
      </c>
      <c r="BF729" s="6">
        <v>0.03770638</v>
      </c>
      <c r="BG729" s="6">
        <v>0.02871266</v>
      </c>
      <c r="BH729" s="6">
        <v>0.03039646</v>
      </c>
      <c r="BI729" s="6">
        <v>0.21470859</v>
      </c>
      <c r="BJ729" s="6">
        <v>0.12366373</v>
      </c>
      <c r="BK729" s="6">
        <v>0.1409291</v>
      </c>
      <c r="BL729" s="6">
        <v>0.12522516</v>
      </c>
      <c r="BM729" s="6">
        <v>0.1592662</v>
      </c>
      <c r="BN729" s="6">
        <v>0.17561655</v>
      </c>
      <c r="BO729" s="6">
        <v>0.1337285</v>
      </c>
      <c r="BP729" s="6">
        <v>0.14157076</v>
      </c>
      <c r="BQ729" s="6">
        <v>0.03016084</v>
      </c>
      <c r="BR729" s="6">
        <v>0.02572215</v>
      </c>
      <c r="BS729" s="6">
        <v>0.02768908</v>
      </c>
      <c r="BT729" s="6">
        <v>0.02414755</v>
      </c>
      <c r="BU729" s="6">
        <v>0.02052819</v>
      </c>
      <c r="BV729" s="6">
        <v>0.04449447</v>
      </c>
      <c r="BW729" s="6">
        <v>0.03816878</v>
      </c>
      <c r="BX729" s="12">
        <v>6004</v>
      </c>
      <c r="BY729" s="13">
        <v>3813</v>
      </c>
      <c r="BZ729" s="12">
        <v>3637.2</v>
      </c>
      <c r="CA729" s="6">
        <f t="shared" si="66"/>
        <v>1.57461316548649</v>
      </c>
      <c r="CB729" s="6">
        <f t="shared" si="67"/>
        <v>1.65072033432311</v>
      </c>
      <c r="CC729" s="7">
        <v>115810325.4</v>
      </c>
      <c r="CD729" s="7">
        <f t="shared" si="68"/>
        <v>3.18405161662818</v>
      </c>
      <c r="CE729" s="8">
        <v>685.2</v>
      </c>
      <c r="CF729" s="8">
        <v>4112.9</v>
      </c>
      <c r="CG729" s="8">
        <v>3242.6</v>
      </c>
      <c r="CH729" s="8">
        <v>16918</v>
      </c>
      <c r="CI729" s="14">
        <v>0</v>
      </c>
      <c r="CJ729" s="14">
        <v>0</v>
      </c>
      <c r="CK729" s="14">
        <f t="shared" si="69"/>
        <v>0</v>
      </c>
      <c r="CL729">
        <f t="shared" si="70"/>
        <v>4.06804884448575</v>
      </c>
      <c r="CM729">
        <f t="shared" si="71"/>
        <v>0.217302510773889</v>
      </c>
      <c r="CN729" s="15">
        <v>6004</v>
      </c>
      <c r="CO729" s="15">
        <v>5543</v>
      </c>
      <c r="CP729" s="15">
        <v>79.77</v>
      </c>
      <c r="CQ729" s="15">
        <v>1586.16</v>
      </c>
      <c r="CR729" s="15">
        <v>258.57</v>
      </c>
      <c r="CS729" s="15">
        <v>10.61</v>
      </c>
      <c r="CT729" s="15">
        <v>403.39</v>
      </c>
      <c r="CU729" s="15">
        <v>76.77</v>
      </c>
      <c r="CV729" s="15">
        <v>20.22</v>
      </c>
      <c r="CW729" s="15">
        <v>463.02</v>
      </c>
    </row>
    <row r="730" spans="1:101">
      <c r="A730" s="6">
        <v>2003</v>
      </c>
      <c r="B730" s="6" t="s">
        <v>129</v>
      </c>
      <c r="C730" s="6">
        <v>0.21522489</v>
      </c>
      <c r="D730" s="6">
        <v>0.039545</v>
      </c>
      <c r="E730" s="6">
        <v>0.0098</v>
      </c>
      <c r="F730" s="6">
        <v>0.017645</v>
      </c>
      <c r="G730" s="6">
        <v>0.005469</v>
      </c>
      <c r="H730" s="6">
        <v>0.006631</v>
      </c>
      <c r="I730" s="6">
        <v>0.036604</v>
      </c>
      <c r="J730" s="6">
        <v>0.017555</v>
      </c>
      <c r="K730" s="6">
        <v>0.25862443</v>
      </c>
      <c r="L730" s="6">
        <v>0.19119592</v>
      </c>
      <c r="M730" s="6">
        <v>0.22827791</v>
      </c>
      <c r="N730" s="6">
        <v>0.13318307</v>
      </c>
      <c r="O730" s="6">
        <v>0.16745361</v>
      </c>
      <c r="P730" s="6">
        <v>0.31791721</v>
      </c>
      <c r="Q730" s="6">
        <v>0.24424141</v>
      </c>
      <c r="R730" s="6">
        <v>217.69486</v>
      </c>
      <c r="S730" s="6">
        <v>0.00118801</v>
      </c>
      <c r="T730" s="6">
        <v>169.97573</v>
      </c>
      <c r="U730" s="6">
        <v>0.00112484</v>
      </c>
      <c r="V730" s="6">
        <v>197.11803</v>
      </c>
      <c r="W730" s="6">
        <v>0.00115808</v>
      </c>
      <c r="X730" s="6">
        <v>134.47093</v>
      </c>
      <c r="Y730" s="6">
        <v>0.00099042</v>
      </c>
      <c r="Z730" s="6">
        <v>134.86767</v>
      </c>
      <c r="AA730" s="6">
        <v>0.00124161</v>
      </c>
      <c r="AB730" s="6">
        <v>294.9318</v>
      </c>
      <c r="AC730" s="6">
        <v>0.00107793</v>
      </c>
      <c r="AD730" s="6">
        <v>243.86163</v>
      </c>
      <c r="AE730" s="6">
        <v>0.00100156</v>
      </c>
      <c r="AF730" s="6">
        <v>775</v>
      </c>
      <c r="AG730" s="6">
        <v>-0.00800183</v>
      </c>
      <c r="AH730" s="6">
        <v>-0.00763781</v>
      </c>
      <c r="AI730" s="6">
        <v>-0.00782975</v>
      </c>
      <c r="AJ730" s="6">
        <v>-0.00685113</v>
      </c>
      <c r="AK730" s="6">
        <v>-0.00830807</v>
      </c>
      <c r="AL730" s="6">
        <v>-0.00736521</v>
      </c>
      <c r="AM730" s="6">
        <v>-0.00691695</v>
      </c>
      <c r="AN730" s="6">
        <v>-6.4762184</v>
      </c>
      <c r="AO730" s="6">
        <v>-6.4515561</v>
      </c>
      <c r="AP730" s="6">
        <v>-6.4739881</v>
      </c>
      <c r="AQ730" s="6">
        <v>-6.4253629</v>
      </c>
      <c r="AR730" s="6">
        <v>-6.4020076</v>
      </c>
      <c r="AS730" s="6">
        <v>-6.4618417</v>
      </c>
      <c r="AT730" s="6">
        <v>-6.4506396</v>
      </c>
      <c r="AU730" s="6">
        <v>0.97344833</v>
      </c>
      <c r="AV730" s="6">
        <v>0.96974131</v>
      </c>
      <c r="AW730" s="6">
        <v>0.97311308</v>
      </c>
      <c r="AX730" s="6">
        <v>0.96580418</v>
      </c>
      <c r="AY730" s="6">
        <v>0.96229362</v>
      </c>
      <c r="AZ730" s="6">
        <v>0.97128734</v>
      </c>
      <c r="BA730" s="6">
        <v>0.96960354</v>
      </c>
      <c r="BB730" s="6">
        <v>0.02655167</v>
      </c>
      <c r="BC730" s="6">
        <v>0.03025869</v>
      </c>
      <c r="BD730" s="6">
        <v>0.02688692</v>
      </c>
      <c r="BE730" s="6">
        <v>0.03419582</v>
      </c>
      <c r="BF730" s="6">
        <v>0.03770638</v>
      </c>
      <c r="BG730" s="6">
        <v>0.02871266</v>
      </c>
      <c r="BH730" s="6">
        <v>0.03039646</v>
      </c>
      <c r="BI730" s="6">
        <v>0.21470859</v>
      </c>
      <c r="BJ730" s="6">
        <v>0.12366373</v>
      </c>
      <c r="BK730" s="6">
        <v>0.1409291</v>
      </c>
      <c r="BL730" s="6">
        <v>0.12522516</v>
      </c>
      <c r="BM730" s="6">
        <v>0.1592662</v>
      </c>
      <c r="BN730" s="6">
        <v>0.17561655</v>
      </c>
      <c r="BO730" s="6">
        <v>0.1337285</v>
      </c>
      <c r="BP730" s="6">
        <v>0.14157076</v>
      </c>
      <c r="BQ730" s="6">
        <v>0.03198246</v>
      </c>
      <c r="BR730" s="6">
        <v>0.02694507</v>
      </c>
      <c r="BS730" s="6">
        <v>0.02858614</v>
      </c>
      <c r="BT730" s="6">
        <v>0.02121156</v>
      </c>
      <c r="BU730" s="6">
        <v>0.02940762</v>
      </c>
      <c r="BV730" s="6">
        <v>0.04251459</v>
      </c>
      <c r="BW730" s="6">
        <v>0.03457744</v>
      </c>
      <c r="BX730" s="12">
        <v>6714</v>
      </c>
      <c r="BY730" s="13">
        <v>3815</v>
      </c>
      <c r="BZ730" s="12">
        <v>4057.4</v>
      </c>
      <c r="CA730" s="6">
        <f t="shared" ref="CA730:CA751" si="72">BX730/BY730</f>
        <v>1.75989515072084</v>
      </c>
      <c r="CB730" s="6">
        <f t="shared" ref="CB730:CB751" si="73">BX730/BZ730</f>
        <v>1.65475427613743</v>
      </c>
      <c r="CC730" s="7">
        <v>125977128</v>
      </c>
      <c r="CD730" s="7">
        <f t="shared" si="68"/>
        <v>3.10487326859565</v>
      </c>
      <c r="CE730" s="8">
        <v>717.9</v>
      </c>
      <c r="CF730" s="8">
        <v>5126.3</v>
      </c>
      <c r="CG730" s="8">
        <v>3909.3</v>
      </c>
      <c r="CH730" s="8">
        <v>20249</v>
      </c>
      <c r="CI730" s="14">
        <v>0</v>
      </c>
      <c r="CJ730" s="14">
        <v>0</v>
      </c>
      <c r="CK730" s="14">
        <f t="shared" si="69"/>
        <v>0</v>
      </c>
      <c r="CL730">
        <f t="shared" si="70"/>
        <v>4.08414499624993</v>
      </c>
      <c r="CM730">
        <f t="shared" si="71"/>
        <v>0.239773986612486</v>
      </c>
      <c r="CN730" s="15">
        <v>6713.52</v>
      </c>
      <c r="CO730" s="15">
        <v>6490.46</v>
      </c>
      <c r="CP730" s="15">
        <v>105.99</v>
      </c>
      <c r="CQ730" s="15">
        <v>1619.14</v>
      </c>
      <c r="CR730" s="15">
        <v>310.17</v>
      </c>
      <c r="CS730" s="15">
        <v>7.06</v>
      </c>
      <c r="CT730" s="15">
        <v>419.58</v>
      </c>
      <c r="CU730" s="15">
        <v>63.32</v>
      </c>
      <c r="CV730" s="15">
        <v>20.96</v>
      </c>
      <c r="CW730" s="15">
        <v>503.63</v>
      </c>
    </row>
    <row r="731" spans="1:101">
      <c r="A731" s="6">
        <v>2004</v>
      </c>
      <c r="B731" s="6" t="s">
        <v>129</v>
      </c>
      <c r="C731" s="6">
        <v>0.22077786</v>
      </c>
      <c r="D731" s="6">
        <v>0.039883</v>
      </c>
      <c r="E731" s="6">
        <v>0.010444</v>
      </c>
      <c r="F731" s="6">
        <v>0.018106</v>
      </c>
      <c r="G731" s="6">
        <v>0.005306</v>
      </c>
      <c r="H731" s="6">
        <v>0.006028</v>
      </c>
      <c r="I731" s="6">
        <v>0.03828</v>
      </c>
      <c r="J731" s="6">
        <v>0.019011</v>
      </c>
      <c r="K731" s="6">
        <v>0.26127919</v>
      </c>
      <c r="L731" s="6">
        <v>0.20643081</v>
      </c>
      <c r="M731" s="6">
        <v>0.23536654</v>
      </c>
      <c r="N731" s="6">
        <v>0.12834391</v>
      </c>
      <c r="O731" s="6">
        <v>0.14916656</v>
      </c>
      <c r="P731" s="6">
        <v>0.33658577</v>
      </c>
      <c r="Q731" s="6">
        <v>0.27020489</v>
      </c>
      <c r="R731" s="6">
        <v>217.69486</v>
      </c>
      <c r="S731" s="6">
        <v>0.00120021</v>
      </c>
      <c r="T731" s="6">
        <v>169.97573</v>
      </c>
      <c r="U731" s="6">
        <v>0.00121447</v>
      </c>
      <c r="V731" s="6">
        <v>197.11803</v>
      </c>
      <c r="W731" s="6">
        <v>0.00119404</v>
      </c>
      <c r="X731" s="6">
        <v>134.47093</v>
      </c>
      <c r="Y731" s="6">
        <v>0.00095444</v>
      </c>
      <c r="Z731" s="6">
        <v>134.86767</v>
      </c>
      <c r="AA731" s="6">
        <v>0.00110602</v>
      </c>
      <c r="AB731" s="6">
        <v>294.9318</v>
      </c>
      <c r="AC731" s="6">
        <v>0.00114123</v>
      </c>
      <c r="AD731" s="6">
        <v>243.86163</v>
      </c>
      <c r="AE731" s="6">
        <v>0.00110803</v>
      </c>
      <c r="AF731" s="6">
        <v>775</v>
      </c>
      <c r="AG731" s="6">
        <v>-0.00807171</v>
      </c>
      <c r="AH731" s="6">
        <v>-0.00815329</v>
      </c>
      <c r="AI731" s="6">
        <v>-0.00803637</v>
      </c>
      <c r="AJ731" s="6">
        <v>-0.00663752</v>
      </c>
      <c r="AK731" s="6">
        <v>-0.00752867</v>
      </c>
      <c r="AL731" s="6">
        <v>-0.00773259</v>
      </c>
      <c r="AM731" s="6">
        <v>-0.00754031</v>
      </c>
      <c r="AN731" s="6">
        <v>-6.4762184</v>
      </c>
      <c r="AO731" s="6">
        <v>-6.4515561</v>
      </c>
      <c r="AP731" s="6">
        <v>-6.4739881</v>
      </c>
      <c r="AQ731" s="6">
        <v>-6.4253629</v>
      </c>
      <c r="AR731" s="6">
        <v>-6.4020076</v>
      </c>
      <c r="AS731" s="6">
        <v>-6.4618417</v>
      </c>
      <c r="AT731" s="6">
        <v>-6.4506396</v>
      </c>
      <c r="AU731" s="6">
        <v>0.97344833</v>
      </c>
      <c r="AV731" s="6">
        <v>0.96974131</v>
      </c>
      <c r="AW731" s="6">
        <v>0.97311308</v>
      </c>
      <c r="AX731" s="6">
        <v>0.96580418</v>
      </c>
      <c r="AY731" s="6">
        <v>0.96229362</v>
      </c>
      <c r="AZ731" s="6">
        <v>0.97128734</v>
      </c>
      <c r="BA731" s="6">
        <v>0.96960354</v>
      </c>
      <c r="BB731" s="6">
        <v>0.02655167</v>
      </c>
      <c r="BC731" s="6">
        <v>0.03025869</v>
      </c>
      <c r="BD731" s="6">
        <v>0.02688692</v>
      </c>
      <c r="BE731" s="6">
        <v>0.03419582</v>
      </c>
      <c r="BF731" s="6">
        <v>0.03770638</v>
      </c>
      <c r="BG731" s="6">
        <v>0.02871266</v>
      </c>
      <c r="BH731" s="6">
        <v>0.03039646</v>
      </c>
      <c r="BI731" s="6">
        <v>0.21470859</v>
      </c>
      <c r="BJ731" s="6">
        <v>0.12366373</v>
      </c>
      <c r="BK731" s="6">
        <v>0.1409291</v>
      </c>
      <c r="BL731" s="6">
        <v>0.12522516</v>
      </c>
      <c r="BM731" s="6">
        <v>0.1592662</v>
      </c>
      <c r="BN731" s="6">
        <v>0.17561655</v>
      </c>
      <c r="BO731" s="6">
        <v>0.1337285</v>
      </c>
      <c r="BP731" s="6">
        <v>0.14157076</v>
      </c>
      <c r="BQ731" s="6">
        <v>0.03231076</v>
      </c>
      <c r="BR731" s="6">
        <v>0.02909211</v>
      </c>
      <c r="BS731" s="6">
        <v>0.02947381</v>
      </c>
      <c r="BT731" s="6">
        <v>0.02044085</v>
      </c>
      <c r="BU731" s="6">
        <v>0.02619612</v>
      </c>
      <c r="BV731" s="6">
        <v>0.04501111</v>
      </c>
      <c r="BW731" s="6">
        <v>0.03825311</v>
      </c>
      <c r="BX731" s="12">
        <v>7466</v>
      </c>
      <c r="BY731" s="13">
        <v>3816.8</v>
      </c>
      <c r="BZ731" s="12">
        <v>4750.6</v>
      </c>
      <c r="CA731" s="6">
        <f t="shared" si="72"/>
        <v>1.95608887025781</v>
      </c>
      <c r="CB731" s="6">
        <f t="shared" si="73"/>
        <v>1.57159095693176</v>
      </c>
      <c r="CC731" s="7">
        <v>135016521.4</v>
      </c>
      <c r="CD731" s="7">
        <f t="shared" si="68"/>
        <v>2.84209408074769</v>
      </c>
      <c r="CE731" s="8">
        <v>803.8</v>
      </c>
      <c r="CF731" s="8">
        <v>6160.4</v>
      </c>
      <c r="CG731" s="8">
        <v>4517.9</v>
      </c>
      <c r="CH731" s="8">
        <v>23476</v>
      </c>
      <c r="CI731" s="14">
        <v>0</v>
      </c>
      <c r="CJ731" s="14">
        <v>0</v>
      </c>
      <c r="CK731" s="14">
        <f t="shared" si="69"/>
        <v>0</v>
      </c>
      <c r="CL731">
        <f t="shared" si="70"/>
        <v>3.89549779892895</v>
      </c>
      <c r="CM731">
        <f t="shared" si="71"/>
        <v>0.27041568820059</v>
      </c>
      <c r="CN731" s="15">
        <v>7465.67</v>
      </c>
      <c r="CO731" s="15">
        <v>7347.39</v>
      </c>
      <c r="CP731" s="15">
        <v>97.34</v>
      </c>
      <c r="CQ731" s="15">
        <v>1616.07</v>
      </c>
      <c r="CR731" s="15">
        <v>321.58</v>
      </c>
      <c r="CS731" s="15">
        <v>8.94</v>
      </c>
      <c r="CT731" s="15">
        <v>460.4</v>
      </c>
      <c r="CU731" s="15">
        <v>47.68</v>
      </c>
      <c r="CV731" s="15">
        <v>20.34</v>
      </c>
      <c r="CW731" s="15">
        <v>541.65</v>
      </c>
    </row>
    <row r="732" spans="1:101">
      <c r="A732" s="6">
        <v>2005</v>
      </c>
      <c r="B732" s="6" t="s">
        <v>129</v>
      </c>
      <c r="C732" s="6">
        <v>0.23379563</v>
      </c>
      <c r="D732" s="6">
        <v>0.039522</v>
      </c>
      <c r="E732" s="6">
        <v>0.009908</v>
      </c>
      <c r="F732" s="6">
        <v>0.017688</v>
      </c>
      <c r="G732" s="6">
        <v>0.005359</v>
      </c>
      <c r="H732" s="6">
        <v>0.006567</v>
      </c>
      <c r="I732" s="6">
        <v>0.042308</v>
      </c>
      <c r="J732" s="6">
        <v>0.021718</v>
      </c>
      <c r="K732" s="6">
        <v>0.25844274</v>
      </c>
      <c r="L732" s="6">
        <v>0.19376571</v>
      </c>
      <c r="M732" s="6">
        <v>0.22894229</v>
      </c>
      <c r="N732" s="6">
        <v>0.1299126</v>
      </c>
      <c r="O732" s="6">
        <v>0.16550072</v>
      </c>
      <c r="P732" s="6">
        <v>0.38144752</v>
      </c>
      <c r="Q732" s="6">
        <v>0.31852144</v>
      </c>
      <c r="R732" s="6">
        <v>217.69486</v>
      </c>
      <c r="S732" s="6">
        <v>0.00118718</v>
      </c>
      <c r="T732" s="6">
        <v>169.97573</v>
      </c>
      <c r="U732" s="6">
        <v>0.00113996</v>
      </c>
      <c r="V732" s="6">
        <v>197.11803</v>
      </c>
      <c r="W732" s="6">
        <v>0.00116145</v>
      </c>
      <c r="X732" s="6">
        <v>134.47093</v>
      </c>
      <c r="Y732" s="6">
        <v>0.0009661</v>
      </c>
      <c r="Z732" s="6">
        <v>134.86767</v>
      </c>
      <c r="AA732" s="6">
        <v>0.00122713</v>
      </c>
      <c r="AB732" s="6">
        <v>294.9318</v>
      </c>
      <c r="AC732" s="6">
        <v>0.00129334</v>
      </c>
      <c r="AD732" s="6">
        <v>243.86163</v>
      </c>
      <c r="AE732" s="6">
        <v>0.00130616</v>
      </c>
      <c r="AF732" s="6">
        <v>775</v>
      </c>
      <c r="AG732" s="6">
        <v>-0.00799705</v>
      </c>
      <c r="AH732" s="6">
        <v>-0.00772524</v>
      </c>
      <c r="AI732" s="6">
        <v>-0.00784917</v>
      </c>
      <c r="AJ732" s="6">
        <v>-0.00670691</v>
      </c>
      <c r="AK732" s="6">
        <v>-0.00822557</v>
      </c>
      <c r="AL732" s="6">
        <v>-0.0086014</v>
      </c>
      <c r="AM732" s="6">
        <v>-0.00867375</v>
      </c>
      <c r="AN732" s="6">
        <v>-6.4762184</v>
      </c>
      <c r="AO732" s="6">
        <v>-6.4515561</v>
      </c>
      <c r="AP732" s="6">
        <v>-6.4739881</v>
      </c>
      <c r="AQ732" s="6">
        <v>-6.4253629</v>
      </c>
      <c r="AR732" s="6">
        <v>-6.4020076</v>
      </c>
      <c r="AS732" s="6">
        <v>-6.4618417</v>
      </c>
      <c r="AT732" s="6">
        <v>-6.4506396</v>
      </c>
      <c r="AU732" s="6">
        <v>0.97344833</v>
      </c>
      <c r="AV732" s="6">
        <v>0.96974131</v>
      </c>
      <c r="AW732" s="6">
        <v>0.97311308</v>
      </c>
      <c r="AX732" s="6">
        <v>0.96580418</v>
      </c>
      <c r="AY732" s="6">
        <v>0.96229362</v>
      </c>
      <c r="AZ732" s="6">
        <v>0.97128734</v>
      </c>
      <c r="BA732" s="6">
        <v>0.96960354</v>
      </c>
      <c r="BB732" s="6">
        <v>0.02655167</v>
      </c>
      <c r="BC732" s="6">
        <v>0.03025869</v>
      </c>
      <c r="BD732" s="6">
        <v>0.02688692</v>
      </c>
      <c r="BE732" s="6">
        <v>0.03419582</v>
      </c>
      <c r="BF732" s="6">
        <v>0.03770638</v>
      </c>
      <c r="BG732" s="6">
        <v>0.02871266</v>
      </c>
      <c r="BH732" s="6">
        <v>0.03039646</v>
      </c>
      <c r="BI732" s="6">
        <v>0.21470859</v>
      </c>
      <c r="BJ732" s="6">
        <v>0.12366373</v>
      </c>
      <c r="BK732" s="6">
        <v>0.1409291</v>
      </c>
      <c r="BL732" s="6">
        <v>0.12522516</v>
      </c>
      <c r="BM732" s="6">
        <v>0.1592662</v>
      </c>
      <c r="BN732" s="6">
        <v>0.17561655</v>
      </c>
      <c r="BO732" s="6">
        <v>0.1337285</v>
      </c>
      <c r="BP732" s="6">
        <v>0.14157076</v>
      </c>
      <c r="BQ732" s="6">
        <v>0.03195999</v>
      </c>
      <c r="BR732" s="6">
        <v>0.02730723</v>
      </c>
      <c r="BS732" s="6">
        <v>0.02866933</v>
      </c>
      <c r="BT732" s="6">
        <v>0.02069069</v>
      </c>
      <c r="BU732" s="6">
        <v>0.02906467</v>
      </c>
      <c r="BV732" s="6">
        <v>0.0510104</v>
      </c>
      <c r="BW732" s="6">
        <v>0.04509332</v>
      </c>
      <c r="BX732" s="12">
        <v>8050</v>
      </c>
      <c r="BY732" s="13">
        <v>3819.95</v>
      </c>
      <c r="BZ732" s="12">
        <v>5513.7</v>
      </c>
      <c r="CA732" s="6">
        <f t="shared" si="72"/>
        <v>2.10735742614432</v>
      </c>
      <c r="CB732" s="6">
        <f t="shared" si="73"/>
        <v>1.45999963726717</v>
      </c>
      <c r="CC732" s="7">
        <v>143037975.9</v>
      </c>
      <c r="CD732" s="7">
        <f t="shared" si="68"/>
        <v>2.59422848359541</v>
      </c>
      <c r="CE732" s="8">
        <v>881.5</v>
      </c>
      <c r="CF732" s="8">
        <v>6953.7</v>
      </c>
      <c r="CG732" s="8">
        <v>5193.2</v>
      </c>
      <c r="CH732" s="8">
        <v>26277</v>
      </c>
      <c r="CI732" s="14">
        <v>0</v>
      </c>
      <c r="CJ732" s="14">
        <v>0</v>
      </c>
      <c r="CK732" s="14">
        <f t="shared" si="69"/>
        <v>0</v>
      </c>
      <c r="CL732">
        <f t="shared" si="70"/>
        <v>3.71995059106252</v>
      </c>
      <c r="CM732">
        <f t="shared" si="71"/>
        <v>0.302617489106374</v>
      </c>
      <c r="CN732" s="15">
        <v>8026.2</v>
      </c>
      <c r="CO732" s="15">
        <v>8559.73</v>
      </c>
      <c r="CP732" s="15">
        <v>142.06</v>
      </c>
      <c r="CQ732" s="15">
        <v>1785.01</v>
      </c>
      <c r="CR732" s="15">
        <v>312.19</v>
      </c>
      <c r="CS732" s="15">
        <v>7.28</v>
      </c>
      <c r="CT732" s="15">
        <v>473.05</v>
      </c>
      <c r="CU732" s="15">
        <v>39.89</v>
      </c>
      <c r="CV732" s="15">
        <v>24.43</v>
      </c>
      <c r="CW732" s="15">
        <v>555.85</v>
      </c>
    </row>
    <row r="733" spans="1:101">
      <c r="A733" s="6">
        <v>2006</v>
      </c>
      <c r="B733" s="6" t="s">
        <v>129</v>
      </c>
      <c r="C733" s="6">
        <v>0.26452867</v>
      </c>
      <c r="D733" s="6">
        <v>0.045176</v>
      </c>
      <c r="E733" s="6">
        <v>0.010694</v>
      </c>
      <c r="F733" s="6">
        <v>0.020423</v>
      </c>
      <c r="G733" s="6">
        <v>0.006751</v>
      </c>
      <c r="H733" s="6">
        <v>0.007308</v>
      </c>
      <c r="I733" s="6">
        <v>0.044475</v>
      </c>
      <c r="J733" s="6">
        <v>0.023159</v>
      </c>
      <c r="K733" s="6">
        <v>0.30279365</v>
      </c>
      <c r="L733" s="6">
        <v>0.2123456</v>
      </c>
      <c r="M733" s="6">
        <v>0.27097114</v>
      </c>
      <c r="N733" s="6">
        <v>0.1710741</v>
      </c>
      <c r="O733" s="6">
        <v>0.18796156</v>
      </c>
      <c r="P733" s="6">
        <v>0.40558973</v>
      </c>
      <c r="Q733" s="6">
        <v>0.34422085</v>
      </c>
      <c r="R733" s="6">
        <v>217.69486</v>
      </c>
      <c r="S733" s="6">
        <v>0.00139091</v>
      </c>
      <c r="T733" s="6">
        <v>169.97573</v>
      </c>
      <c r="U733" s="6">
        <v>0.00124927</v>
      </c>
      <c r="V733" s="6">
        <v>197.11803</v>
      </c>
      <c r="W733" s="6">
        <v>0.00137466</v>
      </c>
      <c r="X733" s="6">
        <v>134.47093</v>
      </c>
      <c r="Y733" s="6">
        <v>0.0012722</v>
      </c>
      <c r="Z733" s="6">
        <v>134.86767</v>
      </c>
      <c r="AA733" s="6">
        <v>0.00139367</v>
      </c>
      <c r="AB733" s="6">
        <v>294.9318</v>
      </c>
      <c r="AC733" s="6">
        <v>0.0013752</v>
      </c>
      <c r="AD733" s="6">
        <v>243.86163</v>
      </c>
      <c r="AE733" s="6">
        <v>0.00141154</v>
      </c>
      <c r="AF733" s="6">
        <v>775</v>
      </c>
      <c r="AG733" s="6">
        <v>-0.00914912</v>
      </c>
      <c r="AH733" s="6">
        <v>-0.00835162</v>
      </c>
      <c r="AI733" s="6">
        <v>-0.00905841</v>
      </c>
      <c r="AJ733" s="6">
        <v>-0.00848177</v>
      </c>
      <c r="AK733" s="6">
        <v>-0.00916454</v>
      </c>
      <c r="AL733" s="6">
        <v>-0.0090614</v>
      </c>
      <c r="AM733" s="6">
        <v>-0.00926405</v>
      </c>
      <c r="AN733" s="6">
        <v>-6.4762184</v>
      </c>
      <c r="AO733" s="6">
        <v>-6.4515561</v>
      </c>
      <c r="AP733" s="6">
        <v>-6.4739881</v>
      </c>
      <c r="AQ733" s="6">
        <v>-6.4253629</v>
      </c>
      <c r="AR733" s="6">
        <v>-6.4020076</v>
      </c>
      <c r="AS733" s="6">
        <v>-6.4618417</v>
      </c>
      <c r="AT733" s="6">
        <v>-6.4506396</v>
      </c>
      <c r="AU733" s="6">
        <v>0.97344833</v>
      </c>
      <c r="AV733" s="6">
        <v>0.96974131</v>
      </c>
      <c r="AW733" s="6">
        <v>0.97311308</v>
      </c>
      <c r="AX733" s="6">
        <v>0.96580418</v>
      </c>
      <c r="AY733" s="6">
        <v>0.96229362</v>
      </c>
      <c r="AZ733" s="6">
        <v>0.97128734</v>
      </c>
      <c r="BA733" s="6">
        <v>0.96960354</v>
      </c>
      <c r="BB733" s="6">
        <v>0.02655167</v>
      </c>
      <c r="BC733" s="6">
        <v>0.03025869</v>
      </c>
      <c r="BD733" s="6">
        <v>0.02688692</v>
      </c>
      <c r="BE733" s="6">
        <v>0.03419582</v>
      </c>
      <c r="BF733" s="6">
        <v>0.03770638</v>
      </c>
      <c r="BG733" s="6">
        <v>0.02871266</v>
      </c>
      <c r="BH733" s="6">
        <v>0.03039646</v>
      </c>
      <c r="BI733" s="6">
        <v>0.21470859</v>
      </c>
      <c r="BJ733" s="6">
        <v>0.12366373</v>
      </c>
      <c r="BK733" s="6">
        <v>0.1409291</v>
      </c>
      <c r="BL733" s="6">
        <v>0.12522516</v>
      </c>
      <c r="BM733" s="6">
        <v>0.1592662</v>
      </c>
      <c r="BN733" s="6">
        <v>0.17561655</v>
      </c>
      <c r="BO733" s="6">
        <v>0.1337285</v>
      </c>
      <c r="BP733" s="6">
        <v>0.14157076</v>
      </c>
      <c r="BQ733" s="6">
        <v>0.03744459</v>
      </c>
      <c r="BR733" s="6">
        <v>0.02992567</v>
      </c>
      <c r="BS733" s="6">
        <v>0.0339324</v>
      </c>
      <c r="BT733" s="6">
        <v>0.02724632</v>
      </c>
      <c r="BU733" s="6">
        <v>0.03300916</v>
      </c>
      <c r="BV733" s="6">
        <v>0.0542389</v>
      </c>
      <c r="BW733" s="6">
        <v>0.04873161</v>
      </c>
      <c r="BX733" s="12">
        <v>8731</v>
      </c>
      <c r="BY733" s="13">
        <v>3823.01</v>
      </c>
      <c r="BZ733" s="12">
        <v>6211.8</v>
      </c>
      <c r="CA733" s="6">
        <f t="shared" si="72"/>
        <v>2.28380255348534</v>
      </c>
      <c r="CB733" s="6">
        <f t="shared" si="73"/>
        <v>1.40555072603754</v>
      </c>
      <c r="CC733" s="7">
        <v>148457228</v>
      </c>
      <c r="CD733" s="7">
        <f t="shared" si="68"/>
        <v>2.38992285649892</v>
      </c>
      <c r="CE733" s="8">
        <v>913.2</v>
      </c>
      <c r="CF733" s="8">
        <v>8295.7</v>
      </c>
      <c r="CG733" s="8">
        <v>6093.9</v>
      </c>
      <c r="CH733" s="8">
        <v>30415</v>
      </c>
      <c r="CI733" s="14">
        <v>0</v>
      </c>
      <c r="CJ733" s="14">
        <v>0</v>
      </c>
      <c r="CK733" s="14">
        <f t="shared" si="69"/>
        <v>0</v>
      </c>
      <c r="CL733">
        <f t="shared" si="70"/>
        <v>3.57740717995078</v>
      </c>
      <c r="CM733">
        <f t="shared" si="71"/>
        <v>0.331939939659929</v>
      </c>
      <c r="CN733" s="15">
        <v>8727.5</v>
      </c>
      <c r="CO733" s="15">
        <v>9025.04</v>
      </c>
      <c r="CP733" s="15">
        <v>210.7</v>
      </c>
      <c r="CQ733" s="15">
        <v>1850.06</v>
      </c>
      <c r="CR733" s="15">
        <v>345.32</v>
      </c>
      <c r="CS733" s="15">
        <v>10.25</v>
      </c>
      <c r="CT733" s="15">
        <v>477.83</v>
      </c>
      <c r="CU733" s="15">
        <v>44.34</v>
      </c>
      <c r="CV733" s="15">
        <v>24.53</v>
      </c>
      <c r="CW733" s="15">
        <v>596.86</v>
      </c>
    </row>
    <row r="734" spans="1:101">
      <c r="A734" s="6">
        <v>2007</v>
      </c>
      <c r="B734" s="6" t="s">
        <v>129</v>
      </c>
      <c r="C734" s="6">
        <v>0.2610223</v>
      </c>
      <c r="D734" s="6">
        <v>0.045032</v>
      </c>
      <c r="E734" s="6">
        <v>0.010504</v>
      </c>
      <c r="F734" s="6">
        <v>0.020179</v>
      </c>
      <c r="G734" s="6">
        <v>0.006537</v>
      </c>
      <c r="H734" s="6">
        <v>0.007812</v>
      </c>
      <c r="I734" s="6">
        <v>0.046729</v>
      </c>
      <c r="J734" s="6">
        <v>0.02027</v>
      </c>
      <c r="K734" s="6">
        <v>0.30166569</v>
      </c>
      <c r="L734" s="6">
        <v>0.20784116</v>
      </c>
      <c r="M734" s="6">
        <v>0.26722399</v>
      </c>
      <c r="N734" s="6">
        <v>0.16475042</v>
      </c>
      <c r="O734" s="6">
        <v>0.203249</v>
      </c>
      <c r="P734" s="6">
        <v>0.43068784</v>
      </c>
      <c r="Q734" s="6">
        <v>0.29267953</v>
      </c>
      <c r="R734" s="6">
        <v>217.69486</v>
      </c>
      <c r="S734" s="6">
        <v>0.00138573</v>
      </c>
      <c r="T734" s="6">
        <v>169.97573</v>
      </c>
      <c r="U734" s="6">
        <v>0.00122277</v>
      </c>
      <c r="V734" s="6">
        <v>197.11803</v>
      </c>
      <c r="W734" s="6">
        <v>0.00135565</v>
      </c>
      <c r="X734" s="6">
        <v>134.47093</v>
      </c>
      <c r="Y734" s="6">
        <v>0.00122518</v>
      </c>
      <c r="Z734" s="6">
        <v>134.86767</v>
      </c>
      <c r="AA734" s="6">
        <v>0.00150703</v>
      </c>
      <c r="AB734" s="6">
        <v>294.9318</v>
      </c>
      <c r="AC734" s="6">
        <v>0.0014603</v>
      </c>
      <c r="AD734" s="6">
        <v>243.86163</v>
      </c>
      <c r="AE734" s="6">
        <v>0.00120019</v>
      </c>
      <c r="AF734" s="6">
        <v>775</v>
      </c>
      <c r="AG734" s="6">
        <v>-0.00912021</v>
      </c>
      <c r="AH734" s="6">
        <v>-0.00820067</v>
      </c>
      <c r="AI734" s="6">
        <v>-0.00895203</v>
      </c>
      <c r="AJ734" s="6">
        <v>-0.0082144</v>
      </c>
      <c r="AK734" s="6">
        <v>-0.00979207</v>
      </c>
      <c r="AL734" s="6">
        <v>-0.00953444</v>
      </c>
      <c r="AM734" s="6">
        <v>-0.00807159</v>
      </c>
      <c r="AN734" s="6">
        <v>-6.4762184</v>
      </c>
      <c r="AO734" s="6">
        <v>-6.4515561</v>
      </c>
      <c r="AP734" s="6">
        <v>-6.4739881</v>
      </c>
      <c r="AQ734" s="6">
        <v>-6.4253629</v>
      </c>
      <c r="AR734" s="6">
        <v>-6.4020076</v>
      </c>
      <c r="AS734" s="6">
        <v>-6.4618417</v>
      </c>
      <c r="AT734" s="6">
        <v>-6.4506396</v>
      </c>
      <c r="AU734" s="6">
        <v>0.97344833</v>
      </c>
      <c r="AV734" s="6">
        <v>0.96974131</v>
      </c>
      <c r="AW734" s="6">
        <v>0.97311308</v>
      </c>
      <c r="AX734" s="6">
        <v>0.96580418</v>
      </c>
      <c r="AY734" s="6">
        <v>0.96229362</v>
      </c>
      <c r="AZ734" s="6">
        <v>0.97128734</v>
      </c>
      <c r="BA734" s="6">
        <v>0.96960354</v>
      </c>
      <c r="BB734" s="6">
        <v>0.02655167</v>
      </c>
      <c r="BC734" s="6">
        <v>0.03025869</v>
      </c>
      <c r="BD734" s="6">
        <v>0.02688692</v>
      </c>
      <c r="BE734" s="6">
        <v>0.03419582</v>
      </c>
      <c r="BF734" s="6">
        <v>0.03770638</v>
      </c>
      <c r="BG734" s="6">
        <v>0.02871266</v>
      </c>
      <c r="BH734" s="6">
        <v>0.03039646</v>
      </c>
      <c r="BI734" s="6">
        <v>0.21470859</v>
      </c>
      <c r="BJ734" s="6">
        <v>0.12366373</v>
      </c>
      <c r="BK734" s="6">
        <v>0.1409291</v>
      </c>
      <c r="BL734" s="6">
        <v>0.12522516</v>
      </c>
      <c r="BM734" s="6">
        <v>0.1592662</v>
      </c>
      <c r="BN734" s="6">
        <v>0.17561655</v>
      </c>
      <c r="BO734" s="6">
        <v>0.1337285</v>
      </c>
      <c r="BP734" s="6">
        <v>0.14157076</v>
      </c>
      <c r="BQ734" s="6">
        <v>0.03730511</v>
      </c>
      <c r="BR734" s="6">
        <v>0.02929087</v>
      </c>
      <c r="BS734" s="6">
        <v>0.03346317</v>
      </c>
      <c r="BT734" s="6">
        <v>0.02623917</v>
      </c>
      <c r="BU734" s="6">
        <v>0.03569389</v>
      </c>
      <c r="BV734" s="6">
        <v>0.05759524</v>
      </c>
      <c r="BW734" s="6">
        <v>0.04143487</v>
      </c>
      <c r="BX734" s="12">
        <v>9377</v>
      </c>
      <c r="BY734" s="13">
        <v>3824.03</v>
      </c>
      <c r="BZ734" s="12">
        <v>7104</v>
      </c>
      <c r="CA734" s="6">
        <f t="shared" si="72"/>
        <v>2.45212511408122</v>
      </c>
      <c r="CB734" s="6">
        <f t="shared" si="73"/>
        <v>1.31996058558559</v>
      </c>
      <c r="CC734" s="7">
        <v>156486072.1</v>
      </c>
      <c r="CD734" s="7">
        <f t="shared" si="68"/>
        <v>2.20278817708333</v>
      </c>
      <c r="CE734" s="8">
        <v>969.3</v>
      </c>
      <c r="CF734" s="8">
        <v>10122.7</v>
      </c>
      <c r="CG734" s="8">
        <v>7547.9</v>
      </c>
      <c r="CH734" s="8">
        <v>36454</v>
      </c>
      <c r="CI734" s="14">
        <v>0</v>
      </c>
      <c r="CJ734" s="14">
        <v>0</v>
      </c>
      <c r="CK734" s="14">
        <f t="shared" si="69"/>
        <v>0</v>
      </c>
      <c r="CL734">
        <f t="shared" si="70"/>
        <v>3.23986794305777</v>
      </c>
      <c r="CM734">
        <f t="shared" si="71"/>
        <v>0.320099394235077</v>
      </c>
      <c r="CN734" s="15">
        <v>9374.49</v>
      </c>
      <c r="CO734" s="15">
        <v>9852.64</v>
      </c>
      <c r="CP734" s="15">
        <v>226.92</v>
      </c>
      <c r="CQ734" s="15">
        <v>1886.02</v>
      </c>
      <c r="CR734" s="15">
        <v>376.01</v>
      </c>
      <c r="CS734" s="15">
        <v>3.85</v>
      </c>
      <c r="CT734" s="15">
        <v>497.81</v>
      </c>
      <c r="CU734" s="15">
        <v>47.19</v>
      </c>
      <c r="CV734" s="15">
        <v>30.7</v>
      </c>
      <c r="CW734" s="15">
        <v>642.94</v>
      </c>
    </row>
    <row r="735" spans="1:101">
      <c r="A735" s="6">
        <v>2008</v>
      </c>
      <c r="B735" s="6" t="s">
        <v>129</v>
      </c>
      <c r="C735" s="6">
        <v>0.25557237</v>
      </c>
      <c r="D735" s="6">
        <v>0.042577</v>
      </c>
      <c r="E735" s="6">
        <v>0.010598</v>
      </c>
      <c r="F735" s="6">
        <v>0.019167</v>
      </c>
      <c r="G735" s="6">
        <v>0.006454</v>
      </c>
      <c r="H735" s="6">
        <v>0.006357</v>
      </c>
      <c r="I735" s="6">
        <v>0.048084</v>
      </c>
      <c r="J735" s="6">
        <v>0.022123</v>
      </c>
      <c r="K735" s="6">
        <v>0.28240718</v>
      </c>
      <c r="L735" s="6">
        <v>0.21006865</v>
      </c>
      <c r="M735" s="6">
        <v>0.25167738</v>
      </c>
      <c r="N735" s="6">
        <v>0.16230066</v>
      </c>
      <c r="O735" s="6">
        <v>0.15915588</v>
      </c>
      <c r="P735" s="6">
        <v>0.44578571</v>
      </c>
      <c r="Q735" s="6">
        <v>0.32573147</v>
      </c>
      <c r="R735" s="6">
        <v>217.69486</v>
      </c>
      <c r="S735" s="6">
        <v>0.00129726</v>
      </c>
      <c r="T735" s="6">
        <v>169.97573</v>
      </c>
      <c r="U735" s="6">
        <v>0.00123587</v>
      </c>
      <c r="V735" s="6">
        <v>197.11803</v>
      </c>
      <c r="W735" s="6">
        <v>0.00127679</v>
      </c>
      <c r="X735" s="6">
        <v>134.47093</v>
      </c>
      <c r="Y735" s="6">
        <v>0.00120696</v>
      </c>
      <c r="Z735" s="6">
        <v>134.86767</v>
      </c>
      <c r="AA735" s="6">
        <v>0.00118009</v>
      </c>
      <c r="AB735" s="6">
        <v>294.9318</v>
      </c>
      <c r="AC735" s="6">
        <v>0.00151149</v>
      </c>
      <c r="AD735" s="6">
        <v>243.86163</v>
      </c>
      <c r="AE735" s="6">
        <v>0.00133572</v>
      </c>
      <c r="AF735" s="6">
        <v>775</v>
      </c>
      <c r="AG735" s="6">
        <v>-0.00862355</v>
      </c>
      <c r="AH735" s="6">
        <v>-0.00827539</v>
      </c>
      <c r="AI735" s="6">
        <v>-0.00850774</v>
      </c>
      <c r="AJ735" s="6">
        <v>-0.00811033</v>
      </c>
      <c r="AK735" s="6">
        <v>-0.00795636</v>
      </c>
      <c r="AL735" s="6">
        <v>-0.0098166</v>
      </c>
      <c r="AM735" s="6">
        <v>-0.00884019</v>
      </c>
      <c r="AN735" s="6">
        <v>-6.4762184</v>
      </c>
      <c r="AO735" s="6">
        <v>-6.4515561</v>
      </c>
      <c r="AP735" s="6">
        <v>-6.4739881</v>
      </c>
      <c r="AQ735" s="6">
        <v>-6.4253629</v>
      </c>
      <c r="AR735" s="6">
        <v>-6.4020076</v>
      </c>
      <c r="AS735" s="6">
        <v>-6.4618417</v>
      </c>
      <c r="AT735" s="6">
        <v>-6.4506396</v>
      </c>
      <c r="AU735" s="6">
        <v>0.97344833</v>
      </c>
      <c r="AV735" s="6">
        <v>0.96974131</v>
      </c>
      <c r="AW735" s="6">
        <v>0.97311308</v>
      </c>
      <c r="AX735" s="6">
        <v>0.96580418</v>
      </c>
      <c r="AY735" s="6">
        <v>0.96229362</v>
      </c>
      <c r="AZ735" s="6">
        <v>0.97128734</v>
      </c>
      <c r="BA735" s="6">
        <v>0.96960354</v>
      </c>
      <c r="BB735" s="6">
        <v>0.02655167</v>
      </c>
      <c r="BC735" s="6">
        <v>0.03025869</v>
      </c>
      <c r="BD735" s="6">
        <v>0.02688692</v>
      </c>
      <c r="BE735" s="6">
        <v>0.03419582</v>
      </c>
      <c r="BF735" s="6">
        <v>0.03770638</v>
      </c>
      <c r="BG735" s="6">
        <v>0.02871266</v>
      </c>
      <c r="BH735" s="6">
        <v>0.03039646</v>
      </c>
      <c r="BI735" s="6">
        <v>0.21470859</v>
      </c>
      <c r="BJ735" s="6">
        <v>0.12366373</v>
      </c>
      <c r="BK735" s="6">
        <v>0.1409291</v>
      </c>
      <c r="BL735" s="6">
        <v>0.12522516</v>
      </c>
      <c r="BM735" s="6">
        <v>0.1592662</v>
      </c>
      <c r="BN735" s="6">
        <v>0.17561655</v>
      </c>
      <c r="BO735" s="6">
        <v>0.1337285</v>
      </c>
      <c r="BP735" s="6">
        <v>0.14157076</v>
      </c>
      <c r="BQ735" s="6">
        <v>0.03492353</v>
      </c>
      <c r="BR735" s="6">
        <v>0.02960478</v>
      </c>
      <c r="BS735" s="6">
        <v>0.03151634</v>
      </c>
      <c r="BT735" s="6">
        <v>0.02584901</v>
      </c>
      <c r="BU735" s="6">
        <v>0.02795041</v>
      </c>
      <c r="BV735" s="6">
        <v>0.05961425</v>
      </c>
      <c r="BW735" s="6">
        <v>0.04611405</v>
      </c>
      <c r="BX735" s="12">
        <v>9979</v>
      </c>
      <c r="BY735" s="13">
        <v>3825.04</v>
      </c>
      <c r="BZ735" s="12">
        <v>8314.37</v>
      </c>
      <c r="CA735" s="6">
        <f t="shared" si="72"/>
        <v>2.60886160667601</v>
      </c>
      <c r="CB735" s="6">
        <f t="shared" si="73"/>
        <v>1.2002112006081</v>
      </c>
      <c r="CC735" s="7">
        <v>159109128.9</v>
      </c>
      <c r="CD735" s="7">
        <f t="shared" si="68"/>
        <v>1.91366428123839</v>
      </c>
      <c r="CE735" s="8">
        <v>1073.3</v>
      </c>
      <c r="CF735" s="8">
        <v>11512.7</v>
      </c>
      <c r="CG735" s="8">
        <v>8698.6</v>
      </c>
      <c r="CH735" s="8">
        <v>41061</v>
      </c>
      <c r="CI735" s="14">
        <v>0</v>
      </c>
      <c r="CJ735" s="14">
        <v>0</v>
      </c>
      <c r="CK735" s="14">
        <f t="shared" si="69"/>
        <v>0</v>
      </c>
      <c r="CL735">
        <f t="shared" si="70"/>
        <v>2.71728515287532</v>
      </c>
      <c r="CM735">
        <f t="shared" si="71"/>
        <v>0.295744033630983</v>
      </c>
      <c r="CN735" s="15">
        <v>9979</v>
      </c>
      <c r="CO735" s="15">
        <v>11204</v>
      </c>
      <c r="CP735" s="15">
        <v>227.3</v>
      </c>
      <c r="CQ735" s="15">
        <v>1735.97</v>
      </c>
      <c r="CR735" s="15">
        <v>278.97</v>
      </c>
      <c r="CS735" s="15">
        <v>0.51</v>
      </c>
      <c r="CT735" s="15">
        <v>440.54</v>
      </c>
      <c r="CU735" s="15">
        <v>69.86</v>
      </c>
      <c r="CV735" s="15">
        <v>31.47</v>
      </c>
      <c r="CW735" s="15">
        <v>697.1</v>
      </c>
    </row>
    <row r="736" spans="1:101">
      <c r="A736" s="6">
        <v>2009</v>
      </c>
      <c r="B736" s="6" t="s">
        <v>129</v>
      </c>
      <c r="C736" s="6">
        <v>0.26818438</v>
      </c>
      <c r="D736" s="6">
        <v>0.044466</v>
      </c>
      <c r="E736" s="6">
        <v>0.011466</v>
      </c>
      <c r="F736" s="6">
        <v>0.020066</v>
      </c>
      <c r="G736" s="6">
        <v>0.006336</v>
      </c>
      <c r="H736" s="6">
        <v>0.006597</v>
      </c>
      <c r="I736" s="6">
        <v>0.046458</v>
      </c>
      <c r="J736" s="6">
        <v>0.025233</v>
      </c>
      <c r="K736" s="6">
        <v>0.29722274</v>
      </c>
      <c r="L736" s="6">
        <v>0.23058281</v>
      </c>
      <c r="M736" s="6">
        <v>0.26549458</v>
      </c>
      <c r="N736" s="6">
        <v>0.15880971</v>
      </c>
      <c r="O736" s="6">
        <v>0.1664348</v>
      </c>
      <c r="P736" s="6">
        <v>0.42767639</v>
      </c>
      <c r="Q736" s="6">
        <v>0.38123718</v>
      </c>
      <c r="R736" s="6">
        <v>217.69486</v>
      </c>
      <c r="S736" s="6">
        <v>0.00136532</v>
      </c>
      <c r="T736" s="6">
        <v>169.97573</v>
      </c>
      <c r="U736" s="6">
        <v>0.00135656</v>
      </c>
      <c r="V736" s="6">
        <v>197.11803</v>
      </c>
      <c r="W736" s="6">
        <v>0.00134688</v>
      </c>
      <c r="X736" s="6">
        <v>134.47093</v>
      </c>
      <c r="Y736" s="6">
        <v>0.001181</v>
      </c>
      <c r="Z736" s="6">
        <v>134.86767</v>
      </c>
      <c r="AA736" s="6">
        <v>0.00123406</v>
      </c>
      <c r="AB736" s="6">
        <v>294.9318</v>
      </c>
      <c r="AC736" s="6">
        <v>0.00145009</v>
      </c>
      <c r="AD736" s="6">
        <v>243.86163</v>
      </c>
      <c r="AE736" s="6">
        <v>0.00156333</v>
      </c>
      <c r="AF736" s="6">
        <v>775</v>
      </c>
      <c r="AG736" s="6">
        <v>-0.00900614</v>
      </c>
      <c r="AH736" s="6">
        <v>-0.00895712</v>
      </c>
      <c r="AI736" s="6">
        <v>-0.00890284</v>
      </c>
      <c r="AJ736" s="6">
        <v>-0.00796157</v>
      </c>
      <c r="AK736" s="6">
        <v>-0.00826505</v>
      </c>
      <c r="AL736" s="6">
        <v>-0.00947795</v>
      </c>
      <c r="AM736" s="6">
        <v>-0.0101006</v>
      </c>
      <c r="AN736" s="6">
        <v>-6.4762184</v>
      </c>
      <c r="AO736" s="6">
        <v>-6.4515561</v>
      </c>
      <c r="AP736" s="6">
        <v>-6.4739881</v>
      </c>
      <c r="AQ736" s="6">
        <v>-6.4253629</v>
      </c>
      <c r="AR736" s="6">
        <v>-6.4020076</v>
      </c>
      <c r="AS736" s="6">
        <v>-6.4618417</v>
      </c>
      <c r="AT736" s="6">
        <v>-6.4506396</v>
      </c>
      <c r="AU736" s="6">
        <v>0.97344833</v>
      </c>
      <c r="AV736" s="6">
        <v>0.96974131</v>
      </c>
      <c r="AW736" s="6">
        <v>0.97311308</v>
      </c>
      <c r="AX736" s="6">
        <v>0.96580418</v>
      </c>
      <c r="AY736" s="6">
        <v>0.96229362</v>
      </c>
      <c r="AZ736" s="6">
        <v>0.97128734</v>
      </c>
      <c r="BA736" s="6">
        <v>0.96960354</v>
      </c>
      <c r="BB736" s="6">
        <v>0.02655167</v>
      </c>
      <c r="BC736" s="6">
        <v>0.03025869</v>
      </c>
      <c r="BD736" s="6">
        <v>0.02688692</v>
      </c>
      <c r="BE736" s="6">
        <v>0.03419582</v>
      </c>
      <c r="BF736" s="6">
        <v>0.03770638</v>
      </c>
      <c r="BG736" s="6">
        <v>0.02871266</v>
      </c>
      <c r="BH736" s="6">
        <v>0.03039646</v>
      </c>
      <c r="BI736" s="6">
        <v>0.21470859</v>
      </c>
      <c r="BJ736" s="6">
        <v>0.12366373</v>
      </c>
      <c r="BK736" s="6">
        <v>0.1409291</v>
      </c>
      <c r="BL736" s="6">
        <v>0.12522516</v>
      </c>
      <c r="BM736" s="6">
        <v>0.1592662</v>
      </c>
      <c r="BN736" s="6">
        <v>0.17561655</v>
      </c>
      <c r="BO736" s="6">
        <v>0.1337285</v>
      </c>
      <c r="BP736" s="6">
        <v>0.14157076</v>
      </c>
      <c r="BQ736" s="6">
        <v>0.03675567</v>
      </c>
      <c r="BR736" s="6">
        <v>0.03249583</v>
      </c>
      <c r="BS736" s="6">
        <v>0.0332466</v>
      </c>
      <c r="BT736" s="6">
        <v>0.02529302</v>
      </c>
      <c r="BU736" s="6">
        <v>0.0292287</v>
      </c>
      <c r="BV736" s="6">
        <v>0.05719252</v>
      </c>
      <c r="BW736" s="6">
        <v>0.05397204</v>
      </c>
      <c r="BX736" s="12">
        <v>10467</v>
      </c>
      <c r="BY736" s="13">
        <v>3826.01</v>
      </c>
      <c r="BZ736" s="12">
        <v>8587</v>
      </c>
      <c r="CA736" s="6">
        <f t="shared" si="72"/>
        <v>2.73574820766281</v>
      </c>
      <c r="CB736" s="6">
        <f t="shared" si="73"/>
        <v>1.21893560032607</v>
      </c>
      <c r="CC736" s="7">
        <v>162351083.9</v>
      </c>
      <c r="CD736" s="7">
        <f t="shared" si="68"/>
        <v>1.89066127751252</v>
      </c>
      <c r="CE736" s="8">
        <v>1134.7</v>
      </c>
      <c r="CF736" s="8">
        <v>11882.4</v>
      </c>
      <c r="CG736" s="8">
        <v>9816.7</v>
      </c>
      <c r="CH736" s="8">
        <v>43543</v>
      </c>
      <c r="CI736" s="14">
        <v>0</v>
      </c>
      <c r="CJ736" s="14">
        <v>0</v>
      </c>
      <c r="CK736" s="14">
        <f t="shared" si="69"/>
        <v>0</v>
      </c>
      <c r="CL736">
        <f t="shared" si="70"/>
        <v>2.66960201713366</v>
      </c>
      <c r="CM736">
        <f t="shared" si="71"/>
        <v>0.291781596890417</v>
      </c>
      <c r="CN736" s="15">
        <v>10467</v>
      </c>
      <c r="CO736" s="15">
        <v>11050</v>
      </c>
      <c r="CP736" s="15">
        <v>321.9</v>
      </c>
      <c r="CQ736" s="15">
        <v>2065.13</v>
      </c>
      <c r="CR736" s="15">
        <v>319.4</v>
      </c>
      <c r="CS736" s="15">
        <v>0.31</v>
      </c>
      <c r="CT736" s="15">
        <v>512.63</v>
      </c>
      <c r="CU736" s="15">
        <v>88.18</v>
      </c>
      <c r="CV736" s="15">
        <v>30</v>
      </c>
      <c r="CW736" s="15">
        <v>688.66</v>
      </c>
    </row>
    <row r="737" spans="1:101">
      <c r="A737" s="6">
        <v>2010</v>
      </c>
      <c r="B737" s="6" t="s">
        <v>129</v>
      </c>
      <c r="C737" s="6">
        <v>0.29158898</v>
      </c>
      <c r="D737" s="6">
        <v>0.04977</v>
      </c>
      <c r="E737" s="6">
        <v>0.012325</v>
      </c>
      <c r="F737" s="6">
        <v>0.022035</v>
      </c>
      <c r="G737" s="6">
        <v>0.007119</v>
      </c>
      <c r="H737" s="6">
        <v>0.008291</v>
      </c>
      <c r="I737" s="6">
        <v>0.050395</v>
      </c>
      <c r="J737" s="6">
        <v>0.02248</v>
      </c>
      <c r="K737" s="6">
        <v>0.33882904</v>
      </c>
      <c r="L737" s="6">
        <v>0.2508917</v>
      </c>
      <c r="M737" s="6">
        <v>0.29574885</v>
      </c>
      <c r="N737" s="6">
        <v>0.18194613</v>
      </c>
      <c r="O737" s="6">
        <v>0.21777177</v>
      </c>
      <c r="P737" s="6">
        <v>0.47152593</v>
      </c>
      <c r="Q737" s="6">
        <v>0.33210476</v>
      </c>
      <c r="R737" s="6">
        <v>217.69486</v>
      </c>
      <c r="S737" s="6">
        <v>0.00155644</v>
      </c>
      <c r="T737" s="6">
        <v>169.97573</v>
      </c>
      <c r="U737" s="6">
        <v>0.00147604</v>
      </c>
      <c r="V737" s="6">
        <v>197.11803</v>
      </c>
      <c r="W737" s="6">
        <v>0.00150036</v>
      </c>
      <c r="X737" s="6">
        <v>134.47093</v>
      </c>
      <c r="Y737" s="6">
        <v>0.00135305</v>
      </c>
      <c r="Z737" s="6">
        <v>134.86767</v>
      </c>
      <c r="AA737" s="6">
        <v>0.00161471</v>
      </c>
      <c r="AB737" s="6">
        <v>294.9318</v>
      </c>
      <c r="AC737" s="6">
        <v>0.00159876</v>
      </c>
      <c r="AD737" s="6">
        <v>243.86163</v>
      </c>
      <c r="AE737" s="6">
        <v>0.00136186</v>
      </c>
      <c r="AF737" s="6">
        <v>775</v>
      </c>
      <c r="AG737" s="6">
        <v>-0.01006294</v>
      </c>
      <c r="AH737" s="6">
        <v>-0.00962143</v>
      </c>
      <c r="AI737" s="6">
        <v>-0.00975544</v>
      </c>
      <c r="AJ737" s="6">
        <v>-0.00893744</v>
      </c>
      <c r="AK737" s="6">
        <v>-0.01038031</v>
      </c>
      <c r="AL737" s="6">
        <v>-0.01029367</v>
      </c>
      <c r="AM737" s="6">
        <v>-0.00898677</v>
      </c>
      <c r="AN737" s="6">
        <v>-6.4762184</v>
      </c>
      <c r="AO737" s="6">
        <v>-6.4515561</v>
      </c>
      <c r="AP737" s="6">
        <v>-6.4739881</v>
      </c>
      <c r="AQ737" s="6">
        <v>-6.4253629</v>
      </c>
      <c r="AR737" s="6">
        <v>-6.4020076</v>
      </c>
      <c r="AS737" s="6">
        <v>-6.4618417</v>
      </c>
      <c r="AT737" s="6">
        <v>-6.4506396</v>
      </c>
      <c r="AU737" s="6">
        <v>0.97344833</v>
      </c>
      <c r="AV737" s="6">
        <v>0.96974131</v>
      </c>
      <c r="AW737" s="6">
        <v>0.97311308</v>
      </c>
      <c r="AX737" s="6">
        <v>0.96580418</v>
      </c>
      <c r="AY737" s="6">
        <v>0.96229362</v>
      </c>
      <c r="AZ737" s="6">
        <v>0.97128734</v>
      </c>
      <c r="BA737" s="6">
        <v>0.96960354</v>
      </c>
      <c r="BB737" s="6">
        <v>0.02655167</v>
      </c>
      <c r="BC737" s="6">
        <v>0.03025869</v>
      </c>
      <c r="BD737" s="6">
        <v>0.02688692</v>
      </c>
      <c r="BE737" s="6">
        <v>0.03419582</v>
      </c>
      <c r="BF737" s="6">
        <v>0.03770638</v>
      </c>
      <c r="BG737" s="6">
        <v>0.02871266</v>
      </c>
      <c r="BH737" s="6">
        <v>0.03039646</v>
      </c>
      <c r="BI737" s="6">
        <v>0.21470859</v>
      </c>
      <c r="BJ737" s="6">
        <v>0.12366373</v>
      </c>
      <c r="BK737" s="6">
        <v>0.1409291</v>
      </c>
      <c r="BL737" s="6">
        <v>0.12522516</v>
      </c>
      <c r="BM737" s="6">
        <v>0.1592662</v>
      </c>
      <c r="BN737" s="6">
        <v>0.17561655</v>
      </c>
      <c r="BO737" s="6">
        <v>0.1337285</v>
      </c>
      <c r="BP737" s="6">
        <v>0.14157076</v>
      </c>
      <c r="BQ737" s="6">
        <v>0.04190086</v>
      </c>
      <c r="BR737" s="6">
        <v>0.03535794</v>
      </c>
      <c r="BS737" s="6">
        <v>0.0370352</v>
      </c>
      <c r="BT737" s="6">
        <v>0.02897787</v>
      </c>
      <c r="BU737" s="6">
        <v>0.03824433</v>
      </c>
      <c r="BV737" s="6">
        <v>0.06305645</v>
      </c>
      <c r="BW737" s="6">
        <v>0.04701632</v>
      </c>
      <c r="BX737" s="12">
        <v>11234</v>
      </c>
      <c r="BY737" s="13">
        <v>3833.35</v>
      </c>
      <c r="BZ737" s="12">
        <v>10368.6</v>
      </c>
      <c r="CA737" s="6">
        <f t="shared" si="72"/>
        <v>2.93059595393064</v>
      </c>
      <c r="CB737" s="6">
        <f t="shared" si="73"/>
        <v>1.0834635341319</v>
      </c>
      <c r="CC737" s="7">
        <v>172995549.7</v>
      </c>
      <c r="CD737" s="7">
        <f t="shared" si="68"/>
        <v>1.66845620141581</v>
      </c>
      <c r="CE737" s="8">
        <v>1322.9</v>
      </c>
      <c r="CF737" s="8">
        <v>14140.9</v>
      </c>
      <c r="CG737" s="8">
        <v>11936.1</v>
      </c>
      <c r="CH737" s="8">
        <v>51110</v>
      </c>
      <c r="CI737" s="14">
        <v>0</v>
      </c>
      <c r="CJ737" s="14">
        <v>0</v>
      </c>
      <c r="CK737" s="14">
        <f t="shared" si="69"/>
        <v>0</v>
      </c>
      <c r="CL737">
        <f t="shared" si="70"/>
        <v>2.40850270516871</v>
      </c>
      <c r="CM737">
        <f t="shared" si="71"/>
        <v>0.307264136413357</v>
      </c>
      <c r="CN737" s="15">
        <v>11233.51</v>
      </c>
      <c r="CO737" s="15">
        <v>12219.13</v>
      </c>
      <c r="CP737" s="15">
        <v>271.33</v>
      </c>
      <c r="CQ737" s="15">
        <v>2106.53</v>
      </c>
      <c r="CR737" s="15">
        <v>363.79</v>
      </c>
      <c r="CS737" s="15">
        <v>24.06</v>
      </c>
      <c r="CT737" s="15">
        <v>598.38</v>
      </c>
      <c r="CU737" s="15">
        <v>88.9</v>
      </c>
      <c r="CV737" s="15">
        <v>29.9</v>
      </c>
      <c r="CW737" s="15">
        <v>747.84</v>
      </c>
    </row>
    <row r="738" spans="1:101">
      <c r="A738" s="6">
        <v>2011</v>
      </c>
      <c r="B738" s="6" t="s">
        <v>129</v>
      </c>
      <c r="C738" s="6">
        <v>0.31314926</v>
      </c>
      <c r="D738" s="6">
        <v>0.050438</v>
      </c>
      <c r="E738" s="6">
        <v>0.012749</v>
      </c>
      <c r="F738" s="6">
        <v>0.023349</v>
      </c>
      <c r="G738" s="6">
        <v>0.007222</v>
      </c>
      <c r="H738" s="6">
        <v>0.007118</v>
      </c>
      <c r="I738" s="6">
        <v>0.054105</v>
      </c>
      <c r="J738" s="6">
        <v>0.02929</v>
      </c>
      <c r="K738" s="6">
        <v>0.34407174</v>
      </c>
      <c r="L738" s="6">
        <v>0.26091328</v>
      </c>
      <c r="M738" s="6">
        <v>0.31595302</v>
      </c>
      <c r="N738" s="6">
        <v>0.18499621</v>
      </c>
      <c r="O738" s="6">
        <v>0.18221684</v>
      </c>
      <c r="P738" s="6">
        <v>0.51284448</v>
      </c>
      <c r="Q738" s="6">
        <v>0.45361535</v>
      </c>
      <c r="R738" s="6">
        <v>217.69486</v>
      </c>
      <c r="S738" s="6">
        <v>0.00158052</v>
      </c>
      <c r="T738" s="6">
        <v>169.97573</v>
      </c>
      <c r="U738" s="6">
        <v>0.001535</v>
      </c>
      <c r="V738" s="6">
        <v>197.11803</v>
      </c>
      <c r="W738" s="6">
        <v>0.00160286</v>
      </c>
      <c r="X738" s="6">
        <v>134.47093</v>
      </c>
      <c r="Y738" s="6">
        <v>0.00137573</v>
      </c>
      <c r="Z738" s="6">
        <v>134.86767</v>
      </c>
      <c r="AA738" s="6">
        <v>0.00135108</v>
      </c>
      <c r="AB738" s="6">
        <v>294.9318</v>
      </c>
      <c r="AC738" s="6">
        <v>0.00173886</v>
      </c>
      <c r="AD738" s="6">
        <v>243.86163</v>
      </c>
      <c r="AE738" s="6">
        <v>0.00186013</v>
      </c>
      <c r="AF738" s="6">
        <v>775</v>
      </c>
      <c r="AG738" s="6">
        <v>-0.01019437</v>
      </c>
      <c r="AH738" s="6">
        <v>-0.00994563</v>
      </c>
      <c r="AI738" s="6">
        <v>-0.01031596</v>
      </c>
      <c r="AJ738" s="6">
        <v>-0.00906439</v>
      </c>
      <c r="AK738" s="6">
        <v>-0.00892638</v>
      </c>
      <c r="AL738" s="6">
        <v>-0.01104962</v>
      </c>
      <c r="AM738" s="6">
        <v>-0.01169486</v>
      </c>
      <c r="AN738" s="6">
        <v>-6.4762184</v>
      </c>
      <c r="AO738" s="6">
        <v>-6.4515561</v>
      </c>
      <c r="AP738" s="6">
        <v>-6.4739881</v>
      </c>
      <c r="AQ738" s="6">
        <v>-6.4253629</v>
      </c>
      <c r="AR738" s="6">
        <v>-6.4020076</v>
      </c>
      <c r="AS738" s="6">
        <v>-6.4618417</v>
      </c>
      <c r="AT738" s="6">
        <v>-6.4506396</v>
      </c>
      <c r="AU738" s="6">
        <v>0.97344833</v>
      </c>
      <c r="AV738" s="6">
        <v>0.96974131</v>
      </c>
      <c r="AW738" s="6">
        <v>0.97311308</v>
      </c>
      <c r="AX738" s="6">
        <v>0.96580418</v>
      </c>
      <c r="AY738" s="6">
        <v>0.96229362</v>
      </c>
      <c r="AZ738" s="6">
        <v>0.97128734</v>
      </c>
      <c r="BA738" s="6">
        <v>0.96960354</v>
      </c>
      <c r="BB738" s="6">
        <v>0.02655167</v>
      </c>
      <c r="BC738" s="6">
        <v>0.03025869</v>
      </c>
      <c r="BD738" s="6">
        <v>0.02688692</v>
      </c>
      <c r="BE738" s="6">
        <v>0.03419582</v>
      </c>
      <c r="BF738" s="6">
        <v>0.03770638</v>
      </c>
      <c r="BG738" s="6">
        <v>0.02871266</v>
      </c>
      <c r="BH738" s="6">
        <v>0.03039646</v>
      </c>
      <c r="BI738" s="6">
        <v>0.21470859</v>
      </c>
      <c r="BJ738" s="6">
        <v>0.12366373</v>
      </c>
      <c r="BK738" s="6">
        <v>0.1409291</v>
      </c>
      <c r="BL738" s="6">
        <v>0.12522516</v>
      </c>
      <c r="BM738" s="6">
        <v>0.1592662</v>
      </c>
      <c r="BN738" s="6">
        <v>0.17561655</v>
      </c>
      <c r="BO738" s="6">
        <v>0.1337285</v>
      </c>
      <c r="BP738" s="6">
        <v>0.14157076</v>
      </c>
      <c r="BQ738" s="6">
        <v>0.0425492</v>
      </c>
      <c r="BR738" s="6">
        <v>0.03677027</v>
      </c>
      <c r="BS738" s="6">
        <v>0.03956527</v>
      </c>
      <c r="BT738" s="6">
        <v>0.02946364</v>
      </c>
      <c r="BU738" s="6">
        <v>0.03200029</v>
      </c>
      <c r="BV738" s="6">
        <v>0.06858192</v>
      </c>
      <c r="BW738" s="6">
        <v>0.06421867</v>
      </c>
      <c r="BX738" s="12">
        <v>12119</v>
      </c>
      <c r="BY738" s="13">
        <v>3782</v>
      </c>
      <c r="BZ738" s="12">
        <v>12582</v>
      </c>
      <c r="CA738" s="6">
        <f t="shared" si="72"/>
        <v>3.20438921205711</v>
      </c>
      <c r="CB738" s="6">
        <f t="shared" si="73"/>
        <v>0.963201398823716</v>
      </c>
      <c r="CC738" s="7">
        <v>180122851.1</v>
      </c>
      <c r="CD738" s="7">
        <f t="shared" si="68"/>
        <v>1.43159156811318</v>
      </c>
      <c r="CE738" s="8">
        <v>1535.2</v>
      </c>
      <c r="CF738" s="8">
        <v>16271</v>
      </c>
      <c r="CG738" s="8">
        <v>14048.6</v>
      </c>
      <c r="CH738" s="8">
        <v>57828</v>
      </c>
      <c r="CI738" s="14">
        <v>0</v>
      </c>
      <c r="CJ738" s="14">
        <v>0</v>
      </c>
      <c r="CK738" s="14">
        <f t="shared" si="69"/>
        <v>0</v>
      </c>
      <c r="CL738">
        <f t="shared" si="70"/>
        <v>2.18035126729488</v>
      </c>
      <c r="CM738">
        <f t="shared" si="71"/>
        <v>0.343412417261863</v>
      </c>
      <c r="CN738" s="15">
        <v>12119</v>
      </c>
      <c r="CO738" s="15">
        <v>13200</v>
      </c>
      <c r="CP738" s="15">
        <v>272.75</v>
      </c>
      <c r="CQ738" s="15">
        <v>2200.93</v>
      </c>
      <c r="CR738" s="15">
        <v>466.56</v>
      </c>
      <c r="CS738" s="15">
        <v>26.47</v>
      </c>
      <c r="CT738" s="15">
        <v>598.02</v>
      </c>
      <c r="CU738" s="15">
        <v>88.92</v>
      </c>
      <c r="CV738" s="15">
        <v>31</v>
      </c>
      <c r="CW738" s="15">
        <v>817</v>
      </c>
    </row>
    <row r="739" spans="1:101">
      <c r="A739" s="6">
        <v>2012</v>
      </c>
      <c r="B739" s="6" t="s">
        <v>129</v>
      </c>
      <c r="C739" s="6">
        <v>0.33701838</v>
      </c>
      <c r="D739" s="6">
        <v>0.05718</v>
      </c>
      <c r="E739" s="6">
        <v>0.014188</v>
      </c>
      <c r="F739" s="6">
        <v>0.02561</v>
      </c>
      <c r="G739" s="6">
        <v>0.008764</v>
      </c>
      <c r="H739" s="6">
        <v>0.008618</v>
      </c>
      <c r="I739" s="6">
        <v>0.051868</v>
      </c>
      <c r="J739" s="6">
        <v>0.027815</v>
      </c>
      <c r="K739" s="6">
        <v>0.39695164</v>
      </c>
      <c r="L739" s="6">
        <v>0.29494011</v>
      </c>
      <c r="M739" s="6">
        <v>0.35069616</v>
      </c>
      <c r="N739" s="6">
        <v>0.23055859</v>
      </c>
      <c r="O739" s="6">
        <v>0.22768252</v>
      </c>
      <c r="P739" s="6">
        <v>0.48793282</v>
      </c>
      <c r="Q739" s="6">
        <v>0.42729655</v>
      </c>
      <c r="R739" s="6">
        <v>217.69486</v>
      </c>
      <c r="S739" s="6">
        <v>0.00182343</v>
      </c>
      <c r="T739" s="6">
        <v>169.97573</v>
      </c>
      <c r="U739" s="6">
        <v>0.00173519</v>
      </c>
      <c r="V739" s="6">
        <v>197.11803</v>
      </c>
      <c r="W739" s="6">
        <v>0.00177912</v>
      </c>
      <c r="X739" s="6">
        <v>134.47093</v>
      </c>
      <c r="Y739" s="6">
        <v>0.00171456</v>
      </c>
      <c r="Z739" s="6">
        <v>134.86767</v>
      </c>
      <c r="AA739" s="6">
        <v>0.00168819</v>
      </c>
      <c r="AB739" s="6">
        <v>294.9318</v>
      </c>
      <c r="AC739" s="6">
        <v>0.00165439</v>
      </c>
      <c r="AD739" s="6">
        <v>243.86163</v>
      </c>
      <c r="AE739" s="6">
        <v>0.00175221</v>
      </c>
      <c r="AF739" s="6">
        <v>775</v>
      </c>
      <c r="AG739" s="6">
        <v>-0.01150045</v>
      </c>
      <c r="AH739" s="6">
        <v>-0.01102997</v>
      </c>
      <c r="AI739" s="6">
        <v>-0.01126473</v>
      </c>
      <c r="AJ739" s="6">
        <v>-0.01091935</v>
      </c>
      <c r="AK739" s="6">
        <v>-0.01077758</v>
      </c>
      <c r="AL739" s="6">
        <v>-0.01059526</v>
      </c>
      <c r="AM739" s="6">
        <v>-0.01112106</v>
      </c>
      <c r="AN739" s="6">
        <v>-6.4762184</v>
      </c>
      <c r="AO739" s="6">
        <v>-6.4515561</v>
      </c>
      <c r="AP739" s="6">
        <v>-6.4739881</v>
      </c>
      <c r="AQ739" s="6">
        <v>-6.4253629</v>
      </c>
      <c r="AR739" s="6">
        <v>-6.4020076</v>
      </c>
      <c r="AS739" s="6">
        <v>-6.4618417</v>
      </c>
      <c r="AT739" s="6">
        <v>-6.4506396</v>
      </c>
      <c r="AU739" s="6">
        <v>0.97344833</v>
      </c>
      <c r="AV739" s="6">
        <v>0.96974131</v>
      </c>
      <c r="AW739" s="6">
        <v>0.97311308</v>
      </c>
      <c r="AX739" s="6">
        <v>0.96580418</v>
      </c>
      <c r="AY739" s="6">
        <v>0.96229362</v>
      </c>
      <c r="AZ739" s="6">
        <v>0.97128734</v>
      </c>
      <c r="BA739" s="6">
        <v>0.96960354</v>
      </c>
      <c r="BB739" s="6">
        <v>0.02655167</v>
      </c>
      <c r="BC739" s="6">
        <v>0.03025869</v>
      </c>
      <c r="BD739" s="6">
        <v>0.02688692</v>
      </c>
      <c r="BE739" s="6">
        <v>0.03419582</v>
      </c>
      <c r="BF739" s="6">
        <v>0.03770638</v>
      </c>
      <c r="BG739" s="6">
        <v>0.02871266</v>
      </c>
      <c r="BH739" s="6">
        <v>0.03039646</v>
      </c>
      <c r="BI739" s="6">
        <v>0.21470859</v>
      </c>
      <c r="BJ739" s="6">
        <v>0.12366373</v>
      </c>
      <c r="BK739" s="6">
        <v>0.1409291</v>
      </c>
      <c r="BL739" s="6">
        <v>0.12522516</v>
      </c>
      <c r="BM739" s="6">
        <v>0.1592662</v>
      </c>
      <c r="BN739" s="6">
        <v>0.17561655</v>
      </c>
      <c r="BO739" s="6">
        <v>0.1337285</v>
      </c>
      <c r="BP739" s="6">
        <v>0.14157076</v>
      </c>
      <c r="BQ739" s="6">
        <v>0.04908852</v>
      </c>
      <c r="BR739" s="6">
        <v>0.04156564</v>
      </c>
      <c r="BS739" s="6">
        <v>0.04391598</v>
      </c>
      <c r="BT739" s="6">
        <v>0.03672019</v>
      </c>
      <c r="BU739" s="6">
        <v>0.03998482</v>
      </c>
      <c r="BV739" s="6">
        <v>0.06525052</v>
      </c>
      <c r="BW739" s="6">
        <v>0.0604927</v>
      </c>
      <c r="BX739" s="12">
        <v>12758</v>
      </c>
      <c r="BY739" s="13">
        <v>3724</v>
      </c>
      <c r="BZ739" s="12">
        <v>13691.58</v>
      </c>
      <c r="CA739" s="6">
        <f t="shared" si="72"/>
        <v>3.42588614393126</v>
      </c>
      <c r="CB739" s="6">
        <f t="shared" si="73"/>
        <v>0.93181356717048</v>
      </c>
      <c r="CC739" s="7">
        <v>182154710.2</v>
      </c>
      <c r="CD739" s="7">
        <f t="shared" si="68"/>
        <v>1.33041409537833</v>
      </c>
      <c r="CE739" s="8">
        <v>1610.8</v>
      </c>
      <c r="CF739" s="8">
        <v>17040.5</v>
      </c>
      <c r="CG739" s="8">
        <v>15731.1</v>
      </c>
      <c r="CH739" s="8">
        <v>61097</v>
      </c>
      <c r="CI739" s="14">
        <v>0</v>
      </c>
      <c r="CJ739" s="14">
        <v>0</v>
      </c>
      <c r="CK739" s="14">
        <f t="shared" si="69"/>
        <v>0</v>
      </c>
      <c r="CL739">
        <f t="shared" si="70"/>
        <v>2.01609935715007</v>
      </c>
      <c r="CM739">
        <f t="shared" si="71"/>
        <v>0.340104895792942</v>
      </c>
      <c r="CN739" s="15">
        <v>12757.8</v>
      </c>
      <c r="CO739" s="15">
        <v>13965</v>
      </c>
      <c r="CP739" s="15">
        <v>331.09</v>
      </c>
      <c r="CQ739" s="15">
        <v>2166.48</v>
      </c>
      <c r="CR739" s="15">
        <v>465.99</v>
      </c>
      <c r="CS739" s="15">
        <v>65.94</v>
      </c>
      <c r="CT739" s="15">
        <v>604.78</v>
      </c>
      <c r="CU739" s="15">
        <v>99.53</v>
      </c>
      <c r="CV739" s="15">
        <v>33.68</v>
      </c>
      <c r="CW739" s="15">
        <v>827.9</v>
      </c>
    </row>
    <row r="740" spans="1:101">
      <c r="A740" s="6">
        <v>2013</v>
      </c>
      <c r="B740" s="6" t="s">
        <v>129</v>
      </c>
      <c r="C740" s="6">
        <v>0.32604478</v>
      </c>
      <c r="D740" s="6">
        <v>0.05538</v>
      </c>
      <c r="E740" s="6">
        <v>0.013823</v>
      </c>
      <c r="F740" s="6">
        <v>0.024869</v>
      </c>
      <c r="G740" s="6">
        <v>0.008363</v>
      </c>
      <c r="H740" s="6">
        <v>0.008324</v>
      </c>
      <c r="I740" s="6">
        <v>0.051852</v>
      </c>
      <c r="J740" s="6">
        <v>0.026582</v>
      </c>
      <c r="K740" s="6">
        <v>0.38283309</v>
      </c>
      <c r="L740" s="6">
        <v>0.28631576</v>
      </c>
      <c r="M740" s="6">
        <v>0.33930926</v>
      </c>
      <c r="N740" s="6">
        <v>0.21873052</v>
      </c>
      <c r="O740" s="6">
        <v>0.21876973</v>
      </c>
      <c r="P740" s="6">
        <v>0.48775093</v>
      </c>
      <c r="Q740" s="6">
        <v>0.40530808</v>
      </c>
      <c r="R740" s="6">
        <v>217.69486</v>
      </c>
      <c r="S740" s="6">
        <v>0.00175858</v>
      </c>
      <c r="T740" s="6">
        <v>169.97573</v>
      </c>
      <c r="U740" s="6">
        <v>0.00168445</v>
      </c>
      <c r="V740" s="6">
        <v>197.11803</v>
      </c>
      <c r="W740" s="6">
        <v>0.00172135</v>
      </c>
      <c r="X740" s="6">
        <v>134.47093</v>
      </c>
      <c r="Y740" s="6">
        <v>0.0016266</v>
      </c>
      <c r="Z740" s="6">
        <v>134.86767</v>
      </c>
      <c r="AA740" s="6">
        <v>0.00162211</v>
      </c>
      <c r="AB740" s="6">
        <v>294.9318</v>
      </c>
      <c r="AC740" s="6">
        <v>0.00165378</v>
      </c>
      <c r="AD740" s="6">
        <v>243.86163</v>
      </c>
      <c r="AE740" s="6">
        <v>0.00166204</v>
      </c>
      <c r="AF740" s="6">
        <v>775</v>
      </c>
      <c r="AG740" s="6">
        <v>-0.01115509</v>
      </c>
      <c r="AH740" s="6">
        <v>-0.01075743</v>
      </c>
      <c r="AI740" s="6">
        <v>-0.01095579</v>
      </c>
      <c r="AJ740" s="6">
        <v>-0.01044483</v>
      </c>
      <c r="AK740" s="6">
        <v>-0.01042046</v>
      </c>
      <c r="AL740" s="6">
        <v>-0.01059193</v>
      </c>
      <c r="AM740" s="6">
        <v>-0.01063658</v>
      </c>
      <c r="AN740" s="6">
        <v>-6.4762184</v>
      </c>
      <c r="AO740" s="6">
        <v>-6.4515561</v>
      </c>
      <c r="AP740" s="6">
        <v>-6.4739881</v>
      </c>
      <c r="AQ740" s="6">
        <v>-6.4253629</v>
      </c>
      <c r="AR740" s="6">
        <v>-6.4020076</v>
      </c>
      <c r="AS740" s="6">
        <v>-6.4618417</v>
      </c>
      <c r="AT740" s="6">
        <v>-6.4506396</v>
      </c>
      <c r="AU740" s="6">
        <v>0.97344833</v>
      </c>
      <c r="AV740" s="6">
        <v>0.96974131</v>
      </c>
      <c r="AW740" s="6">
        <v>0.97311308</v>
      </c>
      <c r="AX740" s="6">
        <v>0.96580418</v>
      </c>
      <c r="AY740" s="6">
        <v>0.96229362</v>
      </c>
      <c r="AZ740" s="6">
        <v>0.97128734</v>
      </c>
      <c r="BA740" s="6">
        <v>0.96960354</v>
      </c>
      <c r="BB740" s="6">
        <v>0.02655167</v>
      </c>
      <c r="BC740" s="6">
        <v>0.03025869</v>
      </c>
      <c r="BD740" s="6">
        <v>0.02688692</v>
      </c>
      <c r="BE740" s="6">
        <v>0.03419582</v>
      </c>
      <c r="BF740" s="6">
        <v>0.03770638</v>
      </c>
      <c r="BG740" s="6">
        <v>0.02871266</v>
      </c>
      <c r="BH740" s="6">
        <v>0.03039646</v>
      </c>
      <c r="BI740" s="6">
        <v>0.21470859</v>
      </c>
      <c r="BJ740" s="6">
        <v>0.12366373</v>
      </c>
      <c r="BK740" s="6">
        <v>0.1409291</v>
      </c>
      <c r="BL740" s="6">
        <v>0.12522516</v>
      </c>
      <c r="BM740" s="6">
        <v>0.1592662</v>
      </c>
      <c r="BN740" s="6">
        <v>0.17561655</v>
      </c>
      <c r="BO740" s="6">
        <v>0.1337285</v>
      </c>
      <c r="BP740" s="6">
        <v>0.14157076</v>
      </c>
      <c r="BQ740" s="6">
        <v>0.04734257</v>
      </c>
      <c r="BR740" s="6">
        <v>0.04035022</v>
      </c>
      <c r="BS740" s="6">
        <v>0.04249006</v>
      </c>
      <c r="BT740" s="6">
        <v>0.03483638</v>
      </c>
      <c r="BU740" s="6">
        <v>0.03841958</v>
      </c>
      <c r="BV740" s="6">
        <v>0.0652262</v>
      </c>
      <c r="BW740" s="6">
        <v>0.05737977</v>
      </c>
      <c r="BX740" s="12">
        <v>11853</v>
      </c>
      <c r="BY740" s="13">
        <v>3666</v>
      </c>
      <c r="BZ740" s="12">
        <v>14454.91</v>
      </c>
      <c r="CA740" s="6">
        <f t="shared" si="72"/>
        <v>3.23322422258592</v>
      </c>
      <c r="CB740" s="6">
        <f t="shared" si="73"/>
        <v>0.819998187467096</v>
      </c>
      <c r="CC740" s="7">
        <v>187008980.8</v>
      </c>
      <c r="CD740" s="7">
        <f t="shared" si="68"/>
        <v>1.29374019485421</v>
      </c>
      <c r="CE740" s="8">
        <v>1718.7</v>
      </c>
      <c r="CF740" s="8">
        <v>18162.8</v>
      </c>
      <c r="CG740" s="8">
        <v>17453.1</v>
      </c>
      <c r="CH740" s="8">
        <v>65105</v>
      </c>
      <c r="CI740" s="14">
        <v>0</v>
      </c>
      <c r="CJ740" s="14">
        <v>0</v>
      </c>
      <c r="CK740" s="14">
        <f t="shared" si="69"/>
        <v>0</v>
      </c>
      <c r="CL740">
        <f t="shared" si="70"/>
        <v>1.91398219724656</v>
      </c>
      <c r="CM740">
        <f t="shared" si="71"/>
        <v>0.324058396825543</v>
      </c>
      <c r="CN740" s="15">
        <v>11853</v>
      </c>
      <c r="CO740" s="15">
        <v>13266.81</v>
      </c>
      <c r="CP740" s="15">
        <v>337.65</v>
      </c>
      <c r="CQ740" s="15">
        <v>2127.02</v>
      </c>
      <c r="CR740" s="15">
        <v>277.59</v>
      </c>
      <c r="CS740" s="15">
        <v>63.97</v>
      </c>
      <c r="CT740" s="15">
        <v>456.94</v>
      </c>
      <c r="CU740" s="15">
        <v>94.15</v>
      </c>
      <c r="CV740" s="15">
        <v>34.77</v>
      </c>
      <c r="CW740" s="15">
        <v>845.2</v>
      </c>
    </row>
    <row r="741" spans="1:101">
      <c r="A741" s="6">
        <v>2014</v>
      </c>
      <c r="B741" s="6" t="s">
        <v>129</v>
      </c>
      <c r="C741" s="6">
        <v>0.34085175</v>
      </c>
      <c r="D741" s="6">
        <v>0.059898</v>
      </c>
      <c r="E741" s="6">
        <v>0.01464</v>
      </c>
      <c r="F741" s="6">
        <v>0.028032</v>
      </c>
      <c r="G741" s="6">
        <v>0.009188</v>
      </c>
      <c r="H741" s="6">
        <v>0.008038</v>
      </c>
      <c r="I741" s="6">
        <v>0.049742</v>
      </c>
      <c r="J741" s="6">
        <v>0.027532</v>
      </c>
      <c r="K741" s="6">
        <v>0.41827356</v>
      </c>
      <c r="L741" s="6">
        <v>0.30563594</v>
      </c>
      <c r="M741" s="6">
        <v>0.38791929</v>
      </c>
      <c r="N741" s="6">
        <v>0.24311026</v>
      </c>
      <c r="O741" s="6">
        <v>0.21008574</v>
      </c>
      <c r="P741" s="6">
        <v>0.46424893</v>
      </c>
      <c r="Q741" s="6">
        <v>0.42225622</v>
      </c>
      <c r="R741" s="6">
        <v>217.69486</v>
      </c>
      <c r="S741" s="6">
        <v>0.00192138</v>
      </c>
      <c r="T741" s="6">
        <v>169.97573</v>
      </c>
      <c r="U741" s="6">
        <v>0.00179812</v>
      </c>
      <c r="V741" s="6">
        <v>197.11803</v>
      </c>
      <c r="W741" s="6">
        <v>0.00196795</v>
      </c>
      <c r="X741" s="6">
        <v>134.47093</v>
      </c>
      <c r="Y741" s="6">
        <v>0.0018079</v>
      </c>
      <c r="Z741" s="6">
        <v>134.86767</v>
      </c>
      <c r="AA741" s="6">
        <v>0.00155772</v>
      </c>
      <c r="AB741" s="6">
        <v>294.9318</v>
      </c>
      <c r="AC741" s="6">
        <v>0.00157409</v>
      </c>
      <c r="AD741" s="6">
        <v>243.86163</v>
      </c>
      <c r="AE741" s="6">
        <v>0.00173154</v>
      </c>
      <c r="AF741" s="6">
        <v>775</v>
      </c>
      <c r="AG741" s="6">
        <v>-0.01201765</v>
      </c>
      <c r="AH741" s="6">
        <v>-0.01136592</v>
      </c>
      <c r="AI741" s="6">
        <v>-0.01226185</v>
      </c>
      <c r="AJ741" s="6">
        <v>-0.01141796</v>
      </c>
      <c r="AK741" s="6">
        <v>-0.01006992</v>
      </c>
      <c r="AL741" s="6">
        <v>-0.01015929</v>
      </c>
      <c r="AM741" s="6">
        <v>-0.01101042</v>
      </c>
      <c r="AN741" s="6">
        <v>-6.4762184</v>
      </c>
      <c r="AO741" s="6">
        <v>-6.4515561</v>
      </c>
      <c r="AP741" s="6">
        <v>-6.4739881</v>
      </c>
      <c r="AQ741" s="6">
        <v>-6.4253629</v>
      </c>
      <c r="AR741" s="6">
        <v>-6.4020076</v>
      </c>
      <c r="AS741" s="6">
        <v>-6.4618417</v>
      </c>
      <c r="AT741" s="6">
        <v>-6.4506396</v>
      </c>
      <c r="AU741" s="6">
        <v>0.97344833</v>
      </c>
      <c r="AV741" s="6">
        <v>0.96974131</v>
      </c>
      <c r="AW741" s="6">
        <v>0.97311308</v>
      </c>
      <c r="AX741" s="6">
        <v>0.96580418</v>
      </c>
      <c r="AY741" s="6">
        <v>0.96229362</v>
      </c>
      <c r="AZ741" s="6">
        <v>0.97128734</v>
      </c>
      <c r="BA741" s="6">
        <v>0.96960354</v>
      </c>
      <c r="BB741" s="6">
        <v>0.02655167</v>
      </c>
      <c r="BC741" s="6">
        <v>0.03025869</v>
      </c>
      <c r="BD741" s="6">
        <v>0.02688692</v>
      </c>
      <c r="BE741" s="6">
        <v>0.03419582</v>
      </c>
      <c r="BF741" s="6">
        <v>0.03770638</v>
      </c>
      <c r="BG741" s="6">
        <v>0.02871266</v>
      </c>
      <c r="BH741" s="6">
        <v>0.03039646</v>
      </c>
      <c r="BI741" s="6">
        <v>0.21470859</v>
      </c>
      <c r="BJ741" s="6">
        <v>0.12366373</v>
      </c>
      <c r="BK741" s="6">
        <v>0.1409291</v>
      </c>
      <c r="BL741" s="6">
        <v>0.12522516</v>
      </c>
      <c r="BM741" s="6">
        <v>0.1592662</v>
      </c>
      <c r="BN741" s="6">
        <v>0.17561655</v>
      </c>
      <c r="BO741" s="6">
        <v>0.1337285</v>
      </c>
      <c r="BP741" s="6">
        <v>0.14157076</v>
      </c>
      <c r="BQ741" s="6">
        <v>0.05172527</v>
      </c>
      <c r="BR741" s="6">
        <v>0.043073</v>
      </c>
      <c r="BS741" s="6">
        <v>0.04857725</v>
      </c>
      <c r="BT741" s="6">
        <v>0.03871925</v>
      </c>
      <c r="BU741" s="6">
        <v>0.03689453</v>
      </c>
      <c r="BV741" s="6">
        <v>0.06208331</v>
      </c>
      <c r="BW741" s="6">
        <v>0.05977914</v>
      </c>
      <c r="BX741" s="12">
        <v>11955</v>
      </c>
      <c r="BY741" s="13">
        <v>3608</v>
      </c>
      <c r="BZ741" s="12">
        <v>15039.38</v>
      </c>
      <c r="CA741" s="6">
        <f t="shared" si="72"/>
        <v>3.31347006651885</v>
      </c>
      <c r="CB741" s="6">
        <f t="shared" si="73"/>
        <v>0.794913088172518</v>
      </c>
      <c r="CC741" s="7">
        <v>182368553.5</v>
      </c>
      <c r="CD741" s="7">
        <f t="shared" si="68"/>
        <v>1.2126068594583</v>
      </c>
      <c r="CE741" s="8">
        <v>1726.6</v>
      </c>
      <c r="CF741" s="8">
        <v>19580.7</v>
      </c>
      <c r="CG741" s="8">
        <v>18716.2</v>
      </c>
      <c r="CH741" s="8">
        <v>68569</v>
      </c>
      <c r="CI741" s="14">
        <v>0</v>
      </c>
      <c r="CJ741" s="14">
        <v>0</v>
      </c>
      <c r="CK741" s="14">
        <f t="shared" si="69"/>
        <v>0</v>
      </c>
      <c r="CL741">
        <f t="shared" si="70"/>
        <v>1.79640226266579</v>
      </c>
      <c r="CM741">
        <f t="shared" si="71"/>
        <v>0.324980331710982</v>
      </c>
      <c r="CN741" s="15">
        <v>11954.9</v>
      </c>
      <c r="CO741" s="15">
        <v>13595.53</v>
      </c>
      <c r="CP741" s="15">
        <v>194.07</v>
      </c>
      <c r="CQ741" s="15">
        <v>2141.97</v>
      </c>
      <c r="CR741" s="15">
        <v>314.28</v>
      </c>
      <c r="CS741" s="15">
        <v>73.98</v>
      </c>
      <c r="CT741" s="15">
        <v>466.11</v>
      </c>
      <c r="CU741" s="15">
        <v>115.42</v>
      </c>
      <c r="CV741" s="15">
        <v>35.48</v>
      </c>
      <c r="CW741" s="15">
        <v>859.42</v>
      </c>
    </row>
    <row r="742" spans="1:101">
      <c r="A742" s="6">
        <v>2015</v>
      </c>
      <c r="B742" s="6" t="s">
        <v>129</v>
      </c>
      <c r="C742" s="6">
        <v>0.36718649</v>
      </c>
      <c r="D742" s="6">
        <v>0.061955</v>
      </c>
      <c r="E742" s="6">
        <v>0.015213</v>
      </c>
      <c r="F742" s="6">
        <v>0.028534</v>
      </c>
      <c r="G742" s="6">
        <v>0.009395</v>
      </c>
      <c r="H742" s="6">
        <v>0.008814</v>
      </c>
      <c r="I742" s="6">
        <v>0.059308</v>
      </c>
      <c r="J742" s="6">
        <v>0.028369</v>
      </c>
      <c r="K742" s="6">
        <v>0.43441031</v>
      </c>
      <c r="L742" s="6">
        <v>0.31917355</v>
      </c>
      <c r="M742" s="6">
        <v>0.39563332</v>
      </c>
      <c r="N742" s="6">
        <v>0.24922635</v>
      </c>
      <c r="O742" s="6">
        <v>0.23359591</v>
      </c>
      <c r="P742" s="6">
        <v>0.57079659</v>
      </c>
      <c r="Q742" s="6">
        <v>0.43718905</v>
      </c>
      <c r="R742" s="6">
        <v>217.69486</v>
      </c>
      <c r="S742" s="6">
        <v>0.0019955</v>
      </c>
      <c r="T742" s="6">
        <v>169.97573</v>
      </c>
      <c r="U742" s="6">
        <v>0.00187776</v>
      </c>
      <c r="V742" s="6">
        <v>197.11803</v>
      </c>
      <c r="W742" s="6">
        <v>0.00200709</v>
      </c>
      <c r="X742" s="6">
        <v>134.47093</v>
      </c>
      <c r="Y742" s="6">
        <v>0.00185338</v>
      </c>
      <c r="Z742" s="6">
        <v>134.86767</v>
      </c>
      <c r="AA742" s="6">
        <v>0.00173204</v>
      </c>
      <c r="AB742" s="6">
        <v>294.9318</v>
      </c>
      <c r="AC742" s="6">
        <v>0.00193535</v>
      </c>
      <c r="AD742" s="6">
        <v>243.86163</v>
      </c>
      <c r="AE742" s="6">
        <v>0.00179278</v>
      </c>
      <c r="AF742" s="6">
        <v>775</v>
      </c>
      <c r="AG742" s="6">
        <v>-0.01240575</v>
      </c>
      <c r="AH742" s="6">
        <v>-0.01178797</v>
      </c>
      <c r="AI742" s="6">
        <v>-0.01246617</v>
      </c>
      <c r="AJ742" s="6">
        <v>-0.01165916</v>
      </c>
      <c r="AK742" s="6">
        <v>-0.01101309</v>
      </c>
      <c r="AL742" s="6">
        <v>-0.01209104</v>
      </c>
      <c r="AM742" s="6">
        <v>-0.01133749</v>
      </c>
      <c r="AN742" s="6">
        <v>-6.4762184</v>
      </c>
      <c r="AO742" s="6">
        <v>-6.4515561</v>
      </c>
      <c r="AP742" s="6">
        <v>-6.4739881</v>
      </c>
      <c r="AQ742" s="6">
        <v>-6.4253629</v>
      </c>
      <c r="AR742" s="6">
        <v>-6.4020076</v>
      </c>
      <c r="AS742" s="6">
        <v>-6.4618417</v>
      </c>
      <c r="AT742" s="6">
        <v>-6.4506396</v>
      </c>
      <c r="AU742" s="6">
        <v>0.97344833</v>
      </c>
      <c r="AV742" s="6">
        <v>0.96974131</v>
      </c>
      <c r="AW742" s="6">
        <v>0.97311308</v>
      </c>
      <c r="AX742" s="6">
        <v>0.96580418</v>
      </c>
      <c r="AY742" s="6">
        <v>0.96229362</v>
      </c>
      <c r="AZ742" s="6">
        <v>0.97128734</v>
      </c>
      <c r="BA742" s="6">
        <v>0.96960354</v>
      </c>
      <c r="BB742" s="6">
        <v>0.02655167</v>
      </c>
      <c r="BC742" s="6">
        <v>0.03025869</v>
      </c>
      <c r="BD742" s="6">
        <v>0.02688692</v>
      </c>
      <c r="BE742" s="6">
        <v>0.03419582</v>
      </c>
      <c r="BF742" s="6">
        <v>0.03770638</v>
      </c>
      <c r="BG742" s="6">
        <v>0.02871266</v>
      </c>
      <c r="BH742" s="6">
        <v>0.03039646</v>
      </c>
      <c r="BI742" s="6">
        <v>0.21470859</v>
      </c>
      <c r="BJ742" s="6">
        <v>0.12366373</v>
      </c>
      <c r="BK742" s="6">
        <v>0.1409291</v>
      </c>
      <c r="BL742" s="6">
        <v>0.12522516</v>
      </c>
      <c r="BM742" s="6">
        <v>0.1592662</v>
      </c>
      <c r="BN742" s="6">
        <v>0.17561655</v>
      </c>
      <c r="BO742" s="6">
        <v>0.1337285</v>
      </c>
      <c r="BP742" s="6">
        <v>0.14157076</v>
      </c>
      <c r="BQ742" s="6">
        <v>0.0537208</v>
      </c>
      <c r="BR742" s="6">
        <v>0.04498084</v>
      </c>
      <c r="BS742" s="6">
        <v>0.04954325</v>
      </c>
      <c r="BT742" s="6">
        <v>0.03969333</v>
      </c>
      <c r="BU742" s="6">
        <v>0.04102331</v>
      </c>
      <c r="BV742" s="6">
        <v>0.07633177</v>
      </c>
      <c r="BW742" s="6">
        <v>0.06189319</v>
      </c>
      <c r="BX742" s="12">
        <v>11104</v>
      </c>
      <c r="BY742" s="13">
        <v>3529</v>
      </c>
      <c r="BZ742" s="12">
        <v>15083.67</v>
      </c>
      <c r="CA742" s="6">
        <f t="shared" si="72"/>
        <v>3.14650042504959</v>
      </c>
      <c r="CB742" s="6">
        <f t="shared" si="73"/>
        <v>0.736160364155408</v>
      </c>
      <c r="CC742" s="7">
        <v>180635797.6</v>
      </c>
      <c r="CD742" s="7">
        <f t="shared" si="68"/>
        <v>1.19755866841425</v>
      </c>
      <c r="CE742" s="8">
        <v>1771.4</v>
      </c>
      <c r="CF742" s="8">
        <v>20606.6</v>
      </c>
      <c r="CG742" s="8">
        <v>21129.8</v>
      </c>
      <c r="CH742" s="8">
        <v>73276</v>
      </c>
      <c r="CI742" s="14">
        <v>0</v>
      </c>
      <c r="CJ742" s="14">
        <v>0</v>
      </c>
      <c r="CK742" s="14">
        <f t="shared" si="69"/>
        <v>0</v>
      </c>
      <c r="CL742">
        <f t="shared" si="70"/>
        <v>1.71577514742415</v>
      </c>
      <c r="CM742">
        <f t="shared" si="71"/>
        <v>0.302030531091374</v>
      </c>
      <c r="CN742" s="15">
        <v>11104</v>
      </c>
      <c r="CO742" s="15">
        <v>12465.43</v>
      </c>
      <c r="CP742" s="15">
        <v>185.68</v>
      </c>
      <c r="CQ742" s="15">
        <v>1637.88</v>
      </c>
      <c r="CR742" s="15">
        <v>409.97</v>
      </c>
      <c r="CS742" s="15">
        <v>68.46</v>
      </c>
      <c r="CT742" s="15">
        <v>563.67</v>
      </c>
      <c r="CU742" s="15">
        <v>114.69</v>
      </c>
      <c r="CV742" s="15">
        <v>35.82</v>
      </c>
      <c r="CW742" s="15">
        <v>869</v>
      </c>
    </row>
    <row r="743" spans="1:101">
      <c r="A743" s="6">
        <v>2016</v>
      </c>
      <c r="B743" s="6" t="s">
        <v>129</v>
      </c>
      <c r="C743" s="6">
        <v>0.34431529</v>
      </c>
      <c r="D743" s="6">
        <v>0.0582</v>
      </c>
      <c r="E743" s="6">
        <v>0.014425</v>
      </c>
      <c r="F743" s="6">
        <v>0.025782</v>
      </c>
      <c r="G743" s="6">
        <v>0.008808</v>
      </c>
      <c r="H743" s="6">
        <v>0.009186</v>
      </c>
      <c r="I743" s="6">
        <v>0.055837</v>
      </c>
      <c r="J743" s="6">
        <v>0.02625</v>
      </c>
      <c r="K743" s="6">
        <v>0.40495956</v>
      </c>
      <c r="L743" s="6">
        <v>0.30054893</v>
      </c>
      <c r="M743" s="6">
        <v>0.35334555</v>
      </c>
      <c r="N743" s="6">
        <v>0.23186384</v>
      </c>
      <c r="O743" s="6">
        <v>0.24486897</v>
      </c>
      <c r="P743" s="6">
        <v>0.5321434</v>
      </c>
      <c r="Q743" s="6">
        <v>0.39936764</v>
      </c>
      <c r="R743" s="6">
        <v>217.69486</v>
      </c>
      <c r="S743" s="6">
        <v>0.00186022</v>
      </c>
      <c r="T743" s="6">
        <v>169.97573</v>
      </c>
      <c r="U743" s="6">
        <v>0.00176819</v>
      </c>
      <c r="V743" s="6">
        <v>197.11803</v>
      </c>
      <c r="W743" s="6">
        <v>0.00179256</v>
      </c>
      <c r="X743" s="6">
        <v>134.47093</v>
      </c>
      <c r="Y743" s="6">
        <v>0.00172427</v>
      </c>
      <c r="Z743" s="6">
        <v>134.86767</v>
      </c>
      <c r="AA743" s="6">
        <v>0.00181562</v>
      </c>
      <c r="AB743" s="6">
        <v>294.9318</v>
      </c>
      <c r="AC743" s="6">
        <v>0.00180429</v>
      </c>
      <c r="AD743" s="6">
        <v>243.86163</v>
      </c>
      <c r="AE743" s="6">
        <v>0.00163768</v>
      </c>
      <c r="AF743" s="6">
        <v>775</v>
      </c>
      <c r="AG743" s="6">
        <v>-0.0116953</v>
      </c>
      <c r="AH743" s="6">
        <v>-0.01120642</v>
      </c>
      <c r="AI743" s="6">
        <v>-0.01133634</v>
      </c>
      <c r="AJ743" s="6">
        <v>-0.01097143</v>
      </c>
      <c r="AK743" s="6">
        <v>-0.01145899</v>
      </c>
      <c r="AL743" s="6">
        <v>-0.01139878</v>
      </c>
      <c r="AM743" s="6">
        <v>-0.01050486</v>
      </c>
      <c r="AN743" s="6">
        <v>-6.4762184</v>
      </c>
      <c r="AO743" s="6">
        <v>-6.4515561</v>
      </c>
      <c r="AP743" s="6">
        <v>-6.4739881</v>
      </c>
      <c r="AQ743" s="6">
        <v>-6.4253629</v>
      </c>
      <c r="AR743" s="6">
        <v>-6.4020076</v>
      </c>
      <c r="AS743" s="6">
        <v>-6.4618417</v>
      </c>
      <c r="AT743" s="6">
        <v>-6.4506396</v>
      </c>
      <c r="AU743" s="6">
        <v>0.97344833</v>
      </c>
      <c r="AV743" s="6">
        <v>0.96974131</v>
      </c>
      <c r="AW743" s="6">
        <v>0.97311308</v>
      </c>
      <c r="AX743" s="6">
        <v>0.96580418</v>
      </c>
      <c r="AY743" s="6">
        <v>0.96229362</v>
      </c>
      <c r="AZ743" s="6">
        <v>0.97128734</v>
      </c>
      <c r="BA743" s="6">
        <v>0.96960354</v>
      </c>
      <c r="BB743" s="6">
        <v>0.02655167</v>
      </c>
      <c r="BC743" s="6">
        <v>0.03025869</v>
      </c>
      <c r="BD743" s="6">
        <v>0.02688692</v>
      </c>
      <c r="BE743" s="6">
        <v>0.03419582</v>
      </c>
      <c r="BF743" s="6">
        <v>0.03770638</v>
      </c>
      <c r="BG743" s="6">
        <v>0.02871266</v>
      </c>
      <c r="BH743" s="6">
        <v>0.03039646</v>
      </c>
      <c r="BI743" s="6">
        <v>0.21470859</v>
      </c>
      <c r="BJ743" s="6">
        <v>0.12366373</v>
      </c>
      <c r="BK743" s="6">
        <v>0.1409291</v>
      </c>
      <c r="BL743" s="6">
        <v>0.12522516</v>
      </c>
      <c r="BM743" s="6">
        <v>0.1592662</v>
      </c>
      <c r="BN743" s="6">
        <v>0.17561655</v>
      </c>
      <c r="BO743" s="6">
        <v>0.1337285</v>
      </c>
      <c r="BP743" s="6">
        <v>0.14157076</v>
      </c>
      <c r="BQ743" s="6">
        <v>0.05007881</v>
      </c>
      <c r="BR743" s="6">
        <v>0.04235609</v>
      </c>
      <c r="BS743" s="6">
        <v>0.04424775</v>
      </c>
      <c r="BT743" s="6">
        <v>0.03692807</v>
      </c>
      <c r="BU743" s="6">
        <v>0.04300304</v>
      </c>
      <c r="BV743" s="6">
        <v>0.07116274</v>
      </c>
      <c r="BW743" s="6">
        <v>0.05653878</v>
      </c>
      <c r="BX743" s="12">
        <v>11070</v>
      </c>
      <c r="BY743" s="13">
        <v>3463</v>
      </c>
      <c r="BZ743" s="12">
        <v>15386.09</v>
      </c>
      <c r="CA743" s="6">
        <f t="shared" si="72"/>
        <v>3.19665030320531</v>
      </c>
      <c r="CB743" s="6">
        <f t="shared" si="73"/>
        <v>0.719481037742532</v>
      </c>
      <c r="CC743" s="7">
        <v>179872553.5</v>
      </c>
      <c r="CD743" s="7">
        <f t="shared" si="68"/>
        <v>1.16905954339277</v>
      </c>
      <c r="CE743" s="8">
        <v>1890.4</v>
      </c>
      <c r="CF743" s="8">
        <v>21571.3</v>
      </c>
      <c r="CG743" s="8">
        <v>23792.4</v>
      </c>
      <c r="CH743" s="8">
        <v>78384</v>
      </c>
      <c r="CI743" s="14">
        <v>0</v>
      </c>
      <c r="CJ743" s="14">
        <v>0</v>
      </c>
      <c r="CK743" s="14">
        <f t="shared" si="69"/>
        <v>0</v>
      </c>
      <c r="CL743">
        <f t="shared" si="70"/>
        <v>1.62438398605541</v>
      </c>
      <c r="CM743">
        <f t="shared" si="71"/>
        <v>0.280305916933059</v>
      </c>
      <c r="CN743" s="15">
        <v>11070</v>
      </c>
      <c r="CO743" s="15">
        <v>12741.39</v>
      </c>
      <c r="CP743" s="15">
        <v>184.19</v>
      </c>
      <c r="CQ743" s="15">
        <v>1861.64</v>
      </c>
      <c r="CR743" s="15">
        <v>333.69</v>
      </c>
      <c r="CS743" s="15">
        <v>78.56</v>
      </c>
      <c r="CT743" s="15">
        <v>354.64</v>
      </c>
      <c r="CU743" s="15">
        <v>94.37</v>
      </c>
      <c r="CV743" s="15">
        <v>38.04</v>
      </c>
      <c r="CW743" s="15">
        <v>896.62</v>
      </c>
    </row>
    <row r="744" spans="1:101">
      <c r="A744" s="6">
        <v>2017</v>
      </c>
      <c r="B744" s="6" t="s">
        <v>129</v>
      </c>
      <c r="C744" s="6">
        <v>0.3597683</v>
      </c>
      <c r="D744" s="6">
        <v>0.055689</v>
      </c>
      <c r="E744" s="6">
        <v>0.014789</v>
      </c>
      <c r="F744" s="6">
        <v>0.024345</v>
      </c>
      <c r="G744" s="6">
        <v>0.008136</v>
      </c>
      <c r="H744" s="6">
        <v>0.008418</v>
      </c>
      <c r="I744" s="6">
        <v>0.060785</v>
      </c>
      <c r="J744" s="6">
        <v>0.033897</v>
      </c>
      <c r="K744" s="6">
        <v>0.38525737</v>
      </c>
      <c r="L744" s="6">
        <v>0.30916013</v>
      </c>
      <c r="M744" s="6">
        <v>0.33125421</v>
      </c>
      <c r="N744" s="6">
        <v>0.21202352</v>
      </c>
      <c r="O744" s="6">
        <v>0.22161272</v>
      </c>
      <c r="P744" s="6">
        <v>0.58725165</v>
      </c>
      <c r="Q744" s="6">
        <v>0.53581399</v>
      </c>
      <c r="R744" s="6">
        <v>217.69486</v>
      </c>
      <c r="S744" s="6">
        <v>0.00176971</v>
      </c>
      <c r="T744" s="6">
        <v>169.97573</v>
      </c>
      <c r="U744" s="6">
        <v>0.00181885</v>
      </c>
      <c r="V744" s="6">
        <v>197.11803</v>
      </c>
      <c r="W744" s="6">
        <v>0.00168049</v>
      </c>
      <c r="X744" s="6">
        <v>134.47093</v>
      </c>
      <c r="Y744" s="6">
        <v>0.00157672</v>
      </c>
      <c r="Z744" s="6">
        <v>134.86767</v>
      </c>
      <c r="AA744" s="6">
        <v>0.00164319</v>
      </c>
      <c r="AB744" s="6">
        <v>294.9318</v>
      </c>
      <c r="AC744" s="6">
        <v>0.00199114</v>
      </c>
      <c r="AD744" s="6">
        <v>243.86163</v>
      </c>
      <c r="AE744" s="6">
        <v>0.00219721</v>
      </c>
      <c r="AF744" s="6">
        <v>775</v>
      </c>
      <c r="AG744" s="6">
        <v>-0.01121456</v>
      </c>
      <c r="AH744" s="6">
        <v>-0.01147612</v>
      </c>
      <c r="AI744" s="6">
        <v>-0.01073608</v>
      </c>
      <c r="AJ744" s="6">
        <v>-0.01017366</v>
      </c>
      <c r="AK744" s="6">
        <v>-0.01053466</v>
      </c>
      <c r="AL744" s="6">
        <v>-0.01238302</v>
      </c>
      <c r="AM744" s="6">
        <v>-0.01344815</v>
      </c>
      <c r="AN744" s="6">
        <v>-6.4762184</v>
      </c>
      <c r="AO744" s="6">
        <v>-6.4515561</v>
      </c>
      <c r="AP744" s="6">
        <v>-6.4739881</v>
      </c>
      <c r="AQ744" s="6">
        <v>-6.4253629</v>
      </c>
      <c r="AR744" s="6">
        <v>-6.4020076</v>
      </c>
      <c r="AS744" s="6">
        <v>-6.4618417</v>
      </c>
      <c r="AT744" s="6">
        <v>-6.4506396</v>
      </c>
      <c r="AU744" s="6">
        <v>0.97344833</v>
      </c>
      <c r="AV744" s="6">
        <v>0.96974131</v>
      </c>
      <c r="AW744" s="6">
        <v>0.97311308</v>
      </c>
      <c r="AX744" s="6">
        <v>0.96580418</v>
      </c>
      <c r="AY744" s="6">
        <v>0.96229362</v>
      </c>
      <c r="AZ744" s="6">
        <v>0.97128734</v>
      </c>
      <c r="BA744" s="6">
        <v>0.96960354</v>
      </c>
      <c r="BB744" s="6">
        <v>0.02655167</v>
      </c>
      <c r="BC744" s="6">
        <v>0.03025869</v>
      </c>
      <c r="BD744" s="6">
        <v>0.02688692</v>
      </c>
      <c r="BE744" s="6">
        <v>0.03419582</v>
      </c>
      <c r="BF744" s="6">
        <v>0.03770638</v>
      </c>
      <c r="BG744" s="6">
        <v>0.02871266</v>
      </c>
      <c r="BH744" s="6">
        <v>0.03039646</v>
      </c>
      <c r="BI744" s="6">
        <v>0.21470859</v>
      </c>
      <c r="BJ744" s="6">
        <v>0.12366373</v>
      </c>
      <c r="BK744" s="6">
        <v>0.1409291</v>
      </c>
      <c r="BL744" s="6">
        <v>0.12522516</v>
      </c>
      <c r="BM744" s="6">
        <v>0.1592662</v>
      </c>
      <c r="BN744" s="6">
        <v>0.17561655</v>
      </c>
      <c r="BO744" s="6">
        <v>0.1337285</v>
      </c>
      <c r="BP744" s="6">
        <v>0.14157076</v>
      </c>
      <c r="BQ744" s="6">
        <v>0.04764236</v>
      </c>
      <c r="BR744" s="6">
        <v>0.04356966</v>
      </c>
      <c r="BS744" s="6">
        <v>0.04148136</v>
      </c>
      <c r="BT744" s="6">
        <v>0.03376818</v>
      </c>
      <c r="BU744" s="6">
        <v>0.03891886</v>
      </c>
      <c r="BV744" s="6">
        <v>0.07853228</v>
      </c>
      <c r="BW744" s="6">
        <v>0.0758556</v>
      </c>
      <c r="BX744" s="12">
        <v>11258</v>
      </c>
      <c r="BY744" s="13">
        <v>3399</v>
      </c>
      <c r="BZ744" s="12">
        <v>15902.68172</v>
      </c>
      <c r="CA744" s="6">
        <f t="shared" si="72"/>
        <v>3.31215063253898</v>
      </c>
      <c r="CB744" s="6">
        <f t="shared" si="73"/>
        <v>0.707930913679885</v>
      </c>
      <c r="CC744" s="7">
        <v>187615466.5</v>
      </c>
      <c r="CD744" s="7">
        <f t="shared" si="68"/>
        <v>1.17977250506149</v>
      </c>
      <c r="CE744" s="8">
        <v>1933.9</v>
      </c>
      <c r="CF744" s="8">
        <v>23246.7</v>
      </c>
      <c r="CG744" s="8">
        <v>27222.5</v>
      </c>
      <c r="CH744" s="8">
        <v>85612</v>
      </c>
      <c r="CI744" s="14">
        <v>1</v>
      </c>
      <c r="CJ744" s="14">
        <v>0</v>
      </c>
      <c r="CK744" s="14">
        <f t="shared" si="69"/>
        <v>0</v>
      </c>
      <c r="CL744">
        <f t="shared" si="70"/>
        <v>1.56738551218677</v>
      </c>
      <c r="CM744">
        <f t="shared" si="71"/>
        <v>0.247299087628093</v>
      </c>
      <c r="CN744" s="15">
        <v>11258</v>
      </c>
      <c r="CO744" s="15">
        <v>12891.15</v>
      </c>
      <c r="CP744" s="15">
        <v>214.76</v>
      </c>
      <c r="CQ744" s="15">
        <v>1670.07</v>
      </c>
      <c r="CR744" s="15">
        <v>385.19</v>
      </c>
      <c r="CS744" s="15">
        <v>87.55</v>
      </c>
      <c r="CT744" s="15">
        <v>338.16</v>
      </c>
      <c r="CU744" s="15">
        <v>71.65</v>
      </c>
      <c r="CV744" s="15">
        <v>40.56</v>
      </c>
      <c r="CW744" s="15">
        <v>928.57</v>
      </c>
    </row>
    <row r="745" spans="1:101">
      <c r="A745" s="6">
        <v>2018</v>
      </c>
      <c r="B745" s="6" t="s">
        <v>129</v>
      </c>
      <c r="C745" s="6">
        <v>0.40485818</v>
      </c>
      <c r="D745" s="6">
        <v>0.067872</v>
      </c>
      <c r="E745" s="6">
        <v>0.017061</v>
      </c>
      <c r="F745" s="6">
        <v>0.031808</v>
      </c>
      <c r="G745" s="6">
        <v>0.009935</v>
      </c>
      <c r="H745" s="6">
        <v>0.009068</v>
      </c>
      <c r="I745" s="6">
        <v>0.061667</v>
      </c>
      <c r="J745" s="6">
        <v>0.033144</v>
      </c>
      <c r="K745" s="6">
        <v>0.48082459</v>
      </c>
      <c r="L745" s="6">
        <v>0.36286722</v>
      </c>
      <c r="M745" s="6">
        <v>0.44595982</v>
      </c>
      <c r="N745" s="6">
        <v>0.26518681</v>
      </c>
      <c r="O745" s="6">
        <v>0.24131379</v>
      </c>
      <c r="P745" s="6">
        <v>0.5970775</v>
      </c>
      <c r="Q745" s="6">
        <v>0.52237768</v>
      </c>
      <c r="R745" s="6">
        <v>217.69486</v>
      </c>
      <c r="S745" s="6">
        <v>0.00220871</v>
      </c>
      <c r="T745" s="6">
        <v>169.97573</v>
      </c>
      <c r="U745" s="6">
        <v>0.00213482</v>
      </c>
      <c r="V745" s="6">
        <v>197.11803</v>
      </c>
      <c r="W745" s="6">
        <v>0.0022624</v>
      </c>
      <c r="X745" s="6">
        <v>134.47093</v>
      </c>
      <c r="Y745" s="6">
        <v>0.00197208</v>
      </c>
      <c r="Z745" s="6">
        <v>134.86767</v>
      </c>
      <c r="AA745" s="6">
        <v>0.00178926</v>
      </c>
      <c r="AB745" s="6">
        <v>294.9318</v>
      </c>
      <c r="AC745" s="6">
        <v>0.00202446</v>
      </c>
      <c r="AD745" s="6">
        <v>243.86163</v>
      </c>
      <c r="AE745" s="6">
        <v>0.00214211</v>
      </c>
      <c r="AF745" s="6">
        <v>775</v>
      </c>
      <c r="AG745" s="6">
        <v>-0.01350702</v>
      </c>
      <c r="AH745" s="6">
        <v>-0.01312779</v>
      </c>
      <c r="AI745" s="6">
        <v>-0.01378102</v>
      </c>
      <c r="AJ745" s="6">
        <v>-0.0122834</v>
      </c>
      <c r="AK745" s="6">
        <v>-0.01131879</v>
      </c>
      <c r="AL745" s="6">
        <v>-0.01255661</v>
      </c>
      <c r="AM745" s="6">
        <v>-0.01316531</v>
      </c>
      <c r="AN745" s="6">
        <v>-6.4762184</v>
      </c>
      <c r="AO745" s="6">
        <v>-6.4515561</v>
      </c>
      <c r="AP745" s="6">
        <v>-6.4739881</v>
      </c>
      <c r="AQ745" s="6">
        <v>-6.4253629</v>
      </c>
      <c r="AR745" s="6">
        <v>-6.4020076</v>
      </c>
      <c r="AS745" s="6">
        <v>-6.4618417</v>
      </c>
      <c r="AT745" s="6">
        <v>-6.4506396</v>
      </c>
      <c r="AU745" s="6">
        <v>0.97344833</v>
      </c>
      <c r="AV745" s="6">
        <v>0.96974131</v>
      </c>
      <c r="AW745" s="6">
        <v>0.97311308</v>
      </c>
      <c r="AX745" s="6">
        <v>0.96580418</v>
      </c>
      <c r="AY745" s="6">
        <v>0.96229362</v>
      </c>
      <c r="AZ745" s="6">
        <v>0.97128734</v>
      </c>
      <c r="BA745" s="6">
        <v>0.96960354</v>
      </c>
      <c r="BB745" s="6">
        <v>0.02655167</v>
      </c>
      <c r="BC745" s="6">
        <v>0.03025869</v>
      </c>
      <c r="BD745" s="6">
        <v>0.02688692</v>
      </c>
      <c r="BE745" s="6">
        <v>0.03419582</v>
      </c>
      <c r="BF745" s="6">
        <v>0.03770638</v>
      </c>
      <c r="BG745" s="6">
        <v>0.02871266</v>
      </c>
      <c r="BH745" s="6">
        <v>0.03039646</v>
      </c>
      <c r="BI745" s="6">
        <v>0.21470859</v>
      </c>
      <c r="BJ745" s="6">
        <v>0.12366373</v>
      </c>
      <c r="BK745" s="6">
        <v>0.1409291</v>
      </c>
      <c r="BL745" s="6">
        <v>0.12522516</v>
      </c>
      <c r="BM745" s="6">
        <v>0.1592662</v>
      </c>
      <c r="BN745" s="6">
        <v>0.17561655</v>
      </c>
      <c r="BO745" s="6">
        <v>0.1337285</v>
      </c>
      <c r="BP745" s="6">
        <v>0.14157076</v>
      </c>
      <c r="BQ745" s="6">
        <v>0.05946056</v>
      </c>
      <c r="BR745" s="6">
        <v>0.05113855</v>
      </c>
      <c r="BS745" s="6">
        <v>0.05584539</v>
      </c>
      <c r="BT745" s="6">
        <v>0.0422353</v>
      </c>
      <c r="BU745" s="6">
        <v>0.04237869</v>
      </c>
      <c r="BV745" s="6">
        <v>0.07984628</v>
      </c>
      <c r="BW745" s="6">
        <v>0.07395341</v>
      </c>
      <c r="BX745" s="12">
        <v>11436</v>
      </c>
      <c r="BY745" s="13">
        <v>3327</v>
      </c>
      <c r="BZ745" s="12">
        <v>16361.62</v>
      </c>
      <c r="CA745" s="6">
        <f t="shared" si="72"/>
        <v>3.43733092876465</v>
      </c>
      <c r="CB745" s="6">
        <f t="shared" si="73"/>
        <v>0.698952793183071</v>
      </c>
      <c r="CC745" s="7">
        <v>191778801.3</v>
      </c>
      <c r="CD745" s="7">
        <f t="shared" si="68"/>
        <v>1.17212599546989</v>
      </c>
      <c r="CE745" s="8">
        <v>1975.9</v>
      </c>
      <c r="CF745" s="8">
        <v>25308.1</v>
      </c>
      <c r="CG745" s="8">
        <v>30718.8</v>
      </c>
      <c r="CH745" s="8">
        <v>93230</v>
      </c>
      <c r="CI745" s="14">
        <v>1</v>
      </c>
      <c r="CJ745" s="14">
        <v>0</v>
      </c>
      <c r="CK745" s="14">
        <f t="shared" si="69"/>
        <v>0</v>
      </c>
      <c r="CL745">
        <f t="shared" si="70"/>
        <v>1.51591455826218</v>
      </c>
      <c r="CM745">
        <f t="shared" si="71"/>
        <v>0.226786239975425</v>
      </c>
      <c r="CN745" s="15">
        <v>11436</v>
      </c>
      <c r="CO745" s="15">
        <v>13370.83</v>
      </c>
      <c r="CP745" s="15">
        <v>327.74</v>
      </c>
      <c r="CQ745" s="15">
        <v>1552.63</v>
      </c>
      <c r="CR745" s="15">
        <v>393.15</v>
      </c>
      <c r="CS745" s="15">
        <v>64.01</v>
      </c>
      <c r="CT745" s="15">
        <v>353.08</v>
      </c>
      <c r="CU745" s="15">
        <v>43.11</v>
      </c>
      <c r="CV745" s="15">
        <v>43.84</v>
      </c>
      <c r="CW745" s="15">
        <v>973.88</v>
      </c>
    </row>
    <row r="746" spans="1:101">
      <c r="A746" s="6">
        <v>2019</v>
      </c>
      <c r="B746" s="6" t="s">
        <v>129</v>
      </c>
      <c r="C746" s="6">
        <v>0.4357437</v>
      </c>
      <c r="D746" s="6">
        <v>0.066587</v>
      </c>
      <c r="E746" s="6">
        <v>0.016364</v>
      </c>
      <c r="F746" s="6">
        <v>0.029823</v>
      </c>
      <c r="G746" s="6">
        <v>0.010057</v>
      </c>
      <c r="H746" s="6">
        <v>0.010342</v>
      </c>
      <c r="I746" s="6">
        <v>0.073482</v>
      </c>
      <c r="J746" s="6">
        <v>0.038416</v>
      </c>
      <c r="K746" s="6">
        <v>0.47074527</v>
      </c>
      <c r="L746" s="6">
        <v>0.34640204</v>
      </c>
      <c r="M746" s="6">
        <v>0.41545751</v>
      </c>
      <c r="N746" s="6">
        <v>0.26879136</v>
      </c>
      <c r="O746" s="6">
        <v>0.2799249</v>
      </c>
      <c r="P746" s="6">
        <v>0.72867935</v>
      </c>
      <c r="Q746" s="6">
        <v>0.61645288</v>
      </c>
      <c r="R746" s="6">
        <v>217.69486</v>
      </c>
      <c r="S746" s="6">
        <v>0.00216241</v>
      </c>
      <c r="T746" s="6">
        <v>169.97573</v>
      </c>
      <c r="U746" s="6">
        <v>0.00203795</v>
      </c>
      <c r="V746" s="6">
        <v>197.11803</v>
      </c>
      <c r="W746" s="6">
        <v>0.00210766</v>
      </c>
      <c r="X746" s="6">
        <v>134.47093</v>
      </c>
      <c r="Y746" s="6">
        <v>0.00199888</v>
      </c>
      <c r="Z746" s="6">
        <v>134.86767</v>
      </c>
      <c r="AA746" s="6">
        <v>0.00207555</v>
      </c>
      <c r="AB746" s="6">
        <v>294.9318</v>
      </c>
      <c r="AC746" s="6">
        <v>0.00247067</v>
      </c>
      <c r="AD746" s="6">
        <v>243.86163</v>
      </c>
      <c r="AE746" s="6">
        <v>0.00252788</v>
      </c>
      <c r="AF746" s="6">
        <v>775</v>
      </c>
      <c r="AG746" s="6">
        <v>-0.01326969</v>
      </c>
      <c r="AH746" s="6">
        <v>-0.01262675</v>
      </c>
      <c r="AI746" s="6">
        <v>-0.01298777</v>
      </c>
      <c r="AJ746" s="6">
        <v>-0.01242338</v>
      </c>
      <c r="AK746" s="6">
        <v>-0.01282178</v>
      </c>
      <c r="AL746" s="6">
        <v>-0.01483209</v>
      </c>
      <c r="AM746" s="6">
        <v>-0.01511767</v>
      </c>
      <c r="AN746" s="6">
        <v>-6.4762184</v>
      </c>
      <c r="AO746" s="6">
        <v>-6.4515561</v>
      </c>
      <c r="AP746" s="6">
        <v>-6.4739881</v>
      </c>
      <c r="AQ746" s="6">
        <v>-6.4253629</v>
      </c>
      <c r="AR746" s="6">
        <v>-6.4020076</v>
      </c>
      <c r="AS746" s="6">
        <v>-6.4618417</v>
      </c>
      <c r="AT746" s="6">
        <v>-6.4506396</v>
      </c>
      <c r="AU746" s="6">
        <v>0.97344833</v>
      </c>
      <c r="AV746" s="6">
        <v>0.96974131</v>
      </c>
      <c r="AW746" s="6">
        <v>0.97311308</v>
      </c>
      <c r="AX746" s="6">
        <v>0.96580418</v>
      </c>
      <c r="AY746" s="6">
        <v>0.96229362</v>
      </c>
      <c r="AZ746" s="6">
        <v>0.97128734</v>
      </c>
      <c r="BA746" s="6">
        <v>0.96960354</v>
      </c>
      <c r="BB746" s="6">
        <v>0.02655167</v>
      </c>
      <c r="BC746" s="6">
        <v>0.03025869</v>
      </c>
      <c r="BD746" s="6">
        <v>0.02688692</v>
      </c>
      <c r="BE746" s="6">
        <v>0.03419582</v>
      </c>
      <c r="BF746" s="6">
        <v>0.03770638</v>
      </c>
      <c r="BG746" s="6">
        <v>0.02871266</v>
      </c>
      <c r="BH746" s="6">
        <v>0.03039646</v>
      </c>
      <c r="BI746" s="6">
        <v>0.21470859</v>
      </c>
      <c r="BJ746" s="6">
        <v>0.12366373</v>
      </c>
      <c r="BK746" s="6">
        <v>0.1409291</v>
      </c>
      <c r="BL746" s="6">
        <v>0.12522516</v>
      </c>
      <c r="BM746" s="6">
        <v>0.1592662</v>
      </c>
      <c r="BN746" s="6">
        <v>0.17561655</v>
      </c>
      <c r="BO746" s="6">
        <v>0.1337285</v>
      </c>
      <c r="BP746" s="6">
        <v>0.14157076</v>
      </c>
      <c r="BQ746" s="6">
        <v>0.05821412</v>
      </c>
      <c r="BR746" s="6">
        <v>0.04881813</v>
      </c>
      <c r="BS746" s="6">
        <v>0.05202573</v>
      </c>
      <c r="BT746" s="6">
        <v>0.04280938</v>
      </c>
      <c r="BU746" s="6">
        <v>0.04915944</v>
      </c>
      <c r="BV746" s="6">
        <v>0.09744519</v>
      </c>
      <c r="BW746" s="6">
        <v>0.0872717</v>
      </c>
      <c r="BX746" s="12">
        <v>11614</v>
      </c>
      <c r="BY746" s="13">
        <v>3255</v>
      </c>
      <c r="BZ746" s="12">
        <v>13612.68</v>
      </c>
      <c r="CA746" s="6">
        <f t="shared" si="72"/>
        <v>3.56804915514593</v>
      </c>
      <c r="CB746" s="6">
        <f t="shared" si="73"/>
        <v>0.853175127895462</v>
      </c>
      <c r="CC746" s="7">
        <v>192390290.2</v>
      </c>
      <c r="CD746" s="7">
        <f t="shared" si="68"/>
        <v>1.41331677671112</v>
      </c>
      <c r="CE746" s="8">
        <v>2086.7</v>
      </c>
      <c r="CF746" s="8">
        <v>26299.5</v>
      </c>
      <c r="CG746" s="8">
        <v>34075.8</v>
      </c>
      <c r="CH746" s="8">
        <v>98770</v>
      </c>
      <c r="CI746" s="14">
        <v>1</v>
      </c>
      <c r="CJ746" s="14">
        <v>0</v>
      </c>
      <c r="CK746" s="14">
        <f t="shared" si="69"/>
        <v>0</v>
      </c>
      <c r="CL746">
        <f t="shared" si="70"/>
        <v>1.5000536746505</v>
      </c>
      <c r="CM746">
        <f t="shared" si="71"/>
        <v>0.0578225295568761</v>
      </c>
      <c r="CN746" s="15">
        <v>11614</v>
      </c>
      <c r="CO746" s="15">
        <v>14142.64</v>
      </c>
      <c r="CP746" s="15">
        <v>373.82</v>
      </c>
      <c r="CQ746" s="15">
        <v>1534.76</v>
      </c>
      <c r="CR746" s="15">
        <v>430.27</v>
      </c>
      <c r="CS746" s="15">
        <v>69.77</v>
      </c>
      <c r="CT746" s="15">
        <v>392.18</v>
      </c>
      <c r="CU746" s="15">
        <v>20.95</v>
      </c>
      <c r="CV746" s="15">
        <v>44.37</v>
      </c>
      <c r="CW746" s="15">
        <v>995.63</v>
      </c>
    </row>
    <row r="747" spans="1:101">
      <c r="A747" s="6">
        <v>2020</v>
      </c>
      <c r="B747" s="6" t="s">
        <v>129</v>
      </c>
      <c r="C747" s="6">
        <v>0.38651585</v>
      </c>
      <c r="D747" s="6">
        <v>0.062768</v>
      </c>
      <c r="E747" s="6">
        <v>0.016159</v>
      </c>
      <c r="F747" s="6">
        <v>0.029076</v>
      </c>
      <c r="G747" s="6">
        <v>0.01003</v>
      </c>
      <c r="H747" s="6">
        <v>0.007503</v>
      </c>
      <c r="I747" s="6">
        <v>0.065957</v>
      </c>
      <c r="J747" s="6">
        <v>0.031706</v>
      </c>
      <c r="K747" s="6">
        <v>0.44078471</v>
      </c>
      <c r="L747" s="6">
        <v>0.34154578</v>
      </c>
      <c r="M747" s="6">
        <v>0.40396615</v>
      </c>
      <c r="N747" s="6">
        <v>0.26799027</v>
      </c>
      <c r="O747" s="6">
        <v>0.19387941</v>
      </c>
      <c r="P747" s="6">
        <v>0.64485492</v>
      </c>
      <c r="Q747" s="6">
        <v>0.49671694</v>
      </c>
      <c r="R747" s="6">
        <v>217.69486</v>
      </c>
      <c r="S747" s="6">
        <v>0.00202478</v>
      </c>
      <c r="T747" s="6">
        <v>169.97573</v>
      </c>
      <c r="U747" s="6">
        <v>0.00200938</v>
      </c>
      <c r="V747" s="6">
        <v>197.11803</v>
      </c>
      <c r="W747" s="6">
        <v>0.00204936</v>
      </c>
      <c r="X747" s="6">
        <v>134.47093</v>
      </c>
      <c r="Y747" s="6">
        <v>0.00199292</v>
      </c>
      <c r="Z747" s="6">
        <v>134.86767</v>
      </c>
      <c r="AA747" s="6">
        <v>0.00143755</v>
      </c>
      <c r="AB747" s="6">
        <v>294.9318</v>
      </c>
      <c r="AC747" s="6">
        <v>0.00218645</v>
      </c>
      <c r="AD747" s="6">
        <v>243.86163</v>
      </c>
      <c r="AE747" s="6">
        <v>0.00203688</v>
      </c>
      <c r="AF747" s="6">
        <v>775</v>
      </c>
      <c r="AG747" s="6">
        <v>-0.01255829</v>
      </c>
      <c r="AH747" s="6">
        <v>-0.01247811</v>
      </c>
      <c r="AI747" s="6">
        <v>-0.01268601</v>
      </c>
      <c r="AJ747" s="6">
        <v>-0.0123923</v>
      </c>
      <c r="AK747" s="6">
        <v>-0.00940851</v>
      </c>
      <c r="AL747" s="6">
        <v>-0.01339307</v>
      </c>
      <c r="AM747" s="6">
        <v>-0.01262119</v>
      </c>
      <c r="AN747" s="6">
        <v>-6.4762184</v>
      </c>
      <c r="AO747" s="6">
        <v>-6.4515561</v>
      </c>
      <c r="AP747" s="6">
        <v>-6.4739881</v>
      </c>
      <c r="AQ747" s="6">
        <v>-6.4253629</v>
      </c>
      <c r="AR747" s="6">
        <v>-6.4020076</v>
      </c>
      <c r="AS747" s="6">
        <v>-6.4618417</v>
      </c>
      <c r="AT747" s="6">
        <v>-6.4506396</v>
      </c>
      <c r="AU747" s="6">
        <v>0.97344833</v>
      </c>
      <c r="AV747" s="6">
        <v>0.96974131</v>
      </c>
      <c r="AW747" s="6">
        <v>0.97311308</v>
      </c>
      <c r="AX747" s="6">
        <v>0.96580418</v>
      </c>
      <c r="AY747" s="6">
        <v>0.96229362</v>
      </c>
      <c r="AZ747" s="6">
        <v>0.97128734</v>
      </c>
      <c r="BA747" s="6">
        <v>0.96960354</v>
      </c>
      <c r="BB747" s="6">
        <v>0.02655167</v>
      </c>
      <c r="BC747" s="6">
        <v>0.03025869</v>
      </c>
      <c r="BD747" s="6">
        <v>0.02688692</v>
      </c>
      <c r="BE747" s="6">
        <v>0.03419582</v>
      </c>
      <c r="BF747" s="6">
        <v>0.03770638</v>
      </c>
      <c r="BG747" s="6">
        <v>0.02871266</v>
      </c>
      <c r="BH747" s="6">
        <v>0.03039646</v>
      </c>
      <c r="BI747" s="6">
        <v>0.21470859</v>
      </c>
      <c r="BJ747" s="6">
        <v>0.12366373</v>
      </c>
      <c r="BK747" s="6">
        <v>0.1409291</v>
      </c>
      <c r="BL747" s="6">
        <v>0.12522516</v>
      </c>
      <c r="BM747" s="6">
        <v>0.1592662</v>
      </c>
      <c r="BN747" s="6">
        <v>0.17561655</v>
      </c>
      <c r="BO747" s="6">
        <v>0.1337285</v>
      </c>
      <c r="BP747" s="6">
        <v>0.14157076</v>
      </c>
      <c r="BQ747" s="6">
        <v>0.05450908</v>
      </c>
      <c r="BR747" s="6">
        <v>0.04813374</v>
      </c>
      <c r="BS747" s="6">
        <v>0.05058673</v>
      </c>
      <c r="BT747" s="6">
        <v>0.04268179</v>
      </c>
      <c r="BU747" s="6">
        <v>0.03404843</v>
      </c>
      <c r="BV747" s="6">
        <v>0.08623548</v>
      </c>
      <c r="BW747" s="6">
        <v>0.0703206</v>
      </c>
      <c r="BX747" s="12">
        <v>11525.1</v>
      </c>
      <c r="BY747" s="13">
        <v>3170.91</v>
      </c>
      <c r="BZ747" s="12">
        <v>13698.5</v>
      </c>
      <c r="CA747" s="6">
        <f t="shared" si="72"/>
        <v>3.6346348524556</v>
      </c>
      <c r="CB747" s="6">
        <f t="shared" si="73"/>
        <v>0.841340292732781</v>
      </c>
      <c r="CC747" s="7">
        <v>194920682.3</v>
      </c>
      <c r="CD747" s="7">
        <f t="shared" si="68"/>
        <v>1.42293449866774</v>
      </c>
      <c r="CE747" s="8">
        <v>2166.3</v>
      </c>
      <c r="CF747" s="8">
        <v>26361.5</v>
      </c>
      <c r="CG747" s="8">
        <v>36161.3</v>
      </c>
      <c r="CH747" s="8">
        <v>100738</v>
      </c>
      <c r="CI747" s="14">
        <v>1</v>
      </c>
      <c r="CJ747" s="14">
        <v>0</v>
      </c>
      <c r="CK747" s="14">
        <f t="shared" si="69"/>
        <v>0</v>
      </c>
      <c r="CL747">
        <f t="shared" si="70"/>
        <v>1.47141701078949</v>
      </c>
      <c r="CM747">
        <f t="shared" si="71"/>
        <v>0.0329495389588688</v>
      </c>
      <c r="CN747" s="15">
        <v>11525.1</v>
      </c>
      <c r="CO747" s="15">
        <v>13964.33</v>
      </c>
      <c r="CP747" s="15">
        <v>383.9</v>
      </c>
      <c r="CQ747" s="15">
        <v>1685.99</v>
      </c>
      <c r="CR747" s="15">
        <v>401.14</v>
      </c>
      <c r="CS747" s="15">
        <v>52.1</v>
      </c>
      <c r="CT747" s="15">
        <v>397.17</v>
      </c>
      <c r="CU747" s="15">
        <v>24.56</v>
      </c>
      <c r="CV747" s="15">
        <v>46.68</v>
      </c>
      <c r="CW747" s="15">
        <v>1014</v>
      </c>
    </row>
    <row r="748" spans="1:101">
      <c r="A748" s="6">
        <v>2021</v>
      </c>
      <c r="B748" s="6" t="s">
        <v>129</v>
      </c>
      <c r="C748" s="6">
        <v>0.42975256</v>
      </c>
      <c r="D748" s="6">
        <v>0.065633</v>
      </c>
      <c r="E748" s="6">
        <v>0.017256</v>
      </c>
      <c r="F748" s="6">
        <v>0.029564</v>
      </c>
      <c r="G748" s="6">
        <v>0.009417</v>
      </c>
      <c r="H748" s="6">
        <v>0.009396</v>
      </c>
      <c r="I748" s="6">
        <v>0.07508</v>
      </c>
      <c r="J748" s="6">
        <v>0.037678</v>
      </c>
      <c r="K748" s="6">
        <v>0.46326007</v>
      </c>
      <c r="L748" s="6">
        <v>0.36749129</v>
      </c>
      <c r="M748" s="6">
        <v>0.41147678</v>
      </c>
      <c r="N748" s="6">
        <v>0.24986025</v>
      </c>
      <c r="O748" s="6">
        <v>0.25123226</v>
      </c>
      <c r="P748" s="6">
        <v>0.7464717</v>
      </c>
      <c r="Q748" s="6">
        <v>0.60328318</v>
      </c>
      <c r="R748" s="6">
        <v>217.69486</v>
      </c>
      <c r="S748" s="6">
        <v>0.00212802</v>
      </c>
      <c r="T748" s="6">
        <v>169.97573</v>
      </c>
      <c r="U748" s="6">
        <v>0.00216202</v>
      </c>
      <c r="V748" s="6">
        <v>197.11803</v>
      </c>
      <c r="W748" s="6">
        <v>0.00208746</v>
      </c>
      <c r="X748" s="6">
        <v>134.47093</v>
      </c>
      <c r="Y748" s="6">
        <v>0.0018581</v>
      </c>
      <c r="Z748" s="6">
        <v>134.86767</v>
      </c>
      <c r="AA748" s="6">
        <v>0.00186281</v>
      </c>
      <c r="AB748" s="6">
        <v>294.9318</v>
      </c>
      <c r="AC748" s="6">
        <v>0.002531</v>
      </c>
      <c r="AD748" s="6">
        <v>243.86163</v>
      </c>
      <c r="AE748" s="6">
        <v>0.00247387</v>
      </c>
      <c r="AF748" s="6">
        <v>775</v>
      </c>
      <c r="AG748" s="6">
        <v>-0.0130928</v>
      </c>
      <c r="AH748" s="6">
        <v>-0.01326771</v>
      </c>
      <c r="AI748" s="6">
        <v>-0.01288342</v>
      </c>
      <c r="AJ748" s="6">
        <v>-0.0116841</v>
      </c>
      <c r="AK748" s="6">
        <v>-0.01170898</v>
      </c>
      <c r="AL748" s="6">
        <v>-0.01513319</v>
      </c>
      <c r="AM748" s="6">
        <v>-0.01484812</v>
      </c>
      <c r="AN748" s="6">
        <v>-6.4762184</v>
      </c>
      <c r="AO748" s="6">
        <v>-6.4515561</v>
      </c>
      <c r="AP748" s="6">
        <v>-6.4739881</v>
      </c>
      <c r="AQ748" s="6">
        <v>-6.4253629</v>
      </c>
      <c r="AR748" s="6">
        <v>-6.4020076</v>
      </c>
      <c r="AS748" s="6">
        <v>-6.4618417</v>
      </c>
      <c r="AT748" s="6">
        <v>-6.4506396</v>
      </c>
      <c r="AU748" s="6">
        <v>0.97344833</v>
      </c>
      <c r="AV748" s="6">
        <v>0.96974131</v>
      </c>
      <c r="AW748" s="6">
        <v>0.97311308</v>
      </c>
      <c r="AX748" s="6">
        <v>0.96580418</v>
      </c>
      <c r="AY748" s="6">
        <v>0.96229362</v>
      </c>
      <c r="AZ748" s="6">
        <v>0.97128734</v>
      </c>
      <c r="BA748" s="6">
        <v>0.96960354</v>
      </c>
      <c r="BB748" s="6">
        <v>0.02655167</v>
      </c>
      <c r="BC748" s="6">
        <v>0.03025869</v>
      </c>
      <c r="BD748" s="6">
        <v>0.02688692</v>
      </c>
      <c r="BE748" s="6">
        <v>0.03419582</v>
      </c>
      <c r="BF748" s="6">
        <v>0.03770638</v>
      </c>
      <c r="BG748" s="6">
        <v>0.02871266</v>
      </c>
      <c r="BH748" s="6">
        <v>0.03039646</v>
      </c>
      <c r="BI748" s="6">
        <v>0.21470859</v>
      </c>
      <c r="BJ748" s="6">
        <v>0.12366373</v>
      </c>
      <c r="BK748" s="6">
        <v>0.1409291</v>
      </c>
      <c r="BL748" s="6">
        <v>0.12522516</v>
      </c>
      <c r="BM748" s="6">
        <v>0.1592662</v>
      </c>
      <c r="BN748" s="6">
        <v>0.17561655</v>
      </c>
      <c r="BO748" s="6">
        <v>0.1337285</v>
      </c>
      <c r="BP748" s="6">
        <v>0.14157076</v>
      </c>
      <c r="BQ748" s="6">
        <v>0.05728847</v>
      </c>
      <c r="BR748" s="6">
        <v>0.05179022</v>
      </c>
      <c r="BS748" s="6">
        <v>0.05152725</v>
      </c>
      <c r="BT748" s="6">
        <v>0.03979429</v>
      </c>
      <c r="BU748" s="6">
        <v>0.04412054</v>
      </c>
      <c r="BV748" s="6">
        <v>0.09982454</v>
      </c>
      <c r="BW748" s="6">
        <v>0.08540726</v>
      </c>
      <c r="BX748" s="12">
        <v>12191.6</v>
      </c>
      <c r="BY748" s="13">
        <v>3125</v>
      </c>
      <c r="BZ748" s="12">
        <v>14879.2</v>
      </c>
      <c r="CA748" s="6">
        <f t="shared" si="72"/>
        <v>3.901312</v>
      </c>
      <c r="CB748" s="6">
        <f t="shared" si="73"/>
        <v>0.819372009247809</v>
      </c>
      <c r="CC748" s="7">
        <v>204615522</v>
      </c>
      <c r="CD748" s="7">
        <f t="shared" si="68"/>
        <v>1.37517824883058</v>
      </c>
      <c r="CE748" s="8">
        <v>2211.7</v>
      </c>
      <c r="CF748" s="8">
        <v>31174</v>
      </c>
      <c r="CG748" s="8">
        <v>40655.1</v>
      </c>
      <c r="CH748" s="8">
        <v>113839</v>
      </c>
      <c r="CI748" s="14">
        <v>1</v>
      </c>
      <c r="CJ748" s="14">
        <v>0</v>
      </c>
      <c r="CK748" s="14">
        <f t="shared" si="69"/>
        <v>0</v>
      </c>
      <c r="CL748">
        <f t="shared" si="70"/>
        <v>1.36781889095748</v>
      </c>
      <c r="CM748">
        <f t="shared" si="71"/>
        <v>0</v>
      </c>
      <c r="CN748" s="15">
        <v>12191.6</v>
      </c>
      <c r="CO748" s="15">
        <v>15750.99</v>
      </c>
      <c r="CP748" s="15">
        <v>380.71</v>
      </c>
      <c r="CQ748" s="15">
        <v>1758.5</v>
      </c>
      <c r="CR748" s="15">
        <v>501.69</v>
      </c>
      <c r="CS748" s="15">
        <v>53.03</v>
      </c>
      <c r="CT748" s="15">
        <v>381.08</v>
      </c>
      <c r="CU748" s="15">
        <v>71.28</v>
      </c>
      <c r="CV748" s="15">
        <v>49.74</v>
      </c>
      <c r="CW748" s="15">
        <v>1089</v>
      </c>
    </row>
    <row r="749" spans="1:101">
      <c r="A749" s="6">
        <v>2022</v>
      </c>
      <c r="B749" s="6" t="s">
        <v>129</v>
      </c>
      <c r="C749" s="6">
        <v>0.44723547</v>
      </c>
      <c r="D749" s="6">
        <v>0.068396</v>
      </c>
      <c r="E749" s="6">
        <v>0.016615</v>
      </c>
      <c r="F749" s="6">
        <v>0.030849</v>
      </c>
      <c r="G749" s="6">
        <v>0.009893</v>
      </c>
      <c r="H749" s="6">
        <v>0.011039</v>
      </c>
      <c r="I749" s="6">
        <v>0.076879</v>
      </c>
      <c r="J749" s="6">
        <v>0.037995</v>
      </c>
      <c r="K749" s="6">
        <v>0.48493049</v>
      </c>
      <c r="L749" s="6">
        <v>0.35231643</v>
      </c>
      <c r="M749" s="6">
        <v>0.43122341</v>
      </c>
      <c r="N749" s="6">
        <v>0.26394186</v>
      </c>
      <c r="O749" s="6">
        <v>0.3010327</v>
      </c>
      <c r="P749" s="6">
        <v>0.7665071</v>
      </c>
      <c r="Q749" s="6">
        <v>0.60894154</v>
      </c>
      <c r="R749" s="6">
        <v>217.69486</v>
      </c>
      <c r="S749" s="6">
        <v>0.00222757</v>
      </c>
      <c r="T749" s="6">
        <v>169.97573</v>
      </c>
      <c r="U749" s="6">
        <v>0.00207275</v>
      </c>
      <c r="V749" s="6">
        <v>197.11803</v>
      </c>
      <c r="W749" s="6">
        <v>0.00218764</v>
      </c>
      <c r="X749" s="6">
        <v>134.47093</v>
      </c>
      <c r="Y749" s="6">
        <v>0.00196282</v>
      </c>
      <c r="Z749" s="6">
        <v>134.86767</v>
      </c>
      <c r="AA749" s="6">
        <v>0.00223206</v>
      </c>
      <c r="AB749" s="6">
        <v>294.9318</v>
      </c>
      <c r="AC749" s="6">
        <v>0.00259893</v>
      </c>
      <c r="AD749" s="6">
        <v>243.86163</v>
      </c>
      <c r="AE749" s="6">
        <v>0.00249708</v>
      </c>
      <c r="AF749" s="6">
        <v>775</v>
      </c>
      <c r="AG749" s="6">
        <v>-0.01360342</v>
      </c>
      <c r="AH749" s="6">
        <v>-0.01280725</v>
      </c>
      <c r="AI749" s="6">
        <v>-0.01339915</v>
      </c>
      <c r="AJ749" s="6">
        <v>-0.01223497</v>
      </c>
      <c r="AK749" s="6">
        <v>-0.01362635</v>
      </c>
      <c r="AL749" s="6">
        <v>-0.01547054</v>
      </c>
      <c r="AM749" s="6">
        <v>-0.01496408</v>
      </c>
      <c r="AN749" s="6">
        <v>-6.4762184</v>
      </c>
      <c r="AO749" s="6">
        <v>-6.4515561</v>
      </c>
      <c r="AP749" s="6">
        <v>-6.4739881</v>
      </c>
      <c r="AQ749" s="6">
        <v>-6.4253629</v>
      </c>
      <c r="AR749" s="6">
        <v>-6.4020076</v>
      </c>
      <c r="AS749" s="6">
        <v>-6.4618417</v>
      </c>
      <c r="AT749" s="6">
        <v>-6.4506396</v>
      </c>
      <c r="AU749" s="6">
        <v>0.97344833</v>
      </c>
      <c r="AV749" s="6">
        <v>0.96974131</v>
      </c>
      <c r="AW749" s="6">
        <v>0.97311308</v>
      </c>
      <c r="AX749" s="6">
        <v>0.96580418</v>
      </c>
      <c r="AY749" s="6">
        <v>0.96229362</v>
      </c>
      <c r="AZ749" s="6">
        <v>0.97128734</v>
      </c>
      <c r="BA749" s="6">
        <v>0.96960354</v>
      </c>
      <c r="BB749" s="6">
        <v>0.02655167</v>
      </c>
      <c r="BC749" s="6">
        <v>0.03025869</v>
      </c>
      <c r="BD749" s="6">
        <v>0.02688692</v>
      </c>
      <c r="BE749" s="6">
        <v>0.03419582</v>
      </c>
      <c r="BF749" s="6">
        <v>0.03770638</v>
      </c>
      <c r="BG749" s="6">
        <v>0.02871266</v>
      </c>
      <c r="BH749" s="6">
        <v>0.03039646</v>
      </c>
      <c r="BI749" s="6">
        <v>0.21470859</v>
      </c>
      <c r="BJ749" s="6">
        <v>0.12366373</v>
      </c>
      <c r="BK749" s="6">
        <v>0.1409291</v>
      </c>
      <c r="BL749" s="6">
        <v>0.12522516</v>
      </c>
      <c r="BM749" s="6">
        <v>0.1592662</v>
      </c>
      <c r="BN749" s="6">
        <v>0.17561655</v>
      </c>
      <c r="BO749" s="6">
        <v>0.1337285</v>
      </c>
      <c r="BP749" s="6">
        <v>0.14157076</v>
      </c>
      <c r="BQ749" s="6">
        <v>0.05996831</v>
      </c>
      <c r="BR749" s="6">
        <v>0.04965164</v>
      </c>
      <c r="BS749" s="6">
        <v>0.05400002</v>
      </c>
      <c r="BT749" s="6">
        <v>0.04203702</v>
      </c>
      <c r="BU749" s="6">
        <v>0.05286632</v>
      </c>
      <c r="BV749" s="6">
        <v>0.10250384</v>
      </c>
      <c r="BW749" s="6">
        <v>0.08620832</v>
      </c>
      <c r="BX749" s="12">
        <v>12035</v>
      </c>
      <c r="BY749" s="13">
        <v>3099</v>
      </c>
      <c r="BZ749" s="12">
        <v>15901</v>
      </c>
      <c r="CA749" s="6">
        <f t="shared" si="72"/>
        <v>3.88351080993869</v>
      </c>
      <c r="CB749" s="6">
        <f t="shared" si="73"/>
        <v>0.756870637066851</v>
      </c>
      <c r="CC749" s="7">
        <v>204734875.2</v>
      </c>
      <c r="CD749" s="7">
        <f t="shared" si="68"/>
        <v>1.28755974592793</v>
      </c>
      <c r="CE749" s="8">
        <v>2185.2</v>
      </c>
      <c r="CF749" s="8">
        <v>32973.8</v>
      </c>
      <c r="CG749" s="8">
        <v>42901.6</v>
      </c>
      <c r="CH749" s="8">
        <v>119022</v>
      </c>
      <c r="CI749" s="14">
        <v>1</v>
      </c>
      <c r="CJ749" s="14">
        <v>0</v>
      </c>
      <c r="CK749" s="14">
        <f t="shared" si="69"/>
        <v>0</v>
      </c>
      <c r="CL749">
        <f t="shared" si="70"/>
        <v>1.27047633725244</v>
      </c>
      <c r="CM749">
        <f t="shared" si="71"/>
        <v>0</v>
      </c>
      <c r="CN749" s="15">
        <v>12035</v>
      </c>
      <c r="CO749" s="15">
        <v>15594.34</v>
      </c>
      <c r="CP749" s="15">
        <v>386.76</v>
      </c>
      <c r="CQ749" s="15">
        <v>1701.68</v>
      </c>
      <c r="CR749" s="15">
        <v>512.01</v>
      </c>
      <c r="CS749" s="15">
        <v>41.14</v>
      </c>
      <c r="CT749" s="15">
        <v>421.87</v>
      </c>
      <c r="CU749" s="15">
        <v>20.14</v>
      </c>
      <c r="CV749" s="15">
        <v>55.2</v>
      </c>
      <c r="CW749" s="15">
        <v>1179.81</v>
      </c>
    </row>
    <row r="750" spans="1:101">
      <c r="A750" s="6">
        <v>2023</v>
      </c>
      <c r="B750" s="6" t="s">
        <v>129</v>
      </c>
      <c r="C750" s="6">
        <v>0.63692798</v>
      </c>
      <c r="D750" s="6">
        <v>0.079653</v>
      </c>
      <c r="E750" s="6">
        <v>0.024468</v>
      </c>
      <c r="F750" s="6">
        <v>0.040629</v>
      </c>
      <c r="G750" s="6">
        <v>0.018864</v>
      </c>
      <c r="H750" s="6">
        <v>0.021177</v>
      </c>
      <c r="I750" s="6">
        <v>0.087172</v>
      </c>
      <c r="J750" s="6">
        <v>0.046807</v>
      </c>
      <c r="K750" s="6">
        <v>0.57323601</v>
      </c>
      <c r="L750" s="6">
        <v>0.53798542</v>
      </c>
      <c r="M750" s="6">
        <v>0.58153453</v>
      </c>
      <c r="N750" s="6">
        <v>0.52912973</v>
      </c>
      <c r="O750" s="6">
        <v>0.60827048</v>
      </c>
      <c r="P750" s="6">
        <v>0.88116198</v>
      </c>
      <c r="Q750" s="6">
        <v>0.76617238</v>
      </c>
      <c r="R750" s="6">
        <v>217.69486</v>
      </c>
      <c r="S750" s="6">
        <v>0.00263321</v>
      </c>
      <c r="T750" s="6">
        <v>169.97573</v>
      </c>
      <c r="U750" s="6">
        <v>0.00316507</v>
      </c>
      <c r="V750" s="6">
        <v>197.11803</v>
      </c>
      <c r="W750" s="6">
        <v>0.00295018</v>
      </c>
      <c r="X750" s="6">
        <v>134.47093</v>
      </c>
      <c r="Y750" s="6">
        <v>0.0039349</v>
      </c>
      <c r="Z750" s="6">
        <v>134.86767</v>
      </c>
      <c r="AA750" s="6">
        <v>0.00451013</v>
      </c>
      <c r="AB750" s="6">
        <v>294.9318</v>
      </c>
      <c r="AC750" s="6">
        <v>0.00298768</v>
      </c>
      <c r="AD750" s="6">
        <v>243.86163</v>
      </c>
      <c r="AE750" s="6">
        <v>0.00314183</v>
      </c>
      <c r="AF750" s="6">
        <v>775</v>
      </c>
      <c r="AG750" s="6">
        <v>-0.01564008</v>
      </c>
      <c r="AH750" s="6">
        <v>-0.01821682</v>
      </c>
      <c r="AI750" s="6">
        <v>-0.01718744</v>
      </c>
      <c r="AJ750" s="6">
        <v>-0.02179097</v>
      </c>
      <c r="AK750" s="6">
        <v>-0.02436114</v>
      </c>
      <c r="AL750" s="6">
        <v>-0.01736816</v>
      </c>
      <c r="AM750" s="6">
        <v>-0.01810622</v>
      </c>
      <c r="AN750" s="6">
        <v>-6.4762184</v>
      </c>
      <c r="AO750" s="6">
        <v>-6.4515561</v>
      </c>
      <c r="AP750" s="6">
        <v>-6.4739881</v>
      </c>
      <c r="AQ750" s="6">
        <v>-6.4253629</v>
      </c>
      <c r="AR750" s="6">
        <v>-6.4020076</v>
      </c>
      <c r="AS750" s="6">
        <v>-6.4618417</v>
      </c>
      <c r="AT750" s="6">
        <v>-6.4506396</v>
      </c>
      <c r="AU750" s="6">
        <v>0.97344833</v>
      </c>
      <c r="AV750" s="6">
        <v>0.96974131</v>
      </c>
      <c r="AW750" s="6">
        <v>0.97311308</v>
      </c>
      <c r="AX750" s="6">
        <v>0.96580418</v>
      </c>
      <c r="AY750" s="6">
        <v>0.96229362</v>
      </c>
      <c r="AZ750" s="6">
        <v>0.97128734</v>
      </c>
      <c r="BA750" s="6">
        <v>0.96960354</v>
      </c>
      <c r="BB750" s="6">
        <v>0.02655167</v>
      </c>
      <c r="BC750" s="6">
        <v>0.03025869</v>
      </c>
      <c r="BD750" s="6">
        <v>0.02688692</v>
      </c>
      <c r="BE750" s="6">
        <v>0.03419582</v>
      </c>
      <c r="BF750" s="6">
        <v>0.03770638</v>
      </c>
      <c r="BG750" s="6">
        <v>0.02871266</v>
      </c>
      <c r="BH750" s="6">
        <v>0.03039646</v>
      </c>
      <c r="BI750" s="6">
        <v>0.21470859</v>
      </c>
      <c r="BJ750" s="6">
        <v>0.12366373</v>
      </c>
      <c r="BK750" s="6">
        <v>0.1409291</v>
      </c>
      <c r="BL750" s="6">
        <v>0.12522516</v>
      </c>
      <c r="BM750" s="6">
        <v>0.1592662</v>
      </c>
      <c r="BN750" s="6">
        <v>0.17561655</v>
      </c>
      <c r="BO750" s="6">
        <v>0.1337285</v>
      </c>
      <c r="BP750" s="6">
        <v>0.14157076</v>
      </c>
      <c r="BQ750" s="6">
        <v>0.0708885</v>
      </c>
      <c r="BR750" s="6">
        <v>0.0758178</v>
      </c>
      <c r="BS750" s="6">
        <v>0.07282275</v>
      </c>
      <c r="BT750" s="6">
        <v>0.08427248</v>
      </c>
      <c r="BU750" s="6">
        <v>0.10682236</v>
      </c>
      <c r="BV750" s="6">
        <v>0.11783647</v>
      </c>
      <c r="BW750" s="6">
        <v>0.10846761</v>
      </c>
      <c r="BX750" s="12">
        <v>12067.4945</v>
      </c>
      <c r="BY750" s="13">
        <v>3062</v>
      </c>
      <c r="BZ750" s="12">
        <v>15883.9</v>
      </c>
      <c r="CA750" s="6">
        <f t="shared" si="72"/>
        <v>3.94104980404964</v>
      </c>
      <c r="CB750" s="6">
        <f t="shared" si="73"/>
        <v>0.759731205812175</v>
      </c>
      <c r="CC750" s="7">
        <v>209894471.9</v>
      </c>
      <c r="CD750" s="7">
        <f t="shared" si="68"/>
        <v>1.32142906905735</v>
      </c>
      <c r="CE750" s="8">
        <v>2332</v>
      </c>
      <c r="CF750" s="8">
        <v>33952.7</v>
      </c>
      <c r="CG750" s="8">
        <v>46268.6</v>
      </c>
      <c r="CH750" s="8">
        <v>125043</v>
      </c>
      <c r="CI750" s="14">
        <v>1</v>
      </c>
      <c r="CJ750" s="14">
        <v>0</v>
      </c>
      <c r="CK750" s="14">
        <f t="shared" si="69"/>
        <v>0</v>
      </c>
      <c r="CL750">
        <f t="shared" si="70"/>
        <v>1.2756783895882</v>
      </c>
      <c r="CM750">
        <f t="shared" si="71"/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</row>
    <row r="751" spans="1:101">
      <c r="A751" s="6">
        <v>2024</v>
      </c>
      <c r="B751" s="6" t="s">
        <v>129</v>
      </c>
      <c r="C751" s="6">
        <v>0.71469352</v>
      </c>
      <c r="D751" s="6">
        <v>0.082458</v>
      </c>
      <c r="E751" s="6">
        <v>0.02667</v>
      </c>
      <c r="F751" s="6">
        <v>0.042984</v>
      </c>
      <c r="G751" s="6">
        <v>0.022282</v>
      </c>
      <c r="H751" s="6">
        <v>0.026309</v>
      </c>
      <c r="I751" s="6">
        <v>0.093891</v>
      </c>
      <c r="J751" s="6">
        <v>0.050675</v>
      </c>
      <c r="K751" s="6">
        <v>0.59523462</v>
      </c>
      <c r="L751" s="6">
        <v>0.59005022</v>
      </c>
      <c r="M751" s="6">
        <v>0.61773022</v>
      </c>
      <c r="N751" s="6">
        <v>0.63015488</v>
      </c>
      <c r="O751" s="6">
        <v>0.76377377</v>
      </c>
      <c r="P751" s="6">
        <v>0.95599459</v>
      </c>
      <c r="Q751" s="6">
        <v>0.83517643</v>
      </c>
      <c r="R751" s="6">
        <v>217.69486</v>
      </c>
      <c r="S751" s="6">
        <v>0.00273426</v>
      </c>
      <c r="T751" s="6">
        <v>169.97573</v>
      </c>
      <c r="U751" s="6">
        <v>0.00347138</v>
      </c>
      <c r="V751" s="6">
        <v>197.11803</v>
      </c>
      <c r="W751" s="6">
        <v>0.00313381</v>
      </c>
      <c r="X751" s="6">
        <v>134.47093</v>
      </c>
      <c r="Y751" s="6">
        <v>0.00468618</v>
      </c>
      <c r="Z751" s="6">
        <v>134.86767</v>
      </c>
      <c r="AA751" s="6">
        <v>0.00566313</v>
      </c>
      <c r="AB751" s="6">
        <v>294.9318</v>
      </c>
      <c r="AC751" s="6">
        <v>0.00324141</v>
      </c>
      <c r="AD751" s="6">
        <v>243.86163</v>
      </c>
      <c r="AE751" s="6">
        <v>0.0034248</v>
      </c>
      <c r="AF751" s="6">
        <v>775</v>
      </c>
      <c r="AG751" s="6">
        <v>-0.01613732</v>
      </c>
      <c r="AH751" s="6">
        <v>-0.01965913</v>
      </c>
      <c r="AI751" s="6">
        <v>-0.01806799</v>
      </c>
      <c r="AJ751" s="6">
        <v>-0.02513262</v>
      </c>
      <c r="AK751" s="6">
        <v>-0.0292998</v>
      </c>
      <c r="AL751" s="6">
        <v>-0.01857894</v>
      </c>
      <c r="AM751" s="6">
        <v>-0.01944159</v>
      </c>
      <c r="AN751" s="6">
        <v>-6.4762184</v>
      </c>
      <c r="AO751" s="6">
        <v>-6.4515561</v>
      </c>
      <c r="AP751" s="6">
        <v>-6.4739881</v>
      </c>
      <c r="AQ751" s="6">
        <v>-6.4253629</v>
      </c>
      <c r="AR751" s="6">
        <v>-6.4020076</v>
      </c>
      <c r="AS751" s="6">
        <v>-6.4618417</v>
      </c>
      <c r="AT751" s="6">
        <v>-6.4506396</v>
      </c>
      <c r="AU751" s="6">
        <v>0.97344833</v>
      </c>
      <c r="AV751" s="6">
        <v>0.96974131</v>
      </c>
      <c r="AW751" s="6">
        <v>0.97311308</v>
      </c>
      <c r="AX751" s="6">
        <v>0.96580418</v>
      </c>
      <c r="AY751" s="6">
        <v>0.96229362</v>
      </c>
      <c r="AZ751" s="6">
        <v>0.97128734</v>
      </c>
      <c r="BA751" s="6">
        <v>0.96960354</v>
      </c>
      <c r="BB751" s="6">
        <v>0.02655167</v>
      </c>
      <c r="BC751" s="6">
        <v>0.03025869</v>
      </c>
      <c r="BD751" s="6">
        <v>0.02688692</v>
      </c>
      <c r="BE751" s="6">
        <v>0.03419582</v>
      </c>
      <c r="BF751" s="6">
        <v>0.03770638</v>
      </c>
      <c r="BG751" s="6">
        <v>0.02871266</v>
      </c>
      <c r="BH751" s="6">
        <v>0.03039646</v>
      </c>
      <c r="BI751" s="6">
        <v>0.21470859</v>
      </c>
      <c r="BJ751" s="6">
        <v>0.12366373</v>
      </c>
      <c r="BK751" s="6">
        <v>0.1409291</v>
      </c>
      <c r="BL751" s="6">
        <v>0.12522516</v>
      </c>
      <c r="BM751" s="6">
        <v>0.1592662</v>
      </c>
      <c r="BN751" s="6">
        <v>0.17561655</v>
      </c>
      <c r="BO751" s="6">
        <v>0.1337285</v>
      </c>
      <c r="BP751" s="6">
        <v>0.14157076</v>
      </c>
      <c r="BQ751" s="6">
        <v>0.07360894</v>
      </c>
      <c r="BR751" s="6">
        <v>0.08315525</v>
      </c>
      <c r="BS751" s="6">
        <v>0.07735536</v>
      </c>
      <c r="BT751" s="6">
        <v>0.10036237</v>
      </c>
      <c r="BU751" s="6">
        <v>0.13413131</v>
      </c>
      <c r="BV751" s="6">
        <v>0.12784372</v>
      </c>
      <c r="BW751" s="6">
        <v>0.11823657</v>
      </c>
      <c r="BX751" s="12">
        <v>12099.989</v>
      </c>
      <c r="BY751" s="13">
        <v>3029</v>
      </c>
      <c r="BZ751" s="12">
        <v>16476.9</v>
      </c>
      <c r="CA751" s="6">
        <f t="shared" si="72"/>
        <v>3.99471409706174</v>
      </c>
      <c r="CB751" s="6">
        <f t="shared" si="73"/>
        <v>0.734360771747113</v>
      </c>
      <c r="CC751" s="7">
        <v>209270462.2</v>
      </c>
      <c r="CD751" s="7">
        <f t="shared" si="68"/>
        <v>1.27008394904381</v>
      </c>
      <c r="CE751" s="8">
        <v>2586.4</v>
      </c>
      <c r="CF751" s="8">
        <v>34782.7</v>
      </c>
      <c r="CG751" s="8">
        <v>52761.4</v>
      </c>
      <c r="CH751" s="8">
        <v>135565</v>
      </c>
      <c r="CI751" s="14">
        <v>1</v>
      </c>
      <c r="CJ751" s="14">
        <v>0</v>
      </c>
      <c r="CK751" s="14">
        <f t="shared" si="69"/>
        <v>0</v>
      </c>
      <c r="CL751">
        <f t="shared" si="70"/>
        <v>1.21200651315194</v>
      </c>
      <c r="CM751">
        <f t="shared" si="71"/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</row>
    <row r="752" spans="1:101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  <c r="AH752" s="18"/>
      <c r="AI752" s="18"/>
      <c r="AJ752" s="18"/>
      <c r="AK752" s="18"/>
      <c r="AL752" s="18"/>
      <c r="AM752" s="18"/>
      <c r="AN752" s="18"/>
      <c r="AO752" s="18"/>
      <c r="AP752" s="18"/>
      <c r="AQ752" s="18"/>
      <c r="AR752" s="18"/>
      <c r="AS752" s="18"/>
      <c r="AT752" s="18"/>
      <c r="AU752" s="18"/>
      <c r="AV752" s="18"/>
      <c r="AW752" s="18"/>
      <c r="AX752" s="18"/>
      <c r="AY752" s="18"/>
      <c r="AZ752" s="18"/>
      <c r="BA752" s="18"/>
      <c r="BB752" s="18"/>
      <c r="BC752" s="18"/>
      <c r="BD752" s="18"/>
      <c r="BE752" s="18"/>
      <c r="BF752" s="18"/>
      <c r="BG752" s="18"/>
      <c r="BH752" s="18"/>
      <c r="BI752" s="18"/>
      <c r="BJ752" s="18"/>
      <c r="BK752" s="18"/>
      <c r="BL752" s="18"/>
      <c r="BM752" s="18"/>
      <c r="BN752" s="18"/>
    </row>
    <row r="753" spans="1:66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  <c r="AH753" s="18"/>
      <c r="AI753" s="18"/>
      <c r="AJ753" s="18"/>
      <c r="AK753" s="18"/>
      <c r="AL753" s="18"/>
      <c r="AM753" s="18"/>
      <c r="AN753" s="18"/>
      <c r="AO753" s="18"/>
      <c r="AP753" s="18"/>
      <c r="AQ753" s="18"/>
      <c r="AR753" s="18"/>
      <c r="AS753" s="18"/>
      <c r="AT753" s="18"/>
      <c r="AU753" s="18"/>
      <c r="AV753" s="18"/>
      <c r="AW753" s="18"/>
      <c r="AX753" s="18"/>
      <c r="AY753" s="18"/>
      <c r="AZ753" s="18"/>
      <c r="BA753" s="18"/>
      <c r="BB753" s="18"/>
      <c r="BC753" s="18"/>
      <c r="BD753" s="18"/>
      <c r="BE753" s="18"/>
      <c r="BF753" s="18"/>
      <c r="BG753" s="18"/>
      <c r="BH753" s="18"/>
      <c r="BI753" s="18"/>
      <c r="BJ753" s="18"/>
      <c r="BK753" s="18"/>
      <c r="BL753" s="18"/>
      <c r="BM753" s="18"/>
      <c r="BN753" s="18"/>
    </row>
    <row r="754" spans="1:66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  <c r="AH754" s="18"/>
      <c r="AI754" s="18"/>
      <c r="AJ754" s="18"/>
      <c r="AK754" s="18"/>
      <c r="AL754" s="18"/>
      <c r="AM754" s="18"/>
      <c r="AN754" s="18"/>
      <c r="AO754" s="18"/>
      <c r="AP754" s="18"/>
      <c r="AQ754" s="18"/>
      <c r="AR754" s="18"/>
      <c r="AS754" s="18"/>
      <c r="AT754" s="18"/>
      <c r="AU754" s="18"/>
      <c r="AV754" s="18"/>
      <c r="AW754" s="18"/>
      <c r="AX754" s="18"/>
      <c r="AY754" s="18"/>
      <c r="AZ754" s="18"/>
      <c r="BA754" s="18"/>
      <c r="BB754" s="18"/>
      <c r="BC754" s="18"/>
      <c r="BD754" s="18"/>
      <c r="BE754" s="18"/>
      <c r="BF754" s="18"/>
      <c r="BG754" s="18"/>
      <c r="BH754" s="18"/>
      <c r="BI754" s="18"/>
      <c r="BJ754" s="18"/>
      <c r="BK754" s="18"/>
      <c r="BL754" s="18"/>
      <c r="BM754" s="18"/>
      <c r="BN754" s="18"/>
    </row>
    <row r="755" spans="1:66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  <c r="AH755" s="18"/>
      <c r="AI755" s="18"/>
      <c r="AJ755" s="18"/>
      <c r="AK755" s="18"/>
      <c r="AL755" s="18"/>
      <c r="AM755" s="18"/>
      <c r="AN755" s="18"/>
      <c r="AO755" s="18"/>
      <c r="AP755" s="18"/>
      <c r="AQ755" s="18"/>
      <c r="AR755" s="18"/>
      <c r="AS755" s="18"/>
      <c r="AT755" s="18"/>
      <c r="AU755" s="18"/>
      <c r="AV755" s="18"/>
      <c r="AW755" s="18"/>
      <c r="AX755" s="18"/>
      <c r="AY755" s="18"/>
      <c r="AZ755" s="18"/>
      <c r="BA755" s="18"/>
      <c r="BB755" s="18"/>
      <c r="BC755" s="18"/>
      <c r="BD755" s="18"/>
      <c r="BE755" s="18"/>
      <c r="BF755" s="18"/>
      <c r="BG755" s="18"/>
      <c r="BH755" s="18"/>
      <c r="BI755" s="18"/>
      <c r="BJ755" s="18"/>
      <c r="BK755" s="18"/>
      <c r="BL755" s="18"/>
      <c r="BM755" s="18"/>
      <c r="BN755" s="18"/>
    </row>
    <row r="756" spans="1:66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  <c r="AH756" s="18"/>
      <c r="AI756" s="18"/>
      <c r="AJ756" s="18"/>
      <c r="AK756" s="18"/>
      <c r="AL756" s="18"/>
      <c r="AM756" s="18"/>
      <c r="AN756" s="18"/>
      <c r="AO756" s="18"/>
      <c r="AP756" s="18"/>
      <c r="AQ756" s="18"/>
      <c r="AR756" s="18"/>
      <c r="AS756" s="18"/>
      <c r="AT756" s="18"/>
      <c r="AU756" s="18"/>
      <c r="AV756" s="18"/>
      <c r="AW756" s="18"/>
      <c r="AX756" s="18"/>
      <c r="AY756" s="18"/>
      <c r="AZ756" s="18"/>
      <c r="BA756" s="18"/>
      <c r="BB756" s="18"/>
      <c r="BC756" s="18"/>
      <c r="BD756" s="18"/>
      <c r="BE756" s="18"/>
      <c r="BF756" s="18"/>
      <c r="BG756" s="18"/>
      <c r="BH756" s="18"/>
      <c r="BI756" s="18"/>
      <c r="BJ756" s="18"/>
      <c r="BK756" s="18"/>
      <c r="BL756" s="18"/>
      <c r="BM756" s="18"/>
      <c r="BN756" s="18"/>
    </row>
    <row r="757" spans="1:66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  <c r="AH757" s="18"/>
      <c r="AI757" s="18"/>
      <c r="AJ757" s="18"/>
      <c r="AK757" s="18"/>
      <c r="AL757" s="18"/>
      <c r="AM757" s="18"/>
      <c r="AN757" s="18"/>
      <c r="AO757" s="18"/>
      <c r="AP757" s="18"/>
      <c r="AQ757" s="18"/>
      <c r="AR757" s="18"/>
      <c r="AS757" s="18"/>
      <c r="AT757" s="18"/>
      <c r="AU757" s="18"/>
      <c r="AV757" s="18"/>
      <c r="AW757" s="18"/>
      <c r="AX757" s="18"/>
      <c r="AY757" s="18"/>
      <c r="AZ757" s="18"/>
      <c r="BA757" s="18"/>
      <c r="BB757" s="18"/>
      <c r="BC757" s="18"/>
      <c r="BD757" s="18"/>
      <c r="BE757" s="18"/>
      <c r="BF757" s="18"/>
      <c r="BG757" s="18"/>
      <c r="BH757" s="18"/>
      <c r="BI757" s="18"/>
      <c r="BJ757" s="18"/>
      <c r="BK757" s="18"/>
      <c r="BL757" s="18"/>
      <c r="BM757" s="18"/>
      <c r="BN757" s="18"/>
    </row>
    <row r="758" spans="1:66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  <c r="AH758" s="18"/>
      <c r="AI758" s="18"/>
      <c r="AJ758" s="18"/>
      <c r="AK758" s="18"/>
      <c r="AL758" s="18"/>
      <c r="AM758" s="18"/>
      <c r="AN758" s="18"/>
      <c r="AO758" s="18"/>
      <c r="AP758" s="18"/>
      <c r="AQ758" s="18"/>
      <c r="AR758" s="18"/>
      <c r="AS758" s="18"/>
      <c r="AT758" s="18"/>
      <c r="AU758" s="18"/>
      <c r="AV758" s="18"/>
      <c r="AW758" s="18"/>
      <c r="AX758" s="18"/>
      <c r="AY758" s="18"/>
      <c r="AZ758" s="18"/>
      <c r="BA758" s="18"/>
      <c r="BB758" s="18"/>
      <c r="BC758" s="18"/>
      <c r="BD758" s="18"/>
      <c r="BE758" s="18"/>
      <c r="BF758" s="18"/>
      <c r="BG758" s="18"/>
      <c r="BH758" s="18"/>
      <c r="BI758" s="18"/>
      <c r="BJ758" s="18"/>
      <c r="BK758" s="18"/>
      <c r="BL758" s="18"/>
      <c r="BM758" s="18"/>
      <c r="BN758" s="18"/>
    </row>
    <row r="759" spans="1:66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  <c r="AH759" s="18"/>
      <c r="AI759" s="18"/>
      <c r="AJ759" s="18"/>
      <c r="AK759" s="18"/>
      <c r="AL759" s="18"/>
      <c r="AM759" s="18"/>
      <c r="AN759" s="18"/>
      <c r="AO759" s="18"/>
      <c r="AP759" s="18"/>
      <c r="AQ759" s="18"/>
      <c r="AR759" s="18"/>
      <c r="AS759" s="18"/>
      <c r="AT759" s="18"/>
      <c r="AU759" s="18"/>
      <c r="AV759" s="18"/>
      <c r="AW759" s="18"/>
      <c r="AX759" s="18"/>
      <c r="AY759" s="18"/>
      <c r="AZ759" s="18"/>
      <c r="BA759" s="18"/>
      <c r="BB759" s="18"/>
      <c r="BC759" s="18"/>
      <c r="BD759" s="18"/>
      <c r="BE759" s="18"/>
      <c r="BF759" s="18"/>
      <c r="BG759" s="18"/>
      <c r="BH759" s="18"/>
      <c r="BI759" s="18"/>
      <c r="BJ759" s="18"/>
      <c r="BK759" s="18"/>
      <c r="BL759" s="18"/>
      <c r="BM759" s="18"/>
      <c r="BN759" s="18"/>
    </row>
    <row r="760" spans="1:66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  <c r="AH760" s="18"/>
      <c r="AI760" s="18"/>
      <c r="AJ760" s="18"/>
      <c r="AK760" s="18"/>
      <c r="AL760" s="18"/>
      <c r="AM760" s="18"/>
      <c r="AN760" s="18"/>
      <c r="AO760" s="18"/>
      <c r="AP760" s="18"/>
      <c r="AQ760" s="18"/>
      <c r="AR760" s="18"/>
      <c r="AS760" s="18"/>
      <c r="AT760" s="18"/>
      <c r="AU760" s="18"/>
      <c r="AV760" s="18"/>
      <c r="AW760" s="18"/>
      <c r="AX760" s="18"/>
      <c r="AY760" s="18"/>
      <c r="AZ760" s="18"/>
      <c r="BA760" s="18"/>
      <c r="BB760" s="18"/>
      <c r="BC760" s="18"/>
      <c r="BD760" s="18"/>
      <c r="BE760" s="18"/>
      <c r="BF760" s="18"/>
      <c r="BG760" s="18"/>
      <c r="BH760" s="18"/>
      <c r="BI760" s="18"/>
      <c r="BJ760" s="18"/>
      <c r="BK760" s="18"/>
      <c r="BL760" s="18"/>
      <c r="BM760" s="18"/>
      <c r="BN760" s="18"/>
    </row>
    <row r="761" spans="1:66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  <c r="AH761" s="18"/>
      <c r="AI761" s="18"/>
      <c r="AJ761" s="18"/>
      <c r="AK761" s="18"/>
      <c r="AL761" s="18"/>
      <c r="AM761" s="18"/>
      <c r="AN761" s="18"/>
      <c r="AO761" s="18"/>
      <c r="AP761" s="18"/>
      <c r="AQ761" s="18"/>
      <c r="AR761" s="18"/>
      <c r="AS761" s="18"/>
      <c r="AT761" s="18"/>
      <c r="AU761" s="18"/>
      <c r="AV761" s="18"/>
      <c r="AW761" s="18"/>
      <c r="AX761" s="18"/>
      <c r="AY761" s="18"/>
      <c r="AZ761" s="18"/>
      <c r="BA761" s="18"/>
      <c r="BB761" s="18"/>
      <c r="BC761" s="18"/>
      <c r="BD761" s="18"/>
      <c r="BE761" s="18"/>
      <c r="BF761" s="18"/>
      <c r="BG761" s="18"/>
      <c r="BH761" s="18"/>
      <c r="BI761" s="18"/>
      <c r="BJ761" s="18"/>
      <c r="BK761" s="18"/>
      <c r="BL761" s="18"/>
      <c r="BM761" s="18"/>
      <c r="BN761" s="18"/>
    </row>
    <row r="762" spans="1:66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  <c r="AH762" s="18"/>
      <c r="AI762" s="18"/>
      <c r="AJ762" s="18"/>
      <c r="AK762" s="18"/>
      <c r="AL762" s="18"/>
      <c r="AM762" s="18"/>
      <c r="AN762" s="18"/>
      <c r="AO762" s="18"/>
      <c r="AP762" s="18"/>
      <c r="AQ762" s="18"/>
      <c r="AR762" s="18"/>
      <c r="AS762" s="18"/>
      <c r="AT762" s="18"/>
      <c r="AU762" s="18"/>
      <c r="AV762" s="18"/>
      <c r="AW762" s="18"/>
      <c r="AX762" s="18"/>
      <c r="AY762" s="18"/>
      <c r="AZ762" s="18"/>
      <c r="BA762" s="18"/>
      <c r="BB762" s="18"/>
      <c r="BC762" s="18"/>
      <c r="BD762" s="18"/>
      <c r="BE762" s="18"/>
      <c r="BF762" s="18"/>
      <c r="BG762" s="18"/>
      <c r="BH762" s="18"/>
      <c r="BI762" s="18"/>
      <c r="BJ762" s="18"/>
      <c r="BK762" s="18"/>
      <c r="BL762" s="18"/>
      <c r="BM762" s="18"/>
      <c r="BN762" s="18"/>
    </row>
    <row r="763" spans="1:66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  <c r="AH763" s="18"/>
      <c r="AI763" s="18"/>
      <c r="AJ763" s="18"/>
      <c r="AK763" s="18"/>
      <c r="AL763" s="18"/>
      <c r="AM763" s="18"/>
      <c r="AN763" s="18"/>
      <c r="AO763" s="18"/>
      <c r="AP763" s="18"/>
      <c r="AQ763" s="18"/>
      <c r="AR763" s="18"/>
      <c r="AS763" s="18"/>
      <c r="AT763" s="18"/>
      <c r="AU763" s="18"/>
      <c r="AV763" s="18"/>
      <c r="AW763" s="18"/>
      <c r="AX763" s="18"/>
      <c r="AY763" s="18"/>
      <c r="AZ763" s="18"/>
      <c r="BA763" s="18"/>
      <c r="BB763" s="18"/>
      <c r="BC763" s="18"/>
      <c r="BD763" s="18"/>
      <c r="BE763" s="18"/>
      <c r="BF763" s="18"/>
      <c r="BG763" s="18"/>
      <c r="BH763" s="18"/>
      <c r="BI763" s="18"/>
      <c r="BJ763" s="18"/>
      <c r="BK763" s="18"/>
      <c r="BL763" s="18"/>
      <c r="BM763" s="18"/>
      <c r="BN763" s="18"/>
    </row>
    <row r="764" spans="1:66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  <c r="AH764" s="18"/>
      <c r="AI764" s="18"/>
      <c r="AJ764" s="18"/>
      <c r="AK764" s="18"/>
      <c r="AL764" s="18"/>
      <c r="AM764" s="18"/>
      <c r="AN764" s="18"/>
      <c r="AO764" s="18"/>
      <c r="AP764" s="18"/>
      <c r="AQ764" s="18"/>
      <c r="AR764" s="18"/>
      <c r="AS764" s="18"/>
      <c r="AT764" s="18"/>
      <c r="AU764" s="18"/>
      <c r="AV764" s="18"/>
      <c r="AW764" s="18"/>
      <c r="AX764" s="18"/>
      <c r="AY764" s="18"/>
      <c r="AZ764" s="18"/>
      <c r="BA764" s="18"/>
      <c r="BB764" s="18"/>
      <c r="BC764" s="18"/>
      <c r="BD764" s="18"/>
      <c r="BE764" s="18"/>
      <c r="BF764" s="18"/>
      <c r="BG764" s="18"/>
      <c r="BH764" s="18"/>
      <c r="BI764" s="18"/>
      <c r="BJ764" s="18"/>
      <c r="BK764" s="18"/>
      <c r="BL764" s="18"/>
      <c r="BM764" s="18"/>
      <c r="BN764" s="18"/>
    </row>
    <row r="765" spans="1:66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  <c r="AH765" s="18"/>
      <c r="AI765" s="18"/>
      <c r="AJ765" s="18"/>
      <c r="AK765" s="18"/>
      <c r="AL765" s="18"/>
      <c r="AM765" s="18"/>
      <c r="AN765" s="18"/>
      <c r="AO765" s="18"/>
      <c r="AP765" s="18"/>
      <c r="AQ765" s="18"/>
      <c r="AR765" s="18"/>
      <c r="AS765" s="18"/>
      <c r="AT765" s="18"/>
      <c r="AU765" s="18"/>
      <c r="AV765" s="18"/>
      <c r="AW765" s="18"/>
      <c r="AX765" s="18"/>
      <c r="AY765" s="18"/>
      <c r="AZ765" s="18"/>
      <c r="BA765" s="18"/>
      <c r="BB765" s="18"/>
      <c r="BC765" s="18"/>
      <c r="BD765" s="18"/>
      <c r="BE765" s="18"/>
      <c r="BF765" s="18"/>
      <c r="BG765" s="18"/>
      <c r="BH765" s="18"/>
      <c r="BI765" s="18"/>
      <c r="BJ765" s="18"/>
      <c r="BK765" s="18"/>
      <c r="BL765" s="18"/>
      <c r="BM765" s="18"/>
      <c r="BN765" s="18"/>
    </row>
    <row r="766" spans="1:66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  <c r="AH766" s="18"/>
      <c r="AI766" s="18"/>
      <c r="AJ766" s="18"/>
      <c r="AK766" s="18"/>
      <c r="AL766" s="18"/>
      <c r="AM766" s="18"/>
      <c r="AN766" s="18"/>
      <c r="AO766" s="18"/>
      <c r="AP766" s="18"/>
      <c r="AQ766" s="18"/>
      <c r="AR766" s="18"/>
      <c r="AS766" s="18"/>
      <c r="AT766" s="18"/>
      <c r="AU766" s="18"/>
      <c r="AV766" s="18"/>
      <c r="AW766" s="18"/>
      <c r="AX766" s="18"/>
      <c r="AY766" s="18"/>
      <c r="AZ766" s="18"/>
      <c r="BA766" s="18"/>
      <c r="BB766" s="18"/>
      <c r="BC766" s="18"/>
      <c r="BD766" s="18"/>
      <c r="BE766" s="18"/>
      <c r="BF766" s="18"/>
      <c r="BG766" s="18"/>
      <c r="BH766" s="18"/>
      <c r="BI766" s="18"/>
      <c r="BJ766" s="18"/>
      <c r="BK766" s="18"/>
      <c r="BL766" s="18"/>
      <c r="BM766" s="18"/>
      <c r="BN766" s="18"/>
    </row>
    <row r="767" spans="1:66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  <c r="AH767" s="18"/>
      <c r="AI767" s="18"/>
      <c r="AJ767" s="18"/>
      <c r="AK767" s="18"/>
      <c r="AL767" s="18"/>
      <c r="AM767" s="18"/>
      <c r="AN767" s="18"/>
      <c r="AO767" s="18"/>
      <c r="AP767" s="18"/>
      <c r="AQ767" s="18"/>
      <c r="AR767" s="18"/>
      <c r="AS767" s="18"/>
      <c r="AT767" s="18"/>
      <c r="AU767" s="18"/>
      <c r="AV767" s="18"/>
      <c r="AW767" s="18"/>
      <c r="AX767" s="18"/>
      <c r="AY767" s="18"/>
      <c r="AZ767" s="18"/>
      <c r="BA767" s="18"/>
      <c r="BB767" s="18"/>
      <c r="BC767" s="18"/>
      <c r="BD767" s="18"/>
      <c r="BE767" s="18"/>
      <c r="BF767" s="18"/>
      <c r="BG767" s="18"/>
      <c r="BH767" s="18"/>
      <c r="BI767" s="18"/>
      <c r="BJ767" s="18"/>
      <c r="BK767" s="18"/>
      <c r="BL767" s="18"/>
      <c r="BM767" s="18"/>
      <c r="BN767" s="18"/>
    </row>
    <row r="768" spans="1:66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  <c r="AH768" s="18"/>
      <c r="AI768" s="18"/>
      <c r="AJ768" s="18"/>
      <c r="AK768" s="18"/>
      <c r="AL768" s="18"/>
      <c r="AM768" s="18"/>
      <c r="AN768" s="18"/>
      <c r="AO768" s="18"/>
      <c r="AP768" s="18"/>
      <c r="AQ768" s="18"/>
      <c r="AR768" s="18"/>
      <c r="AS768" s="18"/>
      <c r="AT768" s="18"/>
      <c r="AU768" s="18"/>
      <c r="AV768" s="18"/>
      <c r="AW768" s="18"/>
      <c r="AX768" s="18"/>
      <c r="AY768" s="18"/>
      <c r="AZ768" s="18"/>
      <c r="BA768" s="18"/>
      <c r="BB768" s="18"/>
      <c r="BC768" s="18"/>
      <c r="BD768" s="18"/>
      <c r="BE768" s="18"/>
      <c r="BF768" s="18"/>
      <c r="BG768" s="18"/>
      <c r="BH768" s="18"/>
      <c r="BI768" s="18"/>
      <c r="BJ768" s="18"/>
      <c r="BK768" s="18"/>
      <c r="BL768" s="18"/>
      <c r="BM768" s="18"/>
      <c r="BN768" s="18"/>
    </row>
    <row r="769" spans="1:66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  <c r="AH769" s="18"/>
      <c r="AI769" s="18"/>
      <c r="AJ769" s="18"/>
      <c r="AK769" s="18"/>
      <c r="AL769" s="18"/>
      <c r="AM769" s="18"/>
      <c r="AN769" s="18"/>
      <c r="AO769" s="18"/>
      <c r="AP769" s="18"/>
      <c r="AQ769" s="18"/>
      <c r="AR769" s="18"/>
      <c r="AS769" s="18"/>
      <c r="AT769" s="18"/>
      <c r="AU769" s="18"/>
      <c r="AV769" s="18"/>
      <c r="AW769" s="18"/>
      <c r="AX769" s="18"/>
      <c r="AY769" s="18"/>
      <c r="AZ769" s="18"/>
      <c r="BA769" s="18"/>
      <c r="BB769" s="18"/>
      <c r="BC769" s="18"/>
      <c r="BD769" s="18"/>
      <c r="BE769" s="18"/>
      <c r="BF769" s="18"/>
      <c r="BG769" s="18"/>
      <c r="BH769" s="18"/>
      <c r="BI769" s="18"/>
      <c r="BJ769" s="18"/>
      <c r="BK769" s="18"/>
      <c r="BL769" s="18"/>
      <c r="BM769" s="18"/>
      <c r="BN769" s="18"/>
    </row>
    <row r="770" spans="1:66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  <c r="AH770" s="18"/>
      <c r="AI770" s="18"/>
      <c r="AJ770" s="18"/>
      <c r="AK770" s="18"/>
      <c r="AL770" s="18"/>
      <c r="AM770" s="18"/>
      <c r="AN770" s="18"/>
      <c r="AO770" s="18"/>
      <c r="AP770" s="18"/>
      <c r="AQ770" s="18"/>
      <c r="AR770" s="18"/>
      <c r="AS770" s="18"/>
      <c r="AT770" s="18"/>
      <c r="AU770" s="18"/>
      <c r="AV770" s="18"/>
      <c r="AW770" s="18"/>
      <c r="AX770" s="18"/>
      <c r="AY770" s="18"/>
      <c r="AZ770" s="18"/>
      <c r="BA770" s="18"/>
      <c r="BB770" s="18"/>
      <c r="BC770" s="18"/>
      <c r="BD770" s="18"/>
      <c r="BE770" s="18"/>
      <c r="BF770" s="18"/>
      <c r="BG770" s="18"/>
      <c r="BH770" s="18"/>
      <c r="BI770" s="18"/>
      <c r="BJ770" s="18"/>
      <c r="BK770" s="18"/>
      <c r="BL770" s="18"/>
      <c r="BM770" s="18"/>
      <c r="BN770" s="18"/>
    </row>
    <row r="771" spans="1:66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  <c r="AH771" s="18"/>
      <c r="AI771" s="18"/>
      <c r="AJ771" s="18"/>
      <c r="AK771" s="18"/>
      <c r="AL771" s="18"/>
      <c r="AM771" s="18"/>
      <c r="AN771" s="18"/>
      <c r="AO771" s="18"/>
      <c r="AP771" s="18"/>
      <c r="AQ771" s="18"/>
      <c r="AR771" s="18"/>
      <c r="AS771" s="18"/>
      <c r="AT771" s="18"/>
      <c r="AU771" s="18"/>
      <c r="AV771" s="18"/>
      <c r="AW771" s="18"/>
      <c r="AX771" s="18"/>
      <c r="AY771" s="18"/>
      <c r="AZ771" s="18"/>
      <c r="BA771" s="18"/>
      <c r="BB771" s="18"/>
      <c r="BC771" s="18"/>
      <c r="BD771" s="18"/>
      <c r="BE771" s="18"/>
      <c r="BF771" s="18"/>
      <c r="BG771" s="18"/>
      <c r="BH771" s="18"/>
      <c r="BI771" s="18"/>
      <c r="BJ771" s="18"/>
      <c r="BK771" s="18"/>
      <c r="BL771" s="18"/>
      <c r="BM771" s="18"/>
      <c r="BN771" s="18"/>
    </row>
    <row r="772" spans="1:66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  <c r="AH772" s="18"/>
      <c r="AI772" s="18"/>
      <c r="AJ772" s="18"/>
      <c r="AK772" s="18"/>
      <c r="AL772" s="18"/>
      <c r="AM772" s="18"/>
      <c r="AN772" s="18"/>
      <c r="AO772" s="18"/>
      <c r="AP772" s="18"/>
      <c r="AQ772" s="18"/>
      <c r="AR772" s="18"/>
      <c r="AS772" s="18"/>
      <c r="AT772" s="18"/>
      <c r="AU772" s="18"/>
      <c r="AV772" s="18"/>
      <c r="AW772" s="18"/>
      <c r="AX772" s="18"/>
      <c r="AY772" s="18"/>
      <c r="AZ772" s="18"/>
      <c r="BA772" s="18"/>
      <c r="BB772" s="18"/>
      <c r="BC772" s="18"/>
      <c r="BD772" s="18"/>
      <c r="BE772" s="18"/>
      <c r="BF772" s="18"/>
      <c r="BG772" s="18"/>
      <c r="BH772" s="18"/>
      <c r="BI772" s="18"/>
      <c r="BJ772" s="18"/>
      <c r="BK772" s="18"/>
      <c r="BL772" s="18"/>
      <c r="BM772" s="18"/>
      <c r="BN772" s="18"/>
    </row>
    <row r="773" spans="1:66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  <c r="AH773" s="18"/>
      <c r="AI773" s="18"/>
      <c r="AJ773" s="18"/>
      <c r="AK773" s="18"/>
      <c r="AL773" s="18"/>
      <c r="AM773" s="18"/>
      <c r="AN773" s="18"/>
      <c r="AO773" s="18"/>
      <c r="AP773" s="18"/>
      <c r="AQ773" s="18"/>
      <c r="AR773" s="18"/>
      <c r="AS773" s="18"/>
      <c r="AT773" s="18"/>
      <c r="AU773" s="18"/>
      <c r="AV773" s="18"/>
      <c r="AW773" s="18"/>
      <c r="AX773" s="18"/>
      <c r="AY773" s="18"/>
      <c r="AZ773" s="18"/>
      <c r="BA773" s="18"/>
      <c r="BB773" s="18"/>
      <c r="BC773" s="18"/>
      <c r="BD773" s="18"/>
      <c r="BE773" s="18"/>
      <c r="BF773" s="18"/>
      <c r="BG773" s="18"/>
      <c r="BH773" s="18"/>
      <c r="BI773" s="18"/>
      <c r="BJ773" s="18"/>
      <c r="BK773" s="18"/>
      <c r="BL773" s="18"/>
      <c r="BM773" s="18"/>
      <c r="BN773" s="18"/>
    </row>
    <row r="774" spans="1:66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  <c r="AH774" s="18"/>
      <c r="AI774" s="18"/>
      <c r="AJ774" s="18"/>
      <c r="AK774" s="18"/>
      <c r="AL774" s="18"/>
      <c r="AM774" s="18"/>
      <c r="AN774" s="18"/>
      <c r="AO774" s="18"/>
      <c r="AP774" s="18"/>
      <c r="AQ774" s="18"/>
      <c r="AR774" s="18"/>
      <c r="AS774" s="18"/>
      <c r="AT774" s="18"/>
      <c r="AU774" s="18"/>
      <c r="AV774" s="18"/>
      <c r="AW774" s="18"/>
      <c r="AX774" s="18"/>
      <c r="AY774" s="18"/>
      <c r="AZ774" s="18"/>
      <c r="BA774" s="18"/>
      <c r="BB774" s="18"/>
      <c r="BC774" s="18"/>
      <c r="BD774" s="18"/>
      <c r="BE774" s="18"/>
      <c r="BF774" s="18"/>
      <c r="BG774" s="18"/>
      <c r="BH774" s="18"/>
      <c r="BI774" s="18"/>
      <c r="BJ774" s="18"/>
      <c r="BK774" s="18"/>
      <c r="BL774" s="18"/>
      <c r="BM774" s="18"/>
      <c r="BN774" s="18"/>
    </row>
    <row r="775" spans="1:66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  <c r="AH775" s="18"/>
      <c r="AI775" s="18"/>
      <c r="AJ775" s="18"/>
      <c r="AK775" s="18"/>
      <c r="AL775" s="18"/>
      <c r="AM775" s="18"/>
      <c r="AN775" s="18"/>
      <c r="AO775" s="18"/>
      <c r="AP775" s="18"/>
      <c r="AQ775" s="18"/>
      <c r="AR775" s="18"/>
      <c r="AS775" s="18"/>
      <c r="AT775" s="18"/>
      <c r="AU775" s="18"/>
      <c r="AV775" s="18"/>
      <c r="AW775" s="18"/>
      <c r="AX775" s="18"/>
      <c r="AY775" s="18"/>
      <c r="AZ775" s="18"/>
      <c r="BA775" s="18"/>
      <c r="BB775" s="18"/>
      <c r="BC775" s="18"/>
      <c r="BD775" s="18"/>
      <c r="BE775" s="18"/>
      <c r="BF775" s="18"/>
      <c r="BG775" s="18"/>
      <c r="BH775" s="18"/>
      <c r="BI775" s="18"/>
      <c r="BJ775" s="18"/>
      <c r="BK775" s="18"/>
      <c r="BL775" s="18"/>
      <c r="BM775" s="18"/>
      <c r="BN775" s="18"/>
    </row>
    <row r="776" spans="1:66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  <c r="AH776" s="18"/>
      <c r="AI776" s="18"/>
      <c r="AJ776" s="18"/>
      <c r="AK776" s="18"/>
      <c r="AL776" s="18"/>
      <c r="AM776" s="18"/>
      <c r="AN776" s="18"/>
      <c r="AO776" s="18"/>
      <c r="AP776" s="18"/>
      <c r="AQ776" s="18"/>
      <c r="AR776" s="18"/>
      <c r="AS776" s="18"/>
      <c r="AT776" s="18"/>
      <c r="AU776" s="18"/>
      <c r="AV776" s="18"/>
      <c r="AW776" s="18"/>
      <c r="AX776" s="18"/>
      <c r="AY776" s="18"/>
      <c r="AZ776" s="18"/>
      <c r="BA776" s="18"/>
      <c r="BB776" s="18"/>
      <c r="BC776" s="18"/>
      <c r="BD776" s="18"/>
      <c r="BE776" s="18"/>
      <c r="BF776" s="18"/>
      <c r="BG776" s="18"/>
      <c r="BH776" s="18"/>
      <c r="BI776" s="18"/>
      <c r="BJ776" s="18"/>
      <c r="BK776" s="18"/>
      <c r="BL776" s="18"/>
      <c r="BM776" s="18"/>
      <c r="BN776" s="18"/>
    </row>
    <row r="777" spans="1:66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  <c r="AH777" s="18"/>
      <c r="AI777" s="18"/>
      <c r="AJ777" s="18"/>
      <c r="AK777" s="18"/>
      <c r="AL777" s="18"/>
      <c r="AM777" s="18"/>
      <c r="AN777" s="18"/>
      <c r="AO777" s="18"/>
      <c r="AP777" s="18"/>
      <c r="AQ777" s="18"/>
      <c r="AR777" s="18"/>
      <c r="AS777" s="18"/>
      <c r="AT777" s="18"/>
      <c r="AU777" s="18"/>
      <c r="AV777" s="18"/>
      <c r="AW777" s="18"/>
      <c r="AX777" s="18"/>
      <c r="AY777" s="18"/>
      <c r="AZ777" s="18"/>
      <c r="BA777" s="18"/>
      <c r="BB777" s="18"/>
      <c r="BC777" s="18"/>
      <c r="BD777" s="18"/>
      <c r="BE777" s="18"/>
      <c r="BF777" s="18"/>
      <c r="BG777" s="18"/>
      <c r="BH777" s="18"/>
      <c r="BI777" s="18"/>
      <c r="BJ777" s="18"/>
      <c r="BK777" s="18"/>
      <c r="BL777" s="18"/>
      <c r="BM777" s="18"/>
      <c r="BN777" s="18"/>
    </row>
    <row r="778" spans="1:66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  <c r="AH778" s="18"/>
      <c r="AI778" s="18"/>
      <c r="AJ778" s="18"/>
      <c r="AK778" s="18"/>
      <c r="AL778" s="18"/>
      <c r="AM778" s="18"/>
      <c r="AN778" s="18"/>
      <c r="AO778" s="18"/>
      <c r="AP778" s="18"/>
      <c r="AQ778" s="18"/>
      <c r="AR778" s="18"/>
      <c r="AS778" s="18"/>
      <c r="AT778" s="18"/>
      <c r="AU778" s="18"/>
      <c r="AV778" s="18"/>
      <c r="AW778" s="18"/>
      <c r="AX778" s="18"/>
      <c r="AY778" s="18"/>
      <c r="AZ778" s="18"/>
      <c r="BA778" s="18"/>
      <c r="BB778" s="18"/>
      <c r="BC778" s="18"/>
      <c r="BD778" s="18"/>
      <c r="BE778" s="18"/>
      <c r="BF778" s="18"/>
      <c r="BG778" s="18"/>
      <c r="BH778" s="18"/>
      <c r="BI778" s="18"/>
      <c r="BJ778" s="18"/>
      <c r="BK778" s="18"/>
      <c r="BL778" s="18"/>
      <c r="BM778" s="18"/>
      <c r="BN778" s="18"/>
    </row>
    <row r="779" spans="1:66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  <c r="AH779" s="18"/>
      <c r="AI779" s="18"/>
      <c r="AJ779" s="18"/>
      <c r="AK779" s="18"/>
      <c r="AL779" s="18"/>
      <c r="AM779" s="18"/>
      <c r="AN779" s="18"/>
      <c r="AO779" s="18"/>
      <c r="AP779" s="18"/>
      <c r="AQ779" s="18"/>
      <c r="AR779" s="18"/>
      <c r="AS779" s="18"/>
      <c r="AT779" s="18"/>
      <c r="AU779" s="18"/>
      <c r="AV779" s="18"/>
      <c r="AW779" s="18"/>
      <c r="AX779" s="18"/>
      <c r="AY779" s="18"/>
      <c r="AZ779" s="18"/>
      <c r="BA779" s="18"/>
      <c r="BB779" s="18"/>
      <c r="BC779" s="18"/>
      <c r="BD779" s="18"/>
      <c r="BE779" s="18"/>
      <c r="BF779" s="18"/>
      <c r="BG779" s="18"/>
      <c r="BH779" s="18"/>
      <c r="BI779" s="18"/>
      <c r="BJ779" s="18"/>
      <c r="BK779" s="18"/>
      <c r="BL779" s="18"/>
      <c r="BM779" s="18"/>
      <c r="BN779" s="18"/>
    </row>
    <row r="780" spans="1:66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  <c r="AH780" s="18"/>
      <c r="AI780" s="18"/>
      <c r="AJ780" s="18"/>
      <c r="AK780" s="18"/>
      <c r="AL780" s="18"/>
      <c r="AM780" s="18"/>
      <c r="AN780" s="18"/>
      <c r="AO780" s="18"/>
      <c r="AP780" s="18"/>
      <c r="AQ780" s="18"/>
      <c r="AR780" s="18"/>
      <c r="AS780" s="18"/>
      <c r="AT780" s="18"/>
      <c r="AU780" s="18"/>
      <c r="AV780" s="18"/>
      <c r="AW780" s="18"/>
      <c r="AX780" s="18"/>
      <c r="AY780" s="18"/>
      <c r="AZ780" s="18"/>
      <c r="BA780" s="18"/>
      <c r="BB780" s="18"/>
      <c r="BC780" s="18"/>
      <c r="BD780" s="18"/>
      <c r="BE780" s="18"/>
      <c r="BF780" s="18"/>
      <c r="BG780" s="18"/>
      <c r="BH780" s="18"/>
      <c r="BI780" s="18"/>
      <c r="BJ780" s="18"/>
      <c r="BK780" s="18"/>
      <c r="BL780" s="18"/>
      <c r="BM780" s="18"/>
      <c r="BN780" s="18"/>
    </row>
    <row r="781" spans="1:66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  <c r="AH781" s="18"/>
      <c r="AI781" s="18"/>
      <c r="AJ781" s="18"/>
      <c r="AK781" s="18"/>
      <c r="AL781" s="18"/>
      <c r="AM781" s="18"/>
      <c r="AN781" s="18"/>
      <c r="AO781" s="18"/>
      <c r="AP781" s="18"/>
      <c r="AQ781" s="18"/>
      <c r="AR781" s="18"/>
      <c r="AS781" s="18"/>
      <c r="AT781" s="18"/>
      <c r="AU781" s="18"/>
      <c r="AV781" s="18"/>
      <c r="AW781" s="18"/>
      <c r="AX781" s="18"/>
      <c r="AY781" s="18"/>
      <c r="AZ781" s="18"/>
      <c r="BA781" s="18"/>
      <c r="BB781" s="18"/>
      <c r="BC781" s="18"/>
      <c r="BD781" s="18"/>
      <c r="BE781" s="18"/>
      <c r="BF781" s="18"/>
      <c r="BG781" s="18"/>
      <c r="BH781" s="18"/>
      <c r="BI781" s="18"/>
      <c r="BJ781" s="18"/>
      <c r="BK781" s="18"/>
      <c r="BL781" s="18"/>
      <c r="BM781" s="18"/>
      <c r="BN781" s="18"/>
    </row>
    <row r="782" spans="1:66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  <c r="AH782" s="18"/>
      <c r="AI782" s="18"/>
      <c r="AJ782" s="18"/>
      <c r="AK782" s="18"/>
      <c r="AL782" s="18"/>
      <c r="AM782" s="18"/>
      <c r="AN782" s="18"/>
      <c r="AO782" s="18"/>
      <c r="AP782" s="18"/>
      <c r="AQ782" s="18"/>
      <c r="AR782" s="18"/>
      <c r="AS782" s="18"/>
      <c r="AT782" s="18"/>
      <c r="AU782" s="18"/>
      <c r="AV782" s="18"/>
      <c r="AW782" s="18"/>
      <c r="AX782" s="18"/>
      <c r="AY782" s="18"/>
      <c r="AZ782" s="18"/>
      <c r="BA782" s="18"/>
      <c r="BB782" s="18"/>
      <c r="BC782" s="18"/>
      <c r="BD782" s="18"/>
      <c r="BE782" s="18"/>
      <c r="BF782" s="18"/>
      <c r="BG782" s="18"/>
      <c r="BH782" s="18"/>
      <c r="BI782" s="18"/>
      <c r="BJ782" s="18"/>
      <c r="BK782" s="18"/>
      <c r="BL782" s="18"/>
      <c r="BM782" s="18"/>
      <c r="BN782" s="18"/>
    </row>
    <row r="783" spans="1:66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  <c r="AH783" s="18"/>
      <c r="AI783" s="18"/>
      <c r="AJ783" s="18"/>
      <c r="AK783" s="18"/>
      <c r="AL783" s="18"/>
      <c r="AM783" s="18"/>
      <c r="AN783" s="18"/>
      <c r="AO783" s="18"/>
      <c r="AP783" s="18"/>
      <c r="AQ783" s="18"/>
      <c r="AR783" s="18"/>
      <c r="AS783" s="18"/>
      <c r="AT783" s="18"/>
      <c r="AU783" s="18"/>
      <c r="AV783" s="18"/>
      <c r="AW783" s="18"/>
      <c r="AX783" s="18"/>
      <c r="AY783" s="18"/>
      <c r="AZ783" s="18"/>
      <c r="BA783" s="18"/>
      <c r="BB783" s="18"/>
      <c r="BC783" s="18"/>
      <c r="BD783" s="18"/>
      <c r="BE783" s="18"/>
      <c r="BF783" s="18"/>
      <c r="BG783" s="18"/>
      <c r="BH783" s="18"/>
      <c r="BI783" s="18"/>
      <c r="BJ783" s="18"/>
      <c r="BK783" s="18"/>
      <c r="BL783" s="18"/>
      <c r="BM783" s="18"/>
      <c r="BN783" s="18"/>
    </row>
    <row r="784" spans="1:66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  <c r="AH784" s="18"/>
      <c r="AI784" s="18"/>
      <c r="AJ784" s="18"/>
      <c r="AK784" s="18"/>
      <c r="AL784" s="18"/>
      <c r="AM784" s="18"/>
      <c r="AN784" s="18"/>
      <c r="AO784" s="18"/>
      <c r="AP784" s="18"/>
      <c r="AQ784" s="18"/>
      <c r="AR784" s="18"/>
      <c r="AS784" s="18"/>
      <c r="AT784" s="18"/>
      <c r="AU784" s="18"/>
      <c r="AV784" s="18"/>
      <c r="AW784" s="18"/>
      <c r="AX784" s="18"/>
      <c r="AY784" s="18"/>
      <c r="AZ784" s="18"/>
      <c r="BA784" s="18"/>
      <c r="BB784" s="18"/>
      <c r="BC784" s="18"/>
      <c r="BD784" s="18"/>
      <c r="BE784" s="18"/>
      <c r="BF784" s="18"/>
      <c r="BG784" s="18"/>
      <c r="BH784" s="18"/>
      <c r="BI784" s="18"/>
      <c r="BJ784" s="18"/>
      <c r="BK784" s="18"/>
      <c r="BL784" s="18"/>
      <c r="BM784" s="18"/>
      <c r="BN784" s="18"/>
    </row>
    <row r="785" spans="1:66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  <c r="AH785" s="18"/>
      <c r="AI785" s="18"/>
      <c r="AJ785" s="18"/>
      <c r="AK785" s="18"/>
      <c r="AL785" s="18"/>
      <c r="AM785" s="18"/>
      <c r="AN785" s="18"/>
      <c r="AO785" s="18"/>
      <c r="AP785" s="18"/>
      <c r="AQ785" s="18"/>
      <c r="AR785" s="18"/>
      <c r="AS785" s="18"/>
      <c r="AT785" s="18"/>
      <c r="AU785" s="18"/>
      <c r="AV785" s="18"/>
      <c r="AW785" s="18"/>
      <c r="AX785" s="18"/>
      <c r="AY785" s="18"/>
      <c r="AZ785" s="18"/>
      <c r="BA785" s="18"/>
      <c r="BB785" s="18"/>
      <c r="BC785" s="18"/>
      <c r="BD785" s="18"/>
      <c r="BE785" s="18"/>
      <c r="BF785" s="18"/>
      <c r="BG785" s="18"/>
      <c r="BH785" s="18"/>
      <c r="BI785" s="18"/>
      <c r="BJ785" s="18"/>
      <c r="BK785" s="18"/>
      <c r="BL785" s="18"/>
      <c r="BM785" s="18"/>
      <c r="BN785" s="18"/>
    </row>
    <row r="786" spans="1:66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  <c r="AH786" s="18"/>
      <c r="AI786" s="18"/>
      <c r="AJ786" s="18"/>
      <c r="AK786" s="18"/>
      <c r="AL786" s="18"/>
      <c r="AM786" s="18"/>
      <c r="AN786" s="18"/>
      <c r="AO786" s="18"/>
      <c r="AP786" s="18"/>
      <c r="AQ786" s="18"/>
      <c r="AR786" s="18"/>
      <c r="AS786" s="18"/>
      <c r="AT786" s="18"/>
      <c r="AU786" s="18"/>
      <c r="AV786" s="18"/>
      <c r="AW786" s="18"/>
      <c r="AX786" s="18"/>
      <c r="AY786" s="18"/>
      <c r="AZ786" s="18"/>
      <c r="BA786" s="18"/>
      <c r="BB786" s="18"/>
      <c r="BC786" s="18"/>
      <c r="BD786" s="18"/>
      <c r="BE786" s="18"/>
      <c r="BF786" s="18"/>
      <c r="BG786" s="18"/>
      <c r="BH786" s="18"/>
      <c r="BI786" s="18"/>
      <c r="BJ786" s="18"/>
      <c r="BK786" s="18"/>
      <c r="BL786" s="18"/>
      <c r="BM786" s="18"/>
      <c r="BN786" s="18"/>
    </row>
    <row r="787" spans="1:66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  <c r="AH787" s="18"/>
      <c r="AI787" s="18"/>
      <c r="AJ787" s="18"/>
      <c r="AK787" s="18"/>
      <c r="AL787" s="18"/>
      <c r="AM787" s="18"/>
      <c r="AN787" s="18"/>
      <c r="AO787" s="18"/>
      <c r="AP787" s="18"/>
      <c r="AQ787" s="18"/>
      <c r="AR787" s="18"/>
      <c r="AS787" s="18"/>
      <c r="AT787" s="18"/>
      <c r="AU787" s="18"/>
      <c r="AV787" s="18"/>
      <c r="AW787" s="18"/>
      <c r="AX787" s="18"/>
      <c r="AY787" s="18"/>
      <c r="AZ787" s="18"/>
      <c r="BA787" s="18"/>
      <c r="BB787" s="18"/>
      <c r="BC787" s="18"/>
      <c r="BD787" s="18"/>
      <c r="BE787" s="18"/>
      <c r="BF787" s="18"/>
      <c r="BG787" s="18"/>
      <c r="BH787" s="18"/>
      <c r="BI787" s="18"/>
      <c r="BJ787" s="18"/>
      <c r="BK787" s="18"/>
      <c r="BL787" s="18"/>
      <c r="BM787" s="18"/>
      <c r="BN787" s="18"/>
    </row>
    <row r="788" spans="1:66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  <c r="AH788" s="18"/>
      <c r="AI788" s="18"/>
      <c r="AJ788" s="18"/>
      <c r="AK788" s="18"/>
      <c r="AL788" s="18"/>
      <c r="AM788" s="18"/>
      <c r="AN788" s="18"/>
      <c r="AO788" s="18"/>
      <c r="AP788" s="18"/>
      <c r="AQ788" s="18"/>
      <c r="AR788" s="18"/>
      <c r="AS788" s="18"/>
      <c r="AT788" s="18"/>
      <c r="AU788" s="18"/>
      <c r="AV788" s="18"/>
      <c r="AW788" s="18"/>
      <c r="AX788" s="18"/>
      <c r="AY788" s="18"/>
      <c r="AZ788" s="18"/>
      <c r="BA788" s="18"/>
      <c r="BB788" s="18"/>
      <c r="BC788" s="18"/>
      <c r="BD788" s="18"/>
      <c r="BE788" s="18"/>
      <c r="BF788" s="18"/>
      <c r="BG788" s="18"/>
      <c r="BH788" s="18"/>
      <c r="BI788" s="18"/>
      <c r="BJ788" s="18"/>
      <c r="BK788" s="18"/>
      <c r="BL788" s="18"/>
      <c r="BM788" s="18"/>
      <c r="BN788" s="18"/>
    </row>
    <row r="789" spans="1:66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  <c r="AH789" s="18"/>
      <c r="AI789" s="18"/>
      <c r="AJ789" s="18"/>
      <c r="AK789" s="18"/>
      <c r="AL789" s="18"/>
      <c r="AM789" s="18"/>
      <c r="AN789" s="18"/>
      <c r="AO789" s="18"/>
      <c r="AP789" s="18"/>
      <c r="AQ789" s="18"/>
      <c r="AR789" s="18"/>
      <c r="AS789" s="18"/>
      <c r="AT789" s="18"/>
      <c r="AU789" s="18"/>
      <c r="AV789" s="18"/>
      <c r="AW789" s="18"/>
      <c r="AX789" s="18"/>
      <c r="AY789" s="18"/>
      <c r="AZ789" s="18"/>
      <c r="BA789" s="18"/>
      <c r="BB789" s="18"/>
      <c r="BC789" s="18"/>
      <c r="BD789" s="18"/>
      <c r="BE789" s="18"/>
      <c r="BF789" s="18"/>
      <c r="BG789" s="18"/>
      <c r="BH789" s="18"/>
      <c r="BI789" s="18"/>
      <c r="BJ789" s="18"/>
      <c r="BK789" s="18"/>
      <c r="BL789" s="18"/>
      <c r="BM789" s="18"/>
      <c r="BN789" s="18"/>
    </row>
    <row r="790" spans="1:66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  <c r="AH790" s="18"/>
      <c r="AI790" s="18"/>
      <c r="AJ790" s="18"/>
      <c r="AK790" s="18"/>
      <c r="AL790" s="18"/>
      <c r="AM790" s="18"/>
      <c r="AN790" s="18"/>
      <c r="AO790" s="18"/>
      <c r="AP790" s="18"/>
      <c r="AQ790" s="18"/>
      <c r="AR790" s="18"/>
      <c r="AS790" s="18"/>
      <c r="AT790" s="18"/>
      <c r="AU790" s="18"/>
      <c r="AV790" s="18"/>
      <c r="AW790" s="18"/>
      <c r="AX790" s="18"/>
      <c r="AY790" s="18"/>
      <c r="AZ790" s="18"/>
      <c r="BA790" s="18"/>
      <c r="BB790" s="18"/>
      <c r="BC790" s="18"/>
      <c r="BD790" s="18"/>
      <c r="BE790" s="18"/>
      <c r="BF790" s="18"/>
      <c r="BG790" s="18"/>
      <c r="BH790" s="18"/>
      <c r="BI790" s="18"/>
      <c r="BJ790" s="18"/>
      <c r="BK790" s="18"/>
      <c r="BL790" s="18"/>
      <c r="BM790" s="18"/>
      <c r="BN790" s="18"/>
    </row>
    <row r="791" spans="1:66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  <c r="AH791" s="18"/>
      <c r="AI791" s="18"/>
      <c r="AJ791" s="18"/>
      <c r="AK791" s="18"/>
      <c r="AL791" s="18"/>
      <c r="AM791" s="18"/>
      <c r="AN791" s="18"/>
      <c r="AO791" s="18"/>
      <c r="AP791" s="18"/>
      <c r="AQ791" s="18"/>
      <c r="AR791" s="18"/>
      <c r="AS791" s="18"/>
      <c r="AT791" s="18"/>
      <c r="AU791" s="18"/>
      <c r="AV791" s="18"/>
      <c r="AW791" s="18"/>
      <c r="AX791" s="18"/>
      <c r="AY791" s="18"/>
      <c r="AZ791" s="18"/>
      <c r="BA791" s="18"/>
      <c r="BB791" s="18"/>
      <c r="BC791" s="18"/>
      <c r="BD791" s="18"/>
      <c r="BE791" s="18"/>
      <c r="BF791" s="18"/>
      <c r="BG791" s="18"/>
      <c r="BH791" s="18"/>
      <c r="BI791" s="18"/>
      <c r="BJ791" s="18"/>
      <c r="BK791" s="18"/>
      <c r="BL791" s="18"/>
      <c r="BM791" s="18"/>
      <c r="BN791" s="18"/>
    </row>
    <row r="792" spans="1:66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  <c r="AH792" s="18"/>
      <c r="AI792" s="18"/>
      <c r="AJ792" s="18"/>
      <c r="AK792" s="18"/>
      <c r="AL792" s="18"/>
      <c r="AM792" s="18"/>
      <c r="AN792" s="18"/>
      <c r="AO792" s="18"/>
      <c r="AP792" s="18"/>
      <c r="AQ792" s="18"/>
      <c r="AR792" s="18"/>
      <c r="AS792" s="18"/>
      <c r="AT792" s="18"/>
      <c r="AU792" s="18"/>
      <c r="AV792" s="18"/>
      <c r="AW792" s="18"/>
      <c r="AX792" s="18"/>
      <c r="AY792" s="18"/>
      <c r="AZ792" s="18"/>
      <c r="BA792" s="18"/>
      <c r="BB792" s="18"/>
      <c r="BC792" s="18"/>
      <c r="BD792" s="18"/>
      <c r="BE792" s="18"/>
      <c r="BF792" s="18"/>
      <c r="BG792" s="18"/>
      <c r="BH792" s="18"/>
      <c r="BI792" s="18"/>
      <c r="BJ792" s="18"/>
      <c r="BK792" s="18"/>
      <c r="BL792" s="18"/>
      <c r="BM792" s="18"/>
      <c r="BN792" s="18"/>
    </row>
    <row r="793" spans="1:66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  <c r="AH793" s="18"/>
      <c r="AI793" s="18"/>
      <c r="AJ793" s="18"/>
      <c r="AK793" s="18"/>
      <c r="AL793" s="18"/>
      <c r="AM793" s="18"/>
      <c r="AN793" s="18"/>
      <c r="AO793" s="18"/>
      <c r="AP793" s="18"/>
      <c r="AQ793" s="18"/>
      <c r="AR793" s="18"/>
      <c r="AS793" s="18"/>
      <c r="AT793" s="18"/>
      <c r="AU793" s="18"/>
      <c r="AV793" s="18"/>
      <c r="AW793" s="18"/>
      <c r="AX793" s="18"/>
      <c r="AY793" s="18"/>
      <c r="AZ793" s="18"/>
      <c r="BA793" s="18"/>
      <c r="BB793" s="18"/>
      <c r="BC793" s="18"/>
      <c r="BD793" s="18"/>
      <c r="BE793" s="18"/>
      <c r="BF793" s="18"/>
      <c r="BG793" s="18"/>
      <c r="BH793" s="18"/>
      <c r="BI793" s="18"/>
      <c r="BJ793" s="18"/>
      <c r="BK793" s="18"/>
      <c r="BL793" s="18"/>
      <c r="BM793" s="18"/>
      <c r="BN793" s="18"/>
    </row>
    <row r="794" spans="1:66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  <c r="AH794" s="18"/>
      <c r="AI794" s="18"/>
      <c r="AJ794" s="18"/>
      <c r="AK794" s="18"/>
      <c r="AL794" s="18"/>
      <c r="AM794" s="18"/>
      <c r="AN794" s="18"/>
      <c r="AO794" s="18"/>
      <c r="AP794" s="18"/>
      <c r="AQ794" s="18"/>
      <c r="AR794" s="18"/>
      <c r="AS794" s="18"/>
      <c r="AT794" s="18"/>
      <c r="AU794" s="18"/>
      <c r="AV794" s="18"/>
      <c r="AW794" s="18"/>
      <c r="AX794" s="18"/>
      <c r="AY794" s="18"/>
      <c r="AZ794" s="18"/>
      <c r="BA794" s="18"/>
      <c r="BB794" s="18"/>
      <c r="BC794" s="18"/>
      <c r="BD794" s="18"/>
      <c r="BE794" s="18"/>
      <c r="BF794" s="18"/>
      <c r="BG794" s="18"/>
      <c r="BH794" s="18"/>
      <c r="BI794" s="18"/>
      <c r="BJ794" s="18"/>
      <c r="BK794" s="18"/>
      <c r="BL794" s="18"/>
      <c r="BM794" s="18"/>
      <c r="BN794" s="18"/>
    </row>
    <row r="795" spans="1:66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  <c r="AH795" s="18"/>
      <c r="AI795" s="18"/>
      <c r="AJ795" s="18"/>
      <c r="AK795" s="18"/>
      <c r="AL795" s="18"/>
      <c r="AM795" s="18"/>
      <c r="AN795" s="18"/>
      <c r="AO795" s="18"/>
      <c r="AP795" s="18"/>
      <c r="AQ795" s="18"/>
      <c r="AR795" s="18"/>
      <c r="AS795" s="18"/>
      <c r="AT795" s="18"/>
      <c r="AU795" s="18"/>
      <c r="AV795" s="18"/>
      <c r="AW795" s="18"/>
      <c r="AX795" s="18"/>
      <c r="AY795" s="18"/>
      <c r="AZ795" s="18"/>
      <c r="BA795" s="18"/>
      <c r="BB795" s="18"/>
      <c r="BC795" s="18"/>
      <c r="BD795" s="18"/>
      <c r="BE795" s="18"/>
      <c r="BF795" s="18"/>
      <c r="BG795" s="18"/>
      <c r="BH795" s="18"/>
      <c r="BI795" s="18"/>
      <c r="BJ795" s="18"/>
      <c r="BK795" s="18"/>
      <c r="BL795" s="18"/>
      <c r="BM795" s="18"/>
      <c r="BN795" s="18"/>
    </row>
    <row r="796" spans="1:66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  <c r="AH796" s="18"/>
      <c r="AI796" s="18"/>
      <c r="AJ796" s="18"/>
      <c r="AK796" s="18"/>
      <c r="AL796" s="18"/>
      <c r="AM796" s="18"/>
      <c r="AN796" s="18"/>
      <c r="AO796" s="18"/>
      <c r="AP796" s="18"/>
      <c r="AQ796" s="18"/>
      <c r="AR796" s="18"/>
      <c r="AS796" s="18"/>
      <c r="AT796" s="18"/>
      <c r="AU796" s="18"/>
      <c r="AV796" s="18"/>
      <c r="AW796" s="18"/>
      <c r="AX796" s="18"/>
      <c r="AY796" s="18"/>
      <c r="AZ796" s="18"/>
      <c r="BA796" s="18"/>
      <c r="BB796" s="18"/>
      <c r="BC796" s="18"/>
      <c r="BD796" s="18"/>
      <c r="BE796" s="18"/>
      <c r="BF796" s="18"/>
      <c r="BG796" s="18"/>
      <c r="BH796" s="18"/>
      <c r="BI796" s="18"/>
      <c r="BJ796" s="18"/>
      <c r="BK796" s="18"/>
      <c r="BL796" s="18"/>
      <c r="BM796" s="18"/>
      <c r="BN796" s="18"/>
    </row>
    <row r="797" spans="1:66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  <c r="AH797" s="18"/>
      <c r="AI797" s="18"/>
      <c r="AJ797" s="18"/>
      <c r="AK797" s="18"/>
      <c r="AL797" s="18"/>
      <c r="AM797" s="18"/>
      <c r="AN797" s="18"/>
      <c r="AO797" s="18"/>
      <c r="AP797" s="18"/>
      <c r="AQ797" s="18"/>
      <c r="AR797" s="18"/>
      <c r="AS797" s="18"/>
      <c r="AT797" s="18"/>
      <c r="AU797" s="18"/>
      <c r="AV797" s="18"/>
      <c r="AW797" s="18"/>
      <c r="AX797" s="18"/>
      <c r="AY797" s="18"/>
      <c r="AZ797" s="18"/>
      <c r="BA797" s="18"/>
      <c r="BB797" s="18"/>
      <c r="BC797" s="18"/>
      <c r="BD797" s="18"/>
      <c r="BE797" s="18"/>
      <c r="BF797" s="18"/>
      <c r="BG797" s="18"/>
      <c r="BH797" s="18"/>
      <c r="BI797" s="18"/>
      <c r="BJ797" s="18"/>
      <c r="BK797" s="18"/>
      <c r="BL797" s="18"/>
      <c r="BM797" s="18"/>
      <c r="BN797" s="18"/>
    </row>
    <row r="798" spans="1:66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  <c r="AH798" s="18"/>
      <c r="AI798" s="18"/>
      <c r="AJ798" s="18"/>
      <c r="AK798" s="18"/>
      <c r="AL798" s="18"/>
      <c r="AM798" s="18"/>
      <c r="AN798" s="18"/>
      <c r="AO798" s="18"/>
      <c r="AP798" s="18"/>
      <c r="AQ798" s="18"/>
      <c r="AR798" s="18"/>
      <c r="AS798" s="18"/>
      <c r="AT798" s="18"/>
      <c r="AU798" s="18"/>
      <c r="AV798" s="18"/>
      <c r="AW798" s="18"/>
      <c r="AX798" s="18"/>
      <c r="AY798" s="18"/>
      <c r="AZ798" s="18"/>
      <c r="BA798" s="18"/>
      <c r="BB798" s="18"/>
      <c r="BC798" s="18"/>
      <c r="BD798" s="18"/>
      <c r="BE798" s="18"/>
      <c r="BF798" s="18"/>
      <c r="BG798" s="18"/>
      <c r="BH798" s="18"/>
      <c r="BI798" s="18"/>
      <c r="BJ798" s="18"/>
      <c r="BK798" s="18"/>
      <c r="BL798" s="18"/>
      <c r="BM798" s="18"/>
      <c r="BN798" s="18"/>
    </row>
    <row r="799" spans="1:66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  <c r="AG799" s="18"/>
      <c r="AH799" s="18"/>
      <c r="AI799" s="18"/>
      <c r="AJ799" s="18"/>
      <c r="AK799" s="18"/>
      <c r="AL799" s="18"/>
      <c r="AM799" s="18"/>
      <c r="AN799" s="18"/>
      <c r="AO799" s="18"/>
      <c r="AP799" s="18"/>
      <c r="AQ799" s="18"/>
      <c r="AR799" s="18"/>
      <c r="AS799" s="18"/>
      <c r="AT799" s="18"/>
      <c r="AU799" s="18"/>
      <c r="AV799" s="18"/>
      <c r="AW799" s="18"/>
      <c r="AX799" s="18"/>
      <c r="AY799" s="18"/>
      <c r="AZ799" s="18"/>
      <c r="BA799" s="18"/>
      <c r="BB799" s="18"/>
      <c r="BC799" s="18"/>
      <c r="BD799" s="18"/>
      <c r="BE799" s="18"/>
      <c r="BF799" s="18"/>
      <c r="BG799" s="18"/>
      <c r="BH799" s="18"/>
      <c r="BI799" s="18"/>
      <c r="BJ799" s="18"/>
      <c r="BK799" s="18"/>
      <c r="BL799" s="18"/>
      <c r="BM799" s="18"/>
      <c r="BN799" s="18"/>
    </row>
    <row r="800" spans="1:66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18"/>
      <c r="AH800" s="18"/>
      <c r="AI800" s="18"/>
      <c r="AJ800" s="18"/>
      <c r="AK800" s="18"/>
      <c r="AL800" s="18"/>
      <c r="AM800" s="18"/>
      <c r="AN800" s="18"/>
      <c r="AO800" s="18"/>
      <c r="AP800" s="18"/>
      <c r="AQ800" s="18"/>
      <c r="AR800" s="18"/>
      <c r="AS800" s="18"/>
      <c r="AT800" s="18"/>
      <c r="AU800" s="18"/>
      <c r="AV800" s="18"/>
      <c r="AW800" s="18"/>
      <c r="AX800" s="18"/>
      <c r="AY800" s="18"/>
      <c r="AZ800" s="18"/>
      <c r="BA800" s="18"/>
      <c r="BB800" s="18"/>
      <c r="BC800" s="18"/>
      <c r="BD800" s="18"/>
      <c r="BE800" s="18"/>
      <c r="BF800" s="18"/>
      <c r="BG800" s="18"/>
      <c r="BH800" s="18"/>
      <c r="BI800" s="18"/>
      <c r="BJ800" s="18"/>
      <c r="BK800" s="18"/>
      <c r="BL800" s="18"/>
      <c r="BM800" s="18"/>
      <c r="BN800" s="18"/>
    </row>
    <row r="801" spans="1:66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  <c r="AG801" s="18"/>
      <c r="AH801" s="18"/>
      <c r="AI801" s="18"/>
      <c r="AJ801" s="18"/>
      <c r="AK801" s="18"/>
      <c r="AL801" s="18"/>
      <c r="AM801" s="18"/>
      <c r="AN801" s="18"/>
      <c r="AO801" s="18"/>
      <c r="AP801" s="18"/>
      <c r="AQ801" s="18"/>
      <c r="AR801" s="18"/>
      <c r="AS801" s="18"/>
      <c r="AT801" s="18"/>
      <c r="AU801" s="18"/>
      <c r="AV801" s="18"/>
      <c r="AW801" s="18"/>
      <c r="AX801" s="18"/>
      <c r="AY801" s="18"/>
      <c r="AZ801" s="18"/>
      <c r="BA801" s="18"/>
      <c r="BB801" s="18"/>
      <c r="BC801" s="18"/>
      <c r="BD801" s="18"/>
      <c r="BE801" s="18"/>
      <c r="BF801" s="18"/>
      <c r="BG801" s="18"/>
      <c r="BH801" s="18"/>
      <c r="BI801" s="18"/>
      <c r="BJ801" s="18"/>
      <c r="BK801" s="18"/>
      <c r="BL801" s="18"/>
      <c r="BM801" s="18"/>
      <c r="BN801" s="18"/>
    </row>
    <row r="802" spans="1:66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18"/>
      <c r="AH802" s="18"/>
      <c r="AI802" s="18"/>
      <c r="AJ802" s="18"/>
      <c r="AK802" s="18"/>
      <c r="AL802" s="18"/>
      <c r="AM802" s="18"/>
      <c r="AN802" s="18"/>
      <c r="AO802" s="18"/>
      <c r="AP802" s="18"/>
      <c r="AQ802" s="18"/>
      <c r="AR802" s="18"/>
      <c r="AS802" s="18"/>
      <c r="AT802" s="18"/>
      <c r="AU802" s="18"/>
      <c r="AV802" s="18"/>
      <c r="AW802" s="18"/>
      <c r="AX802" s="18"/>
      <c r="AY802" s="18"/>
      <c r="AZ802" s="18"/>
      <c r="BA802" s="18"/>
      <c r="BB802" s="18"/>
      <c r="BC802" s="18"/>
      <c r="BD802" s="18"/>
      <c r="BE802" s="18"/>
      <c r="BF802" s="18"/>
      <c r="BG802" s="18"/>
      <c r="BH802" s="18"/>
      <c r="BI802" s="18"/>
      <c r="BJ802" s="18"/>
      <c r="BK802" s="18"/>
      <c r="BL802" s="18"/>
      <c r="BM802" s="18"/>
      <c r="BN802" s="18"/>
    </row>
    <row r="803" spans="1:66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  <c r="AG803" s="18"/>
      <c r="AH803" s="18"/>
      <c r="AI803" s="18"/>
      <c r="AJ803" s="18"/>
      <c r="AK803" s="18"/>
      <c r="AL803" s="18"/>
      <c r="AM803" s="18"/>
      <c r="AN803" s="18"/>
      <c r="AO803" s="18"/>
      <c r="AP803" s="18"/>
      <c r="AQ803" s="18"/>
      <c r="AR803" s="18"/>
      <c r="AS803" s="18"/>
      <c r="AT803" s="18"/>
      <c r="AU803" s="18"/>
      <c r="AV803" s="18"/>
      <c r="AW803" s="18"/>
      <c r="AX803" s="18"/>
      <c r="AY803" s="18"/>
      <c r="AZ803" s="18"/>
      <c r="BA803" s="18"/>
      <c r="BB803" s="18"/>
      <c r="BC803" s="18"/>
      <c r="BD803" s="18"/>
      <c r="BE803" s="18"/>
      <c r="BF803" s="18"/>
      <c r="BG803" s="18"/>
      <c r="BH803" s="18"/>
      <c r="BI803" s="18"/>
      <c r="BJ803" s="18"/>
      <c r="BK803" s="18"/>
      <c r="BL803" s="18"/>
      <c r="BM803" s="18"/>
      <c r="BN803" s="18"/>
    </row>
    <row r="804" spans="1:66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  <c r="AH804" s="18"/>
      <c r="AI804" s="18"/>
      <c r="AJ804" s="18"/>
      <c r="AK804" s="18"/>
      <c r="AL804" s="18"/>
      <c r="AM804" s="18"/>
      <c r="AN804" s="18"/>
      <c r="AO804" s="18"/>
      <c r="AP804" s="18"/>
      <c r="AQ804" s="18"/>
      <c r="AR804" s="18"/>
      <c r="AS804" s="18"/>
      <c r="AT804" s="18"/>
      <c r="AU804" s="18"/>
      <c r="AV804" s="18"/>
      <c r="AW804" s="18"/>
      <c r="AX804" s="18"/>
      <c r="AY804" s="18"/>
      <c r="AZ804" s="18"/>
      <c r="BA804" s="18"/>
      <c r="BB804" s="18"/>
      <c r="BC804" s="18"/>
      <c r="BD804" s="18"/>
      <c r="BE804" s="18"/>
      <c r="BF804" s="18"/>
      <c r="BG804" s="18"/>
      <c r="BH804" s="18"/>
      <c r="BI804" s="18"/>
      <c r="BJ804" s="18"/>
      <c r="BK804" s="18"/>
      <c r="BL804" s="18"/>
      <c r="BM804" s="18"/>
      <c r="BN804" s="18"/>
    </row>
    <row r="805" spans="1:66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  <c r="AG805" s="18"/>
      <c r="AH805" s="18"/>
      <c r="AI805" s="18"/>
      <c r="AJ805" s="18"/>
      <c r="AK805" s="18"/>
      <c r="AL805" s="18"/>
      <c r="AM805" s="18"/>
      <c r="AN805" s="18"/>
      <c r="AO805" s="18"/>
      <c r="AP805" s="18"/>
      <c r="AQ805" s="18"/>
      <c r="AR805" s="18"/>
      <c r="AS805" s="18"/>
      <c r="AT805" s="18"/>
      <c r="AU805" s="18"/>
      <c r="AV805" s="18"/>
      <c r="AW805" s="18"/>
      <c r="AX805" s="18"/>
      <c r="AY805" s="18"/>
      <c r="AZ805" s="18"/>
      <c r="BA805" s="18"/>
      <c r="BB805" s="18"/>
      <c r="BC805" s="18"/>
      <c r="BD805" s="18"/>
      <c r="BE805" s="18"/>
      <c r="BF805" s="18"/>
      <c r="BG805" s="18"/>
      <c r="BH805" s="18"/>
      <c r="BI805" s="18"/>
      <c r="BJ805" s="18"/>
      <c r="BK805" s="18"/>
      <c r="BL805" s="18"/>
      <c r="BM805" s="18"/>
      <c r="BN805" s="18"/>
    </row>
    <row r="806" spans="1:66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  <c r="AG806" s="18"/>
      <c r="AH806" s="18"/>
      <c r="AI806" s="18"/>
      <c r="AJ806" s="18"/>
      <c r="AK806" s="18"/>
      <c r="AL806" s="18"/>
      <c r="AM806" s="18"/>
      <c r="AN806" s="18"/>
      <c r="AO806" s="18"/>
      <c r="AP806" s="18"/>
      <c r="AQ806" s="18"/>
      <c r="AR806" s="18"/>
      <c r="AS806" s="18"/>
      <c r="AT806" s="18"/>
      <c r="AU806" s="18"/>
      <c r="AV806" s="18"/>
      <c r="AW806" s="18"/>
      <c r="AX806" s="18"/>
      <c r="AY806" s="18"/>
      <c r="AZ806" s="18"/>
      <c r="BA806" s="18"/>
      <c r="BB806" s="18"/>
      <c r="BC806" s="18"/>
      <c r="BD806" s="18"/>
      <c r="BE806" s="18"/>
      <c r="BF806" s="18"/>
      <c r="BG806" s="18"/>
      <c r="BH806" s="18"/>
      <c r="BI806" s="18"/>
      <c r="BJ806" s="18"/>
      <c r="BK806" s="18"/>
      <c r="BL806" s="18"/>
      <c r="BM806" s="18"/>
      <c r="BN806" s="18"/>
    </row>
    <row r="807" spans="1:66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  <c r="AH807" s="18"/>
      <c r="AI807" s="18"/>
      <c r="AJ807" s="18"/>
      <c r="AK807" s="18"/>
      <c r="AL807" s="18"/>
      <c r="AM807" s="18"/>
      <c r="AN807" s="18"/>
      <c r="AO807" s="18"/>
      <c r="AP807" s="18"/>
      <c r="AQ807" s="18"/>
      <c r="AR807" s="18"/>
      <c r="AS807" s="18"/>
      <c r="AT807" s="18"/>
      <c r="AU807" s="18"/>
      <c r="AV807" s="18"/>
      <c r="AW807" s="18"/>
      <c r="AX807" s="18"/>
      <c r="AY807" s="18"/>
      <c r="AZ807" s="18"/>
      <c r="BA807" s="18"/>
      <c r="BB807" s="18"/>
      <c r="BC807" s="18"/>
      <c r="BD807" s="18"/>
      <c r="BE807" s="18"/>
      <c r="BF807" s="18"/>
      <c r="BG807" s="18"/>
      <c r="BH807" s="18"/>
      <c r="BI807" s="18"/>
      <c r="BJ807" s="18"/>
      <c r="BK807" s="18"/>
      <c r="BL807" s="18"/>
      <c r="BM807" s="18"/>
      <c r="BN807" s="18"/>
    </row>
    <row r="808" spans="1:66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  <c r="AH808" s="18"/>
      <c r="AI808" s="18"/>
      <c r="AJ808" s="18"/>
      <c r="AK808" s="18"/>
      <c r="AL808" s="18"/>
      <c r="AM808" s="18"/>
      <c r="AN808" s="18"/>
      <c r="AO808" s="18"/>
      <c r="AP808" s="18"/>
      <c r="AQ808" s="18"/>
      <c r="AR808" s="18"/>
      <c r="AS808" s="18"/>
      <c r="AT808" s="18"/>
      <c r="AU808" s="18"/>
      <c r="AV808" s="18"/>
      <c r="AW808" s="18"/>
      <c r="AX808" s="18"/>
      <c r="AY808" s="18"/>
      <c r="AZ808" s="18"/>
      <c r="BA808" s="18"/>
      <c r="BB808" s="18"/>
      <c r="BC808" s="18"/>
      <c r="BD808" s="18"/>
      <c r="BE808" s="18"/>
      <c r="BF808" s="18"/>
      <c r="BG808" s="18"/>
      <c r="BH808" s="18"/>
      <c r="BI808" s="18"/>
      <c r="BJ808" s="18"/>
      <c r="BK808" s="18"/>
      <c r="BL808" s="18"/>
      <c r="BM808" s="18"/>
      <c r="BN808" s="18"/>
    </row>
    <row r="809" spans="1:66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  <c r="AH809" s="18"/>
      <c r="AI809" s="18"/>
      <c r="AJ809" s="18"/>
      <c r="AK809" s="18"/>
      <c r="AL809" s="18"/>
      <c r="AM809" s="18"/>
      <c r="AN809" s="18"/>
      <c r="AO809" s="18"/>
      <c r="AP809" s="18"/>
      <c r="AQ809" s="18"/>
      <c r="AR809" s="18"/>
      <c r="AS809" s="18"/>
      <c r="AT809" s="18"/>
      <c r="AU809" s="18"/>
      <c r="AV809" s="18"/>
      <c r="AW809" s="18"/>
      <c r="AX809" s="18"/>
      <c r="AY809" s="18"/>
      <c r="AZ809" s="18"/>
      <c r="BA809" s="18"/>
      <c r="BB809" s="18"/>
      <c r="BC809" s="18"/>
      <c r="BD809" s="18"/>
      <c r="BE809" s="18"/>
      <c r="BF809" s="18"/>
      <c r="BG809" s="18"/>
      <c r="BH809" s="18"/>
      <c r="BI809" s="18"/>
      <c r="BJ809" s="18"/>
      <c r="BK809" s="18"/>
      <c r="BL809" s="18"/>
      <c r="BM809" s="18"/>
      <c r="BN809" s="18"/>
    </row>
    <row r="810" spans="1:66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  <c r="AH810" s="18"/>
      <c r="AI810" s="18"/>
      <c r="AJ810" s="18"/>
      <c r="AK810" s="18"/>
      <c r="AL810" s="18"/>
      <c r="AM810" s="18"/>
      <c r="AN810" s="18"/>
      <c r="AO810" s="18"/>
      <c r="AP810" s="18"/>
      <c r="AQ810" s="18"/>
      <c r="AR810" s="18"/>
      <c r="AS810" s="18"/>
      <c r="AT810" s="18"/>
      <c r="AU810" s="18"/>
      <c r="AV810" s="18"/>
      <c r="AW810" s="18"/>
      <c r="AX810" s="18"/>
      <c r="AY810" s="18"/>
      <c r="AZ810" s="18"/>
      <c r="BA810" s="18"/>
      <c r="BB810" s="18"/>
      <c r="BC810" s="18"/>
      <c r="BD810" s="18"/>
      <c r="BE810" s="18"/>
      <c r="BF810" s="18"/>
      <c r="BG810" s="18"/>
      <c r="BH810" s="18"/>
      <c r="BI810" s="18"/>
      <c r="BJ810" s="18"/>
      <c r="BK810" s="18"/>
      <c r="BL810" s="18"/>
      <c r="BM810" s="18"/>
      <c r="BN810" s="18"/>
    </row>
    <row r="811" spans="1:66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  <c r="AH811" s="18"/>
      <c r="AI811" s="18"/>
      <c r="AJ811" s="18"/>
      <c r="AK811" s="18"/>
      <c r="AL811" s="18"/>
      <c r="AM811" s="18"/>
      <c r="AN811" s="18"/>
      <c r="AO811" s="18"/>
      <c r="AP811" s="18"/>
      <c r="AQ811" s="18"/>
      <c r="AR811" s="18"/>
      <c r="AS811" s="18"/>
      <c r="AT811" s="18"/>
      <c r="AU811" s="18"/>
      <c r="AV811" s="18"/>
      <c r="AW811" s="18"/>
      <c r="AX811" s="18"/>
      <c r="AY811" s="18"/>
      <c r="AZ811" s="18"/>
      <c r="BA811" s="18"/>
      <c r="BB811" s="18"/>
      <c r="BC811" s="18"/>
      <c r="BD811" s="18"/>
      <c r="BE811" s="18"/>
      <c r="BF811" s="18"/>
      <c r="BG811" s="18"/>
      <c r="BH811" s="18"/>
      <c r="BI811" s="18"/>
      <c r="BJ811" s="18"/>
      <c r="BK811" s="18"/>
      <c r="BL811" s="18"/>
      <c r="BM811" s="18"/>
      <c r="BN811" s="18"/>
    </row>
    <row r="812" spans="1:66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  <c r="AH812" s="18"/>
      <c r="AI812" s="18"/>
      <c r="AJ812" s="18"/>
      <c r="AK812" s="18"/>
      <c r="AL812" s="18"/>
      <c r="AM812" s="18"/>
      <c r="AN812" s="18"/>
      <c r="AO812" s="18"/>
      <c r="AP812" s="18"/>
      <c r="AQ812" s="18"/>
      <c r="AR812" s="18"/>
      <c r="AS812" s="18"/>
      <c r="AT812" s="18"/>
      <c r="AU812" s="18"/>
      <c r="AV812" s="18"/>
      <c r="AW812" s="18"/>
      <c r="AX812" s="18"/>
      <c r="AY812" s="18"/>
      <c r="AZ812" s="18"/>
      <c r="BA812" s="18"/>
      <c r="BB812" s="18"/>
      <c r="BC812" s="18"/>
      <c r="BD812" s="18"/>
      <c r="BE812" s="18"/>
      <c r="BF812" s="18"/>
      <c r="BG812" s="18"/>
      <c r="BH812" s="18"/>
      <c r="BI812" s="18"/>
      <c r="BJ812" s="18"/>
      <c r="BK812" s="18"/>
      <c r="BL812" s="18"/>
      <c r="BM812" s="18"/>
      <c r="BN812" s="18"/>
    </row>
    <row r="813" spans="1:66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  <c r="AH813" s="18"/>
      <c r="AI813" s="18"/>
      <c r="AJ813" s="18"/>
      <c r="AK813" s="18"/>
      <c r="AL813" s="18"/>
      <c r="AM813" s="18"/>
      <c r="AN813" s="18"/>
      <c r="AO813" s="18"/>
      <c r="AP813" s="18"/>
      <c r="AQ813" s="18"/>
      <c r="AR813" s="18"/>
      <c r="AS813" s="18"/>
      <c r="AT813" s="18"/>
      <c r="AU813" s="18"/>
      <c r="AV813" s="18"/>
      <c r="AW813" s="18"/>
      <c r="AX813" s="18"/>
      <c r="AY813" s="18"/>
      <c r="AZ813" s="18"/>
      <c r="BA813" s="18"/>
      <c r="BB813" s="18"/>
      <c r="BC813" s="18"/>
      <c r="BD813" s="18"/>
      <c r="BE813" s="18"/>
      <c r="BF813" s="18"/>
      <c r="BG813" s="18"/>
      <c r="BH813" s="18"/>
      <c r="BI813" s="18"/>
      <c r="BJ813" s="18"/>
      <c r="BK813" s="18"/>
      <c r="BL813" s="18"/>
      <c r="BM813" s="18"/>
      <c r="BN813" s="18"/>
    </row>
    <row r="814" spans="1:66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  <c r="AH814" s="18"/>
      <c r="AI814" s="18"/>
      <c r="AJ814" s="18"/>
      <c r="AK814" s="18"/>
      <c r="AL814" s="18"/>
      <c r="AM814" s="18"/>
      <c r="AN814" s="18"/>
      <c r="AO814" s="18"/>
      <c r="AP814" s="18"/>
      <c r="AQ814" s="18"/>
      <c r="AR814" s="18"/>
      <c r="AS814" s="18"/>
      <c r="AT814" s="18"/>
      <c r="AU814" s="18"/>
      <c r="AV814" s="18"/>
      <c r="AW814" s="18"/>
      <c r="AX814" s="18"/>
      <c r="AY814" s="18"/>
      <c r="AZ814" s="18"/>
      <c r="BA814" s="18"/>
      <c r="BB814" s="18"/>
      <c r="BC814" s="18"/>
      <c r="BD814" s="18"/>
      <c r="BE814" s="18"/>
      <c r="BF814" s="18"/>
      <c r="BG814" s="18"/>
      <c r="BH814" s="18"/>
      <c r="BI814" s="18"/>
      <c r="BJ814" s="18"/>
      <c r="BK814" s="18"/>
      <c r="BL814" s="18"/>
      <c r="BM814" s="18"/>
      <c r="BN814" s="18"/>
    </row>
    <row r="815" spans="1:66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  <c r="AH815" s="18"/>
      <c r="AI815" s="18"/>
      <c r="AJ815" s="18"/>
      <c r="AK815" s="18"/>
      <c r="AL815" s="18"/>
      <c r="AM815" s="18"/>
      <c r="AN815" s="18"/>
      <c r="AO815" s="18"/>
      <c r="AP815" s="18"/>
      <c r="AQ815" s="18"/>
      <c r="AR815" s="18"/>
      <c r="AS815" s="18"/>
      <c r="AT815" s="18"/>
      <c r="AU815" s="18"/>
      <c r="AV815" s="18"/>
      <c r="AW815" s="18"/>
      <c r="AX815" s="18"/>
      <c r="AY815" s="18"/>
      <c r="AZ815" s="18"/>
      <c r="BA815" s="18"/>
      <c r="BB815" s="18"/>
      <c r="BC815" s="18"/>
      <c r="BD815" s="18"/>
      <c r="BE815" s="18"/>
      <c r="BF815" s="18"/>
      <c r="BG815" s="18"/>
      <c r="BH815" s="18"/>
      <c r="BI815" s="18"/>
      <c r="BJ815" s="18"/>
      <c r="BK815" s="18"/>
      <c r="BL815" s="18"/>
      <c r="BM815" s="18"/>
      <c r="BN815" s="18"/>
    </row>
    <row r="816" spans="1:66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  <c r="AH816" s="18"/>
      <c r="AI816" s="18"/>
      <c r="AJ816" s="18"/>
      <c r="AK816" s="18"/>
      <c r="AL816" s="18"/>
      <c r="AM816" s="18"/>
      <c r="AN816" s="18"/>
      <c r="AO816" s="18"/>
      <c r="AP816" s="18"/>
      <c r="AQ816" s="18"/>
      <c r="AR816" s="18"/>
      <c r="AS816" s="18"/>
      <c r="AT816" s="18"/>
      <c r="AU816" s="18"/>
      <c r="AV816" s="18"/>
      <c r="AW816" s="18"/>
      <c r="AX816" s="18"/>
      <c r="AY816" s="18"/>
      <c r="AZ816" s="18"/>
      <c r="BA816" s="18"/>
      <c r="BB816" s="18"/>
      <c r="BC816" s="18"/>
      <c r="BD816" s="18"/>
      <c r="BE816" s="18"/>
      <c r="BF816" s="18"/>
      <c r="BG816" s="18"/>
      <c r="BH816" s="18"/>
      <c r="BI816" s="18"/>
      <c r="BJ816" s="18"/>
      <c r="BK816" s="18"/>
      <c r="BL816" s="18"/>
      <c r="BM816" s="18"/>
      <c r="BN816" s="18"/>
    </row>
    <row r="817" spans="1:66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  <c r="AG817" s="18"/>
      <c r="AH817" s="18"/>
      <c r="AI817" s="18"/>
      <c r="AJ817" s="18"/>
      <c r="AK817" s="18"/>
      <c r="AL817" s="18"/>
      <c r="AM817" s="18"/>
      <c r="AN817" s="18"/>
      <c r="AO817" s="18"/>
      <c r="AP817" s="18"/>
      <c r="AQ817" s="18"/>
      <c r="AR817" s="18"/>
      <c r="AS817" s="18"/>
      <c r="AT817" s="18"/>
      <c r="AU817" s="18"/>
      <c r="AV817" s="18"/>
      <c r="AW817" s="18"/>
      <c r="AX817" s="18"/>
      <c r="AY817" s="18"/>
      <c r="AZ817" s="18"/>
      <c r="BA817" s="18"/>
      <c r="BB817" s="18"/>
      <c r="BC817" s="18"/>
      <c r="BD817" s="18"/>
      <c r="BE817" s="18"/>
      <c r="BF817" s="18"/>
      <c r="BG817" s="18"/>
      <c r="BH817" s="18"/>
      <c r="BI817" s="18"/>
      <c r="BJ817" s="18"/>
      <c r="BK817" s="18"/>
      <c r="BL817" s="18"/>
      <c r="BM817" s="18"/>
      <c r="BN817" s="18"/>
    </row>
    <row r="818" spans="1:66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  <c r="AG818" s="18"/>
      <c r="AH818" s="18"/>
      <c r="AI818" s="18"/>
      <c r="AJ818" s="18"/>
      <c r="AK818" s="18"/>
      <c r="AL818" s="18"/>
      <c r="AM818" s="18"/>
      <c r="AN818" s="18"/>
      <c r="AO818" s="18"/>
      <c r="AP818" s="18"/>
      <c r="AQ818" s="18"/>
      <c r="AR818" s="18"/>
      <c r="AS818" s="18"/>
      <c r="AT818" s="18"/>
      <c r="AU818" s="18"/>
      <c r="AV818" s="18"/>
      <c r="AW818" s="18"/>
      <c r="AX818" s="18"/>
      <c r="AY818" s="18"/>
      <c r="AZ818" s="18"/>
      <c r="BA818" s="18"/>
      <c r="BB818" s="18"/>
      <c r="BC818" s="18"/>
      <c r="BD818" s="18"/>
      <c r="BE818" s="18"/>
      <c r="BF818" s="18"/>
      <c r="BG818" s="18"/>
      <c r="BH818" s="18"/>
      <c r="BI818" s="18"/>
      <c r="BJ818" s="18"/>
      <c r="BK818" s="18"/>
      <c r="BL818" s="18"/>
      <c r="BM818" s="18"/>
      <c r="BN818" s="18"/>
    </row>
    <row r="819" spans="1:66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  <c r="AH819" s="18"/>
      <c r="AI819" s="18"/>
      <c r="AJ819" s="18"/>
      <c r="AK819" s="18"/>
      <c r="AL819" s="18"/>
      <c r="AM819" s="18"/>
      <c r="AN819" s="18"/>
      <c r="AO819" s="18"/>
      <c r="AP819" s="18"/>
      <c r="AQ819" s="18"/>
      <c r="AR819" s="18"/>
      <c r="AS819" s="18"/>
      <c r="AT819" s="18"/>
      <c r="AU819" s="18"/>
      <c r="AV819" s="18"/>
      <c r="AW819" s="18"/>
      <c r="AX819" s="18"/>
      <c r="AY819" s="18"/>
      <c r="AZ819" s="18"/>
      <c r="BA819" s="18"/>
      <c r="BB819" s="18"/>
      <c r="BC819" s="18"/>
      <c r="BD819" s="18"/>
      <c r="BE819" s="18"/>
      <c r="BF819" s="18"/>
      <c r="BG819" s="18"/>
      <c r="BH819" s="18"/>
      <c r="BI819" s="18"/>
      <c r="BJ819" s="18"/>
      <c r="BK819" s="18"/>
      <c r="BL819" s="18"/>
      <c r="BM819" s="18"/>
      <c r="BN819" s="18"/>
    </row>
    <row r="820" spans="1:66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  <c r="AH820" s="18"/>
      <c r="AI820" s="18"/>
      <c r="AJ820" s="18"/>
      <c r="AK820" s="18"/>
      <c r="AL820" s="18"/>
      <c r="AM820" s="18"/>
      <c r="AN820" s="18"/>
      <c r="AO820" s="18"/>
      <c r="AP820" s="18"/>
      <c r="AQ820" s="18"/>
      <c r="AR820" s="18"/>
      <c r="AS820" s="18"/>
      <c r="AT820" s="18"/>
      <c r="AU820" s="18"/>
      <c r="AV820" s="18"/>
      <c r="AW820" s="18"/>
      <c r="AX820" s="18"/>
      <c r="AY820" s="18"/>
      <c r="AZ820" s="18"/>
      <c r="BA820" s="18"/>
      <c r="BB820" s="18"/>
      <c r="BC820" s="18"/>
      <c r="BD820" s="18"/>
      <c r="BE820" s="18"/>
      <c r="BF820" s="18"/>
      <c r="BG820" s="18"/>
      <c r="BH820" s="18"/>
      <c r="BI820" s="18"/>
      <c r="BJ820" s="18"/>
      <c r="BK820" s="18"/>
      <c r="BL820" s="18"/>
      <c r="BM820" s="18"/>
      <c r="BN820" s="18"/>
    </row>
    <row r="821" spans="1:66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F821" s="18"/>
      <c r="AG821" s="18"/>
      <c r="AH821" s="18"/>
      <c r="AI821" s="18"/>
      <c r="AJ821" s="18"/>
      <c r="AK821" s="18"/>
      <c r="AL821" s="18"/>
      <c r="AM821" s="18"/>
      <c r="AN821" s="18"/>
      <c r="AO821" s="18"/>
      <c r="AP821" s="18"/>
      <c r="AQ821" s="18"/>
      <c r="AR821" s="18"/>
      <c r="AS821" s="18"/>
      <c r="AT821" s="18"/>
      <c r="AU821" s="18"/>
      <c r="AV821" s="18"/>
      <c r="AW821" s="18"/>
      <c r="AX821" s="18"/>
      <c r="AY821" s="18"/>
      <c r="AZ821" s="18"/>
      <c r="BA821" s="18"/>
      <c r="BB821" s="18"/>
      <c r="BC821" s="18"/>
      <c r="BD821" s="18"/>
      <c r="BE821" s="18"/>
      <c r="BF821" s="18"/>
      <c r="BG821" s="18"/>
      <c r="BH821" s="18"/>
      <c r="BI821" s="18"/>
      <c r="BJ821" s="18"/>
      <c r="BK821" s="18"/>
      <c r="BL821" s="18"/>
      <c r="BM821" s="18"/>
      <c r="BN821" s="18"/>
    </row>
    <row r="822" spans="1:66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  <c r="AH822" s="18"/>
      <c r="AI822" s="18"/>
      <c r="AJ822" s="18"/>
      <c r="AK822" s="18"/>
      <c r="AL822" s="18"/>
      <c r="AM822" s="18"/>
      <c r="AN822" s="18"/>
      <c r="AO822" s="18"/>
      <c r="AP822" s="18"/>
      <c r="AQ822" s="18"/>
      <c r="AR822" s="18"/>
      <c r="AS822" s="18"/>
      <c r="AT822" s="18"/>
      <c r="AU822" s="18"/>
      <c r="AV822" s="18"/>
      <c r="AW822" s="18"/>
      <c r="AX822" s="18"/>
      <c r="AY822" s="18"/>
      <c r="AZ822" s="18"/>
      <c r="BA822" s="18"/>
      <c r="BB822" s="18"/>
      <c r="BC822" s="18"/>
      <c r="BD822" s="18"/>
      <c r="BE822" s="18"/>
      <c r="BF822" s="18"/>
      <c r="BG822" s="18"/>
      <c r="BH822" s="18"/>
      <c r="BI822" s="18"/>
      <c r="BJ822" s="18"/>
      <c r="BK822" s="18"/>
      <c r="BL822" s="18"/>
      <c r="BM822" s="18"/>
      <c r="BN822" s="18"/>
    </row>
    <row r="823" spans="1:66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  <c r="AH823" s="18"/>
      <c r="AI823" s="18"/>
      <c r="AJ823" s="18"/>
      <c r="AK823" s="18"/>
      <c r="AL823" s="18"/>
      <c r="AM823" s="18"/>
      <c r="AN823" s="18"/>
      <c r="AO823" s="18"/>
      <c r="AP823" s="18"/>
      <c r="AQ823" s="18"/>
      <c r="AR823" s="18"/>
      <c r="AS823" s="18"/>
      <c r="AT823" s="18"/>
      <c r="AU823" s="18"/>
      <c r="AV823" s="18"/>
      <c r="AW823" s="18"/>
      <c r="AX823" s="18"/>
      <c r="AY823" s="18"/>
      <c r="AZ823" s="18"/>
      <c r="BA823" s="18"/>
      <c r="BB823" s="18"/>
      <c r="BC823" s="18"/>
      <c r="BD823" s="18"/>
      <c r="BE823" s="18"/>
      <c r="BF823" s="18"/>
      <c r="BG823" s="18"/>
      <c r="BH823" s="18"/>
      <c r="BI823" s="18"/>
      <c r="BJ823" s="18"/>
      <c r="BK823" s="18"/>
      <c r="BL823" s="18"/>
      <c r="BM823" s="18"/>
      <c r="BN823" s="18"/>
    </row>
    <row r="824" spans="1:66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  <c r="AG824" s="18"/>
      <c r="AH824" s="18"/>
      <c r="AI824" s="18"/>
      <c r="AJ824" s="18"/>
      <c r="AK824" s="18"/>
      <c r="AL824" s="18"/>
      <c r="AM824" s="18"/>
      <c r="AN824" s="18"/>
      <c r="AO824" s="18"/>
      <c r="AP824" s="18"/>
      <c r="AQ824" s="18"/>
      <c r="AR824" s="18"/>
      <c r="AS824" s="18"/>
      <c r="AT824" s="18"/>
      <c r="AU824" s="18"/>
      <c r="AV824" s="18"/>
      <c r="AW824" s="18"/>
      <c r="AX824" s="18"/>
      <c r="AY824" s="18"/>
      <c r="AZ824" s="18"/>
      <c r="BA824" s="18"/>
      <c r="BB824" s="18"/>
      <c r="BC824" s="18"/>
      <c r="BD824" s="18"/>
      <c r="BE824" s="18"/>
      <c r="BF824" s="18"/>
      <c r="BG824" s="18"/>
      <c r="BH824" s="18"/>
      <c r="BI824" s="18"/>
      <c r="BJ824" s="18"/>
      <c r="BK824" s="18"/>
      <c r="BL824" s="18"/>
      <c r="BM824" s="18"/>
      <c r="BN824" s="18"/>
    </row>
    <row r="825" spans="1:66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  <c r="AH825" s="18"/>
      <c r="AI825" s="18"/>
      <c r="AJ825" s="18"/>
      <c r="AK825" s="18"/>
      <c r="AL825" s="18"/>
      <c r="AM825" s="18"/>
      <c r="AN825" s="18"/>
      <c r="AO825" s="18"/>
      <c r="AP825" s="18"/>
      <c r="AQ825" s="18"/>
      <c r="AR825" s="18"/>
      <c r="AS825" s="18"/>
      <c r="AT825" s="18"/>
      <c r="AU825" s="18"/>
      <c r="AV825" s="18"/>
      <c r="AW825" s="18"/>
      <c r="AX825" s="18"/>
      <c r="AY825" s="18"/>
      <c r="AZ825" s="18"/>
      <c r="BA825" s="18"/>
      <c r="BB825" s="18"/>
      <c r="BC825" s="18"/>
      <c r="BD825" s="18"/>
      <c r="BE825" s="18"/>
      <c r="BF825" s="18"/>
      <c r="BG825" s="18"/>
      <c r="BH825" s="18"/>
      <c r="BI825" s="18"/>
      <c r="BJ825" s="18"/>
      <c r="BK825" s="18"/>
      <c r="BL825" s="18"/>
      <c r="BM825" s="18"/>
      <c r="BN825" s="18"/>
    </row>
    <row r="826" spans="1:66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  <c r="AH826" s="18"/>
      <c r="AI826" s="18"/>
      <c r="AJ826" s="18"/>
      <c r="AK826" s="18"/>
      <c r="AL826" s="18"/>
      <c r="AM826" s="18"/>
      <c r="AN826" s="18"/>
      <c r="AO826" s="18"/>
      <c r="AP826" s="18"/>
      <c r="AQ826" s="18"/>
      <c r="AR826" s="18"/>
      <c r="AS826" s="18"/>
      <c r="AT826" s="18"/>
      <c r="AU826" s="18"/>
      <c r="AV826" s="18"/>
      <c r="AW826" s="18"/>
      <c r="AX826" s="18"/>
      <c r="AY826" s="18"/>
      <c r="AZ826" s="18"/>
      <c r="BA826" s="18"/>
      <c r="BB826" s="18"/>
      <c r="BC826" s="18"/>
      <c r="BD826" s="18"/>
      <c r="BE826" s="18"/>
      <c r="BF826" s="18"/>
      <c r="BG826" s="18"/>
      <c r="BH826" s="18"/>
      <c r="BI826" s="18"/>
      <c r="BJ826" s="18"/>
      <c r="BK826" s="18"/>
      <c r="BL826" s="18"/>
      <c r="BM826" s="18"/>
      <c r="BN826" s="18"/>
    </row>
    <row r="827" spans="1:66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  <c r="AH827" s="18"/>
      <c r="AI827" s="18"/>
      <c r="AJ827" s="18"/>
      <c r="AK827" s="18"/>
      <c r="AL827" s="18"/>
      <c r="AM827" s="18"/>
      <c r="AN827" s="18"/>
      <c r="AO827" s="18"/>
      <c r="AP827" s="18"/>
      <c r="AQ827" s="18"/>
      <c r="AR827" s="18"/>
      <c r="AS827" s="18"/>
      <c r="AT827" s="18"/>
      <c r="AU827" s="18"/>
      <c r="AV827" s="18"/>
      <c r="AW827" s="18"/>
      <c r="AX827" s="18"/>
      <c r="AY827" s="18"/>
      <c r="AZ827" s="18"/>
      <c r="BA827" s="18"/>
      <c r="BB827" s="18"/>
      <c r="BC827" s="18"/>
      <c r="BD827" s="18"/>
      <c r="BE827" s="18"/>
      <c r="BF827" s="18"/>
      <c r="BG827" s="18"/>
      <c r="BH827" s="18"/>
      <c r="BI827" s="18"/>
      <c r="BJ827" s="18"/>
      <c r="BK827" s="18"/>
      <c r="BL827" s="18"/>
      <c r="BM827" s="18"/>
      <c r="BN827" s="18"/>
    </row>
    <row r="828" spans="1:66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  <c r="AH828" s="18"/>
      <c r="AI828" s="18"/>
      <c r="AJ828" s="18"/>
      <c r="AK828" s="18"/>
      <c r="AL828" s="18"/>
      <c r="AM828" s="18"/>
      <c r="AN828" s="18"/>
      <c r="AO828" s="18"/>
      <c r="AP828" s="18"/>
      <c r="AQ828" s="18"/>
      <c r="AR828" s="18"/>
      <c r="AS828" s="18"/>
      <c r="AT828" s="18"/>
      <c r="AU828" s="18"/>
      <c r="AV828" s="18"/>
      <c r="AW828" s="18"/>
      <c r="AX828" s="18"/>
      <c r="AY828" s="18"/>
      <c r="AZ828" s="18"/>
      <c r="BA828" s="18"/>
      <c r="BB828" s="18"/>
      <c r="BC828" s="18"/>
      <c r="BD828" s="18"/>
      <c r="BE828" s="18"/>
      <c r="BF828" s="18"/>
      <c r="BG828" s="18"/>
      <c r="BH828" s="18"/>
      <c r="BI828" s="18"/>
      <c r="BJ828" s="18"/>
      <c r="BK828" s="18"/>
      <c r="BL828" s="18"/>
      <c r="BM828" s="18"/>
      <c r="BN828" s="18"/>
    </row>
    <row r="829" spans="1:66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  <c r="AH829" s="18"/>
      <c r="AI829" s="18"/>
      <c r="AJ829" s="18"/>
      <c r="AK829" s="18"/>
      <c r="AL829" s="18"/>
      <c r="AM829" s="18"/>
      <c r="AN829" s="18"/>
      <c r="AO829" s="18"/>
      <c r="AP829" s="18"/>
      <c r="AQ829" s="18"/>
      <c r="AR829" s="18"/>
      <c r="AS829" s="18"/>
      <c r="AT829" s="18"/>
      <c r="AU829" s="18"/>
      <c r="AV829" s="18"/>
      <c r="AW829" s="18"/>
      <c r="AX829" s="18"/>
      <c r="AY829" s="18"/>
      <c r="AZ829" s="18"/>
      <c r="BA829" s="18"/>
      <c r="BB829" s="18"/>
      <c r="BC829" s="18"/>
      <c r="BD829" s="18"/>
      <c r="BE829" s="18"/>
      <c r="BF829" s="18"/>
      <c r="BG829" s="18"/>
      <c r="BH829" s="18"/>
      <c r="BI829" s="18"/>
      <c r="BJ829" s="18"/>
      <c r="BK829" s="18"/>
      <c r="BL829" s="18"/>
      <c r="BM829" s="18"/>
      <c r="BN829" s="18"/>
    </row>
    <row r="830" spans="1:66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  <c r="AH830" s="18"/>
      <c r="AI830" s="18"/>
      <c r="AJ830" s="18"/>
      <c r="AK830" s="18"/>
      <c r="AL830" s="18"/>
      <c r="AM830" s="18"/>
      <c r="AN830" s="18"/>
      <c r="AO830" s="18"/>
      <c r="AP830" s="18"/>
      <c r="AQ830" s="18"/>
      <c r="AR830" s="18"/>
      <c r="AS830" s="18"/>
      <c r="AT830" s="18"/>
      <c r="AU830" s="18"/>
      <c r="AV830" s="18"/>
      <c r="AW830" s="18"/>
      <c r="AX830" s="18"/>
      <c r="AY830" s="18"/>
      <c r="AZ830" s="18"/>
      <c r="BA830" s="18"/>
      <c r="BB830" s="18"/>
      <c r="BC830" s="18"/>
      <c r="BD830" s="18"/>
      <c r="BE830" s="18"/>
      <c r="BF830" s="18"/>
      <c r="BG830" s="18"/>
      <c r="BH830" s="18"/>
      <c r="BI830" s="18"/>
      <c r="BJ830" s="18"/>
      <c r="BK830" s="18"/>
      <c r="BL830" s="18"/>
      <c r="BM830" s="18"/>
      <c r="BN830" s="18"/>
    </row>
    <row r="831" spans="1:66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  <c r="AH831" s="18"/>
      <c r="AI831" s="18"/>
      <c r="AJ831" s="18"/>
      <c r="AK831" s="18"/>
      <c r="AL831" s="18"/>
      <c r="AM831" s="18"/>
      <c r="AN831" s="18"/>
      <c r="AO831" s="18"/>
      <c r="AP831" s="18"/>
      <c r="AQ831" s="18"/>
      <c r="AR831" s="18"/>
      <c r="AS831" s="18"/>
      <c r="AT831" s="18"/>
      <c r="AU831" s="18"/>
      <c r="AV831" s="18"/>
      <c r="AW831" s="18"/>
      <c r="AX831" s="18"/>
      <c r="AY831" s="18"/>
      <c r="AZ831" s="18"/>
      <c r="BA831" s="18"/>
      <c r="BB831" s="18"/>
      <c r="BC831" s="18"/>
      <c r="BD831" s="18"/>
      <c r="BE831" s="18"/>
      <c r="BF831" s="18"/>
      <c r="BG831" s="18"/>
      <c r="BH831" s="18"/>
      <c r="BI831" s="18"/>
      <c r="BJ831" s="18"/>
      <c r="BK831" s="18"/>
      <c r="BL831" s="18"/>
      <c r="BM831" s="18"/>
      <c r="BN831" s="18"/>
    </row>
    <row r="832" spans="1:66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  <c r="AH832" s="18"/>
      <c r="AI832" s="18"/>
      <c r="AJ832" s="18"/>
      <c r="AK832" s="18"/>
      <c r="AL832" s="18"/>
      <c r="AM832" s="18"/>
      <c r="AN832" s="18"/>
      <c r="AO832" s="18"/>
      <c r="AP832" s="18"/>
      <c r="AQ832" s="18"/>
      <c r="AR832" s="18"/>
      <c r="AS832" s="18"/>
      <c r="AT832" s="18"/>
      <c r="AU832" s="18"/>
      <c r="AV832" s="18"/>
      <c r="AW832" s="18"/>
      <c r="AX832" s="18"/>
      <c r="AY832" s="18"/>
      <c r="AZ832" s="18"/>
      <c r="BA832" s="18"/>
      <c r="BB832" s="18"/>
      <c r="BC832" s="18"/>
      <c r="BD832" s="18"/>
      <c r="BE832" s="18"/>
      <c r="BF832" s="18"/>
      <c r="BG832" s="18"/>
      <c r="BH832" s="18"/>
      <c r="BI832" s="18"/>
      <c r="BJ832" s="18"/>
      <c r="BK832" s="18"/>
      <c r="BL832" s="18"/>
      <c r="BM832" s="18"/>
      <c r="BN832" s="18"/>
    </row>
    <row r="833" spans="1:66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  <c r="AH833" s="18"/>
      <c r="AI833" s="18"/>
      <c r="AJ833" s="18"/>
      <c r="AK833" s="18"/>
      <c r="AL833" s="18"/>
      <c r="AM833" s="18"/>
      <c r="AN833" s="18"/>
      <c r="AO833" s="18"/>
      <c r="AP833" s="18"/>
      <c r="AQ833" s="18"/>
      <c r="AR833" s="18"/>
      <c r="AS833" s="18"/>
      <c r="AT833" s="18"/>
      <c r="AU833" s="18"/>
      <c r="AV833" s="18"/>
      <c r="AW833" s="18"/>
      <c r="AX833" s="18"/>
      <c r="AY833" s="18"/>
      <c r="AZ833" s="18"/>
      <c r="BA833" s="18"/>
      <c r="BB833" s="18"/>
      <c r="BC833" s="18"/>
      <c r="BD833" s="18"/>
      <c r="BE833" s="18"/>
      <c r="BF833" s="18"/>
      <c r="BG833" s="18"/>
      <c r="BH833" s="18"/>
      <c r="BI833" s="18"/>
      <c r="BJ833" s="18"/>
      <c r="BK833" s="18"/>
      <c r="BL833" s="18"/>
      <c r="BM833" s="18"/>
      <c r="BN833" s="18"/>
    </row>
    <row r="834" spans="1:66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  <c r="AH834" s="18"/>
      <c r="AI834" s="18"/>
      <c r="AJ834" s="18"/>
      <c r="AK834" s="18"/>
      <c r="AL834" s="18"/>
      <c r="AM834" s="18"/>
      <c r="AN834" s="18"/>
      <c r="AO834" s="18"/>
      <c r="AP834" s="18"/>
      <c r="AQ834" s="18"/>
      <c r="AR834" s="18"/>
      <c r="AS834" s="18"/>
      <c r="AT834" s="18"/>
      <c r="AU834" s="18"/>
      <c r="AV834" s="18"/>
      <c r="AW834" s="18"/>
      <c r="AX834" s="18"/>
      <c r="AY834" s="18"/>
      <c r="AZ834" s="18"/>
      <c r="BA834" s="18"/>
      <c r="BB834" s="18"/>
      <c r="BC834" s="18"/>
      <c r="BD834" s="18"/>
      <c r="BE834" s="18"/>
      <c r="BF834" s="18"/>
      <c r="BG834" s="18"/>
      <c r="BH834" s="18"/>
      <c r="BI834" s="18"/>
      <c r="BJ834" s="18"/>
      <c r="BK834" s="18"/>
      <c r="BL834" s="18"/>
      <c r="BM834" s="18"/>
      <c r="BN834" s="18"/>
    </row>
    <row r="835" spans="1:66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  <c r="AH835" s="18"/>
      <c r="AI835" s="18"/>
      <c r="AJ835" s="18"/>
      <c r="AK835" s="18"/>
      <c r="AL835" s="18"/>
      <c r="AM835" s="18"/>
      <c r="AN835" s="18"/>
      <c r="AO835" s="18"/>
      <c r="AP835" s="18"/>
      <c r="AQ835" s="18"/>
      <c r="AR835" s="18"/>
      <c r="AS835" s="18"/>
      <c r="AT835" s="18"/>
      <c r="AU835" s="18"/>
      <c r="AV835" s="18"/>
      <c r="AW835" s="18"/>
      <c r="AX835" s="18"/>
      <c r="AY835" s="18"/>
      <c r="AZ835" s="18"/>
      <c r="BA835" s="18"/>
      <c r="BB835" s="18"/>
      <c r="BC835" s="18"/>
      <c r="BD835" s="18"/>
      <c r="BE835" s="18"/>
      <c r="BF835" s="18"/>
      <c r="BG835" s="18"/>
      <c r="BH835" s="18"/>
      <c r="BI835" s="18"/>
      <c r="BJ835" s="18"/>
      <c r="BK835" s="18"/>
      <c r="BL835" s="18"/>
      <c r="BM835" s="18"/>
      <c r="BN835" s="18"/>
    </row>
    <row r="836" spans="1:66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  <c r="AH836" s="18"/>
      <c r="AI836" s="18"/>
      <c r="AJ836" s="18"/>
      <c r="AK836" s="18"/>
      <c r="AL836" s="18"/>
      <c r="AM836" s="18"/>
      <c r="AN836" s="18"/>
      <c r="AO836" s="18"/>
      <c r="AP836" s="18"/>
      <c r="AQ836" s="18"/>
      <c r="AR836" s="18"/>
      <c r="AS836" s="18"/>
      <c r="AT836" s="18"/>
      <c r="AU836" s="18"/>
      <c r="AV836" s="18"/>
      <c r="AW836" s="18"/>
      <c r="AX836" s="18"/>
      <c r="AY836" s="18"/>
      <c r="AZ836" s="18"/>
      <c r="BA836" s="18"/>
      <c r="BB836" s="18"/>
      <c r="BC836" s="18"/>
      <c r="BD836" s="18"/>
      <c r="BE836" s="18"/>
      <c r="BF836" s="18"/>
      <c r="BG836" s="18"/>
      <c r="BH836" s="18"/>
      <c r="BI836" s="18"/>
      <c r="BJ836" s="18"/>
      <c r="BK836" s="18"/>
      <c r="BL836" s="18"/>
      <c r="BM836" s="18"/>
      <c r="BN836" s="18"/>
    </row>
    <row r="837" spans="1:66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  <c r="AH837" s="18"/>
      <c r="AI837" s="18"/>
      <c r="AJ837" s="18"/>
      <c r="AK837" s="18"/>
      <c r="AL837" s="18"/>
      <c r="AM837" s="18"/>
      <c r="AN837" s="18"/>
      <c r="AO837" s="18"/>
      <c r="AP837" s="18"/>
      <c r="AQ837" s="18"/>
      <c r="AR837" s="18"/>
      <c r="AS837" s="18"/>
      <c r="AT837" s="18"/>
      <c r="AU837" s="18"/>
      <c r="AV837" s="18"/>
      <c r="AW837" s="18"/>
      <c r="AX837" s="18"/>
      <c r="AY837" s="18"/>
      <c r="AZ837" s="18"/>
      <c r="BA837" s="18"/>
      <c r="BB837" s="18"/>
      <c r="BC837" s="18"/>
      <c r="BD837" s="18"/>
      <c r="BE837" s="18"/>
      <c r="BF837" s="18"/>
      <c r="BG837" s="18"/>
      <c r="BH837" s="18"/>
      <c r="BI837" s="18"/>
      <c r="BJ837" s="18"/>
      <c r="BK837" s="18"/>
      <c r="BL837" s="18"/>
      <c r="BM837" s="18"/>
      <c r="BN837" s="18"/>
    </row>
    <row r="838" spans="1:66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  <c r="AH838" s="18"/>
      <c r="AI838" s="18"/>
      <c r="AJ838" s="18"/>
      <c r="AK838" s="18"/>
      <c r="AL838" s="18"/>
      <c r="AM838" s="18"/>
      <c r="AN838" s="18"/>
      <c r="AO838" s="18"/>
      <c r="AP838" s="18"/>
      <c r="AQ838" s="18"/>
      <c r="AR838" s="18"/>
      <c r="AS838" s="18"/>
      <c r="AT838" s="18"/>
      <c r="AU838" s="18"/>
      <c r="AV838" s="18"/>
      <c r="AW838" s="18"/>
      <c r="AX838" s="18"/>
      <c r="AY838" s="18"/>
      <c r="AZ838" s="18"/>
      <c r="BA838" s="18"/>
      <c r="BB838" s="18"/>
      <c r="BC838" s="18"/>
      <c r="BD838" s="18"/>
      <c r="BE838" s="18"/>
      <c r="BF838" s="18"/>
      <c r="BG838" s="18"/>
      <c r="BH838" s="18"/>
      <c r="BI838" s="18"/>
      <c r="BJ838" s="18"/>
      <c r="BK838" s="18"/>
      <c r="BL838" s="18"/>
      <c r="BM838" s="18"/>
      <c r="BN838" s="18"/>
    </row>
    <row r="839" spans="1:66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18"/>
      <c r="AH839" s="18"/>
      <c r="AI839" s="18"/>
      <c r="AJ839" s="18"/>
      <c r="AK839" s="18"/>
      <c r="AL839" s="18"/>
      <c r="AM839" s="18"/>
      <c r="AN839" s="18"/>
      <c r="AO839" s="18"/>
      <c r="AP839" s="18"/>
      <c r="AQ839" s="18"/>
      <c r="AR839" s="18"/>
      <c r="AS839" s="18"/>
      <c r="AT839" s="18"/>
      <c r="AU839" s="18"/>
      <c r="AV839" s="18"/>
      <c r="AW839" s="18"/>
      <c r="AX839" s="18"/>
      <c r="AY839" s="18"/>
      <c r="AZ839" s="18"/>
      <c r="BA839" s="18"/>
      <c r="BB839" s="18"/>
      <c r="BC839" s="18"/>
      <c r="BD839" s="18"/>
      <c r="BE839" s="18"/>
      <c r="BF839" s="18"/>
      <c r="BG839" s="18"/>
      <c r="BH839" s="18"/>
      <c r="BI839" s="18"/>
      <c r="BJ839" s="18"/>
      <c r="BK839" s="18"/>
      <c r="BL839" s="18"/>
      <c r="BM839" s="18"/>
      <c r="BN839" s="18"/>
    </row>
    <row r="840" spans="1:66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9"/>
      <c r="AC840" s="18"/>
      <c r="AD840" s="18"/>
      <c r="AE840" s="18"/>
      <c r="AF840" s="18"/>
      <c r="AG840" s="18"/>
      <c r="AH840" s="18"/>
      <c r="AI840" s="19"/>
      <c r="AJ840" s="18"/>
      <c r="AK840" s="18"/>
      <c r="AL840" s="18"/>
      <c r="AM840" s="18"/>
      <c r="AN840" s="18"/>
      <c r="AO840" s="18"/>
      <c r="AP840" s="18"/>
      <c r="AQ840" s="18"/>
      <c r="AR840" s="18"/>
      <c r="AS840" s="18"/>
      <c r="AT840" s="18"/>
      <c r="AU840" s="18"/>
      <c r="AV840" s="18"/>
      <c r="AW840" s="18"/>
      <c r="AX840" s="18"/>
      <c r="AY840" s="18"/>
      <c r="AZ840" s="18"/>
      <c r="BA840" s="18"/>
      <c r="BB840" s="18"/>
      <c r="BC840" s="18"/>
      <c r="BD840" s="18"/>
      <c r="BE840" s="18"/>
      <c r="BF840" s="18"/>
      <c r="BG840" s="18"/>
      <c r="BH840" s="18"/>
      <c r="BI840" s="18"/>
      <c r="BJ840" s="18"/>
      <c r="BK840" s="18"/>
      <c r="BL840" s="18"/>
      <c r="BM840" s="18"/>
      <c r="BN840" s="19"/>
    </row>
    <row r="841" spans="1:66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  <c r="AG841" s="18"/>
      <c r="AH841" s="18"/>
      <c r="AI841" s="18"/>
      <c r="AJ841" s="18"/>
      <c r="AK841" s="18"/>
      <c r="AL841" s="18"/>
      <c r="AM841" s="18"/>
      <c r="AN841" s="18"/>
      <c r="AO841" s="18"/>
      <c r="AP841" s="18"/>
      <c r="AQ841" s="18"/>
      <c r="AR841" s="18"/>
      <c r="AS841" s="18"/>
      <c r="AT841" s="18"/>
      <c r="AU841" s="18"/>
      <c r="AV841" s="18"/>
      <c r="AW841" s="18"/>
      <c r="AX841" s="18"/>
      <c r="AY841" s="18"/>
      <c r="AZ841" s="18"/>
      <c r="BA841" s="18"/>
      <c r="BB841" s="18"/>
      <c r="BC841" s="18"/>
      <c r="BD841" s="18"/>
      <c r="BE841" s="18"/>
      <c r="BF841" s="18"/>
      <c r="BG841" s="18"/>
      <c r="BH841" s="18"/>
      <c r="BI841" s="18"/>
      <c r="BJ841" s="18"/>
      <c r="BK841" s="18"/>
      <c r="BL841" s="18"/>
      <c r="BM841" s="18"/>
      <c r="BN841" s="18"/>
    </row>
    <row r="842" spans="1:66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  <c r="AH842" s="18"/>
      <c r="AI842" s="18"/>
      <c r="AJ842" s="18"/>
      <c r="AK842" s="18"/>
      <c r="AL842" s="18"/>
      <c r="AM842" s="18"/>
      <c r="AN842" s="18"/>
      <c r="AO842" s="18"/>
      <c r="AP842" s="18"/>
      <c r="AQ842" s="18"/>
      <c r="AR842" s="18"/>
      <c r="AS842" s="18"/>
      <c r="AT842" s="18"/>
      <c r="AU842" s="18"/>
      <c r="AV842" s="18"/>
      <c r="AW842" s="18"/>
      <c r="AX842" s="18"/>
      <c r="AY842" s="18"/>
      <c r="AZ842" s="18"/>
      <c r="BA842" s="18"/>
      <c r="BB842" s="18"/>
      <c r="BC842" s="18"/>
      <c r="BD842" s="18"/>
      <c r="BE842" s="18"/>
      <c r="BF842" s="18"/>
      <c r="BG842" s="18"/>
      <c r="BH842" s="18"/>
      <c r="BI842" s="18"/>
      <c r="BJ842" s="18"/>
      <c r="BK842" s="18"/>
      <c r="BL842" s="18"/>
      <c r="BM842" s="18"/>
      <c r="BN842" s="18"/>
    </row>
    <row r="843" spans="1:66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  <c r="AG843" s="18"/>
      <c r="AH843" s="18"/>
      <c r="AI843" s="18"/>
      <c r="AJ843" s="18"/>
      <c r="AK843" s="18"/>
      <c r="AL843" s="18"/>
      <c r="AM843" s="18"/>
      <c r="AN843" s="18"/>
      <c r="AO843" s="18"/>
      <c r="AP843" s="18"/>
      <c r="AQ843" s="18"/>
      <c r="AR843" s="18"/>
      <c r="AS843" s="18"/>
      <c r="AT843" s="18"/>
      <c r="AU843" s="18"/>
      <c r="AV843" s="18"/>
      <c r="AW843" s="18"/>
      <c r="AX843" s="18"/>
      <c r="AY843" s="18"/>
      <c r="AZ843" s="18"/>
      <c r="BA843" s="18"/>
      <c r="BB843" s="18"/>
      <c r="BC843" s="18"/>
      <c r="BD843" s="18"/>
      <c r="BE843" s="18"/>
      <c r="BF843" s="18"/>
      <c r="BG843" s="18"/>
      <c r="BH843" s="18"/>
      <c r="BI843" s="18"/>
      <c r="BJ843" s="18"/>
      <c r="BK843" s="18"/>
      <c r="BL843" s="18"/>
      <c r="BM843" s="18"/>
      <c r="BN843" s="18"/>
    </row>
    <row r="844" spans="1:66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  <c r="AG844" s="18"/>
      <c r="AH844" s="18"/>
      <c r="AI844" s="18"/>
      <c r="AJ844" s="18"/>
      <c r="AK844" s="18"/>
      <c r="AL844" s="18"/>
      <c r="AM844" s="18"/>
      <c r="AN844" s="18"/>
      <c r="AO844" s="18"/>
      <c r="AP844" s="18"/>
      <c r="AQ844" s="18"/>
      <c r="AR844" s="18"/>
      <c r="AS844" s="18"/>
      <c r="AT844" s="18"/>
      <c r="AU844" s="18"/>
      <c r="AV844" s="18"/>
      <c r="AW844" s="18"/>
      <c r="AX844" s="18"/>
      <c r="AY844" s="18"/>
      <c r="AZ844" s="18"/>
      <c r="BA844" s="18"/>
      <c r="BB844" s="18"/>
      <c r="BC844" s="18"/>
      <c r="BD844" s="18"/>
      <c r="BE844" s="18"/>
      <c r="BF844" s="18"/>
      <c r="BG844" s="18"/>
      <c r="BH844" s="18"/>
      <c r="BI844" s="18"/>
      <c r="BJ844" s="18"/>
      <c r="BK844" s="18"/>
      <c r="BL844" s="18"/>
      <c r="BM844" s="18"/>
      <c r="BN844" s="18"/>
    </row>
    <row r="845" spans="1:66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  <c r="AF845" s="18"/>
      <c r="AG845" s="18"/>
      <c r="AH845" s="18"/>
      <c r="AI845" s="18"/>
      <c r="AJ845" s="18"/>
      <c r="AK845" s="18"/>
      <c r="AL845" s="18"/>
      <c r="AM845" s="18"/>
      <c r="AN845" s="18"/>
      <c r="AO845" s="18"/>
      <c r="AP845" s="18"/>
      <c r="AQ845" s="18"/>
      <c r="AR845" s="18"/>
      <c r="AS845" s="18"/>
      <c r="AT845" s="18"/>
      <c r="AU845" s="18"/>
      <c r="AV845" s="18"/>
      <c r="AW845" s="18"/>
      <c r="AX845" s="18"/>
      <c r="AY845" s="18"/>
      <c r="AZ845" s="18"/>
      <c r="BA845" s="18"/>
      <c r="BB845" s="18"/>
      <c r="BC845" s="18"/>
      <c r="BD845" s="18"/>
      <c r="BE845" s="18"/>
      <c r="BF845" s="18"/>
      <c r="BG845" s="18"/>
      <c r="BH845" s="18"/>
      <c r="BI845" s="18"/>
      <c r="BJ845" s="18"/>
      <c r="BK845" s="18"/>
      <c r="BL845" s="18"/>
      <c r="BM845" s="18"/>
      <c r="BN845" s="18"/>
    </row>
    <row r="846" spans="1:66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  <c r="AG846" s="18"/>
      <c r="AH846" s="18"/>
      <c r="AI846" s="18"/>
      <c r="AJ846" s="18"/>
      <c r="AK846" s="18"/>
      <c r="AL846" s="18"/>
      <c r="AM846" s="18"/>
      <c r="AN846" s="18"/>
      <c r="AO846" s="18"/>
      <c r="AP846" s="18"/>
      <c r="AQ846" s="18"/>
      <c r="AR846" s="18"/>
      <c r="AS846" s="18"/>
      <c r="AT846" s="18"/>
      <c r="AU846" s="18"/>
      <c r="AV846" s="18"/>
      <c r="AW846" s="18"/>
      <c r="AX846" s="18"/>
      <c r="AY846" s="18"/>
      <c r="AZ846" s="18"/>
      <c r="BA846" s="18"/>
      <c r="BB846" s="18"/>
      <c r="BC846" s="18"/>
      <c r="BD846" s="18"/>
      <c r="BE846" s="18"/>
      <c r="BF846" s="18"/>
      <c r="BG846" s="18"/>
      <c r="BH846" s="18"/>
      <c r="BI846" s="18"/>
      <c r="BJ846" s="18"/>
      <c r="BK846" s="18"/>
      <c r="BL846" s="18"/>
      <c r="BM846" s="18"/>
      <c r="BN846" s="18"/>
    </row>
    <row r="847" spans="1:66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  <c r="AG847" s="18"/>
      <c r="AH847" s="18"/>
      <c r="AI847" s="18"/>
      <c r="AJ847" s="18"/>
      <c r="AK847" s="18"/>
      <c r="AL847" s="18"/>
      <c r="AM847" s="18"/>
      <c r="AN847" s="18"/>
      <c r="AO847" s="18"/>
      <c r="AP847" s="18"/>
      <c r="AQ847" s="18"/>
      <c r="AR847" s="18"/>
      <c r="AS847" s="18"/>
      <c r="AT847" s="18"/>
      <c r="AU847" s="18"/>
      <c r="AV847" s="18"/>
      <c r="AW847" s="18"/>
      <c r="AX847" s="18"/>
      <c r="AY847" s="18"/>
      <c r="AZ847" s="18"/>
      <c r="BA847" s="18"/>
      <c r="BB847" s="18"/>
      <c r="BC847" s="18"/>
      <c r="BD847" s="18"/>
      <c r="BE847" s="18"/>
      <c r="BF847" s="18"/>
      <c r="BG847" s="18"/>
      <c r="BH847" s="18"/>
      <c r="BI847" s="18"/>
      <c r="BJ847" s="18"/>
      <c r="BK847" s="18"/>
      <c r="BL847" s="18"/>
      <c r="BM847" s="18"/>
      <c r="BN847" s="18"/>
    </row>
    <row r="848" spans="1:66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  <c r="AG848" s="18"/>
      <c r="AH848" s="18"/>
      <c r="AI848" s="18"/>
      <c r="AJ848" s="18"/>
      <c r="AK848" s="18"/>
      <c r="AL848" s="18"/>
      <c r="AM848" s="18"/>
      <c r="AN848" s="18"/>
      <c r="AO848" s="18"/>
      <c r="AP848" s="18"/>
      <c r="AQ848" s="18"/>
      <c r="AR848" s="18"/>
      <c r="AS848" s="18"/>
      <c r="AT848" s="18"/>
      <c r="AU848" s="18"/>
      <c r="AV848" s="18"/>
      <c r="AW848" s="18"/>
      <c r="AX848" s="18"/>
      <c r="AY848" s="18"/>
      <c r="AZ848" s="18"/>
      <c r="BA848" s="18"/>
      <c r="BB848" s="18"/>
      <c r="BC848" s="18"/>
      <c r="BD848" s="18"/>
      <c r="BE848" s="18"/>
      <c r="BF848" s="18"/>
      <c r="BG848" s="18"/>
      <c r="BH848" s="18"/>
      <c r="BI848" s="18"/>
      <c r="BJ848" s="18"/>
      <c r="BK848" s="18"/>
      <c r="BL848" s="18"/>
      <c r="BM848" s="18"/>
      <c r="BN848" s="18"/>
    </row>
    <row r="849" spans="1:66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  <c r="AG849" s="18"/>
      <c r="AH849" s="18"/>
      <c r="AI849" s="18"/>
      <c r="AJ849" s="18"/>
      <c r="AK849" s="18"/>
      <c r="AL849" s="18"/>
      <c r="AM849" s="18"/>
      <c r="AN849" s="18"/>
      <c r="AO849" s="18"/>
      <c r="AP849" s="18"/>
      <c r="AQ849" s="18"/>
      <c r="AR849" s="18"/>
      <c r="AS849" s="18"/>
      <c r="AT849" s="18"/>
      <c r="AU849" s="18"/>
      <c r="AV849" s="18"/>
      <c r="AW849" s="18"/>
      <c r="AX849" s="18"/>
      <c r="AY849" s="18"/>
      <c r="AZ849" s="18"/>
      <c r="BA849" s="18"/>
      <c r="BB849" s="18"/>
      <c r="BC849" s="18"/>
      <c r="BD849" s="18"/>
      <c r="BE849" s="18"/>
      <c r="BF849" s="18"/>
      <c r="BG849" s="18"/>
      <c r="BH849" s="18"/>
      <c r="BI849" s="18"/>
      <c r="BJ849" s="18"/>
      <c r="BK849" s="18"/>
      <c r="BL849" s="18"/>
      <c r="BM849" s="18"/>
      <c r="BN849" s="18"/>
    </row>
    <row r="850" spans="1:66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  <c r="AG850" s="18"/>
      <c r="AH850" s="18"/>
      <c r="AI850" s="18"/>
      <c r="AJ850" s="18"/>
      <c r="AK850" s="18"/>
      <c r="AL850" s="18"/>
      <c r="AM850" s="18"/>
      <c r="AN850" s="18"/>
      <c r="AO850" s="18"/>
      <c r="AP850" s="18"/>
      <c r="AQ850" s="18"/>
      <c r="AR850" s="18"/>
      <c r="AS850" s="18"/>
      <c r="AT850" s="18"/>
      <c r="AU850" s="18"/>
      <c r="AV850" s="18"/>
      <c r="AW850" s="18"/>
      <c r="AX850" s="18"/>
      <c r="AY850" s="18"/>
      <c r="AZ850" s="18"/>
      <c r="BA850" s="18"/>
      <c r="BB850" s="18"/>
      <c r="BC850" s="18"/>
      <c r="BD850" s="18"/>
      <c r="BE850" s="18"/>
      <c r="BF850" s="18"/>
      <c r="BG850" s="18"/>
      <c r="BH850" s="18"/>
      <c r="BI850" s="18"/>
      <c r="BJ850" s="18"/>
      <c r="BK850" s="18"/>
      <c r="BL850" s="18"/>
      <c r="BM850" s="18"/>
      <c r="BN850" s="18"/>
    </row>
    <row r="851" spans="1:66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  <c r="AG851" s="18"/>
      <c r="AH851" s="18"/>
      <c r="AI851" s="18"/>
      <c r="AJ851" s="18"/>
      <c r="AK851" s="18"/>
      <c r="AL851" s="18"/>
      <c r="AM851" s="18"/>
      <c r="AN851" s="18"/>
      <c r="AO851" s="18"/>
      <c r="AP851" s="18"/>
      <c r="AQ851" s="18"/>
      <c r="AR851" s="18"/>
      <c r="AS851" s="18"/>
      <c r="AT851" s="18"/>
      <c r="AU851" s="18"/>
      <c r="AV851" s="18"/>
      <c r="AW851" s="18"/>
      <c r="AX851" s="18"/>
      <c r="AY851" s="18"/>
      <c r="AZ851" s="18"/>
      <c r="BA851" s="18"/>
      <c r="BB851" s="18"/>
      <c r="BC851" s="18"/>
      <c r="BD851" s="18"/>
      <c r="BE851" s="18"/>
      <c r="BF851" s="18"/>
      <c r="BG851" s="18"/>
      <c r="BH851" s="18"/>
      <c r="BI851" s="18"/>
      <c r="BJ851" s="18"/>
      <c r="BK851" s="18"/>
      <c r="BL851" s="18"/>
      <c r="BM851" s="18"/>
      <c r="BN851" s="18"/>
    </row>
    <row r="852" spans="1:66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  <c r="AF852" s="18"/>
      <c r="AG852" s="18"/>
      <c r="AH852" s="18"/>
      <c r="AI852" s="18"/>
      <c r="AJ852" s="18"/>
      <c r="AK852" s="18"/>
      <c r="AL852" s="18"/>
      <c r="AM852" s="18"/>
      <c r="AN852" s="18"/>
      <c r="AO852" s="18"/>
      <c r="AP852" s="18"/>
      <c r="AQ852" s="18"/>
      <c r="AR852" s="18"/>
      <c r="AS852" s="18"/>
      <c r="AT852" s="18"/>
      <c r="AU852" s="18"/>
      <c r="AV852" s="18"/>
      <c r="AW852" s="18"/>
      <c r="AX852" s="18"/>
      <c r="AY852" s="18"/>
      <c r="AZ852" s="18"/>
      <c r="BA852" s="18"/>
      <c r="BB852" s="18"/>
      <c r="BC852" s="18"/>
      <c r="BD852" s="18"/>
      <c r="BE852" s="18"/>
      <c r="BF852" s="18"/>
      <c r="BG852" s="18"/>
      <c r="BH852" s="18"/>
      <c r="BI852" s="18"/>
      <c r="BJ852" s="18"/>
      <c r="BK852" s="18"/>
      <c r="BL852" s="18"/>
      <c r="BM852" s="18"/>
      <c r="BN852" s="18"/>
    </row>
    <row r="853" spans="1:66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  <c r="AG853" s="18"/>
      <c r="AH853" s="18"/>
      <c r="AI853" s="18"/>
      <c r="AJ853" s="18"/>
      <c r="AK853" s="18"/>
      <c r="AL853" s="18"/>
      <c r="AM853" s="18"/>
      <c r="AN853" s="18"/>
      <c r="AO853" s="18"/>
      <c r="AP853" s="18"/>
      <c r="AQ853" s="18"/>
      <c r="AR853" s="18"/>
      <c r="AS853" s="18"/>
      <c r="AT853" s="18"/>
      <c r="AU853" s="18"/>
      <c r="AV853" s="18"/>
      <c r="AW853" s="18"/>
      <c r="AX853" s="18"/>
      <c r="AY853" s="18"/>
      <c r="AZ853" s="18"/>
      <c r="BA853" s="18"/>
      <c r="BB853" s="18"/>
      <c r="BC853" s="18"/>
      <c r="BD853" s="18"/>
      <c r="BE853" s="18"/>
      <c r="BF853" s="18"/>
      <c r="BG853" s="18"/>
      <c r="BH853" s="18"/>
      <c r="BI853" s="18"/>
      <c r="BJ853" s="18"/>
      <c r="BK853" s="18"/>
      <c r="BL853" s="18"/>
      <c r="BM853" s="18"/>
      <c r="BN853" s="18"/>
    </row>
    <row r="854" spans="1:66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  <c r="AG854" s="18"/>
      <c r="AH854" s="18"/>
      <c r="AI854" s="18"/>
      <c r="AJ854" s="18"/>
      <c r="AK854" s="18"/>
      <c r="AL854" s="18"/>
      <c r="AM854" s="18"/>
      <c r="AN854" s="18"/>
      <c r="AO854" s="18"/>
      <c r="AP854" s="18"/>
      <c r="AQ854" s="18"/>
      <c r="AR854" s="18"/>
      <c r="AS854" s="18"/>
      <c r="AT854" s="18"/>
      <c r="AU854" s="18"/>
      <c r="AV854" s="18"/>
      <c r="AW854" s="18"/>
      <c r="AX854" s="18"/>
      <c r="AY854" s="18"/>
      <c r="AZ854" s="18"/>
      <c r="BA854" s="18"/>
      <c r="BB854" s="18"/>
      <c r="BC854" s="18"/>
      <c r="BD854" s="18"/>
      <c r="BE854" s="18"/>
      <c r="BF854" s="18"/>
      <c r="BG854" s="18"/>
      <c r="BH854" s="18"/>
      <c r="BI854" s="18"/>
      <c r="BJ854" s="18"/>
      <c r="BK854" s="18"/>
      <c r="BL854" s="18"/>
      <c r="BM854" s="18"/>
      <c r="BN854" s="18"/>
    </row>
    <row r="855" spans="1:66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  <c r="AF855" s="18"/>
      <c r="AG855" s="18"/>
      <c r="AH855" s="18"/>
      <c r="AI855" s="18"/>
      <c r="AJ855" s="18"/>
      <c r="AK855" s="18"/>
      <c r="AL855" s="18"/>
      <c r="AM855" s="18"/>
      <c r="AN855" s="18"/>
      <c r="AO855" s="18"/>
      <c r="AP855" s="18"/>
      <c r="AQ855" s="18"/>
      <c r="AR855" s="18"/>
      <c r="AS855" s="18"/>
      <c r="AT855" s="18"/>
      <c r="AU855" s="18"/>
      <c r="AV855" s="18"/>
      <c r="AW855" s="18"/>
      <c r="AX855" s="18"/>
      <c r="AY855" s="18"/>
      <c r="AZ855" s="18"/>
      <c r="BA855" s="18"/>
      <c r="BB855" s="18"/>
      <c r="BC855" s="18"/>
      <c r="BD855" s="18"/>
      <c r="BE855" s="18"/>
      <c r="BF855" s="18"/>
      <c r="BG855" s="18"/>
      <c r="BH855" s="18"/>
      <c r="BI855" s="18"/>
      <c r="BJ855" s="18"/>
      <c r="BK855" s="18"/>
      <c r="BL855" s="18"/>
      <c r="BM855" s="18"/>
      <c r="BN855" s="18"/>
    </row>
    <row r="856" spans="1:66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  <c r="AG856" s="18"/>
      <c r="AH856" s="18"/>
      <c r="AI856" s="18"/>
      <c r="AJ856" s="18"/>
      <c r="AK856" s="18"/>
      <c r="AL856" s="18"/>
      <c r="AM856" s="18"/>
      <c r="AN856" s="18"/>
      <c r="AO856" s="18"/>
      <c r="AP856" s="18"/>
      <c r="AQ856" s="18"/>
      <c r="AR856" s="18"/>
      <c r="AS856" s="18"/>
      <c r="AT856" s="18"/>
      <c r="AU856" s="18"/>
      <c r="AV856" s="18"/>
      <c r="AW856" s="18"/>
      <c r="AX856" s="18"/>
      <c r="AY856" s="18"/>
      <c r="AZ856" s="18"/>
      <c r="BA856" s="18"/>
      <c r="BB856" s="18"/>
      <c r="BC856" s="18"/>
      <c r="BD856" s="18"/>
      <c r="BE856" s="18"/>
      <c r="BF856" s="18"/>
      <c r="BG856" s="18"/>
      <c r="BH856" s="18"/>
      <c r="BI856" s="18"/>
      <c r="BJ856" s="18"/>
      <c r="BK856" s="18"/>
      <c r="BL856" s="18"/>
      <c r="BM856" s="18"/>
      <c r="BN856" s="18"/>
    </row>
    <row r="857" spans="1:66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  <c r="AF857" s="18"/>
      <c r="AG857" s="18"/>
      <c r="AH857" s="18"/>
      <c r="AI857" s="18"/>
      <c r="AJ857" s="18"/>
      <c r="AK857" s="18"/>
      <c r="AL857" s="18"/>
      <c r="AM857" s="18"/>
      <c r="AN857" s="18"/>
      <c r="AO857" s="18"/>
      <c r="AP857" s="18"/>
      <c r="AQ857" s="18"/>
      <c r="AR857" s="18"/>
      <c r="AS857" s="18"/>
      <c r="AT857" s="18"/>
      <c r="AU857" s="18"/>
      <c r="AV857" s="18"/>
      <c r="AW857" s="18"/>
      <c r="AX857" s="18"/>
      <c r="AY857" s="18"/>
      <c r="AZ857" s="18"/>
      <c r="BA857" s="18"/>
      <c r="BB857" s="18"/>
      <c r="BC857" s="18"/>
      <c r="BD857" s="18"/>
      <c r="BE857" s="18"/>
      <c r="BF857" s="18"/>
      <c r="BG857" s="18"/>
      <c r="BH857" s="18"/>
      <c r="BI857" s="18"/>
      <c r="BJ857" s="18"/>
      <c r="BK857" s="18"/>
      <c r="BL857" s="18"/>
      <c r="BM857" s="18"/>
      <c r="BN857" s="18"/>
    </row>
    <row r="858" spans="1:66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  <c r="AG858" s="18"/>
      <c r="AH858" s="18"/>
      <c r="AI858" s="18"/>
      <c r="AJ858" s="18"/>
      <c r="AK858" s="18"/>
      <c r="AL858" s="18"/>
      <c r="AM858" s="18"/>
      <c r="AN858" s="18"/>
      <c r="AO858" s="18"/>
      <c r="AP858" s="18"/>
      <c r="AQ858" s="18"/>
      <c r="AR858" s="18"/>
      <c r="AS858" s="18"/>
      <c r="AT858" s="18"/>
      <c r="AU858" s="18"/>
      <c r="AV858" s="18"/>
      <c r="AW858" s="18"/>
      <c r="AX858" s="18"/>
      <c r="AY858" s="18"/>
      <c r="AZ858" s="18"/>
      <c r="BA858" s="18"/>
      <c r="BB858" s="18"/>
      <c r="BC858" s="18"/>
      <c r="BD858" s="18"/>
      <c r="BE858" s="18"/>
      <c r="BF858" s="18"/>
      <c r="BG858" s="18"/>
      <c r="BH858" s="18"/>
      <c r="BI858" s="18"/>
      <c r="BJ858" s="18"/>
      <c r="BK858" s="18"/>
      <c r="BL858" s="18"/>
      <c r="BM858" s="18"/>
      <c r="BN858" s="18"/>
    </row>
    <row r="859" spans="1:66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  <c r="AF859" s="18"/>
      <c r="AG859" s="18"/>
      <c r="AH859" s="18"/>
      <c r="AI859" s="18"/>
      <c r="AJ859" s="18"/>
      <c r="AK859" s="18"/>
      <c r="AL859" s="18"/>
      <c r="AM859" s="18"/>
      <c r="AN859" s="18"/>
      <c r="AO859" s="18"/>
      <c r="AP859" s="18"/>
      <c r="AQ859" s="18"/>
      <c r="AR859" s="18"/>
      <c r="AS859" s="18"/>
      <c r="AT859" s="18"/>
      <c r="AU859" s="18"/>
      <c r="AV859" s="18"/>
      <c r="AW859" s="18"/>
      <c r="AX859" s="18"/>
      <c r="AY859" s="18"/>
      <c r="AZ859" s="18"/>
      <c r="BA859" s="18"/>
      <c r="BB859" s="18"/>
      <c r="BC859" s="18"/>
      <c r="BD859" s="18"/>
      <c r="BE859" s="18"/>
      <c r="BF859" s="18"/>
      <c r="BG859" s="18"/>
      <c r="BH859" s="18"/>
      <c r="BI859" s="18"/>
      <c r="BJ859" s="18"/>
      <c r="BK859" s="18"/>
      <c r="BL859" s="18"/>
      <c r="BM859" s="18"/>
      <c r="BN859" s="18"/>
    </row>
    <row r="860" spans="1:66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18"/>
      <c r="AG860" s="18"/>
      <c r="AH860" s="18"/>
      <c r="AI860" s="18"/>
      <c r="AJ860" s="18"/>
      <c r="AK860" s="18"/>
      <c r="AL860" s="18"/>
      <c r="AM860" s="18"/>
      <c r="AN860" s="18"/>
      <c r="AO860" s="18"/>
      <c r="AP860" s="18"/>
      <c r="AQ860" s="18"/>
      <c r="AR860" s="18"/>
      <c r="AS860" s="18"/>
      <c r="AT860" s="18"/>
      <c r="AU860" s="18"/>
      <c r="AV860" s="18"/>
      <c r="AW860" s="18"/>
      <c r="AX860" s="18"/>
      <c r="AY860" s="18"/>
      <c r="AZ860" s="18"/>
      <c r="BA860" s="18"/>
      <c r="BB860" s="18"/>
      <c r="BC860" s="18"/>
      <c r="BD860" s="18"/>
      <c r="BE860" s="18"/>
      <c r="BF860" s="18"/>
      <c r="BG860" s="18"/>
      <c r="BH860" s="18"/>
      <c r="BI860" s="18"/>
      <c r="BJ860" s="18"/>
      <c r="BK860" s="18"/>
      <c r="BL860" s="18"/>
      <c r="BM860" s="18"/>
      <c r="BN860" s="18"/>
    </row>
    <row r="861" spans="1:66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  <c r="AF861" s="18"/>
      <c r="AG861" s="18"/>
      <c r="AH861" s="18"/>
      <c r="AI861" s="18"/>
      <c r="AJ861" s="18"/>
      <c r="AK861" s="18"/>
      <c r="AL861" s="18"/>
      <c r="AM861" s="18"/>
      <c r="AN861" s="18"/>
      <c r="AO861" s="18"/>
      <c r="AP861" s="18"/>
      <c r="AQ861" s="18"/>
      <c r="AR861" s="18"/>
      <c r="AS861" s="18"/>
      <c r="AT861" s="18"/>
      <c r="AU861" s="18"/>
      <c r="AV861" s="18"/>
      <c r="AW861" s="18"/>
      <c r="AX861" s="18"/>
      <c r="AY861" s="18"/>
      <c r="AZ861" s="18"/>
      <c r="BA861" s="18"/>
      <c r="BB861" s="18"/>
      <c r="BC861" s="18"/>
      <c r="BD861" s="18"/>
      <c r="BE861" s="18"/>
      <c r="BF861" s="18"/>
      <c r="BG861" s="18"/>
      <c r="BH861" s="18"/>
      <c r="BI861" s="18"/>
      <c r="BJ861" s="18"/>
      <c r="BK861" s="18"/>
      <c r="BL861" s="18"/>
      <c r="BM861" s="18"/>
      <c r="BN861" s="18"/>
    </row>
    <row r="862" spans="1:66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  <c r="AH862" s="18"/>
      <c r="AI862" s="18"/>
      <c r="AJ862" s="18"/>
      <c r="AK862" s="18"/>
      <c r="AL862" s="18"/>
      <c r="AM862" s="18"/>
      <c r="AN862" s="18"/>
      <c r="AO862" s="18"/>
      <c r="AP862" s="18"/>
      <c r="AQ862" s="18"/>
      <c r="AR862" s="18"/>
      <c r="AS862" s="18"/>
      <c r="AT862" s="18"/>
      <c r="AU862" s="18"/>
      <c r="AV862" s="18"/>
      <c r="AW862" s="18"/>
      <c r="AX862" s="18"/>
      <c r="AY862" s="18"/>
      <c r="AZ862" s="18"/>
      <c r="BA862" s="18"/>
      <c r="BB862" s="18"/>
      <c r="BC862" s="18"/>
      <c r="BD862" s="18"/>
      <c r="BE862" s="18"/>
      <c r="BF862" s="18"/>
      <c r="BG862" s="18"/>
      <c r="BH862" s="18"/>
      <c r="BI862" s="18"/>
      <c r="BJ862" s="18"/>
      <c r="BK862" s="18"/>
      <c r="BL862" s="18"/>
      <c r="BM862" s="18"/>
      <c r="BN862" s="18"/>
    </row>
    <row r="863" spans="1:66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  <c r="AF863" s="18"/>
      <c r="AG863" s="18"/>
      <c r="AH863" s="18"/>
      <c r="AI863" s="18"/>
      <c r="AJ863" s="18"/>
      <c r="AK863" s="18"/>
      <c r="AL863" s="18"/>
      <c r="AM863" s="18"/>
      <c r="AN863" s="18"/>
      <c r="AO863" s="18"/>
      <c r="AP863" s="18"/>
      <c r="AQ863" s="18"/>
      <c r="AR863" s="18"/>
      <c r="AS863" s="18"/>
      <c r="AT863" s="18"/>
      <c r="AU863" s="18"/>
      <c r="AV863" s="18"/>
      <c r="AW863" s="18"/>
      <c r="AX863" s="18"/>
      <c r="AY863" s="18"/>
      <c r="AZ863" s="18"/>
      <c r="BA863" s="18"/>
      <c r="BB863" s="18"/>
      <c r="BC863" s="18"/>
      <c r="BD863" s="18"/>
      <c r="BE863" s="18"/>
      <c r="BF863" s="18"/>
      <c r="BG863" s="18"/>
      <c r="BH863" s="18"/>
      <c r="BI863" s="18"/>
      <c r="BJ863" s="18"/>
      <c r="BK863" s="18"/>
      <c r="BL863" s="18"/>
      <c r="BM863" s="18"/>
      <c r="BN863" s="18"/>
    </row>
    <row r="864" spans="1:66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18"/>
      <c r="AG864" s="18"/>
      <c r="AH864" s="18"/>
      <c r="AI864" s="18"/>
      <c r="AJ864" s="18"/>
      <c r="AK864" s="18"/>
      <c r="AL864" s="18"/>
      <c r="AM864" s="18"/>
      <c r="AN864" s="18"/>
      <c r="AO864" s="18"/>
      <c r="AP864" s="18"/>
      <c r="AQ864" s="18"/>
      <c r="AR864" s="18"/>
      <c r="AS864" s="18"/>
      <c r="AT864" s="18"/>
      <c r="AU864" s="18"/>
      <c r="AV864" s="18"/>
      <c r="AW864" s="18"/>
      <c r="AX864" s="18"/>
      <c r="AY864" s="18"/>
      <c r="AZ864" s="18"/>
      <c r="BA864" s="18"/>
      <c r="BB864" s="18"/>
      <c r="BC864" s="18"/>
      <c r="BD864" s="18"/>
      <c r="BE864" s="18"/>
      <c r="BF864" s="18"/>
      <c r="BG864" s="18"/>
      <c r="BH864" s="18"/>
      <c r="BI864" s="18"/>
      <c r="BJ864" s="18"/>
      <c r="BK864" s="18"/>
      <c r="BL864" s="18"/>
      <c r="BM864" s="18"/>
      <c r="BN864" s="18"/>
    </row>
    <row r="865" spans="1:66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18"/>
      <c r="AG865" s="18"/>
      <c r="AH865" s="18"/>
      <c r="AI865" s="18"/>
      <c r="AJ865" s="18"/>
      <c r="AK865" s="18"/>
      <c r="AL865" s="18"/>
      <c r="AM865" s="18"/>
      <c r="AN865" s="18"/>
      <c r="AO865" s="18"/>
      <c r="AP865" s="18"/>
      <c r="AQ865" s="18"/>
      <c r="AR865" s="18"/>
      <c r="AS865" s="18"/>
      <c r="AT865" s="18"/>
      <c r="AU865" s="18"/>
      <c r="AV865" s="18"/>
      <c r="AW865" s="18"/>
      <c r="AX865" s="18"/>
      <c r="AY865" s="18"/>
      <c r="AZ865" s="18"/>
      <c r="BA865" s="18"/>
      <c r="BB865" s="18"/>
      <c r="BC865" s="18"/>
      <c r="BD865" s="18"/>
      <c r="BE865" s="18"/>
      <c r="BF865" s="18"/>
      <c r="BG865" s="18"/>
      <c r="BH865" s="18"/>
      <c r="BI865" s="18"/>
      <c r="BJ865" s="18"/>
      <c r="BK865" s="18"/>
      <c r="BL865" s="18"/>
      <c r="BM865" s="18"/>
      <c r="BN865" s="18"/>
    </row>
    <row r="866" spans="1:66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  <c r="AF866" s="18"/>
      <c r="AG866" s="18"/>
      <c r="AH866" s="18"/>
      <c r="AI866" s="18"/>
      <c r="AJ866" s="18"/>
      <c r="AK866" s="18"/>
      <c r="AL866" s="18"/>
      <c r="AM866" s="18"/>
      <c r="AN866" s="18"/>
      <c r="AO866" s="18"/>
      <c r="AP866" s="18"/>
      <c r="AQ866" s="18"/>
      <c r="AR866" s="18"/>
      <c r="AS866" s="18"/>
      <c r="AT866" s="18"/>
      <c r="AU866" s="18"/>
      <c r="AV866" s="18"/>
      <c r="AW866" s="18"/>
      <c r="AX866" s="18"/>
      <c r="AY866" s="18"/>
      <c r="AZ866" s="18"/>
      <c r="BA866" s="18"/>
      <c r="BB866" s="18"/>
      <c r="BC866" s="18"/>
      <c r="BD866" s="18"/>
      <c r="BE866" s="18"/>
      <c r="BF866" s="18"/>
      <c r="BG866" s="18"/>
      <c r="BH866" s="18"/>
      <c r="BI866" s="18"/>
      <c r="BJ866" s="18"/>
      <c r="BK866" s="18"/>
      <c r="BL866" s="18"/>
      <c r="BM866" s="18"/>
      <c r="BN866" s="18"/>
    </row>
    <row r="867" spans="1:66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18"/>
      <c r="AG867" s="18"/>
      <c r="AH867" s="18"/>
      <c r="AI867" s="18"/>
      <c r="AJ867" s="18"/>
      <c r="AK867" s="18"/>
      <c r="AL867" s="18"/>
      <c r="AM867" s="18"/>
      <c r="AN867" s="18"/>
      <c r="AO867" s="18"/>
      <c r="AP867" s="18"/>
      <c r="AQ867" s="18"/>
      <c r="AR867" s="18"/>
      <c r="AS867" s="18"/>
      <c r="AT867" s="18"/>
      <c r="AU867" s="18"/>
      <c r="AV867" s="18"/>
      <c r="AW867" s="18"/>
      <c r="AX867" s="18"/>
      <c r="AY867" s="18"/>
      <c r="AZ867" s="18"/>
      <c r="BA867" s="18"/>
      <c r="BB867" s="18"/>
      <c r="BC867" s="18"/>
      <c r="BD867" s="18"/>
      <c r="BE867" s="18"/>
      <c r="BF867" s="18"/>
      <c r="BG867" s="18"/>
      <c r="BH867" s="18"/>
      <c r="BI867" s="18"/>
      <c r="BJ867" s="18"/>
      <c r="BK867" s="18"/>
      <c r="BL867" s="18"/>
      <c r="BM867" s="18"/>
      <c r="BN867" s="18"/>
    </row>
    <row r="868" spans="1:66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  <c r="AF868" s="18"/>
      <c r="AG868" s="18"/>
      <c r="AH868" s="18"/>
      <c r="AI868" s="18"/>
      <c r="AJ868" s="18"/>
      <c r="AK868" s="18"/>
      <c r="AL868" s="18"/>
      <c r="AM868" s="18"/>
      <c r="AN868" s="18"/>
      <c r="AO868" s="18"/>
      <c r="AP868" s="18"/>
      <c r="AQ868" s="18"/>
      <c r="AR868" s="18"/>
      <c r="AS868" s="18"/>
      <c r="AT868" s="18"/>
      <c r="AU868" s="18"/>
      <c r="AV868" s="18"/>
      <c r="AW868" s="18"/>
      <c r="AX868" s="18"/>
      <c r="AY868" s="18"/>
      <c r="AZ868" s="18"/>
      <c r="BA868" s="18"/>
      <c r="BB868" s="18"/>
      <c r="BC868" s="18"/>
      <c r="BD868" s="18"/>
      <c r="BE868" s="18"/>
      <c r="BF868" s="18"/>
      <c r="BG868" s="18"/>
      <c r="BH868" s="18"/>
      <c r="BI868" s="18"/>
      <c r="BJ868" s="18"/>
      <c r="BK868" s="18"/>
      <c r="BL868" s="18"/>
      <c r="BM868" s="18"/>
      <c r="BN868" s="18"/>
    </row>
    <row r="869" spans="1:66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  <c r="AF869" s="18"/>
      <c r="AG869" s="18"/>
      <c r="AH869" s="18"/>
      <c r="AI869" s="18"/>
      <c r="AJ869" s="18"/>
      <c r="AK869" s="18"/>
      <c r="AL869" s="18"/>
      <c r="AM869" s="18"/>
      <c r="AN869" s="18"/>
      <c r="AO869" s="18"/>
      <c r="AP869" s="18"/>
      <c r="AQ869" s="18"/>
      <c r="AR869" s="18"/>
      <c r="AS869" s="18"/>
      <c r="AT869" s="18"/>
      <c r="AU869" s="18"/>
      <c r="AV869" s="18"/>
      <c r="AW869" s="18"/>
      <c r="AX869" s="18"/>
      <c r="AY869" s="18"/>
      <c r="AZ869" s="18"/>
      <c r="BA869" s="18"/>
      <c r="BB869" s="18"/>
      <c r="BC869" s="18"/>
      <c r="BD869" s="18"/>
      <c r="BE869" s="18"/>
      <c r="BF869" s="18"/>
      <c r="BG869" s="18"/>
      <c r="BH869" s="18"/>
      <c r="BI869" s="18"/>
      <c r="BJ869" s="18"/>
      <c r="BK869" s="18"/>
      <c r="BL869" s="18"/>
      <c r="BM869" s="18"/>
      <c r="BN869" s="18"/>
    </row>
    <row r="870" spans="1:66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  <c r="AG870" s="18"/>
      <c r="AH870" s="18"/>
      <c r="AI870" s="18"/>
      <c r="AJ870" s="18"/>
      <c r="AK870" s="18"/>
      <c r="AL870" s="18"/>
      <c r="AM870" s="18"/>
      <c r="AN870" s="18"/>
      <c r="AO870" s="18"/>
      <c r="AP870" s="18"/>
      <c r="AQ870" s="18"/>
      <c r="AR870" s="18"/>
      <c r="AS870" s="18"/>
      <c r="AT870" s="18"/>
      <c r="AU870" s="18"/>
      <c r="AV870" s="18"/>
      <c r="AW870" s="18"/>
      <c r="AX870" s="18"/>
      <c r="AY870" s="18"/>
      <c r="AZ870" s="18"/>
      <c r="BA870" s="18"/>
      <c r="BB870" s="18"/>
      <c r="BC870" s="18"/>
      <c r="BD870" s="18"/>
      <c r="BE870" s="18"/>
      <c r="BF870" s="18"/>
      <c r="BG870" s="18"/>
      <c r="BH870" s="18"/>
      <c r="BI870" s="18"/>
      <c r="BJ870" s="18"/>
      <c r="BK870" s="18"/>
      <c r="BL870" s="18"/>
      <c r="BM870" s="18"/>
      <c r="BN870" s="18"/>
    </row>
    <row r="871" spans="1:66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  <c r="AF871" s="18"/>
      <c r="AG871" s="18"/>
      <c r="AH871" s="18"/>
      <c r="AI871" s="18"/>
      <c r="AJ871" s="18"/>
      <c r="AK871" s="18"/>
      <c r="AL871" s="18"/>
      <c r="AM871" s="18"/>
      <c r="AN871" s="18"/>
      <c r="AO871" s="18"/>
      <c r="AP871" s="18"/>
      <c r="AQ871" s="18"/>
      <c r="AR871" s="18"/>
      <c r="AS871" s="18"/>
      <c r="AT871" s="18"/>
      <c r="AU871" s="18"/>
      <c r="AV871" s="18"/>
      <c r="AW871" s="18"/>
      <c r="AX871" s="18"/>
      <c r="AY871" s="18"/>
      <c r="AZ871" s="18"/>
      <c r="BA871" s="18"/>
      <c r="BB871" s="18"/>
      <c r="BC871" s="18"/>
      <c r="BD871" s="18"/>
      <c r="BE871" s="18"/>
      <c r="BF871" s="18"/>
      <c r="BG871" s="18"/>
      <c r="BH871" s="18"/>
      <c r="BI871" s="18"/>
      <c r="BJ871" s="18"/>
      <c r="BK871" s="18"/>
      <c r="BL871" s="18"/>
      <c r="BM871" s="18"/>
      <c r="BN871" s="18"/>
    </row>
    <row r="872" spans="1:66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  <c r="AF872" s="18"/>
      <c r="AG872" s="18"/>
      <c r="AH872" s="18"/>
      <c r="AI872" s="18"/>
      <c r="AJ872" s="18"/>
      <c r="AK872" s="18"/>
      <c r="AL872" s="18"/>
      <c r="AM872" s="18"/>
      <c r="AN872" s="18"/>
      <c r="AO872" s="18"/>
      <c r="AP872" s="18"/>
      <c r="AQ872" s="18"/>
      <c r="AR872" s="18"/>
      <c r="AS872" s="18"/>
      <c r="AT872" s="18"/>
      <c r="AU872" s="18"/>
      <c r="AV872" s="18"/>
      <c r="AW872" s="18"/>
      <c r="AX872" s="18"/>
      <c r="AY872" s="18"/>
      <c r="AZ872" s="18"/>
      <c r="BA872" s="18"/>
      <c r="BB872" s="18"/>
      <c r="BC872" s="18"/>
      <c r="BD872" s="18"/>
      <c r="BE872" s="18"/>
      <c r="BF872" s="18"/>
      <c r="BG872" s="18"/>
      <c r="BH872" s="18"/>
      <c r="BI872" s="18"/>
      <c r="BJ872" s="18"/>
      <c r="BK872" s="18"/>
      <c r="BL872" s="18"/>
      <c r="BM872" s="18"/>
      <c r="BN872" s="18"/>
    </row>
    <row r="873" spans="1:66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  <c r="AF873" s="18"/>
      <c r="AG873" s="18"/>
      <c r="AH873" s="18"/>
      <c r="AI873" s="18"/>
      <c r="AJ873" s="18"/>
      <c r="AK873" s="18"/>
      <c r="AL873" s="18"/>
      <c r="AM873" s="18"/>
      <c r="AN873" s="18"/>
      <c r="AO873" s="18"/>
      <c r="AP873" s="18"/>
      <c r="AQ873" s="18"/>
      <c r="AR873" s="18"/>
      <c r="AS873" s="18"/>
      <c r="AT873" s="18"/>
      <c r="AU873" s="18"/>
      <c r="AV873" s="18"/>
      <c r="AW873" s="18"/>
      <c r="AX873" s="18"/>
      <c r="AY873" s="18"/>
      <c r="AZ873" s="18"/>
      <c r="BA873" s="18"/>
      <c r="BB873" s="18"/>
      <c r="BC873" s="18"/>
      <c r="BD873" s="18"/>
      <c r="BE873" s="18"/>
      <c r="BF873" s="18"/>
      <c r="BG873" s="18"/>
      <c r="BH873" s="18"/>
      <c r="BI873" s="18"/>
      <c r="BJ873" s="18"/>
      <c r="BK873" s="18"/>
      <c r="BL873" s="18"/>
      <c r="BM873" s="18"/>
      <c r="BN873" s="18"/>
    </row>
    <row r="874" spans="1:66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  <c r="AF874" s="18"/>
      <c r="AG874" s="18"/>
      <c r="AH874" s="18"/>
      <c r="AI874" s="18"/>
      <c r="AJ874" s="18"/>
      <c r="AK874" s="18"/>
      <c r="AL874" s="18"/>
      <c r="AM874" s="18"/>
      <c r="AN874" s="18"/>
      <c r="AO874" s="18"/>
      <c r="AP874" s="18"/>
      <c r="AQ874" s="18"/>
      <c r="AR874" s="18"/>
      <c r="AS874" s="18"/>
      <c r="AT874" s="18"/>
      <c r="AU874" s="18"/>
      <c r="AV874" s="18"/>
      <c r="AW874" s="18"/>
      <c r="AX874" s="18"/>
      <c r="AY874" s="18"/>
      <c r="AZ874" s="18"/>
      <c r="BA874" s="18"/>
      <c r="BB874" s="18"/>
      <c r="BC874" s="18"/>
      <c r="BD874" s="18"/>
      <c r="BE874" s="18"/>
      <c r="BF874" s="18"/>
      <c r="BG874" s="18"/>
      <c r="BH874" s="18"/>
      <c r="BI874" s="18"/>
      <c r="BJ874" s="18"/>
      <c r="BK874" s="18"/>
      <c r="BL874" s="18"/>
      <c r="BM874" s="18"/>
      <c r="BN874" s="18"/>
    </row>
    <row r="875" spans="1:66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18"/>
      <c r="AG875" s="18"/>
      <c r="AH875" s="18"/>
      <c r="AI875" s="18"/>
      <c r="AJ875" s="18"/>
      <c r="AK875" s="18"/>
      <c r="AL875" s="18"/>
      <c r="AM875" s="18"/>
      <c r="AN875" s="18"/>
      <c r="AO875" s="18"/>
      <c r="AP875" s="18"/>
      <c r="AQ875" s="18"/>
      <c r="AR875" s="18"/>
      <c r="AS875" s="18"/>
      <c r="AT875" s="18"/>
      <c r="AU875" s="18"/>
      <c r="AV875" s="18"/>
      <c r="AW875" s="18"/>
      <c r="AX875" s="18"/>
      <c r="AY875" s="18"/>
      <c r="AZ875" s="18"/>
      <c r="BA875" s="18"/>
      <c r="BB875" s="18"/>
      <c r="BC875" s="18"/>
      <c r="BD875" s="18"/>
      <c r="BE875" s="18"/>
      <c r="BF875" s="18"/>
      <c r="BG875" s="18"/>
      <c r="BH875" s="18"/>
      <c r="BI875" s="18"/>
      <c r="BJ875" s="18"/>
      <c r="BK875" s="18"/>
      <c r="BL875" s="18"/>
      <c r="BM875" s="18"/>
      <c r="BN875" s="18"/>
    </row>
    <row r="876" spans="1:66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18"/>
      <c r="AG876" s="18"/>
      <c r="AH876" s="18"/>
      <c r="AI876" s="18"/>
      <c r="AJ876" s="18"/>
      <c r="AK876" s="18"/>
      <c r="AL876" s="18"/>
      <c r="AM876" s="18"/>
      <c r="AN876" s="18"/>
      <c r="AO876" s="18"/>
      <c r="AP876" s="18"/>
      <c r="AQ876" s="18"/>
      <c r="AR876" s="18"/>
      <c r="AS876" s="18"/>
      <c r="AT876" s="18"/>
      <c r="AU876" s="18"/>
      <c r="AV876" s="18"/>
      <c r="AW876" s="18"/>
      <c r="AX876" s="18"/>
      <c r="AY876" s="18"/>
      <c r="AZ876" s="18"/>
      <c r="BA876" s="18"/>
      <c r="BB876" s="18"/>
      <c r="BC876" s="18"/>
      <c r="BD876" s="18"/>
      <c r="BE876" s="18"/>
      <c r="BF876" s="18"/>
      <c r="BG876" s="18"/>
      <c r="BH876" s="18"/>
      <c r="BI876" s="18"/>
      <c r="BJ876" s="18"/>
      <c r="BK876" s="18"/>
      <c r="BL876" s="18"/>
      <c r="BM876" s="18"/>
      <c r="BN876" s="18"/>
    </row>
    <row r="877" spans="1:66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  <c r="AF877" s="18"/>
      <c r="AG877" s="18"/>
      <c r="AH877" s="18"/>
      <c r="AI877" s="18"/>
      <c r="AJ877" s="18"/>
      <c r="AK877" s="18"/>
      <c r="AL877" s="18"/>
      <c r="AM877" s="18"/>
      <c r="AN877" s="18"/>
      <c r="AO877" s="18"/>
      <c r="AP877" s="18"/>
      <c r="AQ877" s="18"/>
      <c r="AR877" s="18"/>
      <c r="AS877" s="18"/>
      <c r="AT877" s="18"/>
      <c r="AU877" s="18"/>
      <c r="AV877" s="18"/>
      <c r="AW877" s="18"/>
      <c r="AX877" s="18"/>
      <c r="AY877" s="18"/>
      <c r="AZ877" s="18"/>
      <c r="BA877" s="18"/>
      <c r="BB877" s="18"/>
      <c r="BC877" s="18"/>
      <c r="BD877" s="18"/>
      <c r="BE877" s="18"/>
      <c r="BF877" s="18"/>
      <c r="BG877" s="18"/>
      <c r="BH877" s="18"/>
      <c r="BI877" s="18"/>
      <c r="BJ877" s="18"/>
      <c r="BK877" s="18"/>
      <c r="BL877" s="18"/>
      <c r="BM877" s="18"/>
      <c r="BN877" s="18"/>
    </row>
    <row r="878" spans="1:66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  <c r="AF878" s="18"/>
      <c r="AG878" s="18"/>
      <c r="AH878" s="18"/>
      <c r="AI878" s="18"/>
      <c r="AJ878" s="18"/>
      <c r="AK878" s="18"/>
      <c r="AL878" s="18"/>
      <c r="AM878" s="18"/>
      <c r="AN878" s="18"/>
      <c r="AO878" s="18"/>
      <c r="AP878" s="18"/>
      <c r="AQ878" s="18"/>
      <c r="AR878" s="18"/>
      <c r="AS878" s="18"/>
      <c r="AT878" s="18"/>
      <c r="AU878" s="18"/>
      <c r="AV878" s="18"/>
      <c r="AW878" s="18"/>
      <c r="AX878" s="18"/>
      <c r="AY878" s="18"/>
      <c r="AZ878" s="18"/>
      <c r="BA878" s="18"/>
      <c r="BB878" s="18"/>
      <c r="BC878" s="18"/>
      <c r="BD878" s="18"/>
      <c r="BE878" s="18"/>
      <c r="BF878" s="18"/>
      <c r="BG878" s="18"/>
      <c r="BH878" s="18"/>
      <c r="BI878" s="18"/>
      <c r="BJ878" s="18"/>
      <c r="BK878" s="18"/>
      <c r="BL878" s="18"/>
      <c r="BM878" s="18"/>
      <c r="BN878" s="18"/>
    </row>
    <row r="879" spans="1:66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  <c r="AF879" s="18"/>
      <c r="AG879" s="18"/>
      <c r="AH879" s="18"/>
      <c r="AI879" s="18"/>
      <c r="AJ879" s="18"/>
      <c r="AK879" s="18"/>
      <c r="AL879" s="18"/>
      <c r="AM879" s="18"/>
      <c r="AN879" s="18"/>
      <c r="AO879" s="18"/>
      <c r="AP879" s="18"/>
      <c r="AQ879" s="18"/>
      <c r="AR879" s="18"/>
      <c r="AS879" s="18"/>
      <c r="AT879" s="18"/>
      <c r="AU879" s="18"/>
      <c r="AV879" s="18"/>
      <c r="AW879" s="18"/>
      <c r="AX879" s="18"/>
      <c r="AY879" s="18"/>
      <c r="AZ879" s="18"/>
      <c r="BA879" s="18"/>
      <c r="BB879" s="18"/>
      <c r="BC879" s="18"/>
      <c r="BD879" s="18"/>
      <c r="BE879" s="18"/>
      <c r="BF879" s="18"/>
      <c r="BG879" s="18"/>
      <c r="BH879" s="18"/>
      <c r="BI879" s="18"/>
      <c r="BJ879" s="18"/>
      <c r="BK879" s="18"/>
      <c r="BL879" s="18"/>
      <c r="BM879" s="18"/>
      <c r="BN879" s="18"/>
    </row>
    <row r="880" spans="1:66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  <c r="AF880" s="18"/>
      <c r="AG880" s="18"/>
      <c r="AH880" s="18"/>
      <c r="AI880" s="18"/>
      <c r="AJ880" s="18"/>
      <c r="AK880" s="18"/>
      <c r="AL880" s="18"/>
      <c r="AM880" s="18"/>
      <c r="AN880" s="18"/>
      <c r="AO880" s="18"/>
      <c r="AP880" s="18"/>
      <c r="AQ880" s="18"/>
      <c r="AR880" s="18"/>
      <c r="AS880" s="18"/>
      <c r="AT880" s="18"/>
      <c r="AU880" s="18"/>
      <c r="AV880" s="18"/>
      <c r="AW880" s="18"/>
      <c r="AX880" s="18"/>
      <c r="AY880" s="18"/>
      <c r="AZ880" s="18"/>
      <c r="BA880" s="18"/>
      <c r="BB880" s="18"/>
      <c r="BC880" s="18"/>
      <c r="BD880" s="18"/>
      <c r="BE880" s="18"/>
      <c r="BF880" s="18"/>
      <c r="BG880" s="18"/>
      <c r="BH880" s="18"/>
      <c r="BI880" s="18"/>
      <c r="BJ880" s="18"/>
      <c r="BK880" s="18"/>
      <c r="BL880" s="18"/>
      <c r="BM880" s="18"/>
      <c r="BN880" s="18"/>
    </row>
    <row r="881" spans="1:66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  <c r="AF881" s="18"/>
      <c r="AG881" s="18"/>
      <c r="AH881" s="18"/>
      <c r="AI881" s="18"/>
      <c r="AJ881" s="18"/>
      <c r="AK881" s="18"/>
      <c r="AL881" s="18"/>
      <c r="AM881" s="18"/>
      <c r="AN881" s="18"/>
      <c r="AO881" s="18"/>
      <c r="AP881" s="18"/>
      <c r="AQ881" s="18"/>
      <c r="AR881" s="18"/>
      <c r="AS881" s="18"/>
      <c r="AT881" s="18"/>
      <c r="AU881" s="18"/>
      <c r="AV881" s="18"/>
      <c r="AW881" s="18"/>
      <c r="AX881" s="18"/>
      <c r="AY881" s="18"/>
      <c r="AZ881" s="18"/>
      <c r="BA881" s="18"/>
      <c r="BB881" s="18"/>
      <c r="BC881" s="18"/>
      <c r="BD881" s="18"/>
      <c r="BE881" s="18"/>
      <c r="BF881" s="18"/>
      <c r="BG881" s="18"/>
      <c r="BH881" s="18"/>
      <c r="BI881" s="18"/>
      <c r="BJ881" s="18"/>
      <c r="BK881" s="18"/>
      <c r="BL881" s="18"/>
      <c r="BM881" s="18"/>
      <c r="BN881" s="18"/>
    </row>
    <row r="882" spans="1:66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  <c r="AF882" s="18"/>
      <c r="AG882" s="18"/>
      <c r="AH882" s="18"/>
      <c r="AI882" s="18"/>
      <c r="AJ882" s="18"/>
      <c r="AK882" s="18"/>
      <c r="AL882" s="18"/>
      <c r="AM882" s="18"/>
      <c r="AN882" s="18"/>
      <c r="AO882" s="18"/>
      <c r="AP882" s="18"/>
      <c r="AQ882" s="18"/>
      <c r="AR882" s="18"/>
      <c r="AS882" s="18"/>
      <c r="AT882" s="18"/>
      <c r="AU882" s="18"/>
      <c r="AV882" s="18"/>
      <c r="AW882" s="18"/>
      <c r="AX882" s="18"/>
      <c r="AY882" s="18"/>
      <c r="AZ882" s="18"/>
      <c r="BA882" s="18"/>
      <c r="BB882" s="18"/>
      <c r="BC882" s="18"/>
      <c r="BD882" s="18"/>
      <c r="BE882" s="18"/>
      <c r="BF882" s="18"/>
      <c r="BG882" s="18"/>
      <c r="BH882" s="18"/>
      <c r="BI882" s="18"/>
      <c r="BJ882" s="18"/>
      <c r="BK882" s="18"/>
      <c r="BL882" s="18"/>
      <c r="BM882" s="18"/>
      <c r="BN882" s="18"/>
    </row>
    <row r="883" spans="1:66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  <c r="AF883" s="18"/>
      <c r="AG883" s="18"/>
      <c r="AH883" s="18"/>
      <c r="AI883" s="18"/>
      <c r="AJ883" s="18"/>
      <c r="AK883" s="18"/>
      <c r="AL883" s="18"/>
      <c r="AM883" s="18"/>
      <c r="AN883" s="18"/>
      <c r="AO883" s="18"/>
      <c r="AP883" s="18"/>
      <c r="AQ883" s="18"/>
      <c r="AR883" s="18"/>
      <c r="AS883" s="18"/>
      <c r="AT883" s="18"/>
      <c r="AU883" s="18"/>
      <c r="AV883" s="18"/>
      <c r="AW883" s="18"/>
      <c r="AX883" s="18"/>
      <c r="AY883" s="18"/>
      <c r="AZ883" s="18"/>
      <c r="BA883" s="18"/>
      <c r="BB883" s="18"/>
      <c r="BC883" s="18"/>
      <c r="BD883" s="18"/>
      <c r="BE883" s="18"/>
      <c r="BF883" s="18"/>
      <c r="BG883" s="18"/>
      <c r="BH883" s="18"/>
      <c r="BI883" s="18"/>
      <c r="BJ883" s="18"/>
      <c r="BK883" s="18"/>
      <c r="BL883" s="18"/>
      <c r="BM883" s="18"/>
      <c r="BN883" s="18"/>
    </row>
    <row r="884" spans="1:66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  <c r="AF884" s="18"/>
      <c r="AG884" s="18"/>
      <c r="AH884" s="18"/>
      <c r="AI884" s="18"/>
      <c r="AJ884" s="18"/>
      <c r="AK884" s="18"/>
      <c r="AL884" s="18"/>
      <c r="AM884" s="18"/>
      <c r="AN884" s="18"/>
      <c r="AO884" s="18"/>
      <c r="AP884" s="18"/>
      <c r="AQ884" s="18"/>
      <c r="AR884" s="18"/>
      <c r="AS884" s="18"/>
      <c r="AT884" s="18"/>
      <c r="AU884" s="18"/>
      <c r="AV884" s="18"/>
      <c r="AW884" s="18"/>
      <c r="AX884" s="18"/>
      <c r="AY884" s="18"/>
      <c r="AZ884" s="18"/>
      <c r="BA884" s="18"/>
      <c r="BB884" s="18"/>
      <c r="BC884" s="18"/>
      <c r="BD884" s="18"/>
      <c r="BE884" s="18"/>
      <c r="BF884" s="18"/>
      <c r="BG884" s="18"/>
      <c r="BH884" s="18"/>
      <c r="BI884" s="18"/>
      <c r="BJ884" s="18"/>
      <c r="BK884" s="18"/>
      <c r="BL884" s="18"/>
      <c r="BM884" s="18"/>
      <c r="BN884" s="18"/>
    </row>
    <row r="885" spans="1:66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  <c r="AF885" s="18"/>
      <c r="AG885" s="18"/>
      <c r="AH885" s="18"/>
      <c r="AI885" s="18"/>
      <c r="AJ885" s="18"/>
      <c r="AK885" s="18"/>
      <c r="AL885" s="18"/>
      <c r="AM885" s="18"/>
      <c r="AN885" s="18"/>
      <c r="AO885" s="18"/>
      <c r="AP885" s="18"/>
      <c r="AQ885" s="18"/>
      <c r="AR885" s="18"/>
      <c r="AS885" s="18"/>
      <c r="AT885" s="18"/>
      <c r="AU885" s="18"/>
      <c r="AV885" s="18"/>
      <c r="AW885" s="18"/>
      <c r="AX885" s="18"/>
      <c r="AY885" s="18"/>
      <c r="AZ885" s="18"/>
      <c r="BA885" s="18"/>
      <c r="BB885" s="18"/>
      <c r="BC885" s="18"/>
      <c r="BD885" s="18"/>
      <c r="BE885" s="18"/>
      <c r="BF885" s="18"/>
      <c r="BG885" s="18"/>
      <c r="BH885" s="18"/>
      <c r="BI885" s="18"/>
      <c r="BJ885" s="18"/>
      <c r="BK885" s="18"/>
      <c r="BL885" s="18"/>
      <c r="BM885" s="18"/>
      <c r="BN885" s="18"/>
    </row>
    <row r="886" spans="1:66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  <c r="AF886" s="18"/>
      <c r="AG886" s="18"/>
      <c r="AH886" s="18"/>
      <c r="AI886" s="18"/>
      <c r="AJ886" s="18"/>
      <c r="AK886" s="18"/>
      <c r="AL886" s="18"/>
      <c r="AM886" s="18"/>
      <c r="AN886" s="18"/>
      <c r="AO886" s="18"/>
      <c r="AP886" s="18"/>
      <c r="AQ886" s="18"/>
      <c r="AR886" s="18"/>
      <c r="AS886" s="18"/>
      <c r="AT886" s="18"/>
      <c r="AU886" s="18"/>
      <c r="AV886" s="18"/>
      <c r="AW886" s="18"/>
      <c r="AX886" s="18"/>
      <c r="AY886" s="18"/>
      <c r="AZ886" s="18"/>
      <c r="BA886" s="18"/>
      <c r="BB886" s="18"/>
      <c r="BC886" s="18"/>
      <c r="BD886" s="18"/>
      <c r="BE886" s="18"/>
      <c r="BF886" s="18"/>
      <c r="BG886" s="18"/>
      <c r="BH886" s="18"/>
      <c r="BI886" s="18"/>
      <c r="BJ886" s="18"/>
      <c r="BK886" s="18"/>
      <c r="BL886" s="18"/>
      <c r="BM886" s="18"/>
      <c r="BN886" s="18"/>
    </row>
    <row r="887" spans="1:66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  <c r="AF887" s="18"/>
      <c r="AG887" s="18"/>
      <c r="AH887" s="18"/>
      <c r="AI887" s="18"/>
      <c r="AJ887" s="18"/>
      <c r="AK887" s="18"/>
      <c r="AL887" s="18"/>
      <c r="AM887" s="18"/>
      <c r="AN887" s="18"/>
      <c r="AO887" s="18"/>
      <c r="AP887" s="18"/>
      <c r="AQ887" s="18"/>
      <c r="AR887" s="18"/>
      <c r="AS887" s="18"/>
      <c r="AT887" s="18"/>
      <c r="AU887" s="18"/>
      <c r="AV887" s="18"/>
      <c r="AW887" s="18"/>
      <c r="AX887" s="18"/>
      <c r="AY887" s="18"/>
      <c r="AZ887" s="18"/>
      <c r="BA887" s="18"/>
      <c r="BB887" s="18"/>
      <c r="BC887" s="18"/>
      <c r="BD887" s="18"/>
      <c r="BE887" s="18"/>
      <c r="BF887" s="18"/>
      <c r="BG887" s="18"/>
      <c r="BH887" s="18"/>
      <c r="BI887" s="18"/>
      <c r="BJ887" s="18"/>
      <c r="BK887" s="18"/>
      <c r="BL887" s="18"/>
      <c r="BM887" s="18"/>
      <c r="BN887" s="18"/>
    </row>
    <row r="888" spans="1:66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  <c r="AF888" s="18"/>
      <c r="AG888" s="18"/>
      <c r="AH888" s="18"/>
      <c r="AI888" s="18"/>
      <c r="AJ888" s="18"/>
      <c r="AK888" s="18"/>
      <c r="AL888" s="18"/>
      <c r="AM888" s="18"/>
      <c r="AN888" s="18"/>
      <c r="AO888" s="18"/>
      <c r="AP888" s="18"/>
      <c r="AQ888" s="18"/>
      <c r="AR888" s="18"/>
      <c r="AS888" s="18"/>
      <c r="AT888" s="18"/>
      <c r="AU888" s="18"/>
      <c r="AV888" s="18"/>
      <c r="AW888" s="18"/>
      <c r="AX888" s="18"/>
      <c r="AY888" s="18"/>
      <c r="AZ888" s="18"/>
      <c r="BA888" s="18"/>
      <c r="BB888" s="18"/>
      <c r="BC888" s="18"/>
      <c r="BD888" s="18"/>
      <c r="BE888" s="18"/>
      <c r="BF888" s="18"/>
      <c r="BG888" s="18"/>
      <c r="BH888" s="18"/>
      <c r="BI888" s="18"/>
      <c r="BJ888" s="18"/>
      <c r="BK888" s="18"/>
      <c r="BL888" s="18"/>
      <c r="BM888" s="18"/>
      <c r="BN888" s="18"/>
    </row>
    <row r="889" spans="1:66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  <c r="AF889" s="18"/>
      <c r="AG889" s="18"/>
      <c r="AH889" s="18"/>
      <c r="AI889" s="18"/>
      <c r="AJ889" s="18"/>
      <c r="AK889" s="18"/>
      <c r="AL889" s="18"/>
      <c r="AM889" s="18"/>
      <c r="AN889" s="18"/>
      <c r="AO889" s="18"/>
      <c r="AP889" s="18"/>
      <c r="AQ889" s="18"/>
      <c r="AR889" s="18"/>
      <c r="AS889" s="18"/>
      <c r="AT889" s="18"/>
      <c r="AU889" s="18"/>
      <c r="AV889" s="18"/>
      <c r="AW889" s="18"/>
      <c r="AX889" s="18"/>
      <c r="AY889" s="18"/>
      <c r="AZ889" s="18"/>
      <c r="BA889" s="18"/>
      <c r="BB889" s="18"/>
      <c r="BC889" s="18"/>
      <c r="BD889" s="18"/>
      <c r="BE889" s="18"/>
      <c r="BF889" s="18"/>
      <c r="BG889" s="18"/>
      <c r="BH889" s="18"/>
      <c r="BI889" s="18"/>
      <c r="BJ889" s="18"/>
      <c r="BK889" s="18"/>
      <c r="BL889" s="18"/>
      <c r="BM889" s="18"/>
      <c r="BN889" s="18"/>
    </row>
    <row r="890" spans="1:66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  <c r="AF890" s="18"/>
      <c r="AG890" s="18"/>
      <c r="AH890" s="18"/>
      <c r="AI890" s="18"/>
      <c r="AJ890" s="18"/>
      <c r="AK890" s="18"/>
      <c r="AL890" s="18"/>
      <c r="AM890" s="18"/>
      <c r="AN890" s="18"/>
      <c r="AO890" s="18"/>
      <c r="AP890" s="18"/>
      <c r="AQ890" s="18"/>
      <c r="AR890" s="18"/>
      <c r="AS890" s="18"/>
      <c r="AT890" s="18"/>
      <c r="AU890" s="18"/>
      <c r="AV890" s="18"/>
      <c r="AW890" s="18"/>
      <c r="AX890" s="18"/>
      <c r="AY890" s="18"/>
      <c r="AZ890" s="18"/>
      <c r="BA890" s="18"/>
      <c r="BB890" s="18"/>
      <c r="BC890" s="18"/>
      <c r="BD890" s="18"/>
      <c r="BE890" s="18"/>
      <c r="BF890" s="18"/>
      <c r="BG890" s="18"/>
      <c r="BH890" s="18"/>
      <c r="BI890" s="18"/>
      <c r="BJ890" s="18"/>
      <c r="BK890" s="18"/>
      <c r="BL890" s="18"/>
      <c r="BM890" s="18"/>
      <c r="BN890" s="18"/>
    </row>
    <row r="891" spans="1:66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  <c r="AF891" s="18"/>
      <c r="AG891" s="18"/>
      <c r="AH891" s="18"/>
      <c r="AI891" s="18"/>
      <c r="AJ891" s="18"/>
      <c r="AK891" s="18"/>
      <c r="AL891" s="18"/>
      <c r="AM891" s="18"/>
      <c r="AN891" s="18"/>
      <c r="AO891" s="18"/>
      <c r="AP891" s="18"/>
      <c r="AQ891" s="18"/>
      <c r="AR891" s="18"/>
      <c r="AS891" s="18"/>
      <c r="AT891" s="18"/>
      <c r="AU891" s="18"/>
      <c r="AV891" s="18"/>
      <c r="AW891" s="18"/>
      <c r="AX891" s="18"/>
      <c r="AY891" s="18"/>
      <c r="AZ891" s="18"/>
      <c r="BA891" s="18"/>
      <c r="BB891" s="18"/>
      <c r="BC891" s="18"/>
      <c r="BD891" s="18"/>
      <c r="BE891" s="18"/>
      <c r="BF891" s="18"/>
      <c r="BG891" s="18"/>
      <c r="BH891" s="18"/>
      <c r="BI891" s="18"/>
      <c r="BJ891" s="18"/>
      <c r="BK891" s="18"/>
      <c r="BL891" s="18"/>
      <c r="BM891" s="18"/>
      <c r="BN891" s="18"/>
    </row>
    <row r="892" spans="1:66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  <c r="AF892" s="18"/>
      <c r="AG892" s="18"/>
      <c r="AH892" s="18"/>
      <c r="AI892" s="18"/>
      <c r="AJ892" s="18"/>
      <c r="AK892" s="18"/>
      <c r="AL892" s="18"/>
      <c r="AM892" s="18"/>
      <c r="AN892" s="18"/>
      <c r="AO892" s="18"/>
      <c r="AP892" s="18"/>
      <c r="AQ892" s="18"/>
      <c r="AR892" s="18"/>
      <c r="AS892" s="18"/>
      <c r="AT892" s="18"/>
      <c r="AU892" s="18"/>
      <c r="AV892" s="18"/>
      <c r="AW892" s="18"/>
      <c r="AX892" s="18"/>
      <c r="AY892" s="18"/>
      <c r="AZ892" s="18"/>
      <c r="BA892" s="18"/>
      <c r="BB892" s="18"/>
      <c r="BC892" s="18"/>
      <c r="BD892" s="18"/>
      <c r="BE892" s="18"/>
      <c r="BF892" s="18"/>
      <c r="BG892" s="18"/>
      <c r="BH892" s="18"/>
      <c r="BI892" s="18"/>
      <c r="BJ892" s="18"/>
      <c r="BK892" s="18"/>
      <c r="BL892" s="18"/>
      <c r="BM892" s="18"/>
      <c r="BN892" s="18"/>
    </row>
    <row r="893" spans="1:66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  <c r="AF893" s="18"/>
      <c r="AG893" s="18"/>
      <c r="AH893" s="18"/>
      <c r="AI893" s="18"/>
      <c r="AJ893" s="18"/>
      <c r="AK893" s="18"/>
      <c r="AL893" s="18"/>
      <c r="AM893" s="18"/>
      <c r="AN893" s="18"/>
      <c r="AO893" s="18"/>
      <c r="AP893" s="18"/>
      <c r="AQ893" s="18"/>
      <c r="AR893" s="18"/>
      <c r="AS893" s="18"/>
      <c r="AT893" s="18"/>
      <c r="AU893" s="18"/>
      <c r="AV893" s="18"/>
      <c r="AW893" s="18"/>
      <c r="AX893" s="18"/>
      <c r="AY893" s="18"/>
      <c r="AZ893" s="18"/>
      <c r="BA893" s="18"/>
      <c r="BB893" s="18"/>
      <c r="BC893" s="18"/>
      <c r="BD893" s="18"/>
      <c r="BE893" s="18"/>
      <c r="BF893" s="18"/>
      <c r="BG893" s="18"/>
      <c r="BH893" s="18"/>
      <c r="BI893" s="18"/>
      <c r="BJ893" s="18"/>
      <c r="BK893" s="18"/>
      <c r="BL893" s="18"/>
      <c r="BM893" s="18"/>
      <c r="BN893" s="18"/>
    </row>
    <row r="894" spans="1:66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18"/>
      <c r="AF894" s="18"/>
      <c r="AG894" s="18"/>
      <c r="AH894" s="18"/>
      <c r="AI894" s="18"/>
      <c r="AJ894" s="18"/>
      <c r="AK894" s="18"/>
      <c r="AL894" s="18"/>
      <c r="AM894" s="18"/>
      <c r="AN894" s="18"/>
      <c r="AO894" s="18"/>
      <c r="AP894" s="18"/>
      <c r="AQ894" s="18"/>
      <c r="AR894" s="18"/>
      <c r="AS894" s="18"/>
      <c r="AT894" s="18"/>
      <c r="AU894" s="18"/>
      <c r="AV894" s="18"/>
      <c r="AW894" s="18"/>
      <c r="AX894" s="18"/>
      <c r="AY894" s="18"/>
      <c r="AZ894" s="18"/>
      <c r="BA894" s="18"/>
      <c r="BB894" s="18"/>
      <c r="BC894" s="18"/>
      <c r="BD894" s="18"/>
      <c r="BE894" s="18"/>
      <c r="BF894" s="18"/>
      <c r="BG894" s="18"/>
      <c r="BH894" s="18"/>
      <c r="BI894" s="18"/>
      <c r="BJ894" s="18"/>
      <c r="BK894" s="18"/>
      <c r="BL894" s="18"/>
      <c r="BM894" s="18"/>
      <c r="BN894" s="18"/>
    </row>
    <row r="895" spans="1:66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18"/>
      <c r="AF895" s="18"/>
      <c r="AG895" s="18"/>
      <c r="AH895" s="18"/>
      <c r="AI895" s="18"/>
      <c r="AJ895" s="18"/>
      <c r="AK895" s="18"/>
      <c r="AL895" s="18"/>
      <c r="AM895" s="18"/>
      <c r="AN895" s="18"/>
      <c r="AO895" s="18"/>
      <c r="AP895" s="18"/>
      <c r="AQ895" s="18"/>
      <c r="AR895" s="18"/>
      <c r="AS895" s="18"/>
      <c r="AT895" s="18"/>
      <c r="AU895" s="18"/>
      <c r="AV895" s="18"/>
      <c r="AW895" s="18"/>
      <c r="AX895" s="18"/>
      <c r="AY895" s="18"/>
      <c r="AZ895" s="18"/>
      <c r="BA895" s="18"/>
      <c r="BB895" s="18"/>
      <c r="BC895" s="18"/>
      <c r="BD895" s="18"/>
      <c r="BE895" s="18"/>
      <c r="BF895" s="18"/>
      <c r="BG895" s="18"/>
      <c r="BH895" s="18"/>
      <c r="BI895" s="18"/>
      <c r="BJ895" s="18"/>
      <c r="BK895" s="18"/>
      <c r="BL895" s="18"/>
      <c r="BM895" s="18"/>
      <c r="BN895" s="18"/>
    </row>
    <row r="896" spans="1:66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  <c r="AF896" s="18"/>
      <c r="AG896" s="18"/>
      <c r="AH896" s="18"/>
      <c r="AI896" s="18"/>
      <c r="AJ896" s="18"/>
      <c r="AK896" s="18"/>
      <c r="AL896" s="18"/>
      <c r="AM896" s="18"/>
      <c r="AN896" s="18"/>
      <c r="AO896" s="18"/>
      <c r="AP896" s="18"/>
      <c r="AQ896" s="18"/>
      <c r="AR896" s="18"/>
      <c r="AS896" s="18"/>
      <c r="AT896" s="18"/>
      <c r="AU896" s="18"/>
      <c r="AV896" s="18"/>
      <c r="AW896" s="18"/>
      <c r="AX896" s="18"/>
      <c r="AY896" s="18"/>
      <c r="AZ896" s="18"/>
      <c r="BA896" s="18"/>
      <c r="BB896" s="18"/>
      <c r="BC896" s="18"/>
      <c r="BD896" s="18"/>
      <c r="BE896" s="18"/>
      <c r="BF896" s="18"/>
      <c r="BG896" s="18"/>
      <c r="BH896" s="18"/>
      <c r="BI896" s="18"/>
      <c r="BJ896" s="18"/>
      <c r="BK896" s="18"/>
      <c r="BL896" s="18"/>
      <c r="BM896" s="18"/>
      <c r="BN896" s="18"/>
    </row>
    <row r="897" spans="1:66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18"/>
      <c r="AF897" s="18"/>
      <c r="AG897" s="18"/>
      <c r="AH897" s="18"/>
      <c r="AI897" s="18"/>
      <c r="AJ897" s="18"/>
      <c r="AK897" s="18"/>
      <c r="AL897" s="18"/>
      <c r="AM897" s="18"/>
      <c r="AN897" s="18"/>
      <c r="AO897" s="18"/>
      <c r="AP897" s="18"/>
      <c r="AQ897" s="18"/>
      <c r="AR897" s="18"/>
      <c r="AS897" s="18"/>
      <c r="AT897" s="18"/>
      <c r="AU897" s="18"/>
      <c r="AV897" s="18"/>
      <c r="AW897" s="18"/>
      <c r="AX897" s="18"/>
      <c r="AY897" s="18"/>
      <c r="AZ897" s="18"/>
      <c r="BA897" s="18"/>
      <c r="BB897" s="18"/>
      <c r="BC897" s="18"/>
      <c r="BD897" s="18"/>
      <c r="BE897" s="18"/>
      <c r="BF897" s="18"/>
      <c r="BG897" s="18"/>
      <c r="BH897" s="18"/>
      <c r="BI897" s="18"/>
      <c r="BJ897" s="18"/>
      <c r="BK897" s="18"/>
      <c r="BL897" s="18"/>
      <c r="BM897" s="18"/>
      <c r="BN897" s="18"/>
    </row>
    <row r="898" spans="1:66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  <c r="AE898" s="18"/>
      <c r="AF898" s="18"/>
      <c r="AG898" s="18"/>
      <c r="AH898" s="18"/>
      <c r="AI898" s="18"/>
      <c r="AJ898" s="18"/>
      <c r="AK898" s="18"/>
      <c r="AL898" s="18"/>
      <c r="AM898" s="18"/>
      <c r="AN898" s="18"/>
      <c r="AO898" s="18"/>
      <c r="AP898" s="18"/>
      <c r="AQ898" s="18"/>
      <c r="AR898" s="18"/>
      <c r="AS898" s="18"/>
      <c r="AT898" s="18"/>
      <c r="AU898" s="18"/>
      <c r="AV898" s="18"/>
      <c r="AW898" s="18"/>
      <c r="AX898" s="18"/>
      <c r="AY898" s="18"/>
      <c r="AZ898" s="18"/>
      <c r="BA898" s="18"/>
      <c r="BB898" s="18"/>
      <c r="BC898" s="18"/>
      <c r="BD898" s="18"/>
      <c r="BE898" s="18"/>
      <c r="BF898" s="18"/>
      <c r="BG898" s="18"/>
      <c r="BH898" s="18"/>
      <c r="BI898" s="18"/>
      <c r="BJ898" s="18"/>
      <c r="BK898" s="18"/>
      <c r="BL898" s="18"/>
      <c r="BM898" s="18"/>
      <c r="BN898" s="18"/>
    </row>
    <row r="899" spans="1:66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18"/>
      <c r="AF899" s="18"/>
      <c r="AG899" s="18"/>
      <c r="AH899" s="18"/>
      <c r="AI899" s="18"/>
      <c r="AJ899" s="18"/>
      <c r="AK899" s="18"/>
      <c r="AL899" s="18"/>
      <c r="AM899" s="18"/>
      <c r="AN899" s="18"/>
      <c r="AO899" s="18"/>
      <c r="AP899" s="18"/>
      <c r="AQ899" s="18"/>
      <c r="AR899" s="18"/>
      <c r="AS899" s="18"/>
      <c r="AT899" s="18"/>
      <c r="AU899" s="18"/>
      <c r="AV899" s="18"/>
      <c r="AW899" s="18"/>
      <c r="AX899" s="18"/>
      <c r="AY899" s="18"/>
      <c r="AZ899" s="18"/>
      <c r="BA899" s="18"/>
      <c r="BB899" s="18"/>
      <c r="BC899" s="18"/>
      <c r="BD899" s="18"/>
      <c r="BE899" s="18"/>
      <c r="BF899" s="18"/>
      <c r="BG899" s="18"/>
      <c r="BH899" s="18"/>
      <c r="BI899" s="18"/>
      <c r="BJ899" s="18"/>
      <c r="BK899" s="18"/>
      <c r="BL899" s="18"/>
      <c r="BM899" s="18"/>
      <c r="BN899" s="18"/>
    </row>
    <row r="900" spans="1:66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  <c r="AF900" s="18"/>
      <c r="AG900" s="18"/>
      <c r="AH900" s="18"/>
      <c r="AI900" s="18"/>
      <c r="AJ900" s="18"/>
      <c r="AK900" s="18"/>
      <c r="AL900" s="18"/>
      <c r="AM900" s="18"/>
      <c r="AN900" s="18"/>
      <c r="AO900" s="18"/>
      <c r="AP900" s="18"/>
      <c r="AQ900" s="18"/>
      <c r="AR900" s="18"/>
      <c r="AS900" s="18"/>
      <c r="AT900" s="18"/>
      <c r="AU900" s="18"/>
      <c r="AV900" s="18"/>
      <c r="AW900" s="18"/>
      <c r="AX900" s="18"/>
      <c r="AY900" s="18"/>
      <c r="AZ900" s="18"/>
      <c r="BA900" s="18"/>
      <c r="BB900" s="18"/>
      <c r="BC900" s="18"/>
      <c r="BD900" s="18"/>
      <c r="BE900" s="18"/>
      <c r="BF900" s="18"/>
      <c r="BG900" s="18"/>
      <c r="BH900" s="18"/>
      <c r="BI900" s="18"/>
      <c r="BJ900" s="18"/>
      <c r="BK900" s="18"/>
      <c r="BL900" s="18"/>
      <c r="BM900" s="18"/>
      <c r="BN900" s="18"/>
    </row>
    <row r="901" spans="1:66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  <c r="AF901" s="18"/>
      <c r="AG901" s="18"/>
      <c r="AH901" s="18"/>
      <c r="AI901" s="18"/>
      <c r="AJ901" s="18"/>
      <c r="AK901" s="18"/>
      <c r="AL901" s="18"/>
      <c r="AM901" s="18"/>
      <c r="AN901" s="18"/>
      <c r="AO901" s="18"/>
      <c r="AP901" s="18"/>
      <c r="AQ901" s="18"/>
      <c r="AR901" s="18"/>
      <c r="AS901" s="18"/>
      <c r="AT901" s="18"/>
      <c r="AU901" s="18"/>
      <c r="AV901" s="18"/>
      <c r="AW901" s="18"/>
      <c r="AX901" s="18"/>
      <c r="AY901" s="18"/>
      <c r="AZ901" s="18"/>
      <c r="BA901" s="18"/>
      <c r="BB901" s="18"/>
      <c r="BC901" s="18"/>
      <c r="BD901" s="18"/>
      <c r="BE901" s="18"/>
      <c r="BF901" s="18"/>
      <c r="BG901" s="18"/>
      <c r="BH901" s="18"/>
      <c r="BI901" s="18"/>
      <c r="BJ901" s="18"/>
      <c r="BK901" s="18"/>
      <c r="BL901" s="18"/>
      <c r="BM901" s="18"/>
      <c r="BN901" s="18"/>
    </row>
    <row r="902" spans="1:66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18"/>
      <c r="AF902" s="18"/>
      <c r="AG902" s="18"/>
      <c r="AH902" s="18"/>
      <c r="AI902" s="18"/>
      <c r="AJ902" s="18"/>
      <c r="AK902" s="18"/>
      <c r="AL902" s="18"/>
      <c r="AM902" s="18"/>
      <c r="AN902" s="18"/>
      <c r="AO902" s="18"/>
      <c r="AP902" s="18"/>
      <c r="AQ902" s="18"/>
      <c r="AR902" s="18"/>
      <c r="AS902" s="18"/>
      <c r="AT902" s="18"/>
      <c r="AU902" s="18"/>
      <c r="AV902" s="18"/>
      <c r="AW902" s="18"/>
      <c r="AX902" s="18"/>
      <c r="AY902" s="18"/>
      <c r="AZ902" s="18"/>
      <c r="BA902" s="18"/>
      <c r="BB902" s="18"/>
      <c r="BC902" s="18"/>
      <c r="BD902" s="18"/>
      <c r="BE902" s="18"/>
      <c r="BF902" s="18"/>
      <c r="BG902" s="18"/>
      <c r="BH902" s="18"/>
      <c r="BI902" s="18"/>
      <c r="BJ902" s="18"/>
      <c r="BK902" s="18"/>
      <c r="BL902" s="18"/>
      <c r="BM902" s="18"/>
      <c r="BN902" s="18"/>
    </row>
    <row r="903" spans="1:66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  <c r="AF903" s="18"/>
      <c r="AG903" s="18"/>
      <c r="AH903" s="18"/>
      <c r="AI903" s="18"/>
      <c r="AJ903" s="18"/>
      <c r="AK903" s="18"/>
      <c r="AL903" s="18"/>
      <c r="AM903" s="18"/>
      <c r="AN903" s="18"/>
      <c r="AO903" s="18"/>
      <c r="AP903" s="18"/>
      <c r="AQ903" s="18"/>
      <c r="AR903" s="18"/>
      <c r="AS903" s="18"/>
      <c r="AT903" s="18"/>
      <c r="AU903" s="18"/>
      <c r="AV903" s="18"/>
      <c r="AW903" s="18"/>
      <c r="AX903" s="18"/>
      <c r="AY903" s="18"/>
      <c r="AZ903" s="18"/>
      <c r="BA903" s="18"/>
      <c r="BB903" s="18"/>
      <c r="BC903" s="18"/>
      <c r="BD903" s="18"/>
      <c r="BE903" s="18"/>
      <c r="BF903" s="18"/>
      <c r="BG903" s="18"/>
      <c r="BH903" s="18"/>
      <c r="BI903" s="18"/>
      <c r="BJ903" s="18"/>
      <c r="BK903" s="18"/>
      <c r="BL903" s="18"/>
      <c r="BM903" s="18"/>
      <c r="BN903" s="18"/>
    </row>
    <row r="904" spans="1:66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18"/>
      <c r="AF904" s="18"/>
      <c r="AG904" s="18"/>
      <c r="AH904" s="18"/>
      <c r="AI904" s="18"/>
      <c r="AJ904" s="18"/>
      <c r="AK904" s="18"/>
      <c r="AL904" s="18"/>
      <c r="AM904" s="18"/>
      <c r="AN904" s="18"/>
      <c r="AO904" s="18"/>
      <c r="AP904" s="18"/>
      <c r="AQ904" s="18"/>
      <c r="AR904" s="18"/>
      <c r="AS904" s="18"/>
      <c r="AT904" s="18"/>
      <c r="AU904" s="18"/>
      <c r="AV904" s="18"/>
      <c r="AW904" s="18"/>
      <c r="AX904" s="18"/>
      <c r="AY904" s="18"/>
      <c r="AZ904" s="18"/>
      <c r="BA904" s="18"/>
      <c r="BB904" s="18"/>
      <c r="BC904" s="18"/>
      <c r="BD904" s="18"/>
      <c r="BE904" s="18"/>
      <c r="BF904" s="18"/>
      <c r="BG904" s="18"/>
      <c r="BH904" s="18"/>
      <c r="BI904" s="18"/>
      <c r="BJ904" s="18"/>
      <c r="BK904" s="18"/>
      <c r="BL904" s="18"/>
      <c r="BM904" s="18"/>
      <c r="BN904" s="18"/>
    </row>
    <row r="905" spans="1:66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  <c r="AF905" s="18"/>
      <c r="AG905" s="18"/>
      <c r="AH905" s="18"/>
      <c r="AI905" s="18"/>
      <c r="AJ905" s="18"/>
      <c r="AK905" s="18"/>
      <c r="AL905" s="18"/>
      <c r="AM905" s="18"/>
      <c r="AN905" s="18"/>
      <c r="AO905" s="18"/>
      <c r="AP905" s="18"/>
      <c r="AQ905" s="18"/>
      <c r="AR905" s="18"/>
      <c r="AS905" s="18"/>
      <c r="AT905" s="18"/>
      <c r="AU905" s="18"/>
      <c r="AV905" s="18"/>
      <c r="AW905" s="18"/>
      <c r="AX905" s="18"/>
      <c r="AY905" s="18"/>
      <c r="AZ905" s="18"/>
      <c r="BA905" s="18"/>
      <c r="BB905" s="18"/>
      <c r="BC905" s="18"/>
      <c r="BD905" s="18"/>
      <c r="BE905" s="18"/>
      <c r="BF905" s="18"/>
      <c r="BG905" s="18"/>
      <c r="BH905" s="18"/>
      <c r="BI905" s="18"/>
      <c r="BJ905" s="18"/>
      <c r="BK905" s="18"/>
      <c r="BL905" s="18"/>
      <c r="BM905" s="18"/>
      <c r="BN905" s="18"/>
    </row>
    <row r="906" spans="1:66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18"/>
      <c r="AF906" s="18"/>
      <c r="AG906" s="18"/>
      <c r="AH906" s="18"/>
      <c r="AI906" s="18"/>
      <c r="AJ906" s="18"/>
      <c r="AK906" s="18"/>
      <c r="AL906" s="18"/>
      <c r="AM906" s="18"/>
      <c r="AN906" s="18"/>
      <c r="AO906" s="18"/>
      <c r="AP906" s="18"/>
      <c r="AQ906" s="18"/>
      <c r="AR906" s="18"/>
      <c r="AS906" s="18"/>
      <c r="AT906" s="18"/>
      <c r="AU906" s="18"/>
      <c r="AV906" s="18"/>
      <c r="AW906" s="18"/>
      <c r="AX906" s="18"/>
      <c r="AY906" s="18"/>
      <c r="AZ906" s="18"/>
      <c r="BA906" s="18"/>
      <c r="BB906" s="18"/>
      <c r="BC906" s="18"/>
      <c r="BD906" s="18"/>
      <c r="BE906" s="18"/>
      <c r="BF906" s="18"/>
      <c r="BG906" s="18"/>
      <c r="BH906" s="18"/>
      <c r="BI906" s="18"/>
      <c r="BJ906" s="18"/>
      <c r="BK906" s="18"/>
      <c r="BL906" s="18"/>
      <c r="BM906" s="18"/>
      <c r="BN906" s="18"/>
    </row>
    <row r="907" spans="1:66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  <c r="AF907" s="18"/>
      <c r="AG907" s="18"/>
      <c r="AH907" s="18"/>
      <c r="AI907" s="18"/>
      <c r="AJ907" s="18"/>
      <c r="AK907" s="18"/>
      <c r="AL907" s="18"/>
      <c r="AM907" s="18"/>
      <c r="AN907" s="18"/>
      <c r="AO907" s="18"/>
      <c r="AP907" s="18"/>
      <c r="AQ907" s="18"/>
      <c r="AR907" s="18"/>
      <c r="AS907" s="18"/>
      <c r="AT907" s="18"/>
      <c r="AU907" s="18"/>
      <c r="AV907" s="18"/>
      <c r="AW907" s="18"/>
      <c r="AX907" s="18"/>
      <c r="AY907" s="18"/>
      <c r="AZ907" s="18"/>
      <c r="BA907" s="18"/>
      <c r="BB907" s="18"/>
      <c r="BC907" s="18"/>
      <c r="BD907" s="18"/>
      <c r="BE907" s="18"/>
      <c r="BF907" s="18"/>
      <c r="BG907" s="18"/>
      <c r="BH907" s="18"/>
      <c r="BI907" s="18"/>
      <c r="BJ907" s="18"/>
      <c r="BK907" s="18"/>
      <c r="BL907" s="18"/>
      <c r="BM907" s="18"/>
      <c r="BN907" s="18"/>
    </row>
    <row r="908" spans="1:66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  <c r="AF908" s="18"/>
      <c r="AG908" s="18"/>
      <c r="AH908" s="18"/>
      <c r="AI908" s="18"/>
      <c r="AJ908" s="18"/>
      <c r="AK908" s="18"/>
      <c r="AL908" s="18"/>
      <c r="AM908" s="18"/>
      <c r="AN908" s="18"/>
      <c r="AO908" s="18"/>
      <c r="AP908" s="18"/>
      <c r="AQ908" s="18"/>
      <c r="AR908" s="18"/>
      <c r="AS908" s="18"/>
      <c r="AT908" s="18"/>
      <c r="AU908" s="18"/>
      <c r="AV908" s="18"/>
      <c r="AW908" s="18"/>
      <c r="AX908" s="18"/>
      <c r="AY908" s="18"/>
      <c r="AZ908" s="18"/>
      <c r="BA908" s="18"/>
      <c r="BB908" s="18"/>
      <c r="BC908" s="18"/>
      <c r="BD908" s="18"/>
      <c r="BE908" s="18"/>
      <c r="BF908" s="18"/>
      <c r="BG908" s="18"/>
      <c r="BH908" s="18"/>
      <c r="BI908" s="18"/>
      <c r="BJ908" s="18"/>
      <c r="BK908" s="18"/>
      <c r="BL908" s="18"/>
      <c r="BM908" s="18"/>
      <c r="BN908" s="18"/>
    </row>
    <row r="909" spans="1:66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  <c r="AF909" s="18"/>
      <c r="AG909" s="18"/>
      <c r="AH909" s="18"/>
      <c r="AI909" s="18"/>
      <c r="AJ909" s="18"/>
      <c r="AK909" s="18"/>
      <c r="AL909" s="18"/>
      <c r="AM909" s="18"/>
      <c r="AN909" s="18"/>
      <c r="AO909" s="18"/>
      <c r="AP909" s="18"/>
      <c r="AQ909" s="18"/>
      <c r="AR909" s="18"/>
      <c r="AS909" s="18"/>
      <c r="AT909" s="18"/>
      <c r="AU909" s="18"/>
      <c r="AV909" s="18"/>
      <c r="AW909" s="18"/>
      <c r="AX909" s="18"/>
      <c r="AY909" s="18"/>
      <c r="AZ909" s="18"/>
      <c r="BA909" s="18"/>
      <c r="BB909" s="18"/>
      <c r="BC909" s="18"/>
      <c r="BD909" s="18"/>
      <c r="BE909" s="18"/>
      <c r="BF909" s="18"/>
      <c r="BG909" s="18"/>
      <c r="BH909" s="18"/>
      <c r="BI909" s="18"/>
      <c r="BJ909" s="18"/>
      <c r="BK909" s="18"/>
      <c r="BL909" s="18"/>
      <c r="BM909" s="18"/>
      <c r="BN909" s="18"/>
    </row>
    <row r="910" spans="1:66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18"/>
      <c r="AF910" s="18"/>
      <c r="AG910" s="18"/>
      <c r="AH910" s="18"/>
      <c r="AI910" s="18"/>
      <c r="AJ910" s="18"/>
      <c r="AK910" s="18"/>
      <c r="AL910" s="18"/>
      <c r="AM910" s="18"/>
      <c r="AN910" s="18"/>
      <c r="AO910" s="18"/>
      <c r="AP910" s="18"/>
      <c r="AQ910" s="18"/>
      <c r="AR910" s="18"/>
      <c r="AS910" s="18"/>
      <c r="AT910" s="18"/>
      <c r="AU910" s="18"/>
      <c r="AV910" s="18"/>
      <c r="AW910" s="18"/>
      <c r="AX910" s="18"/>
      <c r="AY910" s="18"/>
      <c r="AZ910" s="18"/>
      <c r="BA910" s="18"/>
      <c r="BB910" s="18"/>
      <c r="BC910" s="18"/>
      <c r="BD910" s="18"/>
      <c r="BE910" s="18"/>
      <c r="BF910" s="18"/>
      <c r="BG910" s="18"/>
      <c r="BH910" s="18"/>
      <c r="BI910" s="18"/>
      <c r="BJ910" s="18"/>
      <c r="BK910" s="18"/>
      <c r="BL910" s="18"/>
      <c r="BM910" s="18"/>
      <c r="BN910" s="18"/>
    </row>
    <row r="911" spans="1:66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  <c r="AF911" s="18"/>
      <c r="AG911" s="18"/>
      <c r="AH911" s="18"/>
      <c r="AI911" s="18"/>
      <c r="AJ911" s="18"/>
      <c r="AK911" s="18"/>
      <c r="AL911" s="18"/>
      <c r="AM911" s="18"/>
      <c r="AN911" s="18"/>
      <c r="AO911" s="18"/>
      <c r="AP911" s="18"/>
      <c r="AQ911" s="18"/>
      <c r="AR911" s="18"/>
      <c r="AS911" s="18"/>
      <c r="AT911" s="18"/>
      <c r="AU911" s="18"/>
      <c r="AV911" s="18"/>
      <c r="AW911" s="18"/>
      <c r="AX911" s="18"/>
      <c r="AY911" s="18"/>
      <c r="AZ911" s="18"/>
      <c r="BA911" s="18"/>
      <c r="BB911" s="18"/>
      <c r="BC911" s="18"/>
      <c r="BD911" s="18"/>
      <c r="BE911" s="18"/>
      <c r="BF911" s="18"/>
      <c r="BG911" s="18"/>
      <c r="BH911" s="18"/>
      <c r="BI911" s="18"/>
      <c r="BJ911" s="18"/>
      <c r="BK911" s="18"/>
      <c r="BL911" s="18"/>
      <c r="BM911" s="18"/>
      <c r="BN911" s="18"/>
    </row>
    <row r="912" spans="1:66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  <c r="AF912" s="18"/>
      <c r="AG912" s="18"/>
      <c r="AH912" s="18"/>
      <c r="AI912" s="18"/>
      <c r="AJ912" s="18"/>
      <c r="AK912" s="18"/>
      <c r="AL912" s="18"/>
      <c r="AM912" s="18"/>
      <c r="AN912" s="18"/>
      <c r="AO912" s="18"/>
      <c r="AP912" s="18"/>
      <c r="AQ912" s="18"/>
      <c r="AR912" s="18"/>
      <c r="AS912" s="18"/>
      <c r="AT912" s="18"/>
      <c r="AU912" s="18"/>
      <c r="AV912" s="18"/>
      <c r="AW912" s="18"/>
      <c r="AX912" s="18"/>
      <c r="AY912" s="18"/>
      <c r="AZ912" s="18"/>
      <c r="BA912" s="18"/>
      <c r="BB912" s="18"/>
      <c r="BC912" s="18"/>
      <c r="BD912" s="18"/>
      <c r="BE912" s="18"/>
      <c r="BF912" s="18"/>
      <c r="BG912" s="18"/>
      <c r="BH912" s="18"/>
      <c r="BI912" s="18"/>
      <c r="BJ912" s="18"/>
      <c r="BK912" s="18"/>
      <c r="BL912" s="18"/>
      <c r="BM912" s="18"/>
      <c r="BN912" s="18"/>
    </row>
    <row r="913" spans="1:66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18"/>
      <c r="AF913" s="18"/>
      <c r="AG913" s="18"/>
      <c r="AH913" s="18"/>
      <c r="AI913" s="18"/>
      <c r="AJ913" s="18"/>
      <c r="AK913" s="18"/>
      <c r="AL913" s="18"/>
      <c r="AM913" s="18"/>
      <c r="AN913" s="18"/>
      <c r="AO913" s="18"/>
      <c r="AP913" s="18"/>
      <c r="AQ913" s="18"/>
      <c r="AR913" s="18"/>
      <c r="AS913" s="18"/>
      <c r="AT913" s="18"/>
      <c r="AU913" s="18"/>
      <c r="AV913" s="18"/>
      <c r="AW913" s="18"/>
      <c r="AX913" s="18"/>
      <c r="AY913" s="18"/>
      <c r="AZ913" s="18"/>
      <c r="BA913" s="18"/>
      <c r="BB913" s="18"/>
      <c r="BC913" s="18"/>
      <c r="BD913" s="18"/>
      <c r="BE913" s="18"/>
      <c r="BF913" s="18"/>
      <c r="BG913" s="18"/>
      <c r="BH913" s="18"/>
      <c r="BI913" s="18"/>
      <c r="BJ913" s="18"/>
      <c r="BK913" s="18"/>
      <c r="BL913" s="18"/>
      <c r="BM913" s="18"/>
      <c r="BN913" s="18"/>
    </row>
    <row r="914" spans="1:66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18"/>
      <c r="AF914" s="18"/>
      <c r="AG914" s="18"/>
      <c r="AH914" s="18"/>
      <c r="AI914" s="18"/>
      <c r="AJ914" s="18"/>
      <c r="AK914" s="18"/>
      <c r="AL914" s="18"/>
      <c r="AM914" s="18"/>
      <c r="AN914" s="18"/>
      <c r="AO914" s="18"/>
      <c r="AP914" s="18"/>
      <c r="AQ914" s="18"/>
      <c r="AR914" s="18"/>
      <c r="AS914" s="18"/>
      <c r="AT914" s="18"/>
      <c r="AU914" s="18"/>
      <c r="AV914" s="18"/>
      <c r="AW914" s="18"/>
      <c r="AX914" s="18"/>
      <c r="AY914" s="18"/>
      <c r="AZ914" s="18"/>
      <c r="BA914" s="18"/>
      <c r="BB914" s="18"/>
      <c r="BC914" s="18"/>
      <c r="BD914" s="18"/>
      <c r="BE914" s="18"/>
      <c r="BF914" s="18"/>
      <c r="BG914" s="18"/>
      <c r="BH914" s="18"/>
      <c r="BI914" s="18"/>
      <c r="BJ914" s="18"/>
      <c r="BK914" s="18"/>
      <c r="BL914" s="18"/>
      <c r="BM914" s="18"/>
      <c r="BN914" s="18"/>
    </row>
    <row r="915" spans="1:66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8"/>
      <c r="AF915" s="18"/>
      <c r="AG915" s="18"/>
      <c r="AH915" s="18"/>
      <c r="AI915" s="18"/>
      <c r="AJ915" s="18"/>
      <c r="AK915" s="18"/>
      <c r="AL915" s="18"/>
      <c r="AM915" s="18"/>
      <c r="AN915" s="18"/>
      <c r="AO915" s="18"/>
      <c r="AP915" s="18"/>
      <c r="AQ915" s="18"/>
      <c r="AR915" s="18"/>
      <c r="AS915" s="18"/>
      <c r="AT915" s="18"/>
      <c r="AU915" s="18"/>
      <c r="AV915" s="18"/>
      <c r="AW915" s="18"/>
      <c r="AX915" s="18"/>
      <c r="AY915" s="18"/>
      <c r="AZ915" s="18"/>
      <c r="BA915" s="18"/>
      <c r="BB915" s="18"/>
      <c r="BC915" s="18"/>
      <c r="BD915" s="18"/>
      <c r="BE915" s="18"/>
      <c r="BF915" s="18"/>
      <c r="BG915" s="18"/>
      <c r="BH915" s="18"/>
      <c r="BI915" s="18"/>
      <c r="BJ915" s="18"/>
      <c r="BK915" s="18"/>
      <c r="BL915" s="18"/>
      <c r="BM915" s="18"/>
      <c r="BN915" s="18"/>
    </row>
    <row r="916" spans="1:66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18"/>
      <c r="AF916" s="18"/>
      <c r="AG916" s="18"/>
      <c r="AH916" s="18"/>
      <c r="AI916" s="18"/>
      <c r="AJ916" s="18"/>
      <c r="AK916" s="18"/>
      <c r="AL916" s="18"/>
      <c r="AM916" s="18"/>
      <c r="AN916" s="18"/>
      <c r="AO916" s="18"/>
      <c r="AP916" s="18"/>
      <c r="AQ916" s="18"/>
      <c r="AR916" s="18"/>
      <c r="AS916" s="18"/>
      <c r="AT916" s="18"/>
      <c r="AU916" s="18"/>
      <c r="AV916" s="18"/>
      <c r="AW916" s="18"/>
      <c r="AX916" s="18"/>
      <c r="AY916" s="18"/>
      <c r="AZ916" s="18"/>
      <c r="BA916" s="18"/>
      <c r="BB916" s="18"/>
      <c r="BC916" s="18"/>
      <c r="BD916" s="18"/>
      <c r="BE916" s="18"/>
      <c r="BF916" s="18"/>
      <c r="BG916" s="18"/>
      <c r="BH916" s="18"/>
      <c r="BI916" s="18"/>
      <c r="BJ916" s="18"/>
      <c r="BK916" s="18"/>
      <c r="BL916" s="18"/>
      <c r="BM916" s="18"/>
      <c r="BN916" s="18"/>
    </row>
    <row r="917" spans="1:66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  <c r="AF917" s="18"/>
      <c r="AG917" s="18"/>
      <c r="AH917" s="18"/>
      <c r="AI917" s="18"/>
      <c r="AJ917" s="18"/>
      <c r="AK917" s="18"/>
      <c r="AL917" s="18"/>
      <c r="AM917" s="18"/>
      <c r="AN917" s="18"/>
      <c r="AO917" s="18"/>
      <c r="AP917" s="18"/>
      <c r="AQ917" s="18"/>
      <c r="AR917" s="18"/>
      <c r="AS917" s="18"/>
      <c r="AT917" s="18"/>
      <c r="AU917" s="18"/>
      <c r="AV917" s="18"/>
      <c r="AW917" s="18"/>
      <c r="AX917" s="18"/>
      <c r="AY917" s="18"/>
      <c r="AZ917" s="18"/>
      <c r="BA917" s="18"/>
      <c r="BB917" s="18"/>
      <c r="BC917" s="18"/>
      <c r="BD917" s="18"/>
      <c r="BE917" s="18"/>
      <c r="BF917" s="18"/>
      <c r="BG917" s="18"/>
      <c r="BH917" s="18"/>
      <c r="BI917" s="18"/>
      <c r="BJ917" s="18"/>
      <c r="BK917" s="18"/>
      <c r="BL917" s="18"/>
      <c r="BM917" s="18"/>
      <c r="BN917" s="18"/>
    </row>
    <row r="918" spans="1:66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18"/>
      <c r="AF918" s="18"/>
      <c r="AG918" s="18"/>
      <c r="AH918" s="18"/>
      <c r="AI918" s="18"/>
      <c r="AJ918" s="18"/>
      <c r="AK918" s="18"/>
      <c r="AL918" s="18"/>
      <c r="AM918" s="18"/>
      <c r="AN918" s="18"/>
      <c r="AO918" s="18"/>
      <c r="AP918" s="18"/>
      <c r="AQ918" s="18"/>
      <c r="AR918" s="18"/>
      <c r="AS918" s="18"/>
      <c r="AT918" s="18"/>
      <c r="AU918" s="18"/>
      <c r="AV918" s="18"/>
      <c r="AW918" s="18"/>
      <c r="AX918" s="18"/>
      <c r="AY918" s="18"/>
      <c r="AZ918" s="18"/>
      <c r="BA918" s="18"/>
      <c r="BB918" s="18"/>
      <c r="BC918" s="18"/>
      <c r="BD918" s="18"/>
      <c r="BE918" s="18"/>
      <c r="BF918" s="18"/>
      <c r="BG918" s="18"/>
      <c r="BH918" s="18"/>
      <c r="BI918" s="18"/>
      <c r="BJ918" s="18"/>
      <c r="BK918" s="18"/>
      <c r="BL918" s="18"/>
      <c r="BM918" s="18"/>
      <c r="BN918" s="18"/>
    </row>
    <row r="919" spans="1:66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18"/>
      <c r="AF919" s="18"/>
      <c r="AG919" s="18"/>
      <c r="AH919" s="18"/>
      <c r="AI919" s="18"/>
      <c r="AJ919" s="18"/>
      <c r="AK919" s="18"/>
      <c r="AL919" s="18"/>
      <c r="AM919" s="18"/>
      <c r="AN919" s="18"/>
      <c r="AO919" s="18"/>
      <c r="AP919" s="18"/>
      <c r="AQ919" s="18"/>
      <c r="AR919" s="18"/>
      <c r="AS919" s="18"/>
      <c r="AT919" s="18"/>
      <c r="AU919" s="18"/>
      <c r="AV919" s="18"/>
      <c r="AW919" s="18"/>
      <c r="AX919" s="18"/>
      <c r="AY919" s="18"/>
      <c r="AZ919" s="18"/>
      <c r="BA919" s="18"/>
      <c r="BB919" s="18"/>
      <c r="BC919" s="18"/>
      <c r="BD919" s="18"/>
      <c r="BE919" s="18"/>
      <c r="BF919" s="18"/>
      <c r="BG919" s="18"/>
      <c r="BH919" s="18"/>
      <c r="BI919" s="18"/>
      <c r="BJ919" s="18"/>
      <c r="BK919" s="18"/>
      <c r="BL919" s="18"/>
      <c r="BM919" s="18"/>
      <c r="BN919" s="18"/>
    </row>
    <row r="920" spans="1:66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18"/>
      <c r="AF920" s="18"/>
      <c r="AG920" s="18"/>
      <c r="AH920" s="18"/>
      <c r="AI920" s="18"/>
      <c r="AJ920" s="18"/>
      <c r="AK920" s="18"/>
      <c r="AL920" s="18"/>
      <c r="AM920" s="18"/>
      <c r="AN920" s="18"/>
      <c r="AO920" s="18"/>
      <c r="AP920" s="18"/>
      <c r="AQ920" s="18"/>
      <c r="AR920" s="18"/>
      <c r="AS920" s="18"/>
      <c r="AT920" s="18"/>
      <c r="AU920" s="18"/>
      <c r="AV920" s="18"/>
      <c r="AW920" s="18"/>
      <c r="AX920" s="18"/>
      <c r="AY920" s="18"/>
      <c r="AZ920" s="18"/>
      <c r="BA920" s="18"/>
      <c r="BB920" s="18"/>
      <c r="BC920" s="18"/>
      <c r="BD920" s="18"/>
      <c r="BE920" s="18"/>
      <c r="BF920" s="18"/>
      <c r="BG920" s="18"/>
      <c r="BH920" s="18"/>
      <c r="BI920" s="18"/>
      <c r="BJ920" s="18"/>
      <c r="BK920" s="18"/>
      <c r="BL920" s="18"/>
      <c r="BM920" s="18"/>
      <c r="BN920" s="18"/>
    </row>
    <row r="921" spans="1:66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  <c r="AF921" s="18"/>
      <c r="AG921" s="18"/>
      <c r="AH921" s="18"/>
      <c r="AI921" s="18"/>
      <c r="AJ921" s="18"/>
      <c r="AK921" s="18"/>
      <c r="AL921" s="18"/>
      <c r="AM921" s="18"/>
      <c r="AN921" s="18"/>
      <c r="AO921" s="18"/>
      <c r="AP921" s="18"/>
      <c r="AQ921" s="18"/>
      <c r="AR921" s="18"/>
      <c r="AS921" s="18"/>
      <c r="AT921" s="18"/>
      <c r="AU921" s="18"/>
      <c r="AV921" s="18"/>
      <c r="AW921" s="18"/>
      <c r="AX921" s="18"/>
      <c r="AY921" s="18"/>
      <c r="AZ921" s="18"/>
      <c r="BA921" s="18"/>
      <c r="BB921" s="18"/>
      <c r="BC921" s="18"/>
      <c r="BD921" s="18"/>
      <c r="BE921" s="18"/>
      <c r="BF921" s="18"/>
      <c r="BG921" s="18"/>
      <c r="BH921" s="18"/>
      <c r="BI921" s="18"/>
      <c r="BJ921" s="18"/>
      <c r="BK921" s="18"/>
      <c r="BL921" s="18"/>
      <c r="BM921" s="18"/>
      <c r="BN921" s="18"/>
    </row>
    <row r="922" spans="1:66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18"/>
      <c r="AF922" s="18"/>
      <c r="AG922" s="18"/>
      <c r="AH922" s="18"/>
      <c r="AI922" s="18"/>
      <c r="AJ922" s="18"/>
      <c r="AK922" s="18"/>
      <c r="AL922" s="18"/>
      <c r="AM922" s="18"/>
      <c r="AN922" s="18"/>
      <c r="AO922" s="18"/>
      <c r="AP922" s="18"/>
      <c r="AQ922" s="18"/>
      <c r="AR922" s="18"/>
      <c r="AS922" s="18"/>
      <c r="AT922" s="18"/>
      <c r="AU922" s="18"/>
      <c r="AV922" s="18"/>
      <c r="AW922" s="18"/>
      <c r="AX922" s="18"/>
      <c r="AY922" s="18"/>
      <c r="AZ922" s="18"/>
      <c r="BA922" s="18"/>
      <c r="BB922" s="18"/>
      <c r="BC922" s="18"/>
      <c r="BD922" s="18"/>
      <c r="BE922" s="18"/>
      <c r="BF922" s="18"/>
      <c r="BG922" s="18"/>
      <c r="BH922" s="18"/>
      <c r="BI922" s="18"/>
      <c r="BJ922" s="18"/>
      <c r="BK922" s="18"/>
      <c r="BL922" s="18"/>
      <c r="BM922" s="18"/>
      <c r="BN922" s="18"/>
    </row>
    <row r="923" spans="1:66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18"/>
      <c r="AF923" s="18"/>
      <c r="AG923" s="18"/>
      <c r="AH923" s="18"/>
      <c r="AI923" s="18"/>
      <c r="AJ923" s="18"/>
      <c r="AK923" s="18"/>
      <c r="AL923" s="18"/>
      <c r="AM923" s="18"/>
      <c r="AN923" s="18"/>
      <c r="AO923" s="18"/>
      <c r="AP923" s="18"/>
      <c r="AQ923" s="18"/>
      <c r="AR923" s="18"/>
      <c r="AS923" s="18"/>
      <c r="AT923" s="18"/>
      <c r="AU923" s="18"/>
      <c r="AV923" s="18"/>
      <c r="AW923" s="18"/>
      <c r="AX923" s="18"/>
      <c r="AY923" s="18"/>
      <c r="AZ923" s="18"/>
      <c r="BA923" s="18"/>
      <c r="BB923" s="18"/>
      <c r="BC923" s="18"/>
      <c r="BD923" s="18"/>
      <c r="BE923" s="18"/>
      <c r="BF923" s="18"/>
      <c r="BG923" s="18"/>
      <c r="BH923" s="18"/>
      <c r="BI923" s="18"/>
      <c r="BJ923" s="18"/>
      <c r="BK923" s="18"/>
      <c r="BL923" s="18"/>
      <c r="BM923" s="18"/>
      <c r="BN923" s="18"/>
    </row>
    <row r="924" spans="1:66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  <c r="AE924" s="18"/>
      <c r="AF924" s="18"/>
      <c r="AG924" s="18"/>
      <c r="AH924" s="18"/>
      <c r="AI924" s="18"/>
      <c r="AJ924" s="18"/>
      <c r="AK924" s="18"/>
      <c r="AL924" s="18"/>
      <c r="AM924" s="18"/>
      <c r="AN924" s="18"/>
      <c r="AO924" s="18"/>
      <c r="AP924" s="18"/>
      <c r="AQ924" s="18"/>
      <c r="AR924" s="18"/>
      <c r="AS924" s="18"/>
      <c r="AT924" s="18"/>
      <c r="AU924" s="18"/>
      <c r="AV924" s="18"/>
      <c r="AW924" s="18"/>
      <c r="AX924" s="18"/>
      <c r="AY924" s="18"/>
      <c r="AZ924" s="18"/>
      <c r="BA924" s="18"/>
      <c r="BB924" s="18"/>
      <c r="BC924" s="18"/>
      <c r="BD924" s="18"/>
      <c r="BE924" s="18"/>
      <c r="BF924" s="18"/>
      <c r="BG924" s="18"/>
      <c r="BH924" s="18"/>
      <c r="BI924" s="18"/>
      <c r="BJ924" s="18"/>
      <c r="BK924" s="18"/>
      <c r="BL924" s="18"/>
      <c r="BM924" s="18"/>
      <c r="BN924" s="18"/>
    </row>
    <row r="925" spans="1:66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  <c r="AE925" s="18"/>
      <c r="AF925" s="18"/>
      <c r="AG925" s="18"/>
      <c r="AH925" s="18"/>
      <c r="AI925" s="18"/>
      <c r="AJ925" s="18"/>
      <c r="AK925" s="18"/>
      <c r="AL925" s="18"/>
      <c r="AM925" s="18"/>
      <c r="AN925" s="18"/>
      <c r="AO925" s="18"/>
      <c r="AP925" s="18"/>
      <c r="AQ925" s="18"/>
      <c r="AR925" s="18"/>
      <c r="AS925" s="18"/>
      <c r="AT925" s="18"/>
      <c r="AU925" s="18"/>
      <c r="AV925" s="18"/>
      <c r="AW925" s="18"/>
      <c r="AX925" s="18"/>
      <c r="AY925" s="18"/>
      <c r="AZ925" s="18"/>
      <c r="BA925" s="18"/>
      <c r="BB925" s="18"/>
      <c r="BC925" s="18"/>
      <c r="BD925" s="18"/>
      <c r="BE925" s="18"/>
      <c r="BF925" s="18"/>
      <c r="BG925" s="18"/>
      <c r="BH925" s="18"/>
      <c r="BI925" s="18"/>
      <c r="BJ925" s="18"/>
      <c r="BK925" s="18"/>
      <c r="BL925" s="18"/>
      <c r="BM925" s="18"/>
      <c r="BN925" s="18"/>
    </row>
    <row r="926" spans="1:66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  <c r="AE926" s="18"/>
      <c r="AF926" s="18"/>
      <c r="AG926" s="18"/>
      <c r="AH926" s="18"/>
      <c r="AI926" s="18"/>
      <c r="AJ926" s="18"/>
      <c r="AK926" s="18"/>
      <c r="AL926" s="18"/>
      <c r="AM926" s="18"/>
      <c r="AN926" s="18"/>
      <c r="AO926" s="18"/>
      <c r="AP926" s="18"/>
      <c r="AQ926" s="18"/>
      <c r="AR926" s="18"/>
      <c r="AS926" s="18"/>
      <c r="AT926" s="18"/>
      <c r="AU926" s="18"/>
      <c r="AV926" s="18"/>
      <c r="AW926" s="18"/>
      <c r="AX926" s="18"/>
      <c r="AY926" s="18"/>
      <c r="AZ926" s="18"/>
      <c r="BA926" s="18"/>
      <c r="BB926" s="18"/>
      <c r="BC926" s="18"/>
      <c r="BD926" s="18"/>
      <c r="BE926" s="18"/>
      <c r="BF926" s="18"/>
      <c r="BG926" s="18"/>
      <c r="BH926" s="18"/>
      <c r="BI926" s="18"/>
      <c r="BJ926" s="18"/>
      <c r="BK926" s="18"/>
      <c r="BL926" s="18"/>
      <c r="BM926" s="18"/>
      <c r="BN926" s="18"/>
    </row>
    <row r="927" spans="1:66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  <c r="AE927" s="18"/>
      <c r="AF927" s="18"/>
      <c r="AG927" s="18"/>
      <c r="AH927" s="18"/>
      <c r="AI927" s="18"/>
      <c r="AJ927" s="18"/>
      <c r="AK927" s="18"/>
      <c r="AL927" s="18"/>
      <c r="AM927" s="18"/>
      <c r="AN927" s="18"/>
      <c r="AO927" s="18"/>
      <c r="AP927" s="18"/>
      <c r="AQ927" s="18"/>
      <c r="AR927" s="18"/>
      <c r="AS927" s="18"/>
      <c r="AT927" s="18"/>
      <c r="AU927" s="18"/>
      <c r="AV927" s="18"/>
      <c r="AW927" s="18"/>
      <c r="AX927" s="18"/>
      <c r="AY927" s="18"/>
      <c r="AZ927" s="18"/>
      <c r="BA927" s="18"/>
      <c r="BB927" s="18"/>
      <c r="BC927" s="18"/>
      <c r="BD927" s="18"/>
      <c r="BE927" s="18"/>
      <c r="BF927" s="18"/>
      <c r="BG927" s="18"/>
      <c r="BH927" s="18"/>
      <c r="BI927" s="18"/>
      <c r="BJ927" s="18"/>
      <c r="BK927" s="18"/>
      <c r="BL927" s="18"/>
      <c r="BM927" s="18"/>
      <c r="BN927" s="18"/>
    </row>
    <row r="928" spans="1:66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  <c r="AE928" s="18"/>
      <c r="AF928" s="18"/>
      <c r="AG928" s="18"/>
      <c r="AH928" s="18"/>
      <c r="AI928" s="18"/>
      <c r="AJ928" s="18"/>
      <c r="AK928" s="18"/>
      <c r="AL928" s="18"/>
      <c r="AM928" s="18"/>
      <c r="AN928" s="18"/>
      <c r="AO928" s="18"/>
      <c r="AP928" s="18"/>
      <c r="AQ928" s="18"/>
      <c r="AR928" s="18"/>
      <c r="AS928" s="18"/>
      <c r="AT928" s="18"/>
      <c r="AU928" s="18"/>
      <c r="AV928" s="18"/>
      <c r="AW928" s="18"/>
      <c r="AX928" s="18"/>
      <c r="AY928" s="18"/>
      <c r="AZ928" s="18"/>
      <c r="BA928" s="18"/>
      <c r="BB928" s="18"/>
      <c r="BC928" s="18"/>
      <c r="BD928" s="18"/>
      <c r="BE928" s="18"/>
      <c r="BF928" s="18"/>
      <c r="BG928" s="18"/>
      <c r="BH928" s="18"/>
      <c r="BI928" s="18"/>
      <c r="BJ928" s="18"/>
      <c r="BK928" s="18"/>
      <c r="BL928" s="18"/>
      <c r="BM928" s="18"/>
      <c r="BN928" s="18"/>
    </row>
    <row r="929" spans="1:66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  <c r="AE929" s="18"/>
      <c r="AF929" s="18"/>
      <c r="AG929" s="18"/>
      <c r="AH929" s="18"/>
      <c r="AI929" s="18"/>
      <c r="AJ929" s="18"/>
      <c r="AK929" s="18"/>
      <c r="AL929" s="18"/>
      <c r="AM929" s="18"/>
      <c r="AN929" s="18"/>
      <c r="AO929" s="18"/>
      <c r="AP929" s="18"/>
      <c r="AQ929" s="18"/>
      <c r="AR929" s="18"/>
      <c r="AS929" s="18"/>
      <c r="AT929" s="18"/>
      <c r="AU929" s="18"/>
      <c r="AV929" s="18"/>
      <c r="AW929" s="18"/>
      <c r="AX929" s="18"/>
      <c r="AY929" s="18"/>
      <c r="AZ929" s="18"/>
      <c r="BA929" s="18"/>
      <c r="BB929" s="18"/>
      <c r="BC929" s="18"/>
      <c r="BD929" s="18"/>
      <c r="BE929" s="18"/>
      <c r="BF929" s="18"/>
      <c r="BG929" s="18"/>
      <c r="BH929" s="18"/>
      <c r="BI929" s="18"/>
      <c r="BJ929" s="18"/>
      <c r="BK929" s="18"/>
      <c r="BL929" s="18"/>
      <c r="BM929" s="18"/>
      <c r="BN929" s="18"/>
    </row>
    <row r="930" spans="1:66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  <c r="AE930" s="18"/>
      <c r="AF930" s="18"/>
      <c r="AG930" s="18"/>
      <c r="AH930" s="18"/>
      <c r="AI930" s="18"/>
      <c r="AJ930" s="18"/>
      <c r="AK930" s="18"/>
      <c r="AL930" s="18"/>
      <c r="AM930" s="18"/>
      <c r="AN930" s="18"/>
      <c r="AO930" s="18"/>
      <c r="AP930" s="18"/>
      <c r="AQ930" s="18"/>
      <c r="AR930" s="18"/>
      <c r="AS930" s="18"/>
      <c r="AT930" s="18"/>
      <c r="AU930" s="18"/>
      <c r="AV930" s="18"/>
      <c r="AW930" s="18"/>
      <c r="AX930" s="18"/>
      <c r="AY930" s="18"/>
      <c r="AZ930" s="18"/>
      <c r="BA930" s="18"/>
      <c r="BB930" s="18"/>
      <c r="BC930" s="18"/>
      <c r="BD930" s="18"/>
      <c r="BE930" s="18"/>
      <c r="BF930" s="18"/>
      <c r="BG930" s="18"/>
      <c r="BH930" s="18"/>
      <c r="BI930" s="18"/>
      <c r="BJ930" s="18"/>
      <c r="BK930" s="18"/>
      <c r="BL930" s="18"/>
      <c r="BM930" s="18"/>
      <c r="BN930" s="18"/>
    </row>
    <row r="931" spans="1:66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  <c r="AE931" s="18"/>
      <c r="AF931" s="18"/>
      <c r="AG931" s="18"/>
      <c r="AH931" s="18"/>
      <c r="AI931" s="18"/>
      <c r="AJ931" s="18"/>
      <c r="AK931" s="18"/>
      <c r="AL931" s="18"/>
      <c r="AM931" s="18"/>
      <c r="AN931" s="18"/>
      <c r="AO931" s="18"/>
      <c r="AP931" s="18"/>
      <c r="AQ931" s="18"/>
      <c r="AR931" s="18"/>
      <c r="AS931" s="18"/>
      <c r="AT931" s="18"/>
      <c r="AU931" s="18"/>
      <c r="AV931" s="18"/>
      <c r="AW931" s="18"/>
      <c r="AX931" s="18"/>
      <c r="AY931" s="18"/>
      <c r="AZ931" s="18"/>
      <c r="BA931" s="18"/>
      <c r="BB931" s="18"/>
      <c r="BC931" s="18"/>
      <c r="BD931" s="18"/>
      <c r="BE931" s="18"/>
      <c r="BF931" s="18"/>
      <c r="BG931" s="18"/>
      <c r="BH931" s="18"/>
      <c r="BI931" s="18"/>
      <c r="BJ931" s="18"/>
      <c r="BK931" s="18"/>
      <c r="BL931" s="18"/>
      <c r="BM931" s="18"/>
      <c r="BN931" s="18"/>
    </row>
    <row r="932" spans="1:66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  <c r="AE932" s="18"/>
      <c r="AF932" s="18"/>
      <c r="AG932" s="18"/>
      <c r="AH932" s="18"/>
      <c r="AI932" s="18"/>
      <c r="AJ932" s="18"/>
      <c r="AK932" s="18"/>
      <c r="AL932" s="18"/>
      <c r="AM932" s="18"/>
      <c r="AN932" s="18"/>
      <c r="AO932" s="18"/>
      <c r="AP932" s="18"/>
      <c r="AQ932" s="18"/>
      <c r="AR932" s="18"/>
      <c r="AS932" s="18"/>
      <c r="AT932" s="18"/>
      <c r="AU932" s="18"/>
      <c r="AV932" s="18"/>
      <c r="AW932" s="18"/>
      <c r="AX932" s="18"/>
      <c r="AY932" s="18"/>
      <c r="AZ932" s="18"/>
      <c r="BA932" s="18"/>
      <c r="BB932" s="18"/>
      <c r="BC932" s="18"/>
      <c r="BD932" s="18"/>
      <c r="BE932" s="18"/>
      <c r="BF932" s="18"/>
      <c r="BG932" s="18"/>
      <c r="BH932" s="18"/>
      <c r="BI932" s="18"/>
      <c r="BJ932" s="18"/>
      <c r="BK932" s="18"/>
      <c r="BL932" s="18"/>
      <c r="BM932" s="18"/>
      <c r="BN932" s="18"/>
    </row>
    <row r="933" spans="1:66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  <c r="AE933" s="18"/>
      <c r="AF933" s="18"/>
      <c r="AG933" s="18"/>
      <c r="AH933" s="18"/>
      <c r="AI933" s="18"/>
      <c r="AJ933" s="18"/>
      <c r="AK933" s="18"/>
      <c r="AL933" s="18"/>
      <c r="AM933" s="18"/>
      <c r="AN933" s="18"/>
      <c r="AO933" s="18"/>
      <c r="AP933" s="18"/>
      <c r="AQ933" s="18"/>
      <c r="AR933" s="18"/>
      <c r="AS933" s="18"/>
      <c r="AT933" s="18"/>
      <c r="AU933" s="18"/>
      <c r="AV933" s="18"/>
      <c r="AW933" s="18"/>
      <c r="AX933" s="18"/>
      <c r="AY933" s="18"/>
      <c r="AZ933" s="18"/>
      <c r="BA933" s="18"/>
      <c r="BB933" s="18"/>
      <c r="BC933" s="18"/>
      <c r="BD933" s="18"/>
      <c r="BE933" s="18"/>
      <c r="BF933" s="18"/>
      <c r="BG933" s="18"/>
      <c r="BH933" s="18"/>
      <c r="BI933" s="18"/>
      <c r="BJ933" s="18"/>
      <c r="BK933" s="18"/>
      <c r="BL933" s="18"/>
      <c r="BM933" s="18"/>
      <c r="BN933" s="18"/>
    </row>
    <row r="934" spans="1:66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  <c r="AE934" s="18"/>
      <c r="AF934" s="18"/>
      <c r="AG934" s="18"/>
      <c r="AH934" s="18"/>
      <c r="AI934" s="18"/>
      <c r="AJ934" s="18"/>
      <c r="AK934" s="18"/>
      <c r="AL934" s="18"/>
      <c r="AM934" s="18"/>
      <c r="AN934" s="18"/>
      <c r="AO934" s="18"/>
      <c r="AP934" s="18"/>
      <c r="AQ934" s="18"/>
      <c r="AR934" s="18"/>
      <c r="AS934" s="18"/>
      <c r="AT934" s="18"/>
      <c r="AU934" s="18"/>
      <c r="AV934" s="18"/>
      <c r="AW934" s="18"/>
      <c r="AX934" s="18"/>
      <c r="AY934" s="18"/>
      <c r="AZ934" s="18"/>
      <c r="BA934" s="18"/>
      <c r="BB934" s="18"/>
      <c r="BC934" s="18"/>
      <c r="BD934" s="18"/>
      <c r="BE934" s="18"/>
      <c r="BF934" s="18"/>
      <c r="BG934" s="18"/>
      <c r="BH934" s="18"/>
      <c r="BI934" s="18"/>
      <c r="BJ934" s="18"/>
      <c r="BK934" s="18"/>
      <c r="BL934" s="18"/>
      <c r="BM934" s="18"/>
      <c r="BN934" s="18"/>
    </row>
    <row r="935" spans="1:66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  <c r="AE935" s="18"/>
      <c r="AF935" s="18"/>
      <c r="AG935" s="18"/>
      <c r="AH935" s="18"/>
      <c r="AI935" s="18"/>
      <c r="AJ935" s="18"/>
      <c r="AK935" s="18"/>
      <c r="AL935" s="18"/>
      <c r="AM935" s="18"/>
      <c r="AN935" s="18"/>
      <c r="AO935" s="18"/>
      <c r="AP935" s="18"/>
      <c r="AQ935" s="18"/>
      <c r="AR935" s="18"/>
      <c r="AS935" s="18"/>
      <c r="AT935" s="18"/>
      <c r="AU935" s="18"/>
      <c r="AV935" s="18"/>
      <c r="AW935" s="18"/>
      <c r="AX935" s="18"/>
      <c r="AY935" s="18"/>
      <c r="AZ935" s="18"/>
      <c r="BA935" s="18"/>
      <c r="BB935" s="18"/>
      <c r="BC935" s="18"/>
      <c r="BD935" s="18"/>
      <c r="BE935" s="18"/>
      <c r="BF935" s="18"/>
      <c r="BG935" s="18"/>
      <c r="BH935" s="18"/>
      <c r="BI935" s="18"/>
      <c r="BJ935" s="18"/>
      <c r="BK935" s="18"/>
      <c r="BL935" s="18"/>
      <c r="BM935" s="18"/>
      <c r="BN935" s="18"/>
    </row>
    <row r="936" spans="1:66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  <c r="AE936" s="18"/>
      <c r="AF936" s="18"/>
      <c r="AG936" s="18"/>
      <c r="AH936" s="18"/>
      <c r="AI936" s="18"/>
      <c r="AJ936" s="18"/>
      <c r="AK936" s="18"/>
      <c r="AL936" s="18"/>
      <c r="AM936" s="18"/>
      <c r="AN936" s="18"/>
      <c r="AO936" s="18"/>
      <c r="AP936" s="18"/>
      <c r="AQ936" s="18"/>
      <c r="AR936" s="18"/>
      <c r="AS936" s="18"/>
      <c r="AT936" s="18"/>
      <c r="AU936" s="18"/>
      <c r="AV936" s="18"/>
      <c r="AW936" s="18"/>
      <c r="AX936" s="18"/>
      <c r="AY936" s="18"/>
      <c r="AZ936" s="18"/>
      <c r="BA936" s="18"/>
      <c r="BB936" s="18"/>
      <c r="BC936" s="18"/>
      <c r="BD936" s="18"/>
      <c r="BE936" s="18"/>
      <c r="BF936" s="18"/>
      <c r="BG936" s="18"/>
      <c r="BH936" s="18"/>
      <c r="BI936" s="18"/>
      <c r="BJ936" s="18"/>
      <c r="BK936" s="18"/>
      <c r="BL936" s="18"/>
      <c r="BM936" s="18"/>
      <c r="BN936" s="18"/>
    </row>
    <row r="937" spans="1:66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  <c r="AE937" s="18"/>
      <c r="AF937" s="18"/>
      <c r="AG937" s="18"/>
      <c r="AH937" s="18"/>
      <c r="AI937" s="18"/>
      <c r="AJ937" s="18"/>
      <c r="AK937" s="18"/>
      <c r="AL937" s="18"/>
      <c r="AM937" s="18"/>
      <c r="AN937" s="18"/>
      <c r="AO937" s="18"/>
      <c r="AP937" s="18"/>
      <c r="AQ937" s="18"/>
      <c r="AR937" s="18"/>
      <c r="AS937" s="18"/>
      <c r="AT937" s="18"/>
      <c r="AU937" s="18"/>
      <c r="AV937" s="18"/>
      <c r="AW937" s="18"/>
      <c r="AX937" s="18"/>
      <c r="AY937" s="18"/>
      <c r="AZ937" s="18"/>
      <c r="BA937" s="18"/>
      <c r="BB937" s="18"/>
      <c r="BC937" s="18"/>
      <c r="BD937" s="18"/>
      <c r="BE937" s="18"/>
      <c r="BF937" s="18"/>
      <c r="BG937" s="18"/>
      <c r="BH937" s="18"/>
      <c r="BI937" s="18"/>
      <c r="BJ937" s="18"/>
      <c r="BK937" s="18"/>
      <c r="BL937" s="18"/>
      <c r="BM937" s="18"/>
      <c r="BN937" s="18"/>
    </row>
    <row r="938" spans="1:66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  <c r="AE938" s="18"/>
      <c r="AF938" s="18"/>
      <c r="AG938" s="18"/>
      <c r="AH938" s="18"/>
      <c r="AI938" s="18"/>
      <c r="AJ938" s="18"/>
      <c r="AK938" s="18"/>
      <c r="AL938" s="18"/>
      <c r="AM938" s="18"/>
      <c r="AN938" s="18"/>
      <c r="AO938" s="18"/>
      <c r="AP938" s="18"/>
      <c r="AQ938" s="18"/>
      <c r="AR938" s="18"/>
      <c r="AS938" s="18"/>
      <c r="AT938" s="18"/>
      <c r="AU938" s="18"/>
      <c r="AV938" s="18"/>
      <c r="AW938" s="18"/>
      <c r="AX938" s="18"/>
      <c r="AY938" s="18"/>
      <c r="AZ938" s="18"/>
      <c r="BA938" s="18"/>
      <c r="BB938" s="18"/>
      <c r="BC938" s="18"/>
      <c r="BD938" s="18"/>
      <c r="BE938" s="18"/>
      <c r="BF938" s="18"/>
      <c r="BG938" s="18"/>
      <c r="BH938" s="18"/>
      <c r="BI938" s="18"/>
      <c r="BJ938" s="18"/>
      <c r="BK938" s="18"/>
      <c r="BL938" s="18"/>
      <c r="BM938" s="18"/>
      <c r="BN938" s="18"/>
    </row>
    <row r="939" spans="1:66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  <c r="AE939" s="18"/>
      <c r="AF939" s="18"/>
      <c r="AG939" s="18"/>
      <c r="AH939" s="18"/>
      <c r="AI939" s="18"/>
      <c r="AJ939" s="18"/>
      <c r="AK939" s="18"/>
      <c r="AL939" s="18"/>
      <c r="AM939" s="18"/>
      <c r="AN939" s="18"/>
      <c r="AO939" s="18"/>
      <c r="AP939" s="18"/>
      <c r="AQ939" s="18"/>
      <c r="AR939" s="18"/>
      <c r="AS939" s="18"/>
      <c r="AT939" s="18"/>
      <c r="AU939" s="18"/>
      <c r="AV939" s="18"/>
      <c r="AW939" s="18"/>
      <c r="AX939" s="18"/>
      <c r="AY939" s="18"/>
      <c r="AZ939" s="18"/>
      <c r="BA939" s="18"/>
      <c r="BB939" s="18"/>
      <c r="BC939" s="18"/>
      <c r="BD939" s="18"/>
      <c r="BE939" s="18"/>
      <c r="BF939" s="18"/>
      <c r="BG939" s="18"/>
      <c r="BH939" s="18"/>
      <c r="BI939" s="18"/>
      <c r="BJ939" s="18"/>
      <c r="BK939" s="18"/>
      <c r="BL939" s="18"/>
      <c r="BM939" s="18"/>
      <c r="BN939" s="18"/>
    </row>
    <row r="940" spans="1:66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  <c r="AE940" s="18"/>
      <c r="AF940" s="18"/>
      <c r="AG940" s="18"/>
      <c r="AH940" s="18"/>
      <c r="AI940" s="18"/>
      <c r="AJ940" s="18"/>
      <c r="AK940" s="18"/>
      <c r="AL940" s="18"/>
      <c r="AM940" s="18"/>
      <c r="AN940" s="18"/>
      <c r="AO940" s="18"/>
      <c r="AP940" s="18"/>
      <c r="AQ940" s="18"/>
      <c r="AR940" s="18"/>
      <c r="AS940" s="18"/>
      <c r="AT940" s="18"/>
      <c r="AU940" s="18"/>
      <c r="AV940" s="18"/>
      <c r="AW940" s="18"/>
      <c r="AX940" s="18"/>
      <c r="AY940" s="18"/>
      <c r="AZ940" s="18"/>
      <c r="BA940" s="18"/>
      <c r="BB940" s="18"/>
      <c r="BC940" s="18"/>
      <c r="BD940" s="18"/>
      <c r="BE940" s="18"/>
      <c r="BF940" s="18"/>
      <c r="BG940" s="18"/>
      <c r="BH940" s="18"/>
      <c r="BI940" s="18"/>
      <c r="BJ940" s="18"/>
      <c r="BK940" s="18"/>
      <c r="BL940" s="18"/>
      <c r="BM940" s="18"/>
      <c r="BN940" s="18"/>
    </row>
    <row r="941" spans="1:66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  <c r="AE941" s="18"/>
      <c r="AF941" s="18"/>
      <c r="AG941" s="18"/>
      <c r="AH941" s="18"/>
      <c r="AI941" s="18"/>
      <c r="AJ941" s="18"/>
      <c r="AK941" s="18"/>
      <c r="AL941" s="18"/>
      <c r="AM941" s="18"/>
      <c r="AN941" s="18"/>
      <c r="AO941" s="18"/>
      <c r="AP941" s="18"/>
      <c r="AQ941" s="18"/>
      <c r="AR941" s="18"/>
      <c r="AS941" s="18"/>
      <c r="AT941" s="18"/>
      <c r="AU941" s="18"/>
      <c r="AV941" s="18"/>
      <c r="AW941" s="18"/>
      <c r="AX941" s="18"/>
      <c r="AY941" s="18"/>
      <c r="AZ941" s="18"/>
      <c r="BA941" s="18"/>
      <c r="BB941" s="18"/>
      <c r="BC941" s="18"/>
      <c r="BD941" s="18"/>
      <c r="BE941" s="18"/>
      <c r="BF941" s="18"/>
      <c r="BG941" s="18"/>
      <c r="BH941" s="18"/>
      <c r="BI941" s="18"/>
      <c r="BJ941" s="18"/>
      <c r="BK941" s="18"/>
      <c r="BL941" s="18"/>
      <c r="BM941" s="18"/>
      <c r="BN941" s="18"/>
    </row>
    <row r="942" spans="1:66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  <c r="AE942" s="18"/>
      <c r="AF942" s="18"/>
      <c r="AG942" s="18"/>
      <c r="AH942" s="18"/>
      <c r="AI942" s="18"/>
      <c r="AJ942" s="18"/>
      <c r="AK942" s="18"/>
      <c r="AL942" s="18"/>
      <c r="AM942" s="18"/>
      <c r="AN942" s="18"/>
      <c r="AO942" s="18"/>
      <c r="AP942" s="18"/>
      <c r="AQ942" s="18"/>
      <c r="AR942" s="18"/>
      <c r="AS942" s="18"/>
      <c r="AT942" s="18"/>
      <c r="AU942" s="18"/>
      <c r="AV942" s="18"/>
      <c r="AW942" s="18"/>
      <c r="AX942" s="18"/>
      <c r="AY942" s="18"/>
      <c r="AZ942" s="18"/>
      <c r="BA942" s="18"/>
      <c r="BB942" s="18"/>
      <c r="BC942" s="18"/>
      <c r="BD942" s="18"/>
      <c r="BE942" s="18"/>
      <c r="BF942" s="18"/>
      <c r="BG942" s="18"/>
      <c r="BH942" s="18"/>
      <c r="BI942" s="18"/>
      <c r="BJ942" s="18"/>
      <c r="BK942" s="18"/>
      <c r="BL942" s="18"/>
      <c r="BM942" s="18"/>
      <c r="BN942" s="18"/>
    </row>
    <row r="943" spans="1:66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  <c r="AE943" s="18"/>
      <c r="AF943" s="18"/>
      <c r="AG943" s="18"/>
      <c r="AH943" s="18"/>
      <c r="AI943" s="18"/>
      <c r="AJ943" s="18"/>
      <c r="AK943" s="18"/>
      <c r="AL943" s="18"/>
      <c r="AM943" s="18"/>
      <c r="AN943" s="18"/>
      <c r="AO943" s="18"/>
      <c r="AP943" s="18"/>
      <c r="AQ943" s="18"/>
      <c r="AR943" s="18"/>
      <c r="AS943" s="18"/>
      <c r="AT943" s="18"/>
      <c r="AU943" s="18"/>
      <c r="AV943" s="18"/>
      <c r="AW943" s="18"/>
      <c r="AX943" s="18"/>
      <c r="AY943" s="18"/>
      <c r="AZ943" s="18"/>
      <c r="BA943" s="18"/>
      <c r="BB943" s="18"/>
      <c r="BC943" s="18"/>
      <c r="BD943" s="18"/>
      <c r="BE943" s="18"/>
      <c r="BF943" s="18"/>
      <c r="BG943" s="18"/>
      <c r="BH943" s="18"/>
      <c r="BI943" s="18"/>
      <c r="BJ943" s="18"/>
      <c r="BK943" s="18"/>
      <c r="BL943" s="18"/>
      <c r="BM943" s="18"/>
      <c r="BN943" s="18"/>
    </row>
    <row r="944" spans="1:66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  <c r="AE944" s="18"/>
      <c r="AF944" s="18"/>
      <c r="AG944" s="18"/>
      <c r="AH944" s="18"/>
      <c r="AI944" s="18"/>
      <c r="AJ944" s="18"/>
      <c r="AK944" s="18"/>
      <c r="AL944" s="18"/>
      <c r="AM944" s="18"/>
      <c r="AN944" s="18"/>
      <c r="AO944" s="18"/>
      <c r="AP944" s="18"/>
      <c r="AQ944" s="18"/>
      <c r="AR944" s="18"/>
      <c r="AS944" s="18"/>
      <c r="AT944" s="18"/>
      <c r="AU944" s="18"/>
      <c r="AV944" s="18"/>
      <c r="AW944" s="18"/>
      <c r="AX944" s="18"/>
      <c r="AY944" s="18"/>
      <c r="AZ944" s="18"/>
      <c r="BA944" s="18"/>
      <c r="BB944" s="18"/>
      <c r="BC944" s="18"/>
      <c r="BD944" s="18"/>
      <c r="BE944" s="18"/>
      <c r="BF944" s="18"/>
      <c r="BG944" s="18"/>
      <c r="BH944" s="18"/>
      <c r="BI944" s="18"/>
      <c r="BJ944" s="18"/>
      <c r="BK944" s="18"/>
      <c r="BL944" s="18"/>
      <c r="BM944" s="18"/>
      <c r="BN944" s="18"/>
    </row>
    <row r="945" spans="1:66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  <c r="AE945" s="18"/>
      <c r="AF945" s="18"/>
      <c r="AG945" s="18"/>
      <c r="AH945" s="18"/>
      <c r="AI945" s="18"/>
      <c r="AJ945" s="18"/>
      <c r="AK945" s="18"/>
      <c r="AL945" s="18"/>
      <c r="AM945" s="18"/>
      <c r="AN945" s="18"/>
      <c r="AO945" s="18"/>
      <c r="AP945" s="18"/>
      <c r="AQ945" s="18"/>
      <c r="AR945" s="18"/>
      <c r="AS945" s="18"/>
      <c r="AT945" s="18"/>
      <c r="AU945" s="18"/>
      <c r="AV945" s="18"/>
      <c r="AW945" s="18"/>
      <c r="AX945" s="18"/>
      <c r="AY945" s="18"/>
      <c r="AZ945" s="18"/>
      <c r="BA945" s="18"/>
      <c r="BB945" s="18"/>
      <c r="BC945" s="18"/>
      <c r="BD945" s="18"/>
      <c r="BE945" s="18"/>
      <c r="BF945" s="18"/>
      <c r="BG945" s="18"/>
      <c r="BH945" s="18"/>
      <c r="BI945" s="18"/>
      <c r="BJ945" s="18"/>
      <c r="BK945" s="18"/>
      <c r="BL945" s="18"/>
      <c r="BM945" s="18"/>
      <c r="BN945" s="18"/>
    </row>
    <row r="946" spans="1:66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  <c r="AE946" s="18"/>
      <c r="AF946" s="18"/>
      <c r="AG946" s="18"/>
      <c r="AH946" s="18"/>
      <c r="AI946" s="18"/>
      <c r="AJ946" s="18"/>
      <c r="AK946" s="18"/>
      <c r="AL946" s="18"/>
      <c r="AM946" s="18"/>
      <c r="AN946" s="18"/>
      <c r="AO946" s="18"/>
      <c r="AP946" s="18"/>
      <c r="AQ946" s="18"/>
      <c r="AR946" s="18"/>
      <c r="AS946" s="18"/>
      <c r="AT946" s="18"/>
      <c r="AU946" s="18"/>
      <c r="AV946" s="18"/>
      <c r="AW946" s="18"/>
      <c r="AX946" s="18"/>
      <c r="AY946" s="18"/>
      <c r="AZ946" s="18"/>
      <c r="BA946" s="18"/>
      <c r="BB946" s="18"/>
      <c r="BC946" s="18"/>
      <c r="BD946" s="18"/>
      <c r="BE946" s="18"/>
      <c r="BF946" s="18"/>
      <c r="BG946" s="18"/>
      <c r="BH946" s="18"/>
      <c r="BI946" s="18"/>
      <c r="BJ946" s="18"/>
      <c r="BK946" s="18"/>
      <c r="BL946" s="18"/>
      <c r="BM946" s="18"/>
      <c r="BN946" s="18"/>
    </row>
    <row r="947" spans="1:66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  <c r="AE947" s="18"/>
      <c r="AF947" s="18"/>
      <c r="AG947" s="18"/>
      <c r="AH947" s="18"/>
      <c r="AI947" s="18"/>
      <c r="AJ947" s="18"/>
      <c r="AK947" s="18"/>
      <c r="AL947" s="18"/>
      <c r="AM947" s="18"/>
      <c r="AN947" s="18"/>
      <c r="AO947" s="18"/>
      <c r="AP947" s="18"/>
      <c r="AQ947" s="18"/>
      <c r="AR947" s="18"/>
      <c r="AS947" s="18"/>
      <c r="AT947" s="18"/>
      <c r="AU947" s="18"/>
      <c r="AV947" s="18"/>
      <c r="AW947" s="18"/>
      <c r="AX947" s="18"/>
      <c r="AY947" s="18"/>
      <c r="AZ947" s="18"/>
      <c r="BA947" s="18"/>
      <c r="BB947" s="18"/>
      <c r="BC947" s="18"/>
      <c r="BD947" s="18"/>
      <c r="BE947" s="18"/>
      <c r="BF947" s="18"/>
      <c r="BG947" s="18"/>
      <c r="BH947" s="18"/>
      <c r="BI947" s="18"/>
      <c r="BJ947" s="18"/>
      <c r="BK947" s="18"/>
      <c r="BL947" s="18"/>
      <c r="BM947" s="18"/>
      <c r="BN947" s="18"/>
    </row>
    <row r="948" spans="1:66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  <c r="AE948" s="18"/>
      <c r="AF948" s="18"/>
      <c r="AG948" s="18"/>
      <c r="AH948" s="18"/>
      <c r="AI948" s="18"/>
      <c r="AJ948" s="18"/>
      <c r="AK948" s="18"/>
      <c r="AL948" s="18"/>
      <c r="AM948" s="18"/>
      <c r="AN948" s="18"/>
      <c r="AO948" s="18"/>
      <c r="AP948" s="18"/>
      <c r="AQ948" s="18"/>
      <c r="AR948" s="18"/>
      <c r="AS948" s="18"/>
      <c r="AT948" s="18"/>
      <c r="AU948" s="18"/>
      <c r="AV948" s="18"/>
      <c r="AW948" s="18"/>
      <c r="AX948" s="18"/>
      <c r="AY948" s="18"/>
      <c r="AZ948" s="18"/>
      <c r="BA948" s="18"/>
      <c r="BB948" s="18"/>
      <c r="BC948" s="18"/>
      <c r="BD948" s="18"/>
      <c r="BE948" s="18"/>
      <c r="BF948" s="18"/>
      <c r="BG948" s="18"/>
      <c r="BH948" s="18"/>
      <c r="BI948" s="18"/>
      <c r="BJ948" s="18"/>
      <c r="BK948" s="18"/>
      <c r="BL948" s="18"/>
      <c r="BM948" s="18"/>
      <c r="BN948" s="18"/>
    </row>
    <row r="949" spans="1:66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  <c r="AE949" s="18"/>
      <c r="AF949" s="18"/>
      <c r="AG949" s="18"/>
      <c r="AH949" s="18"/>
      <c r="AI949" s="18"/>
      <c r="AJ949" s="18"/>
      <c r="AK949" s="18"/>
      <c r="AL949" s="18"/>
      <c r="AM949" s="18"/>
      <c r="AN949" s="18"/>
      <c r="AO949" s="18"/>
      <c r="AP949" s="18"/>
      <c r="AQ949" s="18"/>
      <c r="AR949" s="18"/>
      <c r="AS949" s="18"/>
      <c r="AT949" s="18"/>
      <c r="AU949" s="18"/>
      <c r="AV949" s="18"/>
      <c r="AW949" s="18"/>
      <c r="AX949" s="18"/>
      <c r="AY949" s="18"/>
      <c r="AZ949" s="18"/>
      <c r="BA949" s="18"/>
      <c r="BB949" s="18"/>
      <c r="BC949" s="18"/>
      <c r="BD949" s="18"/>
      <c r="BE949" s="18"/>
      <c r="BF949" s="18"/>
      <c r="BG949" s="18"/>
      <c r="BH949" s="18"/>
      <c r="BI949" s="18"/>
      <c r="BJ949" s="18"/>
      <c r="BK949" s="18"/>
      <c r="BL949" s="18"/>
      <c r="BM949" s="18"/>
      <c r="BN949" s="18"/>
    </row>
    <row r="950" spans="1:66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  <c r="AE950" s="18"/>
      <c r="AF950" s="18"/>
      <c r="AG950" s="18"/>
      <c r="AH950" s="18"/>
      <c r="AI950" s="18"/>
      <c r="AJ950" s="18"/>
      <c r="AK950" s="18"/>
      <c r="AL950" s="18"/>
      <c r="AM950" s="18"/>
      <c r="AN950" s="18"/>
      <c r="AO950" s="18"/>
      <c r="AP950" s="18"/>
      <c r="AQ950" s="18"/>
      <c r="AR950" s="18"/>
      <c r="AS950" s="18"/>
      <c r="AT950" s="18"/>
      <c r="AU950" s="18"/>
      <c r="AV950" s="18"/>
      <c r="AW950" s="18"/>
      <c r="AX950" s="18"/>
      <c r="AY950" s="18"/>
      <c r="AZ950" s="18"/>
      <c r="BA950" s="18"/>
      <c r="BB950" s="18"/>
      <c r="BC950" s="18"/>
      <c r="BD950" s="18"/>
      <c r="BE950" s="18"/>
      <c r="BF950" s="18"/>
      <c r="BG950" s="18"/>
      <c r="BH950" s="18"/>
      <c r="BI950" s="18"/>
      <c r="BJ950" s="18"/>
      <c r="BK950" s="18"/>
      <c r="BL950" s="18"/>
      <c r="BM950" s="18"/>
      <c r="BN950" s="18"/>
    </row>
    <row r="951" spans="1:66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  <c r="AE951" s="18"/>
      <c r="AF951" s="18"/>
      <c r="AG951" s="18"/>
      <c r="AH951" s="18"/>
      <c r="AI951" s="18"/>
      <c r="AJ951" s="18"/>
      <c r="AK951" s="18"/>
      <c r="AL951" s="18"/>
      <c r="AM951" s="18"/>
      <c r="AN951" s="18"/>
      <c r="AO951" s="18"/>
      <c r="AP951" s="18"/>
      <c r="AQ951" s="18"/>
      <c r="AR951" s="18"/>
      <c r="AS951" s="18"/>
      <c r="AT951" s="18"/>
      <c r="AU951" s="18"/>
      <c r="AV951" s="18"/>
      <c r="AW951" s="18"/>
      <c r="AX951" s="18"/>
      <c r="AY951" s="18"/>
      <c r="AZ951" s="18"/>
      <c r="BA951" s="18"/>
      <c r="BB951" s="18"/>
      <c r="BC951" s="18"/>
      <c r="BD951" s="18"/>
      <c r="BE951" s="18"/>
      <c r="BF951" s="18"/>
      <c r="BG951" s="18"/>
      <c r="BH951" s="18"/>
      <c r="BI951" s="18"/>
      <c r="BJ951" s="18"/>
      <c r="BK951" s="18"/>
      <c r="BL951" s="18"/>
      <c r="BM951" s="18"/>
      <c r="BN951" s="18"/>
    </row>
    <row r="952" spans="1:66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  <c r="AE952" s="18"/>
      <c r="AF952" s="18"/>
      <c r="AG952" s="18"/>
      <c r="AH952" s="18"/>
      <c r="AI952" s="18"/>
      <c r="AJ952" s="18"/>
      <c r="AK952" s="18"/>
      <c r="AL952" s="18"/>
      <c r="AM952" s="18"/>
      <c r="AN952" s="18"/>
      <c r="AO952" s="18"/>
      <c r="AP952" s="18"/>
      <c r="AQ952" s="18"/>
      <c r="AR952" s="18"/>
      <c r="AS952" s="18"/>
      <c r="AT952" s="18"/>
      <c r="AU952" s="18"/>
      <c r="AV952" s="18"/>
      <c r="AW952" s="18"/>
      <c r="AX952" s="18"/>
      <c r="AY952" s="18"/>
      <c r="AZ952" s="18"/>
      <c r="BA952" s="18"/>
      <c r="BB952" s="18"/>
      <c r="BC952" s="18"/>
      <c r="BD952" s="18"/>
      <c r="BE952" s="18"/>
      <c r="BF952" s="18"/>
      <c r="BG952" s="18"/>
      <c r="BH952" s="18"/>
      <c r="BI952" s="18"/>
      <c r="BJ952" s="18"/>
      <c r="BK952" s="18"/>
      <c r="BL952" s="18"/>
      <c r="BM952" s="18"/>
      <c r="BN952" s="18"/>
    </row>
    <row r="953" spans="1:66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  <c r="AE953" s="18"/>
      <c r="AF953" s="18"/>
      <c r="AG953" s="18"/>
      <c r="AH953" s="18"/>
      <c r="AI953" s="18"/>
      <c r="AJ953" s="18"/>
      <c r="AK953" s="18"/>
      <c r="AL953" s="18"/>
      <c r="AM953" s="18"/>
      <c r="AN953" s="18"/>
      <c r="AO953" s="18"/>
      <c r="AP953" s="18"/>
      <c r="AQ953" s="18"/>
      <c r="AR953" s="18"/>
      <c r="AS953" s="18"/>
      <c r="AT953" s="18"/>
      <c r="AU953" s="18"/>
      <c r="AV953" s="18"/>
      <c r="AW953" s="18"/>
      <c r="AX953" s="18"/>
      <c r="AY953" s="18"/>
      <c r="AZ953" s="18"/>
      <c r="BA953" s="18"/>
      <c r="BB953" s="18"/>
      <c r="BC953" s="18"/>
      <c r="BD953" s="18"/>
      <c r="BE953" s="18"/>
      <c r="BF953" s="18"/>
      <c r="BG953" s="18"/>
      <c r="BH953" s="18"/>
      <c r="BI953" s="18"/>
      <c r="BJ953" s="18"/>
      <c r="BK953" s="18"/>
      <c r="BL953" s="18"/>
      <c r="BM953" s="18"/>
      <c r="BN953" s="18"/>
    </row>
    <row r="954" spans="1:66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  <c r="AE954" s="18"/>
      <c r="AF954" s="18"/>
      <c r="AG954" s="18"/>
      <c r="AH954" s="18"/>
      <c r="AI954" s="18"/>
      <c r="AJ954" s="18"/>
      <c r="AK954" s="18"/>
      <c r="AL954" s="18"/>
      <c r="AM954" s="18"/>
      <c r="AN954" s="18"/>
      <c r="AO954" s="18"/>
      <c r="AP954" s="18"/>
      <c r="AQ954" s="18"/>
      <c r="AR954" s="18"/>
      <c r="AS954" s="18"/>
      <c r="AT954" s="18"/>
      <c r="AU954" s="18"/>
      <c r="AV954" s="18"/>
      <c r="AW954" s="18"/>
      <c r="AX954" s="18"/>
      <c r="AY954" s="18"/>
      <c r="AZ954" s="18"/>
      <c r="BA954" s="18"/>
      <c r="BB954" s="18"/>
      <c r="BC954" s="18"/>
      <c r="BD954" s="18"/>
      <c r="BE954" s="18"/>
      <c r="BF954" s="18"/>
      <c r="BG954" s="18"/>
      <c r="BH954" s="18"/>
      <c r="BI954" s="18"/>
      <c r="BJ954" s="18"/>
      <c r="BK954" s="18"/>
      <c r="BL954" s="18"/>
      <c r="BM954" s="18"/>
      <c r="BN954" s="18"/>
    </row>
    <row r="955" spans="1:66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  <c r="AE955" s="18"/>
      <c r="AF955" s="18"/>
      <c r="AG955" s="18"/>
      <c r="AH955" s="18"/>
      <c r="AI955" s="18"/>
      <c r="AJ955" s="18"/>
      <c r="AK955" s="18"/>
      <c r="AL955" s="18"/>
      <c r="AM955" s="18"/>
      <c r="AN955" s="18"/>
      <c r="AO955" s="18"/>
      <c r="AP955" s="18"/>
      <c r="AQ955" s="18"/>
      <c r="AR955" s="18"/>
      <c r="AS955" s="18"/>
      <c r="AT955" s="18"/>
      <c r="AU955" s="18"/>
      <c r="AV955" s="18"/>
      <c r="AW955" s="18"/>
      <c r="AX955" s="18"/>
      <c r="AY955" s="18"/>
      <c r="AZ955" s="18"/>
      <c r="BA955" s="18"/>
      <c r="BB955" s="18"/>
      <c r="BC955" s="18"/>
      <c r="BD955" s="18"/>
      <c r="BE955" s="18"/>
      <c r="BF955" s="18"/>
      <c r="BG955" s="18"/>
      <c r="BH955" s="18"/>
      <c r="BI955" s="18"/>
      <c r="BJ955" s="18"/>
      <c r="BK955" s="18"/>
      <c r="BL955" s="18"/>
      <c r="BM955" s="18"/>
      <c r="BN955" s="18"/>
    </row>
    <row r="956" spans="1:66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  <c r="AE956" s="18"/>
      <c r="AF956" s="18"/>
      <c r="AG956" s="18"/>
      <c r="AH956" s="18"/>
      <c r="AI956" s="18"/>
      <c r="AJ956" s="18"/>
      <c r="AK956" s="18"/>
      <c r="AL956" s="18"/>
      <c r="AM956" s="18"/>
      <c r="AN956" s="18"/>
      <c r="AO956" s="18"/>
      <c r="AP956" s="18"/>
      <c r="AQ956" s="18"/>
      <c r="AR956" s="18"/>
      <c r="AS956" s="18"/>
      <c r="AT956" s="18"/>
      <c r="AU956" s="18"/>
      <c r="AV956" s="18"/>
      <c r="AW956" s="18"/>
      <c r="AX956" s="18"/>
      <c r="AY956" s="18"/>
      <c r="AZ956" s="18"/>
      <c r="BA956" s="18"/>
      <c r="BB956" s="18"/>
      <c r="BC956" s="18"/>
      <c r="BD956" s="18"/>
      <c r="BE956" s="18"/>
      <c r="BF956" s="18"/>
      <c r="BG956" s="18"/>
      <c r="BH956" s="18"/>
      <c r="BI956" s="18"/>
      <c r="BJ956" s="18"/>
      <c r="BK956" s="18"/>
      <c r="BL956" s="18"/>
      <c r="BM956" s="18"/>
      <c r="BN956" s="18"/>
    </row>
    <row r="957" spans="1:66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  <c r="AE957" s="18"/>
      <c r="AF957" s="18"/>
      <c r="AG957" s="18"/>
      <c r="AH957" s="18"/>
      <c r="AI957" s="18"/>
      <c r="AJ957" s="18"/>
      <c r="AK957" s="18"/>
      <c r="AL957" s="18"/>
      <c r="AM957" s="18"/>
      <c r="AN957" s="18"/>
      <c r="AO957" s="18"/>
      <c r="AP957" s="18"/>
      <c r="AQ957" s="18"/>
      <c r="AR957" s="18"/>
      <c r="AS957" s="18"/>
      <c r="AT957" s="18"/>
      <c r="AU957" s="18"/>
      <c r="AV957" s="18"/>
      <c r="AW957" s="18"/>
      <c r="AX957" s="18"/>
      <c r="AY957" s="18"/>
      <c r="AZ957" s="18"/>
      <c r="BA957" s="18"/>
      <c r="BB957" s="18"/>
      <c r="BC957" s="18"/>
      <c r="BD957" s="18"/>
      <c r="BE957" s="18"/>
      <c r="BF957" s="18"/>
      <c r="BG957" s="18"/>
      <c r="BH957" s="18"/>
      <c r="BI957" s="18"/>
      <c r="BJ957" s="18"/>
      <c r="BK957" s="18"/>
      <c r="BL957" s="18"/>
      <c r="BM957" s="18"/>
      <c r="BN957" s="18"/>
    </row>
    <row r="958" spans="1:66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  <c r="AE958" s="18"/>
      <c r="AF958" s="18"/>
      <c r="AG958" s="18"/>
      <c r="AH958" s="18"/>
      <c r="AI958" s="18"/>
      <c r="AJ958" s="18"/>
      <c r="AK958" s="18"/>
      <c r="AL958" s="18"/>
      <c r="AM958" s="18"/>
      <c r="AN958" s="18"/>
      <c r="AO958" s="18"/>
      <c r="AP958" s="18"/>
      <c r="AQ958" s="18"/>
      <c r="AR958" s="18"/>
      <c r="AS958" s="18"/>
      <c r="AT958" s="18"/>
      <c r="AU958" s="18"/>
      <c r="AV958" s="18"/>
      <c r="AW958" s="18"/>
      <c r="AX958" s="18"/>
      <c r="AY958" s="18"/>
      <c r="AZ958" s="18"/>
      <c r="BA958" s="18"/>
      <c r="BB958" s="18"/>
      <c r="BC958" s="18"/>
      <c r="BD958" s="18"/>
      <c r="BE958" s="18"/>
      <c r="BF958" s="18"/>
      <c r="BG958" s="18"/>
      <c r="BH958" s="18"/>
      <c r="BI958" s="18"/>
      <c r="BJ958" s="18"/>
      <c r="BK958" s="18"/>
      <c r="BL958" s="18"/>
      <c r="BM958" s="18"/>
      <c r="BN958" s="18"/>
    </row>
    <row r="959" spans="1:66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  <c r="AE959" s="18"/>
      <c r="AF959" s="18"/>
      <c r="AG959" s="18"/>
      <c r="AH959" s="18"/>
      <c r="AI959" s="18"/>
      <c r="AJ959" s="18"/>
      <c r="AK959" s="18"/>
      <c r="AL959" s="18"/>
      <c r="AM959" s="18"/>
      <c r="AN959" s="18"/>
      <c r="AO959" s="18"/>
      <c r="AP959" s="18"/>
      <c r="AQ959" s="18"/>
      <c r="AR959" s="18"/>
      <c r="AS959" s="18"/>
      <c r="AT959" s="18"/>
      <c r="AU959" s="18"/>
      <c r="AV959" s="18"/>
      <c r="AW959" s="18"/>
      <c r="AX959" s="18"/>
      <c r="AY959" s="18"/>
      <c r="AZ959" s="18"/>
      <c r="BA959" s="18"/>
      <c r="BB959" s="18"/>
      <c r="BC959" s="18"/>
      <c r="BD959" s="18"/>
      <c r="BE959" s="18"/>
      <c r="BF959" s="18"/>
      <c r="BG959" s="18"/>
      <c r="BH959" s="18"/>
      <c r="BI959" s="18"/>
      <c r="BJ959" s="18"/>
      <c r="BK959" s="18"/>
      <c r="BL959" s="18"/>
      <c r="BM959" s="18"/>
      <c r="BN959" s="18"/>
    </row>
    <row r="960" spans="1:66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  <c r="AE960" s="18"/>
      <c r="AF960" s="18"/>
      <c r="AG960" s="18"/>
      <c r="AH960" s="18"/>
      <c r="AI960" s="18"/>
      <c r="AJ960" s="18"/>
      <c r="AK960" s="18"/>
      <c r="AL960" s="18"/>
      <c r="AM960" s="18"/>
      <c r="AN960" s="18"/>
      <c r="AO960" s="18"/>
      <c r="AP960" s="18"/>
      <c r="AQ960" s="18"/>
      <c r="AR960" s="18"/>
      <c r="AS960" s="18"/>
      <c r="AT960" s="18"/>
      <c r="AU960" s="18"/>
      <c r="AV960" s="18"/>
      <c r="AW960" s="18"/>
      <c r="AX960" s="18"/>
      <c r="AY960" s="18"/>
      <c r="AZ960" s="18"/>
      <c r="BA960" s="18"/>
      <c r="BB960" s="18"/>
      <c r="BC960" s="18"/>
      <c r="BD960" s="18"/>
      <c r="BE960" s="18"/>
      <c r="BF960" s="18"/>
      <c r="BG960" s="18"/>
      <c r="BH960" s="18"/>
      <c r="BI960" s="18"/>
      <c r="BJ960" s="18"/>
      <c r="BK960" s="18"/>
      <c r="BL960" s="18"/>
      <c r="BM960" s="18"/>
      <c r="BN960" s="18"/>
    </row>
    <row r="961" spans="1:66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  <c r="AE961" s="18"/>
      <c r="AF961" s="18"/>
      <c r="AG961" s="18"/>
      <c r="AH961" s="18"/>
      <c r="AI961" s="18"/>
      <c r="AJ961" s="18"/>
      <c r="AK961" s="18"/>
      <c r="AL961" s="18"/>
      <c r="AM961" s="18"/>
      <c r="AN961" s="18"/>
      <c r="AO961" s="18"/>
      <c r="AP961" s="18"/>
      <c r="AQ961" s="18"/>
      <c r="AR961" s="18"/>
      <c r="AS961" s="18"/>
      <c r="AT961" s="18"/>
      <c r="AU961" s="18"/>
      <c r="AV961" s="18"/>
      <c r="AW961" s="18"/>
      <c r="AX961" s="18"/>
      <c r="AY961" s="18"/>
      <c r="AZ961" s="18"/>
      <c r="BA961" s="18"/>
      <c r="BB961" s="18"/>
      <c r="BC961" s="18"/>
      <c r="BD961" s="18"/>
      <c r="BE961" s="18"/>
      <c r="BF961" s="18"/>
      <c r="BG961" s="18"/>
      <c r="BH961" s="18"/>
      <c r="BI961" s="18"/>
      <c r="BJ961" s="18"/>
      <c r="BK961" s="18"/>
      <c r="BL961" s="18"/>
      <c r="BM961" s="18"/>
      <c r="BN961" s="18"/>
    </row>
    <row r="962" spans="1:66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  <c r="AE962" s="18"/>
      <c r="AF962" s="18"/>
      <c r="AG962" s="18"/>
      <c r="AH962" s="18"/>
      <c r="AI962" s="18"/>
      <c r="AJ962" s="18"/>
      <c r="AK962" s="18"/>
      <c r="AL962" s="18"/>
      <c r="AM962" s="18"/>
      <c r="AN962" s="18"/>
      <c r="AO962" s="18"/>
      <c r="AP962" s="18"/>
      <c r="AQ962" s="18"/>
      <c r="AR962" s="18"/>
      <c r="AS962" s="18"/>
      <c r="AT962" s="18"/>
      <c r="AU962" s="18"/>
      <c r="AV962" s="18"/>
      <c r="AW962" s="18"/>
      <c r="AX962" s="18"/>
      <c r="AY962" s="18"/>
      <c r="AZ962" s="18"/>
      <c r="BA962" s="18"/>
      <c r="BB962" s="18"/>
      <c r="BC962" s="18"/>
      <c r="BD962" s="18"/>
      <c r="BE962" s="18"/>
      <c r="BF962" s="18"/>
      <c r="BG962" s="18"/>
      <c r="BH962" s="18"/>
      <c r="BI962" s="18"/>
      <c r="BJ962" s="18"/>
      <c r="BK962" s="18"/>
      <c r="BL962" s="18"/>
      <c r="BM962" s="18"/>
      <c r="BN962" s="18"/>
    </row>
    <row r="963" spans="1:66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  <c r="AE963" s="18"/>
      <c r="AF963" s="18"/>
      <c r="AG963" s="18"/>
      <c r="AH963" s="18"/>
      <c r="AI963" s="18"/>
      <c r="AJ963" s="18"/>
      <c r="AK963" s="18"/>
      <c r="AL963" s="18"/>
      <c r="AM963" s="18"/>
      <c r="AN963" s="18"/>
      <c r="AO963" s="18"/>
      <c r="AP963" s="18"/>
      <c r="AQ963" s="18"/>
      <c r="AR963" s="18"/>
      <c r="AS963" s="18"/>
      <c r="AT963" s="18"/>
      <c r="AU963" s="18"/>
      <c r="AV963" s="18"/>
      <c r="AW963" s="18"/>
      <c r="AX963" s="18"/>
      <c r="AY963" s="18"/>
      <c r="AZ963" s="18"/>
      <c r="BA963" s="18"/>
      <c r="BB963" s="18"/>
      <c r="BC963" s="18"/>
      <c r="BD963" s="18"/>
      <c r="BE963" s="18"/>
      <c r="BF963" s="18"/>
      <c r="BG963" s="18"/>
      <c r="BH963" s="18"/>
      <c r="BI963" s="18"/>
      <c r="BJ963" s="18"/>
      <c r="BK963" s="18"/>
      <c r="BL963" s="18"/>
      <c r="BM963" s="18"/>
      <c r="BN963" s="18"/>
    </row>
    <row r="964" spans="1:66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  <c r="AE964" s="18"/>
      <c r="AF964" s="18"/>
      <c r="AG964" s="18"/>
      <c r="AH964" s="18"/>
      <c r="AI964" s="18"/>
      <c r="AJ964" s="18"/>
      <c r="AK964" s="18"/>
      <c r="AL964" s="18"/>
      <c r="AM964" s="18"/>
      <c r="AN964" s="18"/>
      <c r="AO964" s="18"/>
      <c r="AP964" s="18"/>
      <c r="AQ964" s="18"/>
      <c r="AR964" s="18"/>
      <c r="AS964" s="18"/>
      <c r="AT964" s="18"/>
      <c r="AU964" s="18"/>
      <c r="AV964" s="18"/>
      <c r="AW964" s="18"/>
      <c r="AX964" s="18"/>
      <c r="AY964" s="18"/>
      <c r="AZ964" s="18"/>
      <c r="BA964" s="18"/>
      <c r="BB964" s="18"/>
      <c r="BC964" s="18"/>
      <c r="BD964" s="18"/>
      <c r="BE964" s="18"/>
      <c r="BF964" s="18"/>
      <c r="BG964" s="18"/>
      <c r="BH964" s="18"/>
      <c r="BI964" s="18"/>
      <c r="BJ964" s="18"/>
      <c r="BK964" s="18"/>
      <c r="BL964" s="18"/>
      <c r="BM964" s="18"/>
      <c r="BN964" s="18"/>
    </row>
    <row r="965" spans="1:66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  <c r="AE965" s="18"/>
      <c r="AF965" s="18"/>
      <c r="AG965" s="18"/>
      <c r="AH965" s="18"/>
      <c r="AI965" s="18"/>
      <c r="AJ965" s="18"/>
      <c r="AK965" s="18"/>
      <c r="AL965" s="18"/>
      <c r="AM965" s="18"/>
      <c r="AN965" s="18"/>
      <c r="AO965" s="18"/>
      <c r="AP965" s="18"/>
      <c r="AQ965" s="18"/>
      <c r="AR965" s="18"/>
      <c r="AS965" s="18"/>
      <c r="AT965" s="18"/>
      <c r="AU965" s="18"/>
      <c r="AV965" s="18"/>
      <c r="AW965" s="18"/>
      <c r="AX965" s="18"/>
      <c r="AY965" s="18"/>
      <c r="AZ965" s="18"/>
      <c r="BA965" s="18"/>
      <c r="BB965" s="18"/>
      <c r="BC965" s="18"/>
      <c r="BD965" s="18"/>
      <c r="BE965" s="18"/>
      <c r="BF965" s="18"/>
      <c r="BG965" s="18"/>
      <c r="BH965" s="18"/>
      <c r="BI965" s="18"/>
      <c r="BJ965" s="18"/>
      <c r="BK965" s="18"/>
      <c r="BL965" s="18"/>
      <c r="BM965" s="18"/>
      <c r="BN965" s="18"/>
    </row>
    <row r="966" spans="1:66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  <c r="AE966" s="18"/>
      <c r="AF966" s="18"/>
      <c r="AG966" s="18"/>
      <c r="AH966" s="18"/>
      <c r="AI966" s="18"/>
      <c r="AJ966" s="18"/>
      <c r="AK966" s="18"/>
      <c r="AL966" s="18"/>
      <c r="AM966" s="18"/>
      <c r="AN966" s="18"/>
      <c r="AO966" s="18"/>
      <c r="AP966" s="18"/>
      <c r="AQ966" s="18"/>
      <c r="AR966" s="18"/>
      <c r="AS966" s="18"/>
      <c r="AT966" s="18"/>
      <c r="AU966" s="18"/>
      <c r="AV966" s="18"/>
      <c r="AW966" s="18"/>
      <c r="AX966" s="18"/>
      <c r="AY966" s="18"/>
      <c r="AZ966" s="18"/>
      <c r="BA966" s="18"/>
      <c r="BB966" s="18"/>
      <c r="BC966" s="18"/>
      <c r="BD966" s="18"/>
      <c r="BE966" s="18"/>
      <c r="BF966" s="18"/>
      <c r="BG966" s="18"/>
      <c r="BH966" s="18"/>
      <c r="BI966" s="18"/>
      <c r="BJ966" s="18"/>
      <c r="BK966" s="18"/>
      <c r="BL966" s="18"/>
      <c r="BM966" s="18"/>
      <c r="BN966" s="18"/>
    </row>
    <row r="967" spans="1:66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  <c r="AE967" s="18"/>
      <c r="AF967" s="18"/>
      <c r="AG967" s="18"/>
      <c r="AH967" s="18"/>
      <c r="AI967" s="18"/>
      <c r="AJ967" s="18"/>
      <c r="AK967" s="18"/>
      <c r="AL967" s="18"/>
      <c r="AM967" s="18"/>
      <c r="AN967" s="18"/>
      <c r="AO967" s="18"/>
      <c r="AP967" s="18"/>
      <c r="AQ967" s="18"/>
      <c r="AR967" s="18"/>
      <c r="AS967" s="18"/>
      <c r="AT967" s="18"/>
      <c r="AU967" s="18"/>
      <c r="AV967" s="18"/>
      <c r="AW967" s="18"/>
      <c r="AX967" s="18"/>
      <c r="AY967" s="18"/>
      <c r="AZ967" s="18"/>
      <c r="BA967" s="18"/>
      <c r="BB967" s="18"/>
      <c r="BC967" s="18"/>
      <c r="BD967" s="18"/>
      <c r="BE967" s="18"/>
      <c r="BF967" s="18"/>
      <c r="BG967" s="18"/>
      <c r="BH967" s="18"/>
      <c r="BI967" s="18"/>
      <c r="BJ967" s="18"/>
      <c r="BK967" s="18"/>
      <c r="BL967" s="18"/>
      <c r="BM967" s="18"/>
      <c r="BN967" s="18"/>
    </row>
    <row r="968" spans="1:66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  <c r="AE968" s="18"/>
      <c r="AF968" s="18"/>
      <c r="AG968" s="18"/>
      <c r="AH968" s="18"/>
      <c r="AI968" s="18"/>
      <c r="AJ968" s="18"/>
      <c r="AK968" s="18"/>
      <c r="AL968" s="18"/>
      <c r="AM968" s="18"/>
      <c r="AN968" s="18"/>
      <c r="AO968" s="18"/>
      <c r="AP968" s="18"/>
      <c r="AQ968" s="18"/>
      <c r="AR968" s="18"/>
      <c r="AS968" s="18"/>
      <c r="AT968" s="18"/>
      <c r="AU968" s="18"/>
      <c r="AV968" s="18"/>
      <c r="AW968" s="18"/>
      <c r="AX968" s="18"/>
      <c r="AY968" s="18"/>
      <c r="AZ968" s="18"/>
      <c r="BA968" s="18"/>
      <c r="BB968" s="18"/>
      <c r="BC968" s="18"/>
      <c r="BD968" s="18"/>
      <c r="BE968" s="18"/>
      <c r="BF968" s="18"/>
      <c r="BG968" s="18"/>
      <c r="BH968" s="18"/>
      <c r="BI968" s="18"/>
      <c r="BJ968" s="18"/>
      <c r="BK968" s="18"/>
      <c r="BL968" s="18"/>
      <c r="BM968" s="18"/>
      <c r="BN968" s="18"/>
    </row>
    <row r="969" spans="1:66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  <c r="AE969" s="18"/>
      <c r="AF969" s="18"/>
      <c r="AG969" s="18"/>
      <c r="AH969" s="18"/>
      <c r="AI969" s="18"/>
      <c r="AJ969" s="18"/>
      <c r="AK969" s="18"/>
      <c r="AL969" s="18"/>
      <c r="AM969" s="18"/>
      <c r="AN969" s="18"/>
      <c r="AO969" s="18"/>
      <c r="AP969" s="18"/>
      <c r="AQ969" s="18"/>
      <c r="AR969" s="18"/>
      <c r="AS969" s="18"/>
      <c r="AT969" s="18"/>
      <c r="AU969" s="18"/>
      <c r="AV969" s="18"/>
      <c r="AW969" s="18"/>
      <c r="AX969" s="18"/>
      <c r="AY969" s="18"/>
      <c r="AZ969" s="18"/>
      <c r="BA969" s="18"/>
      <c r="BB969" s="18"/>
      <c r="BC969" s="18"/>
      <c r="BD969" s="18"/>
      <c r="BE969" s="18"/>
      <c r="BF969" s="18"/>
      <c r="BG969" s="18"/>
      <c r="BH969" s="18"/>
      <c r="BI969" s="18"/>
      <c r="BJ969" s="18"/>
      <c r="BK969" s="18"/>
      <c r="BL969" s="18"/>
      <c r="BM969" s="18"/>
      <c r="BN969" s="18"/>
    </row>
    <row r="970" spans="1:66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  <c r="AE970" s="18"/>
      <c r="AF970" s="18"/>
      <c r="AG970" s="18"/>
      <c r="AH970" s="18"/>
      <c r="AI970" s="18"/>
      <c r="AJ970" s="18"/>
      <c r="AK970" s="18"/>
      <c r="AL970" s="18"/>
      <c r="AM970" s="18"/>
      <c r="AN970" s="18"/>
      <c r="AO970" s="18"/>
      <c r="AP970" s="18"/>
      <c r="AQ970" s="18"/>
      <c r="AR970" s="18"/>
      <c r="AS970" s="18"/>
      <c r="AT970" s="18"/>
      <c r="AU970" s="18"/>
      <c r="AV970" s="18"/>
      <c r="AW970" s="18"/>
      <c r="AX970" s="18"/>
      <c r="AY970" s="18"/>
      <c r="AZ970" s="18"/>
      <c r="BA970" s="18"/>
      <c r="BB970" s="18"/>
      <c r="BC970" s="18"/>
      <c r="BD970" s="18"/>
      <c r="BE970" s="18"/>
      <c r="BF970" s="18"/>
      <c r="BG970" s="18"/>
      <c r="BH970" s="18"/>
      <c r="BI970" s="18"/>
      <c r="BJ970" s="18"/>
      <c r="BK970" s="18"/>
      <c r="BL970" s="18"/>
      <c r="BM970" s="18"/>
      <c r="BN970" s="18"/>
    </row>
    <row r="971" spans="1:66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  <c r="AE971" s="18"/>
      <c r="AF971" s="18"/>
      <c r="AG971" s="18"/>
      <c r="AH971" s="18"/>
      <c r="AI971" s="18"/>
      <c r="AJ971" s="18"/>
      <c r="AK971" s="18"/>
      <c r="AL971" s="18"/>
      <c r="AM971" s="18"/>
      <c r="AN971" s="18"/>
      <c r="AO971" s="18"/>
      <c r="AP971" s="18"/>
      <c r="AQ971" s="18"/>
      <c r="AR971" s="18"/>
      <c r="AS971" s="18"/>
      <c r="AT971" s="18"/>
      <c r="AU971" s="18"/>
      <c r="AV971" s="18"/>
      <c r="AW971" s="18"/>
      <c r="AX971" s="18"/>
      <c r="AY971" s="18"/>
      <c r="AZ971" s="18"/>
      <c r="BA971" s="18"/>
      <c r="BB971" s="18"/>
      <c r="BC971" s="18"/>
      <c r="BD971" s="18"/>
      <c r="BE971" s="18"/>
      <c r="BF971" s="18"/>
      <c r="BG971" s="18"/>
      <c r="BH971" s="18"/>
      <c r="BI971" s="18"/>
      <c r="BJ971" s="18"/>
      <c r="BK971" s="18"/>
      <c r="BL971" s="18"/>
      <c r="BM971" s="18"/>
      <c r="BN971" s="18"/>
    </row>
    <row r="972" spans="1:66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  <c r="AE972" s="18"/>
      <c r="AF972" s="18"/>
      <c r="AG972" s="18"/>
      <c r="AH972" s="18"/>
      <c r="AI972" s="18"/>
      <c r="AJ972" s="18"/>
      <c r="AK972" s="18"/>
      <c r="AL972" s="18"/>
      <c r="AM972" s="18"/>
      <c r="AN972" s="18"/>
      <c r="AO972" s="18"/>
      <c r="AP972" s="18"/>
      <c r="AQ972" s="18"/>
      <c r="AR972" s="18"/>
      <c r="AS972" s="18"/>
      <c r="AT972" s="18"/>
      <c r="AU972" s="18"/>
      <c r="AV972" s="18"/>
      <c r="AW972" s="18"/>
      <c r="AX972" s="18"/>
      <c r="AY972" s="18"/>
      <c r="AZ972" s="18"/>
      <c r="BA972" s="18"/>
      <c r="BB972" s="18"/>
      <c r="BC972" s="18"/>
      <c r="BD972" s="18"/>
      <c r="BE972" s="18"/>
      <c r="BF972" s="18"/>
      <c r="BG972" s="18"/>
      <c r="BH972" s="18"/>
      <c r="BI972" s="18"/>
      <c r="BJ972" s="18"/>
      <c r="BK972" s="18"/>
      <c r="BL972" s="18"/>
      <c r="BM972" s="18"/>
      <c r="BN972" s="18"/>
    </row>
    <row r="973" spans="1:66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  <c r="AE973" s="18"/>
      <c r="AF973" s="18"/>
      <c r="AG973" s="18"/>
      <c r="AH973" s="18"/>
      <c r="AI973" s="18"/>
      <c r="AJ973" s="18"/>
      <c r="AK973" s="18"/>
      <c r="AL973" s="18"/>
      <c r="AM973" s="18"/>
      <c r="AN973" s="18"/>
      <c r="AO973" s="18"/>
      <c r="AP973" s="18"/>
      <c r="AQ973" s="18"/>
      <c r="AR973" s="18"/>
      <c r="AS973" s="18"/>
      <c r="AT973" s="18"/>
      <c r="AU973" s="18"/>
      <c r="AV973" s="18"/>
      <c r="AW973" s="18"/>
      <c r="AX973" s="18"/>
      <c r="AY973" s="18"/>
      <c r="AZ973" s="18"/>
      <c r="BA973" s="18"/>
      <c r="BB973" s="18"/>
      <c r="BC973" s="18"/>
      <c r="BD973" s="18"/>
      <c r="BE973" s="18"/>
      <c r="BF973" s="18"/>
      <c r="BG973" s="18"/>
      <c r="BH973" s="18"/>
      <c r="BI973" s="18"/>
      <c r="BJ973" s="18"/>
      <c r="BK973" s="18"/>
      <c r="BL973" s="18"/>
      <c r="BM973" s="18"/>
      <c r="BN973" s="18"/>
    </row>
    <row r="974" spans="1:66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  <c r="AE974" s="18"/>
      <c r="AF974" s="18"/>
      <c r="AG974" s="18"/>
      <c r="AH974" s="18"/>
      <c r="AI974" s="18"/>
      <c r="AJ974" s="18"/>
      <c r="AK974" s="18"/>
      <c r="AL974" s="18"/>
      <c r="AM974" s="18"/>
      <c r="AN974" s="18"/>
      <c r="AO974" s="18"/>
      <c r="AP974" s="18"/>
      <c r="AQ974" s="18"/>
      <c r="AR974" s="18"/>
      <c r="AS974" s="18"/>
      <c r="AT974" s="18"/>
      <c r="AU974" s="18"/>
      <c r="AV974" s="18"/>
      <c r="AW974" s="18"/>
      <c r="AX974" s="18"/>
      <c r="AY974" s="18"/>
      <c r="AZ974" s="18"/>
      <c r="BA974" s="18"/>
      <c r="BB974" s="18"/>
      <c r="BC974" s="18"/>
      <c r="BD974" s="18"/>
      <c r="BE974" s="18"/>
      <c r="BF974" s="18"/>
      <c r="BG974" s="18"/>
      <c r="BH974" s="18"/>
      <c r="BI974" s="18"/>
      <c r="BJ974" s="18"/>
      <c r="BK974" s="18"/>
      <c r="BL974" s="18"/>
      <c r="BM974" s="18"/>
      <c r="BN974" s="18"/>
    </row>
    <row r="975" spans="1:66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  <c r="AE975" s="18"/>
      <c r="AF975" s="18"/>
      <c r="AG975" s="18"/>
      <c r="AH975" s="18"/>
      <c r="AI975" s="18"/>
      <c r="AJ975" s="18"/>
      <c r="AK975" s="18"/>
      <c r="AL975" s="18"/>
      <c r="AM975" s="18"/>
      <c r="AN975" s="18"/>
      <c r="AO975" s="18"/>
      <c r="AP975" s="18"/>
      <c r="AQ975" s="18"/>
      <c r="AR975" s="18"/>
      <c r="AS975" s="18"/>
      <c r="AT975" s="18"/>
      <c r="AU975" s="18"/>
      <c r="AV975" s="18"/>
      <c r="AW975" s="18"/>
      <c r="AX975" s="18"/>
      <c r="AY975" s="18"/>
      <c r="AZ975" s="18"/>
      <c r="BA975" s="18"/>
      <c r="BB975" s="18"/>
      <c r="BC975" s="18"/>
      <c r="BD975" s="18"/>
      <c r="BE975" s="18"/>
      <c r="BF975" s="18"/>
      <c r="BG975" s="18"/>
      <c r="BH975" s="18"/>
      <c r="BI975" s="18"/>
      <c r="BJ975" s="18"/>
      <c r="BK975" s="18"/>
      <c r="BL975" s="18"/>
      <c r="BM975" s="18"/>
      <c r="BN975" s="18"/>
    </row>
    <row r="976" spans="1:66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  <c r="AE976" s="18"/>
      <c r="AF976" s="18"/>
      <c r="AG976" s="18"/>
      <c r="AH976" s="18"/>
      <c r="AI976" s="18"/>
      <c r="AJ976" s="18"/>
      <c r="AK976" s="18"/>
      <c r="AL976" s="18"/>
      <c r="AM976" s="18"/>
      <c r="AN976" s="18"/>
      <c r="AO976" s="18"/>
      <c r="AP976" s="18"/>
      <c r="AQ976" s="18"/>
      <c r="AR976" s="18"/>
      <c r="AS976" s="18"/>
      <c r="AT976" s="18"/>
      <c r="AU976" s="18"/>
      <c r="AV976" s="18"/>
      <c r="AW976" s="18"/>
      <c r="AX976" s="18"/>
      <c r="AY976" s="18"/>
      <c r="AZ976" s="18"/>
      <c r="BA976" s="18"/>
      <c r="BB976" s="18"/>
      <c r="BC976" s="18"/>
      <c r="BD976" s="18"/>
      <c r="BE976" s="18"/>
      <c r="BF976" s="18"/>
      <c r="BG976" s="18"/>
      <c r="BH976" s="18"/>
      <c r="BI976" s="18"/>
      <c r="BJ976" s="18"/>
      <c r="BK976" s="18"/>
      <c r="BL976" s="18"/>
      <c r="BM976" s="18"/>
      <c r="BN976" s="18"/>
    </row>
    <row r="977" spans="1:66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  <c r="AE977" s="18"/>
      <c r="AF977" s="18"/>
      <c r="AG977" s="18"/>
      <c r="AH977" s="18"/>
      <c r="AI977" s="18"/>
      <c r="AJ977" s="18"/>
      <c r="AK977" s="18"/>
      <c r="AL977" s="18"/>
      <c r="AM977" s="18"/>
      <c r="AN977" s="18"/>
      <c r="AO977" s="18"/>
      <c r="AP977" s="18"/>
      <c r="AQ977" s="18"/>
      <c r="AR977" s="18"/>
      <c r="AS977" s="18"/>
      <c r="AT977" s="18"/>
      <c r="AU977" s="18"/>
      <c r="AV977" s="18"/>
      <c r="AW977" s="18"/>
      <c r="AX977" s="18"/>
      <c r="AY977" s="18"/>
      <c r="AZ977" s="18"/>
      <c r="BA977" s="18"/>
      <c r="BB977" s="18"/>
      <c r="BC977" s="18"/>
      <c r="BD977" s="18"/>
      <c r="BE977" s="18"/>
      <c r="BF977" s="18"/>
      <c r="BG977" s="18"/>
      <c r="BH977" s="18"/>
      <c r="BI977" s="18"/>
      <c r="BJ977" s="18"/>
      <c r="BK977" s="18"/>
      <c r="BL977" s="18"/>
      <c r="BM977" s="18"/>
      <c r="BN977" s="18"/>
    </row>
    <row r="978" spans="1:66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  <c r="AE978" s="18"/>
      <c r="AF978" s="18"/>
      <c r="AG978" s="18"/>
      <c r="AH978" s="18"/>
      <c r="AI978" s="18"/>
      <c r="AJ978" s="18"/>
      <c r="AK978" s="18"/>
      <c r="AL978" s="18"/>
      <c r="AM978" s="18"/>
      <c r="AN978" s="18"/>
      <c r="AO978" s="18"/>
      <c r="AP978" s="18"/>
      <c r="AQ978" s="18"/>
      <c r="AR978" s="18"/>
      <c r="AS978" s="18"/>
      <c r="AT978" s="18"/>
      <c r="AU978" s="18"/>
      <c r="AV978" s="18"/>
      <c r="AW978" s="18"/>
      <c r="AX978" s="18"/>
      <c r="AY978" s="18"/>
      <c r="AZ978" s="18"/>
      <c r="BA978" s="18"/>
      <c r="BB978" s="18"/>
      <c r="BC978" s="18"/>
      <c r="BD978" s="18"/>
      <c r="BE978" s="18"/>
      <c r="BF978" s="18"/>
      <c r="BG978" s="18"/>
      <c r="BH978" s="18"/>
      <c r="BI978" s="18"/>
      <c r="BJ978" s="18"/>
      <c r="BK978" s="18"/>
      <c r="BL978" s="18"/>
      <c r="BM978" s="18"/>
      <c r="BN978" s="18"/>
    </row>
    <row r="979" spans="1:66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  <c r="AE979" s="18"/>
      <c r="AF979" s="18"/>
      <c r="AG979" s="18"/>
      <c r="AH979" s="18"/>
      <c r="AI979" s="18"/>
      <c r="AJ979" s="18"/>
      <c r="AK979" s="18"/>
      <c r="AL979" s="18"/>
      <c r="AM979" s="18"/>
      <c r="AN979" s="18"/>
      <c r="AO979" s="18"/>
      <c r="AP979" s="18"/>
      <c r="AQ979" s="18"/>
      <c r="AR979" s="18"/>
      <c r="AS979" s="18"/>
      <c r="AT979" s="18"/>
      <c r="AU979" s="18"/>
      <c r="AV979" s="18"/>
      <c r="AW979" s="18"/>
      <c r="AX979" s="18"/>
      <c r="AY979" s="18"/>
      <c r="AZ979" s="18"/>
      <c r="BA979" s="18"/>
      <c r="BB979" s="18"/>
      <c r="BC979" s="18"/>
      <c r="BD979" s="18"/>
      <c r="BE979" s="18"/>
      <c r="BF979" s="18"/>
      <c r="BG979" s="18"/>
      <c r="BH979" s="18"/>
      <c r="BI979" s="18"/>
      <c r="BJ979" s="18"/>
      <c r="BK979" s="18"/>
      <c r="BL979" s="18"/>
      <c r="BM979" s="18"/>
      <c r="BN979" s="18"/>
    </row>
    <row r="980" spans="1:66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  <c r="AE980" s="18"/>
      <c r="AF980" s="18"/>
      <c r="AG980" s="18"/>
      <c r="AH980" s="18"/>
      <c r="AI980" s="18"/>
      <c r="AJ980" s="18"/>
      <c r="AK980" s="18"/>
      <c r="AL980" s="18"/>
      <c r="AM980" s="18"/>
      <c r="AN980" s="18"/>
      <c r="AO980" s="18"/>
      <c r="AP980" s="18"/>
      <c r="AQ980" s="18"/>
      <c r="AR980" s="18"/>
      <c r="AS980" s="18"/>
      <c r="AT980" s="18"/>
      <c r="AU980" s="18"/>
      <c r="AV980" s="18"/>
      <c r="AW980" s="18"/>
      <c r="AX980" s="18"/>
      <c r="AY980" s="18"/>
      <c r="AZ980" s="18"/>
      <c r="BA980" s="18"/>
      <c r="BB980" s="18"/>
      <c r="BC980" s="18"/>
      <c r="BD980" s="18"/>
      <c r="BE980" s="18"/>
      <c r="BF980" s="18"/>
      <c r="BG980" s="18"/>
      <c r="BH980" s="18"/>
      <c r="BI980" s="18"/>
      <c r="BJ980" s="18"/>
      <c r="BK980" s="18"/>
      <c r="BL980" s="18"/>
      <c r="BM980" s="18"/>
      <c r="BN980" s="18"/>
    </row>
    <row r="981" spans="1:66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  <c r="AE981" s="18"/>
      <c r="AF981" s="18"/>
      <c r="AG981" s="18"/>
      <c r="AH981" s="18"/>
      <c r="AI981" s="18"/>
      <c r="AJ981" s="18"/>
      <c r="AK981" s="18"/>
      <c r="AL981" s="18"/>
      <c r="AM981" s="18"/>
      <c r="AN981" s="18"/>
      <c r="AO981" s="18"/>
      <c r="AP981" s="18"/>
      <c r="AQ981" s="18"/>
      <c r="AR981" s="18"/>
      <c r="AS981" s="18"/>
      <c r="AT981" s="18"/>
      <c r="AU981" s="18"/>
      <c r="AV981" s="18"/>
      <c r="AW981" s="18"/>
      <c r="AX981" s="18"/>
      <c r="AY981" s="18"/>
      <c r="AZ981" s="18"/>
      <c r="BA981" s="18"/>
      <c r="BB981" s="18"/>
      <c r="BC981" s="18"/>
      <c r="BD981" s="18"/>
      <c r="BE981" s="18"/>
      <c r="BF981" s="18"/>
      <c r="BG981" s="18"/>
      <c r="BH981" s="18"/>
      <c r="BI981" s="18"/>
      <c r="BJ981" s="18"/>
      <c r="BK981" s="18"/>
      <c r="BL981" s="18"/>
      <c r="BM981" s="18"/>
      <c r="BN981" s="18"/>
    </row>
    <row r="982" spans="1:66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  <c r="AE982" s="18"/>
      <c r="AF982" s="18"/>
      <c r="AG982" s="18"/>
      <c r="AH982" s="18"/>
      <c r="AI982" s="18"/>
      <c r="AJ982" s="18"/>
      <c r="AK982" s="18"/>
      <c r="AL982" s="18"/>
      <c r="AM982" s="18"/>
      <c r="AN982" s="18"/>
      <c r="AO982" s="18"/>
      <c r="AP982" s="18"/>
      <c r="AQ982" s="18"/>
      <c r="AR982" s="18"/>
      <c r="AS982" s="18"/>
      <c r="AT982" s="18"/>
      <c r="AU982" s="18"/>
      <c r="AV982" s="18"/>
      <c r="AW982" s="18"/>
      <c r="AX982" s="18"/>
      <c r="AY982" s="18"/>
      <c r="AZ982" s="18"/>
      <c r="BA982" s="18"/>
      <c r="BB982" s="18"/>
      <c r="BC982" s="18"/>
      <c r="BD982" s="18"/>
      <c r="BE982" s="18"/>
      <c r="BF982" s="18"/>
      <c r="BG982" s="18"/>
      <c r="BH982" s="18"/>
      <c r="BI982" s="18"/>
      <c r="BJ982" s="18"/>
      <c r="BK982" s="18"/>
      <c r="BL982" s="18"/>
      <c r="BM982" s="18"/>
      <c r="BN982" s="18"/>
    </row>
    <row r="983" spans="1:66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  <c r="AE983" s="18"/>
      <c r="AF983" s="18"/>
      <c r="AG983" s="18"/>
      <c r="AH983" s="18"/>
      <c r="AI983" s="18"/>
      <c r="AJ983" s="18"/>
      <c r="AK983" s="18"/>
      <c r="AL983" s="18"/>
      <c r="AM983" s="18"/>
      <c r="AN983" s="18"/>
      <c r="AO983" s="18"/>
      <c r="AP983" s="18"/>
      <c r="AQ983" s="18"/>
      <c r="AR983" s="18"/>
      <c r="AS983" s="18"/>
      <c r="AT983" s="18"/>
      <c r="AU983" s="18"/>
      <c r="AV983" s="18"/>
      <c r="AW983" s="18"/>
      <c r="AX983" s="18"/>
      <c r="AY983" s="18"/>
      <c r="AZ983" s="18"/>
      <c r="BA983" s="18"/>
      <c r="BB983" s="18"/>
      <c r="BC983" s="18"/>
      <c r="BD983" s="18"/>
      <c r="BE983" s="18"/>
      <c r="BF983" s="18"/>
      <c r="BG983" s="18"/>
      <c r="BH983" s="18"/>
      <c r="BI983" s="18"/>
      <c r="BJ983" s="18"/>
      <c r="BK983" s="18"/>
      <c r="BL983" s="18"/>
      <c r="BM983" s="18"/>
      <c r="BN983" s="18"/>
    </row>
    <row r="984" spans="1:66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  <c r="AE984" s="18"/>
      <c r="AF984" s="18"/>
      <c r="AG984" s="18"/>
      <c r="AH984" s="18"/>
      <c r="AI984" s="18"/>
      <c r="AJ984" s="18"/>
      <c r="AK984" s="18"/>
      <c r="AL984" s="18"/>
      <c r="AM984" s="18"/>
      <c r="AN984" s="18"/>
      <c r="AO984" s="18"/>
      <c r="AP984" s="18"/>
      <c r="AQ984" s="18"/>
      <c r="AR984" s="18"/>
      <c r="AS984" s="18"/>
      <c r="AT984" s="18"/>
      <c r="AU984" s="18"/>
      <c r="AV984" s="18"/>
      <c r="AW984" s="18"/>
      <c r="AX984" s="18"/>
      <c r="AY984" s="18"/>
      <c r="AZ984" s="18"/>
      <c r="BA984" s="18"/>
      <c r="BB984" s="18"/>
      <c r="BC984" s="18"/>
      <c r="BD984" s="18"/>
      <c r="BE984" s="18"/>
      <c r="BF984" s="18"/>
      <c r="BG984" s="18"/>
      <c r="BH984" s="18"/>
      <c r="BI984" s="18"/>
      <c r="BJ984" s="18"/>
      <c r="BK984" s="18"/>
      <c r="BL984" s="18"/>
      <c r="BM984" s="18"/>
      <c r="BN984" s="18"/>
    </row>
    <row r="985" spans="1:66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  <c r="AE985" s="18"/>
      <c r="AF985" s="18"/>
      <c r="AG985" s="18"/>
      <c r="AH985" s="18"/>
      <c r="AI985" s="18"/>
      <c r="AJ985" s="18"/>
      <c r="AK985" s="18"/>
      <c r="AL985" s="18"/>
      <c r="AM985" s="18"/>
      <c r="AN985" s="18"/>
      <c r="AO985" s="18"/>
      <c r="AP985" s="18"/>
      <c r="AQ985" s="18"/>
      <c r="AR985" s="18"/>
      <c r="AS985" s="18"/>
      <c r="AT985" s="18"/>
      <c r="AU985" s="18"/>
      <c r="AV985" s="18"/>
      <c r="AW985" s="18"/>
      <c r="AX985" s="18"/>
      <c r="AY985" s="18"/>
      <c r="AZ985" s="18"/>
      <c r="BA985" s="18"/>
      <c r="BB985" s="18"/>
      <c r="BC985" s="18"/>
      <c r="BD985" s="18"/>
      <c r="BE985" s="18"/>
      <c r="BF985" s="18"/>
      <c r="BG985" s="18"/>
      <c r="BH985" s="18"/>
      <c r="BI985" s="18"/>
      <c r="BJ985" s="18"/>
      <c r="BK985" s="18"/>
      <c r="BL985" s="18"/>
      <c r="BM985" s="18"/>
      <c r="BN985" s="18"/>
    </row>
    <row r="986" spans="1:66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  <c r="AE986" s="18"/>
      <c r="AF986" s="18"/>
      <c r="AG986" s="18"/>
      <c r="AH986" s="18"/>
      <c r="AI986" s="18"/>
      <c r="AJ986" s="18"/>
      <c r="AK986" s="18"/>
      <c r="AL986" s="18"/>
      <c r="AM986" s="18"/>
      <c r="AN986" s="18"/>
      <c r="AO986" s="18"/>
      <c r="AP986" s="18"/>
      <c r="AQ986" s="18"/>
      <c r="AR986" s="18"/>
      <c r="AS986" s="18"/>
      <c r="AT986" s="18"/>
      <c r="AU986" s="18"/>
      <c r="AV986" s="18"/>
      <c r="AW986" s="18"/>
      <c r="AX986" s="18"/>
      <c r="AY986" s="18"/>
      <c r="AZ986" s="18"/>
      <c r="BA986" s="18"/>
      <c r="BB986" s="18"/>
      <c r="BC986" s="18"/>
      <c r="BD986" s="18"/>
      <c r="BE986" s="18"/>
      <c r="BF986" s="18"/>
      <c r="BG986" s="18"/>
      <c r="BH986" s="18"/>
      <c r="BI986" s="18"/>
      <c r="BJ986" s="18"/>
      <c r="BK986" s="18"/>
      <c r="BL986" s="18"/>
      <c r="BM986" s="18"/>
      <c r="BN986" s="18"/>
    </row>
    <row r="987" spans="1:66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  <c r="AE987" s="18"/>
      <c r="AF987" s="18"/>
      <c r="AG987" s="18"/>
      <c r="AH987" s="18"/>
      <c r="AI987" s="18"/>
      <c r="AJ987" s="18"/>
      <c r="AK987" s="18"/>
      <c r="AL987" s="18"/>
      <c r="AM987" s="18"/>
      <c r="AN987" s="18"/>
      <c r="AO987" s="18"/>
      <c r="AP987" s="18"/>
      <c r="AQ987" s="18"/>
      <c r="AR987" s="18"/>
      <c r="AS987" s="18"/>
      <c r="AT987" s="18"/>
      <c r="AU987" s="18"/>
      <c r="AV987" s="18"/>
      <c r="AW987" s="18"/>
      <c r="AX987" s="18"/>
      <c r="AY987" s="18"/>
      <c r="AZ987" s="18"/>
      <c r="BA987" s="18"/>
      <c r="BB987" s="18"/>
      <c r="BC987" s="18"/>
      <c r="BD987" s="18"/>
      <c r="BE987" s="18"/>
      <c r="BF987" s="18"/>
      <c r="BG987" s="18"/>
      <c r="BH987" s="18"/>
      <c r="BI987" s="18"/>
      <c r="BJ987" s="18"/>
      <c r="BK987" s="18"/>
      <c r="BL987" s="18"/>
      <c r="BM987" s="18"/>
      <c r="BN987" s="18"/>
    </row>
    <row r="988" spans="1:66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  <c r="AC988" s="18"/>
      <c r="AD988" s="18"/>
      <c r="AE988" s="18"/>
      <c r="AF988" s="18"/>
      <c r="AG988" s="18"/>
      <c r="AH988" s="18"/>
      <c r="AI988" s="18"/>
      <c r="AJ988" s="18"/>
      <c r="AK988" s="18"/>
      <c r="AL988" s="18"/>
      <c r="AM988" s="18"/>
      <c r="AN988" s="18"/>
      <c r="AO988" s="18"/>
      <c r="AP988" s="18"/>
      <c r="AQ988" s="18"/>
      <c r="AR988" s="18"/>
      <c r="AS988" s="18"/>
      <c r="AT988" s="18"/>
      <c r="AU988" s="18"/>
      <c r="AV988" s="18"/>
      <c r="AW988" s="18"/>
      <c r="AX988" s="18"/>
      <c r="AY988" s="18"/>
      <c r="AZ988" s="18"/>
      <c r="BA988" s="18"/>
      <c r="BB988" s="18"/>
      <c r="BC988" s="18"/>
      <c r="BD988" s="18"/>
      <c r="BE988" s="18"/>
      <c r="BF988" s="18"/>
      <c r="BG988" s="18"/>
      <c r="BH988" s="18"/>
      <c r="BI988" s="18"/>
      <c r="BJ988" s="18"/>
      <c r="BK988" s="18"/>
      <c r="BL988" s="18"/>
      <c r="BM988" s="18"/>
      <c r="BN988" s="18"/>
    </row>
    <row r="989" spans="1:66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  <c r="AE989" s="18"/>
      <c r="AF989" s="18"/>
      <c r="AG989" s="18"/>
      <c r="AH989" s="18"/>
      <c r="AI989" s="18"/>
      <c r="AJ989" s="18"/>
      <c r="AK989" s="18"/>
      <c r="AL989" s="18"/>
      <c r="AM989" s="18"/>
      <c r="AN989" s="18"/>
      <c r="AO989" s="18"/>
      <c r="AP989" s="18"/>
      <c r="AQ989" s="18"/>
      <c r="AR989" s="18"/>
      <c r="AS989" s="18"/>
      <c r="AT989" s="18"/>
      <c r="AU989" s="18"/>
      <c r="AV989" s="18"/>
      <c r="AW989" s="18"/>
      <c r="AX989" s="18"/>
      <c r="AY989" s="18"/>
      <c r="AZ989" s="18"/>
      <c r="BA989" s="18"/>
      <c r="BB989" s="18"/>
      <c r="BC989" s="18"/>
      <c r="BD989" s="18"/>
      <c r="BE989" s="18"/>
      <c r="BF989" s="18"/>
      <c r="BG989" s="18"/>
      <c r="BH989" s="18"/>
      <c r="BI989" s="18"/>
      <c r="BJ989" s="18"/>
      <c r="BK989" s="18"/>
      <c r="BL989" s="18"/>
      <c r="BM989" s="18"/>
      <c r="BN989" s="18"/>
    </row>
    <row r="990" spans="1:66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  <c r="AC990" s="18"/>
      <c r="AD990" s="18"/>
      <c r="AE990" s="18"/>
      <c r="AF990" s="18"/>
      <c r="AG990" s="18"/>
      <c r="AH990" s="18"/>
      <c r="AI990" s="18"/>
      <c r="AJ990" s="18"/>
      <c r="AK990" s="18"/>
      <c r="AL990" s="18"/>
      <c r="AM990" s="18"/>
      <c r="AN990" s="18"/>
      <c r="AO990" s="18"/>
      <c r="AP990" s="18"/>
      <c r="AQ990" s="18"/>
      <c r="AR990" s="18"/>
      <c r="AS990" s="18"/>
      <c r="AT990" s="18"/>
      <c r="AU990" s="18"/>
      <c r="AV990" s="18"/>
      <c r="AW990" s="18"/>
      <c r="AX990" s="18"/>
      <c r="AY990" s="18"/>
      <c r="AZ990" s="18"/>
      <c r="BA990" s="18"/>
      <c r="BB990" s="18"/>
      <c r="BC990" s="18"/>
      <c r="BD990" s="18"/>
      <c r="BE990" s="18"/>
      <c r="BF990" s="18"/>
      <c r="BG990" s="18"/>
      <c r="BH990" s="18"/>
      <c r="BI990" s="18"/>
      <c r="BJ990" s="18"/>
      <c r="BK990" s="18"/>
      <c r="BL990" s="18"/>
      <c r="BM990" s="18"/>
      <c r="BN990" s="18"/>
    </row>
    <row r="991" spans="1:66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  <c r="AE991" s="18"/>
      <c r="AF991" s="18"/>
      <c r="AG991" s="18"/>
      <c r="AH991" s="18"/>
      <c r="AI991" s="18"/>
      <c r="AJ991" s="18"/>
      <c r="AK991" s="18"/>
      <c r="AL991" s="18"/>
      <c r="AM991" s="18"/>
      <c r="AN991" s="18"/>
      <c r="AO991" s="18"/>
      <c r="AP991" s="18"/>
      <c r="AQ991" s="18"/>
      <c r="AR991" s="18"/>
      <c r="AS991" s="18"/>
      <c r="AT991" s="18"/>
      <c r="AU991" s="18"/>
      <c r="AV991" s="18"/>
      <c r="AW991" s="18"/>
      <c r="AX991" s="18"/>
      <c r="AY991" s="18"/>
      <c r="AZ991" s="18"/>
      <c r="BA991" s="18"/>
      <c r="BB991" s="18"/>
      <c r="BC991" s="18"/>
      <c r="BD991" s="18"/>
      <c r="BE991" s="18"/>
      <c r="BF991" s="18"/>
      <c r="BG991" s="18"/>
      <c r="BH991" s="18"/>
      <c r="BI991" s="18"/>
      <c r="BJ991" s="18"/>
      <c r="BK991" s="18"/>
      <c r="BL991" s="18"/>
      <c r="BM991" s="18"/>
      <c r="BN991" s="18"/>
    </row>
    <row r="992" spans="1:66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  <c r="AE992" s="18"/>
      <c r="AF992" s="18"/>
      <c r="AG992" s="18"/>
      <c r="AH992" s="18"/>
      <c r="AI992" s="18"/>
      <c r="AJ992" s="18"/>
      <c r="AK992" s="18"/>
      <c r="AL992" s="18"/>
      <c r="AM992" s="18"/>
      <c r="AN992" s="18"/>
      <c r="AO992" s="18"/>
      <c r="AP992" s="18"/>
      <c r="AQ992" s="18"/>
      <c r="AR992" s="18"/>
      <c r="AS992" s="18"/>
      <c r="AT992" s="18"/>
      <c r="AU992" s="18"/>
      <c r="AV992" s="18"/>
      <c r="AW992" s="18"/>
      <c r="AX992" s="18"/>
      <c r="AY992" s="18"/>
      <c r="AZ992" s="18"/>
      <c r="BA992" s="18"/>
      <c r="BB992" s="18"/>
      <c r="BC992" s="18"/>
      <c r="BD992" s="18"/>
      <c r="BE992" s="18"/>
      <c r="BF992" s="18"/>
      <c r="BG992" s="18"/>
      <c r="BH992" s="18"/>
      <c r="BI992" s="18"/>
      <c r="BJ992" s="18"/>
      <c r="BK992" s="18"/>
      <c r="BL992" s="18"/>
      <c r="BM992" s="18"/>
      <c r="BN992" s="18"/>
    </row>
    <row r="993" spans="1:66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  <c r="AE993" s="18"/>
      <c r="AF993" s="18"/>
      <c r="AG993" s="18"/>
      <c r="AH993" s="18"/>
      <c r="AI993" s="18"/>
      <c r="AJ993" s="18"/>
      <c r="AK993" s="18"/>
      <c r="AL993" s="18"/>
      <c r="AM993" s="18"/>
      <c r="AN993" s="18"/>
      <c r="AO993" s="18"/>
      <c r="AP993" s="18"/>
      <c r="AQ993" s="18"/>
      <c r="AR993" s="18"/>
      <c r="AS993" s="18"/>
      <c r="AT993" s="18"/>
      <c r="AU993" s="18"/>
      <c r="AV993" s="18"/>
      <c r="AW993" s="18"/>
      <c r="AX993" s="18"/>
      <c r="AY993" s="18"/>
      <c r="AZ993" s="18"/>
      <c r="BA993" s="18"/>
      <c r="BB993" s="18"/>
      <c r="BC993" s="18"/>
      <c r="BD993" s="18"/>
      <c r="BE993" s="18"/>
      <c r="BF993" s="18"/>
      <c r="BG993" s="18"/>
      <c r="BH993" s="18"/>
      <c r="BI993" s="18"/>
      <c r="BJ993" s="18"/>
      <c r="BK993" s="18"/>
      <c r="BL993" s="18"/>
      <c r="BM993" s="18"/>
      <c r="BN993" s="18"/>
    </row>
    <row r="994" spans="1:66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  <c r="AD994" s="18"/>
      <c r="AE994" s="18"/>
      <c r="AF994" s="18"/>
      <c r="AG994" s="18"/>
      <c r="AH994" s="18"/>
      <c r="AI994" s="18"/>
      <c r="AJ994" s="18"/>
      <c r="AK994" s="18"/>
      <c r="AL994" s="18"/>
      <c r="AM994" s="18"/>
      <c r="AN994" s="18"/>
      <c r="AO994" s="18"/>
      <c r="AP994" s="18"/>
      <c r="AQ994" s="18"/>
      <c r="AR994" s="18"/>
      <c r="AS994" s="18"/>
      <c r="AT994" s="18"/>
      <c r="AU994" s="18"/>
      <c r="AV994" s="18"/>
      <c r="AW994" s="18"/>
      <c r="AX994" s="18"/>
      <c r="AY994" s="18"/>
      <c r="AZ994" s="18"/>
      <c r="BA994" s="18"/>
      <c r="BB994" s="18"/>
      <c r="BC994" s="18"/>
      <c r="BD994" s="18"/>
      <c r="BE994" s="18"/>
      <c r="BF994" s="18"/>
      <c r="BG994" s="18"/>
      <c r="BH994" s="18"/>
      <c r="BI994" s="18"/>
      <c r="BJ994" s="18"/>
      <c r="BK994" s="18"/>
      <c r="BL994" s="18"/>
      <c r="BM994" s="18"/>
      <c r="BN994" s="18"/>
    </row>
    <row r="995" spans="1:66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  <c r="AC995" s="18"/>
      <c r="AD995" s="18"/>
      <c r="AE995" s="18"/>
      <c r="AF995" s="18"/>
      <c r="AG995" s="18"/>
      <c r="AH995" s="18"/>
      <c r="AI995" s="18"/>
      <c r="AJ995" s="18"/>
      <c r="AK995" s="18"/>
      <c r="AL995" s="18"/>
      <c r="AM995" s="18"/>
      <c r="AN995" s="18"/>
      <c r="AO995" s="18"/>
      <c r="AP995" s="18"/>
      <c r="AQ995" s="18"/>
      <c r="AR995" s="18"/>
      <c r="AS995" s="18"/>
      <c r="AT995" s="18"/>
      <c r="AU995" s="18"/>
      <c r="AV995" s="18"/>
      <c r="AW995" s="18"/>
      <c r="AX995" s="18"/>
      <c r="AY995" s="18"/>
      <c r="AZ995" s="18"/>
      <c r="BA995" s="18"/>
      <c r="BB995" s="18"/>
      <c r="BC995" s="18"/>
      <c r="BD995" s="18"/>
      <c r="BE995" s="18"/>
      <c r="BF995" s="18"/>
      <c r="BG995" s="18"/>
      <c r="BH995" s="18"/>
      <c r="BI995" s="18"/>
      <c r="BJ995" s="18"/>
      <c r="BK995" s="18"/>
      <c r="BL995" s="18"/>
      <c r="BM995" s="18"/>
      <c r="BN995" s="18"/>
    </row>
    <row r="996" spans="1:66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  <c r="AC996" s="18"/>
      <c r="AD996" s="18"/>
      <c r="AE996" s="18"/>
      <c r="AF996" s="18"/>
      <c r="AG996" s="18"/>
      <c r="AH996" s="18"/>
      <c r="AI996" s="18"/>
      <c r="AJ996" s="18"/>
      <c r="AK996" s="18"/>
      <c r="AL996" s="18"/>
      <c r="AM996" s="18"/>
      <c r="AN996" s="18"/>
      <c r="AO996" s="18"/>
      <c r="AP996" s="18"/>
      <c r="AQ996" s="18"/>
      <c r="AR996" s="18"/>
      <c r="AS996" s="18"/>
      <c r="AT996" s="18"/>
      <c r="AU996" s="18"/>
      <c r="AV996" s="18"/>
      <c r="AW996" s="18"/>
      <c r="AX996" s="18"/>
      <c r="AY996" s="18"/>
      <c r="AZ996" s="18"/>
      <c r="BA996" s="18"/>
      <c r="BB996" s="18"/>
      <c r="BC996" s="18"/>
      <c r="BD996" s="18"/>
      <c r="BE996" s="18"/>
      <c r="BF996" s="18"/>
      <c r="BG996" s="18"/>
      <c r="BH996" s="18"/>
      <c r="BI996" s="18"/>
      <c r="BJ996" s="18"/>
      <c r="BK996" s="18"/>
      <c r="BL996" s="18"/>
      <c r="BM996" s="18"/>
      <c r="BN996" s="18"/>
    </row>
    <row r="997" spans="1:66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  <c r="AC997" s="18"/>
      <c r="AD997" s="18"/>
      <c r="AE997" s="18"/>
      <c r="AF997" s="18"/>
      <c r="AG997" s="18"/>
      <c r="AH997" s="18"/>
      <c r="AI997" s="18"/>
      <c r="AJ997" s="18"/>
      <c r="AK997" s="18"/>
      <c r="AL997" s="18"/>
      <c r="AM997" s="18"/>
      <c r="AN997" s="18"/>
      <c r="AO997" s="18"/>
      <c r="AP997" s="18"/>
      <c r="AQ997" s="18"/>
      <c r="AR997" s="18"/>
      <c r="AS997" s="18"/>
      <c r="AT997" s="18"/>
      <c r="AU997" s="18"/>
      <c r="AV997" s="18"/>
      <c r="AW997" s="18"/>
      <c r="AX997" s="18"/>
      <c r="AY997" s="18"/>
      <c r="AZ997" s="18"/>
      <c r="BA997" s="18"/>
      <c r="BB997" s="18"/>
      <c r="BC997" s="18"/>
      <c r="BD997" s="18"/>
      <c r="BE997" s="18"/>
      <c r="BF997" s="18"/>
      <c r="BG997" s="18"/>
      <c r="BH997" s="18"/>
      <c r="BI997" s="18"/>
      <c r="BJ997" s="18"/>
      <c r="BK997" s="18"/>
      <c r="BL997" s="18"/>
      <c r="BM997" s="18"/>
      <c r="BN997" s="18"/>
    </row>
    <row r="998" spans="1:66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  <c r="AB998" s="18"/>
      <c r="AC998" s="18"/>
      <c r="AD998" s="18"/>
      <c r="AE998" s="18"/>
      <c r="AF998" s="18"/>
      <c r="AG998" s="18"/>
      <c r="AH998" s="18"/>
      <c r="AI998" s="18"/>
      <c r="AJ998" s="18"/>
      <c r="AK998" s="18"/>
      <c r="AL998" s="18"/>
      <c r="AM998" s="18"/>
      <c r="AN998" s="18"/>
      <c r="AO998" s="18"/>
      <c r="AP998" s="18"/>
      <c r="AQ998" s="18"/>
      <c r="AR998" s="18"/>
      <c r="AS998" s="18"/>
      <c r="AT998" s="18"/>
      <c r="AU998" s="18"/>
      <c r="AV998" s="18"/>
      <c r="AW998" s="18"/>
      <c r="AX998" s="18"/>
      <c r="AY998" s="18"/>
      <c r="AZ998" s="18"/>
      <c r="BA998" s="18"/>
      <c r="BB998" s="18"/>
      <c r="BC998" s="18"/>
      <c r="BD998" s="18"/>
      <c r="BE998" s="18"/>
      <c r="BF998" s="18"/>
      <c r="BG998" s="18"/>
      <c r="BH998" s="18"/>
      <c r="BI998" s="18"/>
      <c r="BJ998" s="18"/>
      <c r="BK998" s="18"/>
      <c r="BL998" s="18"/>
      <c r="BM998" s="18"/>
      <c r="BN998" s="18"/>
    </row>
    <row r="999" spans="1:66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8"/>
      <c r="AC999" s="18"/>
      <c r="AD999" s="18"/>
      <c r="AE999" s="18"/>
      <c r="AF999" s="18"/>
      <c r="AG999" s="18"/>
      <c r="AH999" s="18"/>
      <c r="AI999" s="18"/>
      <c r="AJ999" s="18"/>
      <c r="AK999" s="18"/>
      <c r="AL999" s="18"/>
      <c r="AM999" s="18"/>
      <c r="AN999" s="18"/>
      <c r="AO999" s="18"/>
      <c r="AP999" s="18"/>
      <c r="AQ999" s="18"/>
      <c r="AR999" s="18"/>
      <c r="AS999" s="18"/>
      <c r="AT999" s="18"/>
      <c r="AU999" s="18"/>
      <c r="AV999" s="18"/>
      <c r="AW999" s="18"/>
      <c r="AX999" s="18"/>
      <c r="AY999" s="18"/>
      <c r="AZ999" s="18"/>
      <c r="BA999" s="18"/>
      <c r="BB999" s="18"/>
      <c r="BC999" s="18"/>
      <c r="BD999" s="18"/>
      <c r="BE999" s="18"/>
      <c r="BF999" s="18"/>
      <c r="BG999" s="18"/>
      <c r="BH999" s="18"/>
      <c r="BI999" s="18"/>
      <c r="BJ999" s="18"/>
      <c r="BK999" s="18"/>
      <c r="BL999" s="18"/>
      <c r="BM999" s="18"/>
      <c r="BN999" s="18"/>
    </row>
    <row r="1000" spans="1:66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  <c r="AB1000" s="18"/>
      <c r="AC1000" s="18"/>
      <c r="AD1000" s="18"/>
      <c r="AE1000" s="18"/>
      <c r="AF1000" s="18"/>
      <c r="AG1000" s="18"/>
      <c r="AH1000" s="18"/>
      <c r="AI1000" s="18"/>
      <c r="AJ1000" s="18"/>
      <c r="AK1000" s="18"/>
      <c r="AL1000" s="18"/>
      <c r="AM1000" s="18"/>
      <c r="AN1000" s="18"/>
      <c r="AO1000" s="18"/>
      <c r="AP1000" s="18"/>
      <c r="AQ1000" s="18"/>
      <c r="AR1000" s="18"/>
      <c r="AS1000" s="18"/>
      <c r="AT1000" s="18"/>
      <c r="AU1000" s="18"/>
      <c r="AV1000" s="18"/>
      <c r="AW1000" s="18"/>
      <c r="AX1000" s="18"/>
      <c r="AY1000" s="18"/>
      <c r="AZ1000" s="18"/>
      <c r="BA1000" s="18"/>
      <c r="BB1000" s="18"/>
      <c r="BC1000" s="18"/>
      <c r="BD1000" s="18"/>
      <c r="BE1000" s="18"/>
      <c r="BF1000" s="18"/>
      <c r="BG1000" s="18"/>
      <c r="BH1000" s="18"/>
      <c r="BI1000" s="18"/>
      <c r="BJ1000" s="18"/>
      <c r="BK1000" s="18"/>
      <c r="BL1000" s="18"/>
      <c r="BM1000" s="18"/>
      <c r="BN1000" s="18"/>
    </row>
    <row r="1001" spans="1:66">
      <c r="A1001" s="18"/>
      <c r="B1001" s="18"/>
      <c r="C1001" s="18"/>
      <c r="D1001" s="18"/>
      <c r="E1001" s="18"/>
      <c r="F1001" s="18"/>
      <c r="G1001" s="18"/>
      <c r="H1001" s="18"/>
      <c r="I1001" s="18"/>
      <c r="J1001" s="18"/>
      <c r="K1001" s="18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18"/>
      <c r="Z1001" s="18"/>
      <c r="AA1001" s="18"/>
      <c r="AB1001" s="18"/>
      <c r="AC1001" s="18"/>
      <c r="AD1001" s="18"/>
      <c r="AE1001" s="18"/>
      <c r="AF1001" s="18"/>
      <c r="AG1001" s="18"/>
      <c r="AH1001" s="18"/>
      <c r="AI1001" s="18"/>
      <c r="AJ1001" s="18"/>
      <c r="AK1001" s="18"/>
      <c r="AL1001" s="18"/>
      <c r="AM1001" s="18"/>
      <c r="AN1001" s="18"/>
      <c r="AO1001" s="18"/>
      <c r="AP1001" s="18"/>
      <c r="AQ1001" s="18"/>
      <c r="AR1001" s="18"/>
      <c r="AS1001" s="18"/>
      <c r="AT1001" s="18"/>
      <c r="AU1001" s="18"/>
      <c r="AV1001" s="18"/>
      <c r="AW1001" s="18"/>
      <c r="AX1001" s="18"/>
      <c r="AY1001" s="18"/>
      <c r="AZ1001" s="18"/>
      <c r="BA1001" s="18"/>
      <c r="BB1001" s="18"/>
      <c r="BC1001" s="18"/>
      <c r="BD1001" s="18"/>
      <c r="BE1001" s="18"/>
      <c r="BF1001" s="18"/>
      <c r="BG1001" s="18"/>
      <c r="BH1001" s="18"/>
      <c r="BI1001" s="18"/>
      <c r="BJ1001" s="18"/>
      <c r="BK1001" s="18"/>
      <c r="BL1001" s="18"/>
      <c r="BM1001" s="18"/>
      <c r="BN1001" s="18"/>
    </row>
    <row r="1002" spans="1:66">
      <c r="A1002" s="18"/>
      <c r="B1002" s="18"/>
      <c r="C1002" s="18"/>
      <c r="D1002" s="18"/>
      <c r="E1002" s="18"/>
      <c r="F1002" s="18"/>
      <c r="G1002" s="18"/>
      <c r="H1002" s="18"/>
      <c r="I1002" s="18"/>
      <c r="J1002" s="18"/>
      <c r="K1002" s="18"/>
      <c r="L1002" s="18"/>
      <c r="M1002" s="18"/>
      <c r="N1002" s="18"/>
      <c r="O1002" s="18"/>
      <c r="P1002" s="18"/>
      <c r="Q1002" s="18"/>
      <c r="R1002" s="18"/>
      <c r="S1002" s="18"/>
      <c r="T1002" s="18"/>
      <c r="U1002" s="18"/>
      <c r="V1002" s="18"/>
      <c r="W1002" s="18"/>
      <c r="X1002" s="18"/>
      <c r="Y1002" s="18"/>
      <c r="Z1002" s="18"/>
      <c r="AA1002" s="18"/>
      <c r="AB1002" s="18"/>
      <c r="AC1002" s="18"/>
      <c r="AD1002" s="18"/>
      <c r="AE1002" s="18"/>
      <c r="AF1002" s="18"/>
      <c r="AG1002" s="18"/>
      <c r="AH1002" s="18"/>
      <c r="AI1002" s="18"/>
      <c r="AJ1002" s="18"/>
      <c r="AK1002" s="18"/>
      <c r="AL1002" s="18"/>
      <c r="AM1002" s="18"/>
      <c r="AN1002" s="18"/>
      <c r="AO1002" s="18"/>
      <c r="AP1002" s="18"/>
      <c r="AQ1002" s="18"/>
      <c r="AR1002" s="18"/>
      <c r="AS1002" s="18"/>
      <c r="AT1002" s="18"/>
      <c r="AU1002" s="18"/>
      <c r="AV1002" s="18"/>
      <c r="AW1002" s="18"/>
      <c r="AX1002" s="18"/>
      <c r="AY1002" s="18"/>
      <c r="AZ1002" s="18"/>
      <c r="BA1002" s="18"/>
      <c r="BB1002" s="18"/>
      <c r="BC1002" s="18"/>
      <c r="BD1002" s="18"/>
      <c r="BE1002" s="18"/>
      <c r="BF1002" s="18"/>
      <c r="BG1002" s="18"/>
      <c r="BH1002" s="18"/>
      <c r="BI1002" s="18"/>
      <c r="BJ1002" s="18"/>
      <c r="BK1002" s="18"/>
      <c r="BL1002" s="18"/>
      <c r="BM1002" s="18"/>
      <c r="BN1002" s="18"/>
    </row>
    <row r="1003" spans="1:66">
      <c r="A1003" s="18"/>
      <c r="B1003" s="18"/>
      <c r="C1003" s="18"/>
      <c r="D1003" s="18"/>
      <c r="E1003" s="18"/>
      <c r="F1003" s="18"/>
      <c r="G1003" s="18"/>
      <c r="H1003" s="18"/>
      <c r="I1003" s="18"/>
      <c r="J1003" s="18"/>
      <c r="K1003" s="18"/>
      <c r="L1003" s="18"/>
      <c r="M1003" s="18"/>
      <c r="N1003" s="18"/>
      <c r="O1003" s="18"/>
      <c r="P1003" s="18"/>
      <c r="Q1003" s="18"/>
      <c r="R1003" s="18"/>
      <c r="S1003" s="18"/>
      <c r="T1003" s="18"/>
      <c r="U1003" s="18"/>
      <c r="V1003" s="18"/>
      <c r="W1003" s="18"/>
      <c r="X1003" s="18"/>
      <c r="Y1003" s="18"/>
      <c r="Z1003" s="18"/>
      <c r="AA1003" s="18"/>
      <c r="AB1003" s="18"/>
      <c r="AC1003" s="18"/>
      <c r="AD1003" s="18"/>
      <c r="AE1003" s="18"/>
      <c r="AF1003" s="18"/>
      <c r="AG1003" s="18"/>
      <c r="AH1003" s="18"/>
      <c r="AI1003" s="18"/>
      <c r="AJ1003" s="18"/>
      <c r="AK1003" s="18"/>
      <c r="AL1003" s="18"/>
      <c r="AM1003" s="18"/>
      <c r="AN1003" s="18"/>
      <c r="AO1003" s="18"/>
      <c r="AP1003" s="18"/>
      <c r="AQ1003" s="18"/>
      <c r="AR1003" s="18"/>
      <c r="AS1003" s="18"/>
      <c r="AT1003" s="18"/>
      <c r="AU1003" s="18"/>
      <c r="AV1003" s="18"/>
      <c r="AW1003" s="18"/>
      <c r="AX1003" s="18"/>
      <c r="AY1003" s="18"/>
      <c r="AZ1003" s="18"/>
      <c r="BA1003" s="18"/>
      <c r="BB1003" s="18"/>
      <c r="BC1003" s="18"/>
      <c r="BD1003" s="18"/>
      <c r="BE1003" s="18"/>
      <c r="BF1003" s="18"/>
      <c r="BG1003" s="18"/>
      <c r="BH1003" s="18"/>
      <c r="BI1003" s="18"/>
      <c r="BJ1003" s="18"/>
      <c r="BK1003" s="18"/>
      <c r="BL1003" s="18"/>
      <c r="BM1003" s="18"/>
      <c r="BN1003" s="18"/>
    </row>
    <row r="1004" spans="1:66">
      <c r="A1004" s="18"/>
      <c r="B1004" s="18"/>
      <c r="C1004" s="18"/>
      <c r="D1004" s="18"/>
      <c r="E1004" s="18"/>
      <c r="F1004" s="18"/>
      <c r="G1004" s="18"/>
      <c r="H1004" s="18"/>
      <c r="I1004" s="18"/>
      <c r="J1004" s="18"/>
      <c r="K1004" s="18"/>
      <c r="L1004" s="18"/>
      <c r="M1004" s="18"/>
      <c r="N1004" s="18"/>
      <c r="O1004" s="18"/>
      <c r="P1004" s="18"/>
      <c r="Q1004" s="18"/>
      <c r="R1004" s="18"/>
      <c r="S1004" s="18"/>
      <c r="T1004" s="18"/>
      <c r="U1004" s="18"/>
      <c r="V1004" s="18"/>
      <c r="W1004" s="18"/>
      <c r="X1004" s="18"/>
      <c r="Y1004" s="18"/>
      <c r="Z1004" s="18"/>
      <c r="AA1004" s="18"/>
      <c r="AB1004" s="18"/>
      <c r="AC1004" s="18"/>
      <c r="AD1004" s="18"/>
      <c r="AE1004" s="18"/>
      <c r="AF1004" s="18"/>
      <c r="AG1004" s="18"/>
      <c r="AH1004" s="18"/>
      <c r="AI1004" s="18"/>
      <c r="AJ1004" s="18"/>
      <c r="AK1004" s="18"/>
      <c r="AL1004" s="18"/>
      <c r="AM1004" s="18"/>
      <c r="AN1004" s="18"/>
      <c r="AO1004" s="18"/>
      <c r="AP1004" s="18"/>
      <c r="AQ1004" s="18"/>
      <c r="AR1004" s="18"/>
      <c r="AS1004" s="18"/>
      <c r="AT1004" s="18"/>
      <c r="AU1004" s="18"/>
      <c r="AV1004" s="18"/>
      <c r="AW1004" s="18"/>
      <c r="AX1004" s="18"/>
      <c r="AY1004" s="18"/>
      <c r="AZ1004" s="18"/>
      <c r="BA1004" s="18"/>
      <c r="BB1004" s="18"/>
      <c r="BC1004" s="18"/>
      <c r="BD1004" s="18"/>
      <c r="BE1004" s="18"/>
      <c r="BF1004" s="18"/>
      <c r="BG1004" s="18"/>
      <c r="BH1004" s="18"/>
      <c r="BI1004" s="18"/>
      <c r="BJ1004" s="18"/>
      <c r="BK1004" s="18"/>
      <c r="BL1004" s="18"/>
      <c r="BM1004" s="18"/>
      <c r="BN1004" s="18"/>
    </row>
    <row r="1005" spans="1:66">
      <c r="A1005" s="18"/>
      <c r="B1005" s="18"/>
      <c r="C1005" s="18"/>
      <c r="D1005" s="18"/>
      <c r="E1005" s="18"/>
      <c r="F1005" s="18"/>
      <c r="G1005" s="18"/>
      <c r="H1005" s="18"/>
      <c r="I1005" s="18"/>
      <c r="J1005" s="18"/>
      <c r="K1005" s="18"/>
      <c r="L1005" s="18"/>
      <c r="M1005" s="18"/>
      <c r="N1005" s="18"/>
      <c r="O1005" s="18"/>
      <c r="P1005" s="18"/>
      <c r="Q1005" s="18"/>
      <c r="R1005" s="18"/>
      <c r="S1005" s="18"/>
      <c r="T1005" s="18"/>
      <c r="U1005" s="18"/>
      <c r="V1005" s="18"/>
      <c r="W1005" s="18"/>
      <c r="X1005" s="18"/>
      <c r="Y1005" s="18"/>
      <c r="Z1005" s="18"/>
      <c r="AA1005" s="18"/>
      <c r="AB1005" s="18"/>
      <c r="AC1005" s="18"/>
      <c r="AD1005" s="18"/>
      <c r="AE1005" s="18"/>
      <c r="AF1005" s="18"/>
      <c r="AG1005" s="18"/>
      <c r="AH1005" s="18"/>
      <c r="AI1005" s="18"/>
      <c r="AJ1005" s="18"/>
      <c r="AK1005" s="18"/>
      <c r="AL1005" s="18"/>
      <c r="AM1005" s="18"/>
      <c r="AN1005" s="18"/>
      <c r="AO1005" s="18"/>
      <c r="AP1005" s="18"/>
      <c r="AQ1005" s="18"/>
      <c r="AR1005" s="18"/>
      <c r="AS1005" s="18"/>
      <c r="AT1005" s="18"/>
      <c r="AU1005" s="18"/>
      <c r="AV1005" s="18"/>
      <c r="AW1005" s="18"/>
      <c r="AX1005" s="18"/>
      <c r="AY1005" s="18"/>
      <c r="AZ1005" s="18"/>
      <c r="BA1005" s="18"/>
      <c r="BB1005" s="18"/>
      <c r="BC1005" s="18"/>
      <c r="BD1005" s="18"/>
      <c r="BE1005" s="18"/>
      <c r="BF1005" s="18"/>
      <c r="BG1005" s="18"/>
      <c r="BH1005" s="18"/>
      <c r="BI1005" s="18"/>
      <c r="BJ1005" s="18"/>
      <c r="BK1005" s="18"/>
      <c r="BL1005" s="18"/>
      <c r="BM1005" s="18"/>
      <c r="BN1005" s="18"/>
    </row>
    <row r="1006" spans="1:66">
      <c r="A1006" s="18"/>
      <c r="B1006" s="18"/>
      <c r="C1006" s="18"/>
      <c r="D1006" s="18"/>
      <c r="E1006" s="18"/>
      <c r="F1006" s="18"/>
      <c r="G1006" s="18"/>
      <c r="H1006" s="18"/>
      <c r="I1006" s="18"/>
      <c r="J1006" s="18"/>
      <c r="K1006" s="18"/>
      <c r="L1006" s="18"/>
      <c r="M1006" s="18"/>
      <c r="N1006" s="18"/>
      <c r="O1006" s="18"/>
      <c r="P1006" s="18"/>
      <c r="Q1006" s="18"/>
      <c r="R1006" s="18"/>
      <c r="S1006" s="18"/>
      <c r="T1006" s="18"/>
      <c r="U1006" s="18"/>
      <c r="V1006" s="18"/>
      <c r="W1006" s="18"/>
      <c r="X1006" s="18"/>
      <c r="Y1006" s="18"/>
      <c r="Z1006" s="18"/>
      <c r="AA1006" s="18"/>
      <c r="AB1006" s="18"/>
      <c r="AC1006" s="18"/>
      <c r="AD1006" s="18"/>
      <c r="AE1006" s="18"/>
      <c r="AF1006" s="18"/>
      <c r="AG1006" s="18"/>
      <c r="AH1006" s="18"/>
      <c r="AI1006" s="18"/>
      <c r="AJ1006" s="18"/>
      <c r="AK1006" s="18"/>
      <c r="AL1006" s="18"/>
      <c r="AM1006" s="18"/>
      <c r="AN1006" s="18"/>
      <c r="AO1006" s="18"/>
      <c r="AP1006" s="18"/>
      <c r="AQ1006" s="18"/>
      <c r="AR1006" s="18"/>
      <c r="AS1006" s="18"/>
      <c r="AT1006" s="18"/>
      <c r="AU1006" s="18"/>
      <c r="AV1006" s="18"/>
      <c r="AW1006" s="18"/>
      <c r="AX1006" s="18"/>
      <c r="AY1006" s="18"/>
      <c r="AZ1006" s="18"/>
      <c r="BA1006" s="18"/>
      <c r="BB1006" s="18"/>
      <c r="BC1006" s="18"/>
      <c r="BD1006" s="18"/>
      <c r="BE1006" s="18"/>
      <c r="BF1006" s="18"/>
      <c r="BG1006" s="18"/>
      <c r="BH1006" s="18"/>
      <c r="BI1006" s="18"/>
      <c r="BJ1006" s="18"/>
      <c r="BK1006" s="18"/>
      <c r="BL1006" s="18"/>
      <c r="BM1006" s="18"/>
      <c r="BN1006" s="18"/>
    </row>
    <row r="1007" spans="1:66">
      <c r="A1007" s="18"/>
      <c r="B1007" s="18"/>
      <c r="C1007" s="18"/>
      <c r="D1007" s="18"/>
      <c r="E1007" s="18"/>
      <c r="F1007" s="18"/>
      <c r="G1007" s="18"/>
      <c r="H1007" s="18"/>
      <c r="I1007" s="18"/>
      <c r="J1007" s="18"/>
      <c r="K1007" s="18"/>
      <c r="L1007" s="18"/>
      <c r="M1007" s="18"/>
      <c r="N1007" s="18"/>
      <c r="O1007" s="18"/>
      <c r="P1007" s="18"/>
      <c r="Q1007" s="18"/>
      <c r="R1007" s="18"/>
      <c r="S1007" s="18"/>
      <c r="T1007" s="18"/>
      <c r="U1007" s="18"/>
      <c r="V1007" s="18"/>
      <c r="W1007" s="18"/>
      <c r="X1007" s="18"/>
      <c r="Y1007" s="18"/>
      <c r="Z1007" s="18"/>
      <c r="AA1007" s="18"/>
      <c r="AB1007" s="18"/>
      <c r="AC1007" s="18"/>
      <c r="AD1007" s="18"/>
      <c r="AE1007" s="18"/>
      <c r="AF1007" s="18"/>
      <c r="AG1007" s="18"/>
      <c r="AH1007" s="18"/>
      <c r="AI1007" s="18"/>
      <c r="AJ1007" s="18"/>
      <c r="AK1007" s="18"/>
      <c r="AL1007" s="18"/>
      <c r="AM1007" s="18"/>
      <c r="AN1007" s="18"/>
      <c r="AO1007" s="18"/>
      <c r="AP1007" s="18"/>
      <c r="AQ1007" s="18"/>
      <c r="AR1007" s="18"/>
      <c r="AS1007" s="18"/>
      <c r="AT1007" s="18"/>
      <c r="AU1007" s="18"/>
      <c r="AV1007" s="18"/>
      <c r="AW1007" s="18"/>
      <c r="AX1007" s="18"/>
      <c r="AY1007" s="18"/>
      <c r="AZ1007" s="18"/>
      <c r="BA1007" s="18"/>
      <c r="BB1007" s="18"/>
      <c r="BC1007" s="18"/>
      <c r="BD1007" s="18"/>
      <c r="BE1007" s="18"/>
      <c r="BF1007" s="18"/>
      <c r="BG1007" s="18"/>
      <c r="BH1007" s="18"/>
      <c r="BI1007" s="18"/>
      <c r="BJ1007" s="18"/>
      <c r="BK1007" s="18"/>
      <c r="BL1007" s="18"/>
      <c r="BM1007" s="18"/>
      <c r="BN1007" s="18"/>
    </row>
    <row r="1008" spans="1:66">
      <c r="A1008" s="18"/>
      <c r="B1008" s="18"/>
      <c r="C1008" s="18"/>
      <c r="D1008" s="18"/>
      <c r="E1008" s="18"/>
      <c r="F1008" s="18"/>
      <c r="G1008" s="18"/>
      <c r="H1008" s="18"/>
      <c r="I1008" s="18"/>
      <c r="J1008" s="18"/>
      <c r="K1008" s="18"/>
      <c r="L1008" s="18"/>
      <c r="M1008" s="18"/>
      <c r="N1008" s="18"/>
      <c r="O1008" s="18"/>
      <c r="P1008" s="18"/>
      <c r="Q1008" s="18"/>
      <c r="R1008" s="18"/>
      <c r="S1008" s="18"/>
      <c r="T1008" s="18"/>
      <c r="U1008" s="18"/>
      <c r="V1008" s="18"/>
      <c r="W1008" s="18"/>
      <c r="X1008" s="18"/>
      <c r="Y1008" s="18"/>
      <c r="Z1008" s="18"/>
      <c r="AA1008" s="18"/>
      <c r="AB1008" s="18"/>
      <c r="AC1008" s="18"/>
      <c r="AD1008" s="18"/>
      <c r="AE1008" s="18"/>
      <c r="AF1008" s="18"/>
      <c r="AG1008" s="18"/>
      <c r="AH1008" s="18"/>
      <c r="AI1008" s="18"/>
      <c r="AJ1008" s="18"/>
      <c r="AK1008" s="18"/>
      <c r="AL1008" s="18"/>
      <c r="AM1008" s="18"/>
      <c r="AN1008" s="18"/>
      <c r="AO1008" s="18"/>
      <c r="AP1008" s="18"/>
      <c r="AQ1008" s="18"/>
      <c r="AR1008" s="18"/>
      <c r="AS1008" s="18"/>
      <c r="AT1008" s="18"/>
      <c r="AU1008" s="18"/>
      <c r="AV1008" s="18"/>
      <c r="AW1008" s="18"/>
      <c r="AX1008" s="18"/>
      <c r="AY1008" s="18"/>
      <c r="AZ1008" s="18"/>
      <c r="BA1008" s="18"/>
      <c r="BB1008" s="18"/>
      <c r="BC1008" s="18"/>
      <c r="BD1008" s="18"/>
      <c r="BE1008" s="18"/>
      <c r="BF1008" s="18"/>
      <c r="BG1008" s="18"/>
      <c r="BH1008" s="18"/>
      <c r="BI1008" s="18"/>
      <c r="BJ1008" s="18"/>
      <c r="BK1008" s="18"/>
      <c r="BL1008" s="18"/>
      <c r="BM1008" s="18"/>
      <c r="BN1008" s="18"/>
    </row>
    <row r="1009" spans="1:66">
      <c r="A1009" s="18"/>
      <c r="B1009" s="18"/>
      <c r="C1009" s="18"/>
      <c r="D1009" s="18"/>
      <c r="E1009" s="18"/>
      <c r="F1009" s="18"/>
      <c r="G1009" s="18"/>
      <c r="H1009" s="18"/>
      <c r="I1009" s="18"/>
      <c r="J1009" s="18"/>
      <c r="K1009" s="18"/>
      <c r="L1009" s="18"/>
      <c r="M1009" s="18"/>
      <c r="N1009" s="18"/>
      <c r="O1009" s="18"/>
      <c r="P1009" s="18"/>
      <c r="Q1009" s="18"/>
      <c r="R1009" s="18"/>
      <c r="S1009" s="18"/>
      <c r="T1009" s="18"/>
      <c r="U1009" s="18"/>
      <c r="V1009" s="18"/>
      <c r="W1009" s="18"/>
      <c r="X1009" s="18"/>
      <c r="Y1009" s="18"/>
      <c r="Z1009" s="18"/>
      <c r="AA1009" s="18"/>
      <c r="AB1009" s="18"/>
      <c r="AC1009" s="18"/>
      <c r="AD1009" s="18"/>
      <c r="AE1009" s="18"/>
      <c r="AF1009" s="18"/>
      <c r="AG1009" s="18"/>
      <c r="AH1009" s="18"/>
      <c r="AI1009" s="18"/>
      <c r="AJ1009" s="18"/>
      <c r="AK1009" s="18"/>
      <c r="AL1009" s="18"/>
      <c r="AM1009" s="18"/>
      <c r="AN1009" s="18"/>
      <c r="AO1009" s="18"/>
      <c r="AP1009" s="18"/>
      <c r="AQ1009" s="18"/>
      <c r="AR1009" s="18"/>
      <c r="AS1009" s="18"/>
      <c r="AT1009" s="18"/>
      <c r="AU1009" s="18"/>
      <c r="AV1009" s="18"/>
      <c r="AW1009" s="18"/>
      <c r="AX1009" s="18"/>
      <c r="AY1009" s="18"/>
      <c r="AZ1009" s="18"/>
      <c r="BA1009" s="18"/>
      <c r="BB1009" s="18"/>
      <c r="BC1009" s="18"/>
      <c r="BD1009" s="18"/>
      <c r="BE1009" s="18"/>
      <c r="BF1009" s="18"/>
      <c r="BG1009" s="18"/>
      <c r="BH1009" s="18"/>
      <c r="BI1009" s="18"/>
      <c r="BJ1009" s="18"/>
      <c r="BK1009" s="18"/>
      <c r="BL1009" s="18"/>
      <c r="BM1009" s="18"/>
      <c r="BN1009" s="18"/>
    </row>
    <row r="1010" spans="1:66">
      <c r="A1010" s="18"/>
      <c r="B1010" s="18"/>
      <c r="C1010" s="18"/>
      <c r="D1010" s="18"/>
      <c r="E1010" s="18"/>
      <c r="F1010" s="18"/>
      <c r="G1010" s="18"/>
      <c r="H1010" s="18"/>
      <c r="I1010" s="18"/>
      <c r="J1010" s="18"/>
      <c r="K1010" s="18"/>
      <c r="L1010" s="18"/>
      <c r="M1010" s="18"/>
      <c r="N1010" s="18"/>
      <c r="O1010" s="18"/>
      <c r="P1010" s="18"/>
      <c r="Q1010" s="18"/>
      <c r="R1010" s="18"/>
      <c r="S1010" s="18"/>
      <c r="T1010" s="18"/>
      <c r="U1010" s="18"/>
      <c r="V1010" s="18"/>
      <c r="W1010" s="18"/>
      <c r="X1010" s="18"/>
      <c r="Y1010" s="18"/>
      <c r="Z1010" s="18"/>
      <c r="AA1010" s="18"/>
      <c r="AB1010" s="18"/>
      <c r="AC1010" s="18"/>
      <c r="AD1010" s="18"/>
      <c r="AE1010" s="18"/>
      <c r="AF1010" s="18"/>
      <c r="AG1010" s="18"/>
      <c r="AH1010" s="18"/>
      <c r="AI1010" s="18"/>
      <c r="AJ1010" s="18"/>
      <c r="AK1010" s="18"/>
      <c r="AL1010" s="18"/>
      <c r="AM1010" s="18"/>
      <c r="AN1010" s="18"/>
      <c r="AO1010" s="18"/>
      <c r="AP1010" s="18"/>
      <c r="AQ1010" s="18"/>
      <c r="AR1010" s="18"/>
      <c r="AS1010" s="18"/>
      <c r="AT1010" s="18"/>
      <c r="AU1010" s="18"/>
      <c r="AV1010" s="18"/>
      <c r="AW1010" s="18"/>
      <c r="AX1010" s="18"/>
      <c r="AY1010" s="18"/>
      <c r="AZ1010" s="18"/>
      <c r="BA1010" s="18"/>
      <c r="BB1010" s="18"/>
      <c r="BC1010" s="18"/>
      <c r="BD1010" s="18"/>
      <c r="BE1010" s="18"/>
      <c r="BF1010" s="18"/>
      <c r="BG1010" s="18"/>
      <c r="BH1010" s="18"/>
      <c r="BI1010" s="18"/>
      <c r="BJ1010" s="18"/>
      <c r="BK1010" s="18"/>
      <c r="BL1010" s="18"/>
      <c r="BM1010" s="18"/>
      <c r="BN1010" s="18"/>
    </row>
    <row r="1011" spans="1:66">
      <c r="A1011" s="18"/>
      <c r="B1011" s="18"/>
      <c r="C1011" s="18"/>
      <c r="D1011" s="18"/>
      <c r="E1011" s="18"/>
      <c r="F1011" s="18"/>
      <c r="G1011" s="18"/>
      <c r="H1011" s="18"/>
      <c r="I1011" s="18"/>
      <c r="J1011" s="18"/>
      <c r="K1011" s="18"/>
      <c r="L1011" s="18"/>
      <c r="M1011" s="18"/>
      <c r="N1011" s="18"/>
      <c r="O1011" s="18"/>
      <c r="P1011" s="18"/>
      <c r="Q1011" s="18"/>
      <c r="R1011" s="18"/>
      <c r="S1011" s="18"/>
      <c r="T1011" s="18"/>
      <c r="U1011" s="18"/>
      <c r="V1011" s="18"/>
      <c r="W1011" s="18"/>
      <c r="X1011" s="18"/>
      <c r="Y1011" s="18"/>
      <c r="Z1011" s="18"/>
      <c r="AA1011" s="18"/>
      <c r="AB1011" s="18"/>
      <c r="AC1011" s="18"/>
      <c r="AD1011" s="18"/>
      <c r="AE1011" s="18"/>
      <c r="AF1011" s="18"/>
      <c r="AG1011" s="18"/>
      <c r="AH1011" s="18"/>
      <c r="AI1011" s="18"/>
      <c r="AJ1011" s="18"/>
      <c r="AK1011" s="18"/>
      <c r="AL1011" s="18"/>
      <c r="AM1011" s="18"/>
      <c r="AN1011" s="18"/>
      <c r="AO1011" s="18"/>
      <c r="AP1011" s="18"/>
      <c r="AQ1011" s="18"/>
      <c r="AR1011" s="18"/>
      <c r="AS1011" s="18"/>
      <c r="AT1011" s="18"/>
      <c r="AU1011" s="18"/>
      <c r="AV1011" s="18"/>
      <c r="AW1011" s="18"/>
      <c r="AX1011" s="18"/>
      <c r="AY1011" s="18"/>
      <c r="AZ1011" s="18"/>
      <c r="BA1011" s="18"/>
      <c r="BB1011" s="18"/>
      <c r="BC1011" s="18"/>
      <c r="BD1011" s="18"/>
      <c r="BE1011" s="18"/>
      <c r="BF1011" s="18"/>
      <c r="BG1011" s="18"/>
      <c r="BH1011" s="18"/>
      <c r="BI1011" s="18"/>
      <c r="BJ1011" s="18"/>
      <c r="BK1011" s="18"/>
      <c r="BL1011" s="18"/>
      <c r="BM1011" s="18"/>
      <c r="BN1011" s="18"/>
    </row>
    <row r="1012" spans="1:66">
      <c r="A1012" s="18"/>
      <c r="B1012" s="18"/>
      <c r="C1012" s="18"/>
      <c r="D1012" s="18"/>
      <c r="E1012" s="18"/>
      <c r="F1012" s="18"/>
      <c r="G1012" s="18"/>
      <c r="H1012" s="18"/>
      <c r="I1012" s="18"/>
      <c r="J1012" s="18"/>
      <c r="K1012" s="18"/>
      <c r="L1012" s="18"/>
      <c r="M1012" s="18"/>
      <c r="N1012" s="18"/>
      <c r="O1012" s="18"/>
      <c r="P1012" s="18"/>
      <c r="Q1012" s="18"/>
      <c r="R1012" s="18"/>
      <c r="S1012" s="18"/>
      <c r="T1012" s="18"/>
      <c r="U1012" s="18"/>
      <c r="V1012" s="18"/>
      <c r="W1012" s="18"/>
      <c r="X1012" s="18"/>
      <c r="Y1012" s="18"/>
      <c r="Z1012" s="18"/>
      <c r="AA1012" s="18"/>
      <c r="AB1012" s="18"/>
      <c r="AC1012" s="18"/>
      <c r="AD1012" s="18"/>
      <c r="AE1012" s="18"/>
      <c r="AF1012" s="18"/>
      <c r="AG1012" s="18"/>
      <c r="AH1012" s="18"/>
      <c r="AI1012" s="18"/>
      <c r="AJ1012" s="18"/>
      <c r="AK1012" s="18"/>
      <c r="AL1012" s="18"/>
      <c r="AM1012" s="18"/>
      <c r="AN1012" s="18"/>
      <c r="AO1012" s="18"/>
      <c r="AP1012" s="18"/>
      <c r="AQ1012" s="18"/>
      <c r="AR1012" s="18"/>
      <c r="AS1012" s="18"/>
      <c r="AT1012" s="18"/>
      <c r="AU1012" s="18"/>
      <c r="AV1012" s="18"/>
      <c r="AW1012" s="18"/>
      <c r="AX1012" s="18"/>
      <c r="AY1012" s="18"/>
      <c r="AZ1012" s="18"/>
      <c r="BA1012" s="18"/>
      <c r="BB1012" s="18"/>
      <c r="BC1012" s="18"/>
      <c r="BD1012" s="18"/>
      <c r="BE1012" s="18"/>
      <c r="BF1012" s="18"/>
      <c r="BG1012" s="18"/>
      <c r="BH1012" s="18"/>
      <c r="BI1012" s="18"/>
      <c r="BJ1012" s="18"/>
      <c r="BK1012" s="18"/>
      <c r="BL1012" s="18"/>
      <c r="BM1012" s="18"/>
      <c r="BN1012" s="18"/>
    </row>
    <row r="1013" spans="1:66">
      <c r="A1013" s="18"/>
      <c r="B1013" s="18"/>
      <c r="C1013" s="18"/>
      <c r="D1013" s="18"/>
      <c r="E1013" s="18"/>
      <c r="F1013" s="18"/>
      <c r="G1013" s="18"/>
      <c r="H1013" s="18"/>
      <c r="I1013" s="18"/>
      <c r="J1013" s="18"/>
      <c r="K1013" s="18"/>
      <c r="L1013" s="18"/>
      <c r="M1013" s="18"/>
      <c r="N1013" s="18"/>
      <c r="O1013" s="18"/>
      <c r="P1013" s="18"/>
      <c r="Q1013" s="18"/>
      <c r="R1013" s="18"/>
      <c r="S1013" s="18"/>
      <c r="T1013" s="18"/>
      <c r="U1013" s="18"/>
      <c r="V1013" s="18"/>
      <c r="W1013" s="18"/>
      <c r="X1013" s="18"/>
      <c r="Y1013" s="18"/>
      <c r="Z1013" s="18"/>
      <c r="AA1013" s="18"/>
      <c r="AB1013" s="18"/>
      <c r="AC1013" s="18"/>
      <c r="AD1013" s="18"/>
      <c r="AE1013" s="18"/>
      <c r="AF1013" s="18"/>
      <c r="AG1013" s="18"/>
      <c r="AH1013" s="18"/>
      <c r="AI1013" s="18"/>
      <c r="AJ1013" s="18"/>
      <c r="AK1013" s="18"/>
      <c r="AL1013" s="18"/>
      <c r="AM1013" s="18"/>
      <c r="AN1013" s="18"/>
      <c r="AO1013" s="18"/>
      <c r="AP1013" s="18"/>
      <c r="AQ1013" s="18"/>
      <c r="AR1013" s="18"/>
      <c r="AS1013" s="18"/>
      <c r="AT1013" s="18"/>
      <c r="AU1013" s="18"/>
      <c r="AV1013" s="18"/>
      <c r="AW1013" s="18"/>
      <c r="AX1013" s="18"/>
      <c r="AY1013" s="18"/>
      <c r="AZ1013" s="18"/>
      <c r="BA1013" s="18"/>
      <c r="BB1013" s="18"/>
      <c r="BC1013" s="18"/>
      <c r="BD1013" s="18"/>
      <c r="BE1013" s="18"/>
      <c r="BF1013" s="18"/>
      <c r="BG1013" s="18"/>
      <c r="BH1013" s="18"/>
      <c r="BI1013" s="18"/>
      <c r="BJ1013" s="18"/>
      <c r="BK1013" s="18"/>
      <c r="BL1013" s="18"/>
      <c r="BM1013" s="18"/>
      <c r="BN1013" s="18"/>
    </row>
    <row r="1014" spans="1:66">
      <c r="A1014" s="18"/>
      <c r="B1014" s="18"/>
      <c r="C1014" s="18"/>
      <c r="D1014" s="18"/>
      <c r="E1014" s="18"/>
      <c r="F1014" s="18"/>
      <c r="G1014" s="18"/>
      <c r="H1014" s="18"/>
      <c r="I1014" s="18"/>
      <c r="J1014" s="18"/>
      <c r="K1014" s="18"/>
      <c r="L1014" s="18"/>
      <c r="M1014" s="18"/>
      <c r="N1014" s="18"/>
      <c r="O1014" s="18"/>
      <c r="P1014" s="18"/>
      <c r="Q1014" s="18"/>
      <c r="R1014" s="18"/>
      <c r="S1014" s="18"/>
      <c r="T1014" s="18"/>
      <c r="U1014" s="18"/>
      <c r="V1014" s="18"/>
      <c r="W1014" s="18"/>
      <c r="X1014" s="18"/>
      <c r="Y1014" s="18"/>
      <c r="Z1014" s="18"/>
      <c r="AA1014" s="18"/>
      <c r="AB1014" s="18"/>
      <c r="AC1014" s="18"/>
      <c r="AD1014" s="18"/>
      <c r="AE1014" s="18"/>
      <c r="AF1014" s="18"/>
      <c r="AG1014" s="18"/>
      <c r="AH1014" s="18"/>
      <c r="AI1014" s="18"/>
      <c r="AJ1014" s="18"/>
      <c r="AK1014" s="18"/>
      <c r="AL1014" s="18"/>
      <c r="AM1014" s="18"/>
      <c r="AN1014" s="18"/>
      <c r="AO1014" s="18"/>
      <c r="AP1014" s="18"/>
      <c r="AQ1014" s="18"/>
      <c r="AR1014" s="18"/>
      <c r="AS1014" s="18"/>
      <c r="AT1014" s="18"/>
      <c r="AU1014" s="18"/>
      <c r="AV1014" s="18"/>
      <c r="AW1014" s="18"/>
      <c r="AX1014" s="18"/>
      <c r="AY1014" s="18"/>
      <c r="AZ1014" s="18"/>
      <c r="BA1014" s="18"/>
      <c r="BB1014" s="18"/>
      <c r="BC1014" s="18"/>
      <c r="BD1014" s="18"/>
      <c r="BE1014" s="18"/>
      <c r="BF1014" s="18"/>
      <c r="BG1014" s="18"/>
      <c r="BH1014" s="18"/>
      <c r="BI1014" s="18"/>
      <c r="BJ1014" s="18"/>
      <c r="BK1014" s="18"/>
      <c r="BL1014" s="18"/>
      <c r="BM1014" s="18"/>
      <c r="BN1014" s="18"/>
    </row>
    <row r="1015" spans="1:66">
      <c r="A1015" s="18"/>
      <c r="B1015" s="18"/>
      <c r="C1015" s="18"/>
      <c r="D1015" s="18"/>
      <c r="E1015" s="18"/>
      <c r="F1015" s="18"/>
      <c r="G1015" s="18"/>
      <c r="H1015" s="18"/>
      <c r="I1015" s="18"/>
      <c r="J1015" s="18"/>
      <c r="K1015" s="18"/>
      <c r="L1015" s="18"/>
      <c r="M1015" s="18"/>
      <c r="N1015" s="18"/>
      <c r="O1015" s="18"/>
      <c r="P1015" s="18"/>
      <c r="Q1015" s="18"/>
      <c r="R1015" s="18"/>
      <c r="S1015" s="18"/>
      <c r="T1015" s="18"/>
      <c r="U1015" s="18"/>
      <c r="V1015" s="18"/>
      <c r="W1015" s="18"/>
      <c r="X1015" s="18"/>
      <c r="Y1015" s="18"/>
      <c r="Z1015" s="18"/>
      <c r="AA1015" s="18"/>
      <c r="AB1015" s="18"/>
      <c r="AC1015" s="18"/>
      <c r="AD1015" s="18"/>
      <c r="AE1015" s="18"/>
      <c r="AF1015" s="18"/>
      <c r="AG1015" s="18"/>
      <c r="AH1015" s="18"/>
      <c r="AI1015" s="18"/>
      <c r="AJ1015" s="18"/>
      <c r="AK1015" s="18"/>
      <c r="AL1015" s="18"/>
      <c r="AM1015" s="18"/>
      <c r="AN1015" s="18"/>
      <c r="AO1015" s="18"/>
      <c r="AP1015" s="18"/>
      <c r="AQ1015" s="18"/>
      <c r="AR1015" s="18"/>
      <c r="AS1015" s="18"/>
      <c r="AT1015" s="18"/>
      <c r="AU1015" s="18"/>
      <c r="AV1015" s="18"/>
      <c r="AW1015" s="18"/>
      <c r="AX1015" s="18"/>
      <c r="AY1015" s="18"/>
      <c r="AZ1015" s="18"/>
      <c r="BA1015" s="18"/>
      <c r="BB1015" s="18"/>
      <c r="BC1015" s="18"/>
      <c r="BD1015" s="18"/>
      <c r="BE1015" s="18"/>
      <c r="BF1015" s="18"/>
      <c r="BG1015" s="18"/>
      <c r="BH1015" s="18"/>
      <c r="BI1015" s="18"/>
      <c r="BJ1015" s="18"/>
      <c r="BK1015" s="18"/>
      <c r="BL1015" s="18"/>
      <c r="BM1015" s="18"/>
      <c r="BN1015" s="18"/>
    </row>
    <row r="1016" spans="1:66">
      <c r="A1016" s="18"/>
      <c r="B1016" s="18"/>
      <c r="C1016" s="18"/>
      <c r="D1016" s="18"/>
      <c r="E1016" s="18"/>
      <c r="F1016" s="18"/>
      <c r="G1016" s="18"/>
      <c r="H1016" s="18"/>
      <c r="I1016" s="18"/>
      <c r="J1016" s="18"/>
      <c r="K1016" s="18"/>
      <c r="L1016" s="18"/>
      <c r="M1016" s="18"/>
      <c r="N1016" s="18"/>
      <c r="O1016" s="18"/>
      <c r="P1016" s="18"/>
      <c r="Q1016" s="18"/>
      <c r="R1016" s="18"/>
      <c r="S1016" s="18"/>
      <c r="T1016" s="18"/>
      <c r="U1016" s="18"/>
      <c r="V1016" s="18"/>
      <c r="W1016" s="18"/>
      <c r="X1016" s="18"/>
      <c r="Y1016" s="18"/>
      <c r="Z1016" s="18"/>
      <c r="AA1016" s="18"/>
      <c r="AB1016" s="18"/>
      <c r="AC1016" s="18"/>
      <c r="AD1016" s="18"/>
      <c r="AE1016" s="18"/>
      <c r="AF1016" s="18"/>
      <c r="AG1016" s="18"/>
      <c r="AH1016" s="18"/>
      <c r="AI1016" s="18"/>
      <c r="AJ1016" s="18"/>
      <c r="AK1016" s="18"/>
      <c r="AL1016" s="18"/>
      <c r="AM1016" s="18"/>
      <c r="AN1016" s="18"/>
      <c r="AO1016" s="18"/>
      <c r="AP1016" s="18"/>
      <c r="AQ1016" s="18"/>
      <c r="AR1016" s="18"/>
      <c r="AS1016" s="18"/>
      <c r="AT1016" s="18"/>
      <c r="AU1016" s="18"/>
      <c r="AV1016" s="18"/>
      <c r="AW1016" s="18"/>
      <c r="AX1016" s="18"/>
      <c r="AY1016" s="18"/>
      <c r="AZ1016" s="18"/>
      <c r="BA1016" s="18"/>
      <c r="BB1016" s="18"/>
      <c r="BC1016" s="18"/>
      <c r="BD1016" s="18"/>
      <c r="BE1016" s="18"/>
      <c r="BF1016" s="18"/>
      <c r="BG1016" s="18"/>
      <c r="BH1016" s="18"/>
      <c r="BI1016" s="18"/>
      <c r="BJ1016" s="18"/>
      <c r="BK1016" s="18"/>
      <c r="BL1016" s="18"/>
      <c r="BM1016" s="18"/>
      <c r="BN1016" s="18"/>
    </row>
    <row r="1017" spans="1:66">
      <c r="A1017" s="18"/>
      <c r="B1017" s="18"/>
      <c r="C1017" s="18"/>
      <c r="D1017" s="18"/>
      <c r="E1017" s="18"/>
      <c r="F1017" s="18"/>
      <c r="G1017" s="18"/>
      <c r="H1017" s="18"/>
      <c r="I1017" s="18"/>
      <c r="J1017" s="18"/>
      <c r="K1017" s="18"/>
      <c r="L1017" s="18"/>
      <c r="M1017" s="18"/>
      <c r="N1017" s="18"/>
      <c r="O1017" s="18"/>
      <c r="P1017" s="18"/>
      <c r="Q1017" s="18"/>
      <c r="R1017" s="18"/>
      <c r="S1017" s="18"/>
      <c r="T1017" s="18"/>
      <c r="U1017" s="18"/>
      <c r="V1017" s="18"/>
      <c r="W1017" s="18"/>
      <c r="X1017" s="18"/>
      <c r="Y1017" s="18"/>
      <c r="Z1017" s="18"/>
      <c r="AA1017" s="18"/>
      <c r="AB1017" s="18"/>
      <c r="AC1017" s="18"/>
      <c r="AD1017" s="18"/>
      <c r="AE1017" s="18"/>
      <c r="AF1017" s="18"/>
      <c r="AG1017" s="18"/>
      <c r="AH1017" s="18"/>
      <c r="AI1017" s="18"/>
      <c r="AJ1017" s="18"/>
      <c r="AK1017" s="18"/>
      <c r="AL1017" s="18"/>
      <c r="AM1017" s="18"/>
      <c r="AN1017" s="18"/>
      <c r="AO1017" s="18"/>
      <c r="AP1017" s="18"/>
      <c r="AQ1017" s="18"/>
      <c r="AR1017" s="18"/>
      <c r="AS1017" s="18"/>
      <c r="AT1017" s="18"/>
      <c r="AU1017" s="18"/>
      <c r="AV1017" s="18"/>
      <c r="AW1017" s="18"/>
      <c r="AX1017" s="18"/>
      <c r="AY1017" s="18"/>
      <c r="AZ1017" s="18"/>
      <c r="BA1017" s="18"/>
      <c r="BB1017" s="18"/>
      <c r="BC1017" s="18"/>
      <c r="BD1017" s="18"/>
      <c r="BE1017" s="18"/>
      <c r="BF1017" s="18"/>
      <c r="BG1017" s="18"/>
      <c r="BH1017" s="18"/>
      <c r="BI1017" s="18"/>
      <c r="BJ1017" s="18"/>
      <c r="BK1017" s="18"/>
      <c r="BL1017" s="18"/>
      <c r="BM1017" s="18"/>
      <c r="BN1017" s="18"/>
    </row>
    <row r="1018" spans="1:66">
      <c r="A1018" s="18"/>
      <c r="B1018" s="18"/>
      <c r="C1018" s="18"/>
      <c r="D1018" s="18"/>
      <c r="E1018" s="18"/>
      <c r="F1018" s="18"/>
      <c r="G1018" s="18"/>
      <c r="H1018" s="18"/>
      <c r="I1018" s="18"/>
      <c r="J1018" s="18"/>
      <c r="K1018" s="18"/>
      <c r="L1018" s="18"/>
      <c r="M1018" s="18"/>
      <c r="N1018" s="18"/>
      <c r="O1018" s="18"/>
      <c r="P1018" s="18"/>
      <c r="Q1018" s="18"/>
      <c r="R1018" s="18"/>
      <c r="S1018" s="18"/>
      <c r="T1018" s="18"/>
      <c r="U1018" s="18"/>
      <c r="V1018" s="18"/>
      <c r="W1018" s="18"/>
      <c r="X1018" s="18"/>
      <c r="Y1018" s="18"/>
      <c r="Z1018" s="18"/>
      <c r="AA1018" s="18"/>
      <c r="AB1018" s="18"/>
      <c r="AC1018" s="18"/>
      <c r="AD1018" s="18"/>
      <c r="AE1018" s="18"/>
      <c r="AF1018" s="18"/>
      <c r="AG1018" s="18"/>
      <c r="AH1018" s="18"/>
      <c r="AI1018" s="18"/>
      <c r="AJ1018" s="18"/>
      <c r="AK1018" s="18"/>
      <c r="AL1018" s="18"/>
      <c r="AM1018" s="18"/>
      <c r="AN1018" s="18"/>
      <c r="AO1018" s="18"/>
      <c r="AP1018" s="18"/>
      <c r="AQ1018" s="18"/>
      <c r="AR1018" s="18"/>
      <c r="AS1018" s="18"/>
      <c r="AT1018" s="18"/>
      <c r="AU1018" s="18"/>
      <c r="AV1018" s="18"/>
      <c r="AW1018" s="18"/>
      <c r="AX1018" s="18"/>
      <c r="AY1018" s="18"/>
      <c r="AZ1018" s="18"/>
      <c r="BA1018" s="18"/>
      <c r="BB1018" s="18"/>
      <c r="BC1018" s="18"/>
      <c r="BD1018" s="18"/>
      <c r="BE1018" s="18"/>
      <c r="BF1018" s="18"/>
      <c r="BG1018" s="18"/>
      <c r="BH1018" s="18"/>
      <c r="BI1018" s="18"/>
      <c r="BJ1018" s="18"/>
      <c r="BK1018" s="18"/>
      <c r="BL1018" s="18"/>
      <c r="BM1018" s="18"/>
      <c r="BN1018" s="18"/>
    </row>
    <row r="1019" spans="1:66">
      <c r="A1019" s="18"/>
      <c r="B1019" s="18"/>
      <c r="C1019" s="18"/>
      <c r="D1019" s="18"/>
      <c r="E1019" s="18"/>
      <c r="F1019" s="18"/>
      <c r="G1019" s="18"/>
      <c r="H1019" s="18"/>
      <c r="I1019" s="18"/>
      <c r="J1019" s="18"/>
      <c r="K1019" s="18"/>
      <c r="L1019" s="18"/>
      <c r="M1019" s="18"/>
      <c r="N1019" s="18"/>
      <c r="O1019" s="18"/>
      <c r="P1019" s="18"/>
      <c r="Q1019" s="18"/>
      <c r="R1019" s="18"/>
      <c r="S1019" s="18"/>
      <c r="T1019" s="18"/>
      <c r="U1019" s="18"/>
      <c r="V1019" s="18"/>
      <c r="W1019" s="18"/>
      <c r="X1019" s="18"/>
      <c r="Y1019" s="18"/>
      <c r="Z1019" s="18"/>
      <c r="AA1019" s="18"/>
      <c r="AB1019" s="18"/>
      <c r="AC1019" s="18"/>
      <c r="AD1019" s="18"/>
      <c r="AE1019" s="18"/>
      <c r="AF1019" s="18"/>
      <c r="AG1019" s="18"/>
      <c r="AH1019" s="18"/>
      <c r="AI1019" s="18"/>
      <c r="AJ1019" s="18"/>
      <c r="AK1019" s="18"/>
      <c r="AL1019" s="18"/>
      <c r="AM1019" s="18"/>
      <c r="AN1019" s="18"/>
      <c r="AO1019" s="18"/>
      <c r="AP1019" s="18"/>
      <c r="AQ1019" s="18"/>
      <c r="AR1019" s="18"/>
      <c r="AS1019" s="18"/>
      <c r="AT1019" s="18"/>
      <c r="AU1019" s="18"/>
      <c r="AV1019" s="18"/>
      <c r="AW1019" s="18"/>
      <c r="AX1019" s="18"/>
      <c r="AY1019" s="18"/>
      <c r="AZ1019" s="18"/>
      <c r="BA1019" s="18"/>
      <c r="BB1019" s="18"/>
      <c r="BC1019" s="18"/>
      <c r="BD1019" s="18"/>
      <c r="BE1019" s="18"/>
      <c r="BF1019" s="18"/>
      <c r="BG1019" s="18"/>
      <c r="BH1019" s="18"/>
      <c r="BI1019" s="18"/>
      <c r="BJ1019" s="18"/>
      <c r="BK1019" s="18"/>
      <c r="BL1019" s="18"/>
      <c r="BM1019" s="18"/>
      <c r="BN1019" s="18"/>
    </row>
    <row r="1020" spans="1:66">
      <c r="A1020" s="18"/>
      <c r="B1020" s="18"/>
      <c r="C1020" s="18"/>
      <c r="D1020" s="18"/>
      <c r="E1020" s="18"/>
      <c r="F1020" s="18"/>
      <c r="G1020" s="18"/>
      <c r="H1020" s="18"/>
      <c r="I1020" s="18"/>
      <c r="J1020" s="18"/>
      <c r="K1020" s="18"/>
      <c r="L1020" s="18"/>
      <c r="M1020" s="18"/>
      <c r="N1020" s="18"/>
      <c r="O1020" s="18"/>
      <c r="P1020" s="18"/>
      <c r="Q1020" s="18"/>
      <c r="R1020" s="18"/>
      <c r="S1020" s="18"/>
      <c r="T1020" s="18"/>
      <c r="U1020" s="18"/>
      <c r="V1020" s="18"/>
      <c r="W1020" s="18"/>
      <c r="X1020" s="18"/>
      <c r="Y1020" s="18"/>
      <c r="Z1020" s="18"/>
      <c r="AA1020" s="18"/>
      <c r="AB1020" s="18"/>
      <c r="AC1020" s="18"/>
      <c r="AD1020" s="18"/>
      <c r="AE1020" s="18"/>
      <c r="AF1020" s="18"/>
      <c r="AG1020" s="18"/>
      <c r="AH1020" s="18"/>
      <c r="AI1020" s="18"/>
      <c r="AJ1020" s="18"/>
      <c r="AK1020" s="18"/>
      <c r="AL1020" s="18"/>
      <c r="AM1020" s="18"/>
      <c r="AN1020" s="18"/>
      <c r="AO1020" s="18"/>
      <c r="AP1020" s="18"/>
      <c r="AQ1020" s="18"/>
      <c r="AR1020" s="18"/>
      <c r="AS1020" s="18"/>
      <c r="AT1020" s="18"/>
      <c r="AU1020" s="18"/>
      <c r="AV1020" s="18"/>
      <c r="AW1020" s="18"/>
      <c r="AX1020" s="18"/>
      <c r="AY1020" s="18"/>
      <c r="AZ1020" s="18"/>
      <c r="BA1020" s="18"/>
      <c r="BB1020" s="18"/>
      <c r="BC1020" s="18"/>
      <c r="BD1020" s="18"/>
      <c r="BE1020" s="18"/>
      <c r="BF1020" s="18"/>
      <c r="BG1020" s="18"/>
      <c r="BH1020" s="18"/>
      <c r="BI1020" s="18"/>
      <c r="BJ1020" s="18"/>
      <c r="BK1020" s="18"/>
      <c r="BL1020" s="18"/>
      <c r="BM1020" s="18"/>
      <c r="BN1020" s="18"/>
    </row>
    <row r="1021" spans="1:66">
      <c r="A1021" s="18"/>
      <c r="B1021" s="18"/>
      <c r="C1021" s="18"/>
      <c r="D1021" s="18"/>
      <c r="E1021" s="18"/>
      <c r="F1021" s="18"/>
      <c r="G1021" s="18"/>
      <c r="H1021" s="18"/>
      <c r="I1021" s="18"/>
      <c r="J1021" s="18"/>
      <c r="K1021" s="18"/>
      <c r="L1021" s="18"/>
      <c r="M1021" s="18"/>
      <c r="N1021" s="18"/>
      <c r="O1021" s="18"/>
      <c r="P1021" s="18"/>
      <c r="Q1021" s="18"/>
      <c r="R1021" s="18"/>
      <c r="S1021" s="18"/>
      <c r="T1021" s="18"/>
      <c r="U1021" s="18"/>
      <c r="V1021" s="18"/>
      <c r="W1021" s="18"/>
      <c r="X1021" s="18"/>
      <c r="Y1021" s="18"/>
      <c r="Z1021" s="18"/>
      <c r="AA1021" s="18"/>
      <c r="AB1021" s="18"/>
      <c r="AC1021" s="18"/>
      <c r="AD1021" s="18"/>
      <c r="AE1021" s="18"/>
      <c r="AF1021" s="18"/>
      <c r="AG1021" s="18"/>
      <c r="AH1021" s="18"/>
      <c r="AI1021" s="18"/>
      <c r="AJ1021" s="18"/>
      <c r="AK1021" s="18"/>
      <c r="AL1021" s="18"/>
      <c r="AM1021" s="18"/>
      <c r="AN1021" s="18"/>
      <c r="AO1021" s="18"/>
      <c r="AP1021" s="18"/>
      <c r="AQ1021" s="18"/>
      <c r="AR1021" s="18"/>
      <c r="AS1021" s="18"/>
      <c r="AT1021" s="18"/>
      <c r="AU1021" s="18"/>
      <c r="AV1021" s="18"/>
      <c r="AW1021" s="18"/>
      <c r="AX1021" s="18"/>
      <c r="AY1021" s="18"/>
      <c r="AZ1021" s="18"/>
      <c r="BA1021" s="18"/>
      <c r="BB1021" s="18"/>
      <c r="BC1021" s="18"/>
      <c r="BD1021" s="18"/>
      <c r="BE1021" s="18"/>
      <c r="BF1021" s="18"/>
      <c r="BG1021" s="18"/>
      <c r="BH1021" s="18"/>
      <c r="BI1021" s="18"/>
      <c r="BJ1021" s="18"/>
      <c r="BK1021" s="18"/>
      <c r="BL1021" s="18"/>
      <c r="BM1021" s="18"/>
      <c r="BN1021" s="18"/>
    </row>
    <row r="1022" spans="1:66">
      <c r="A1022" s="18"/>
      <c r="B1022" s="18"/>
      <c r="C1022" s="18"/>
      <c r="D1022" s="18"/>
      <c r="E1022" s="18"/>
      <c r="F1022" s="18"/>
      <c r="G1022" s="18"/>
      <c r="H1022" s="18"/>
      <c r="I1022" s="18"/>
      <c r="J1022" s="18"/>
      <c r="K1022" s="18"/>
      <c r="L1022" s="18"/>
      <c r="M1022" s="18"/>
      <c r="N1022" s="18"/>
      <c r="O1022" s="18"/>
      <c r="P1022" s="18"/>
      <c r="Q1022" s="18"/>
      <c r="R1022" s="18"/>
      <c r="S1022" s="18"/>
      <c r="T1022" s="18"/>
      <c r="U1022" s="18"/>
      <c r="V1022" s="18"/>
      <c r="W1022" s="18"/>
      <c r="X1022" s="18"/>
      <c r="Y1022" s="18"/>
      <c r="Z1022" s="18"/>
      <c r="AA1022" s="18"/>
      <c r="AB1022" s="18"/>
      <c r="AC1022" s="18"/>
      <c r="AD1022" s="18"/>
      <c r="AE1022" s="18"/>
      <c r="AF1022" s="18"/>
      <c r="AG1022" s="18"/>
      <c r="AH1022" s="18"/>
      <c r="AI1022" s="18"/>
      <c r="AJ1022" s="18"/>
      <c r="AK1022" s="18"/>
      <c r="AL1022" s="18"/>
      <c r="AM1022" s="18"/>
      <c r="AN1022" s="18"/>
      <c r="AO1022" s="18"/>
      <c r="AP1022" s="18"/>
      <c r="AQ1022" s="18"/>
      <c r="AR1022" s="18"/>
      <c r="AS1022" s="18"/>
      <c r="AT1022" s="18"/>
      <c r="AU1022" s="18"/>
      <c r="AV1022" s="18"/>
      <c r="AW1022" s="18"/>
      <c r="AX1022" s="18"/>
      <c r="AY1022" s="18"/>
      <c r="AZ1022" s="18"/>
      <c r="BA1022" s="18"/>
      <c r="BB1022" s="18"/>
      <c r="BC1022" s="18"/>
      <c r="BD1022" s="18"/>
      <c r="BE1022" s="18"/>
      <c r="BF1022" s="18"/>
      <c r="BG1022" s="18"/>
      <c r="BH1022" s="18"/>
      <c r="BI1022" s="18"/>
      <c r="BJ1022" s="18"/>
      <c r="BK1022" s="18"/>
      <c r="BL1022" s="18"/>
      <c r="BM1022" s="18"/>
      <c r="BN1022" s="18"/>
    </row>
    <row r="1023" spans="1:66">
      <c r="A1023" s="18"/>
      <c r="B1023" s="18"/>
      <c r="C1023" s="18"/>
      <c r="D1023" s="18"/>
      <c r="E1023" s="18"/>
      <c r="F1023" s="18"/>
      <c r="G1023" s="18"/>
      <c r="H1023" s="18"/>
      <c r="I1023" s="18"/>
      <c r="J1023" s="18"/>
      <c r="K1023" s="18"/>
      <c r="L1023" s="18"/>
      <c r="M1023" s="18"/>
      <c r="N1023" s="18"/>
      <c r="O1023" s="18"/>
      <c r="P1023" s="18"/>
      <c r="Q1023" s="18"/>
      <c r="R1023" s="18"/>
      <c r="S1023" s="18"/>
      <c r="T1023" s="18"/>
      <c r="U1023" s="18"/>
      <c r="V1023" s="18"/>
      <c r="W1023" s="18"/>
      <c r="X1023" s="18"/>
      <c r="Y1023" s="18"/>
      <c r="Z1023" s="18"/>
      <c r="AA1023" s="18"/>
      <c r="AB1023" s="18"/>
      <c r="AC1023" s="18"/>
      <c r="AD1023" s="18"/>
      <c r="AE1023" s="18"/>
      <c r="AF1023" s="18"/>
      <c r="AG1023" s="18"/>
      <c r="AH1023" s="18"/>
      <c r="AI1023" s="18"/>
      <c r="AJ1023" s="18"/>
      <c r="AK1023" s="18"/>
      <c r="AL1023" s="18"/>
      <c r="AM1023" s="18"/>
      <c r="AN1023" s="18"/>
      <c r="AO1023" s="18"/>
      <c r="AP1023" s="18"/>
      <c r="AQ1023" s="18"/>
      <c r="AR1023" s="18"/>
      <c r="AS1023" s="18"/>
      <c r="AT1023" s="18"/>
      <c r="AU1023" s="18"/>
      <c r="AV1023" s="18"/>
      <c r="AW1023" s="18"/>
      <c r="AX1023" s="18"/>
      <c r="AY1023" s="18"/>
      <c r="AZ1023" s="18"/>
      <c r="BA1023" s="18"/>
      <c r="BB1023" s="18"/>
      <c r="BC1023" s="18"/>
      <c r="BD1023" s="18"/>
      <c r="BE1023" s="18"/>
      <c r="BF1023" s="18"/>
      <c r="BG1023" s="18"/>
      <c r="BH1023" s="18"/>
      <c r="BI1023" s="18"/>
      <c r="BJ1023" s="18"/>
      <c r="BK1023" s="18"/>
      <c r="BL1023" s="18"/>
      <c r="BM1023" s="18"/>
      <c r="BN1023" s="18"/>
    </row>
    <row r="1024" spans="1:66">
      <c r="A1024" s="18"/>
      <c r="B1024" s="18"/>
      <c r="C1024" s="18"/>
      <c r="D1024" s="18"/>
      <c r="E1024" s="18"/>
      <c r="F1024" s="18"/>
      <c r="G1024" s="18"/>
      <c r="H1024" s="18"/>
      <c r="I1024" s="18"/>
      <c r="J1024" s="18"/>
      <c r="K1024" s="18"/>
      <c r="L1024" s="18"/>
      <c r="M1024" s="18"/>
      <c r="N1024" s="18"/>
      <c r="O1024" s="18"/>
      <c r="P1024" s="18"/>
      <c r="Q1024" s="18"/>
      <c r="R1024" s="18"/>
      <c r="S1024" s="18"/>
      <c r="T1024" s="18"/>
      <c r="U1024" s="18"/>
      <c r="V1024" s="18"/>
      <c r="W1024" s="18"/>
      <c r="X1024" s="18"/>
      <c r="Y1024" s="18"/>
      <c r="Z1024" s="18"/>
      <c r="AA1024" s="18"/>
      <c r="AB1024" s="18"/>
      <c r="AC1024" s="18"/>
      <c r="AD1024" s="18"/>
      <c r="AE1024" s="18"/>
      <c r="AF1024" s="18"/>
      <c r="AG1024" s="18"/>
      <c r="AH1024" s="18"/>
      <c r="AI1024" s="18"/>
      <c r="AJ1024" s="18"/>
      <c r="AK1024" s="18"/>
      <c r="AL1024" s="18"/>
      <c r="AM1024" s="18"/>
      <c r="AN1024" s="18"/>
      <c r="AO1024" s="18"/>
      <c r="AP1024" s="18"/>
      <c r="AQ1024" s="18"/>
      <c r="AR1024" s="18"/>
      <c r="AS1024" s="18"/>
      <c r="AT1024" s="18"/>
      <c r="AU1024" s="18"/>
      <c r="AV1024" s="18"/>
      <c r="AW1024" s="18"/>
      <c r="AX1024" s="18"/>
      <c r="AY1024" s="18"/>
      <c r="AZ1024" s="18"/>
      <c r="BA1024" s="18"/>
      <c r="BB1024" s="18"/>
      <c r="BC1024" s="18"/>
      <c r="BD1024" s="18"/>
      <c r="BE1024" s="18"/>
      <c r="BF1024" s="18"/>
      <c r="BG1024" s="18"/>
      <c r="BH1024" s="18"/>
      <c r="BI1024" s="18"/>
      <c r="BJ1024" s="18"/>
      <c r="BK1024" s="18"/>
      <c r="BL1024" s="18"/>
      <c r="BM1024" s="18"/>
      <c r="BN1024" s="18"/>
    </row>
    <row r="1025" spans="1:66">
      <c r="A1025" s="18"/>
      <c r="B1025" s="18"/>
      <c r="C1025" s="18"/>
      <c r="D1025" s="18"/>
      <c r="E1025" s="18"/>
      <c r="F1025" s="18"/>
      <c r="G1025" s="18"/>
      <c r="H1025" s="18"/>
      <c r="I1025" s="18"/>
      <c r="J1025" s="18"/>
      <c r="K1025" s="18"/>
      <c r="L1025" s="18"/>
      <c r="M1025" s="18"/>
      <c r="N1025" s="18"/>
      <c r="O1025" s="18"/>
      <c r="P1025" s="18"/>
      <c r="Q1025" s="18"/>
      <c r="R1025" s="18"/>
      <c r="S1025" s="18"/>
      <c r="T1025" s="18"/>
      <c r="U1025" s="18"/>
      <c r="V1025" s="18"/>
      <c r="W1025" s="18"/>
      <c r="X1025" s="18"/>
      <c r="Y1025" s="18"/>
      <c r="Z1025" s="18"/>
      <c r="AA1025" s="18"/>
      <c r="AB1025" s="18"/>
      <c r="AC1025" s="18"/>
      <c r="AD1025" s="18"/>
      <c r="AE1025" s="18"/>
      <c r="AF1025" s="18"/>
      <c r="AG1025" s="18"/>
      <c r="AH1025" s="18"/>
      <c r="AI1025" s="18"/>
      <c r="AJ1025" s="18"/>
      <c r="AK1025" s="18"/>
      <c r="AL1025" s="18"/>
      <c r="AM1025" s="18"/>
      <c r="AN1025" s="18"/>
      <c r="AO1025" s="18"/>
      <c r="AP1025" s="18"/>
      <c r="AQ1025" s="18"/>
      <c r="AR1025" s="18"/>
      <c r="AS1025" s="18"/>
      <c r="AT1025" s="18"/>
      <c r="AU1025" s="18"/>
      <c r="AV1025" s="18"/>
      <c r="AW1025" s="18"/>
      <c r="AX1025" s="18"/>
      <c r="AY1025" s="18"/>
      <c r="AZ1025" s="18"/>
      <c r="BA1025" s="18"/>
      <c r="BB1025" s="18"/>
      <c r="BC1025" s="18"/>
      <c r="BD1025" s="18"/>
      <c r="BE1025" s="18"/>
      <c r="BF1025" s="18"/>
      <c r="BG1025" s="18"/>
      <c r="BH1025" s="18"/>
      <c r="BI1025" s="18"/>
      <c r="BJ1025" s="18"/>
      <c r="BK1025" s="18"/>
      <c r="BL1025" s="18"/>
      <c r="BM1025" s="18"/>
      <c r="BN1025" s="18"/>
    </row>
    <row r="1026" spans="1:66">
      <c r="A1026" s="18"/>
      <c r="B1026" s="18"/>
      <c r="C1026" s="18"/>
      <c r="D1026" s="18"/>
      <c r="E1026" s="18"/>
      <c r="F1026" s="18"/>
      <c r="G1026" s="18"/>
      <c r="H1026" s="18"/>
      <c r="I1026" s="18"/>
      <c r="J1026" s="18"/>
      <c r="K1026" s="18"/>
      <c r="L1026" s="18"/>
      <c r="M1026" s="18"/>
      <c r="N1026" s="18"/>
      <c r="O1026" s="18"/>
      <c r="P1026" s="18"/>
      <c r="Q1026" s="18"/>
      <c r="R1026" s="18"/>
      <c r="S1026" s="18"/>
      <c r="T1026" s="18"/>
      <c r="U1026" s="18"/>
      <c r="V1026" s="18"/>
      <c r="W1026" s="18"/>
      <c r="X1026" s="18"/>
      <c r="Y1026" s="18"/>
      <c r="Z1026" s="18"/>
      <c r="AA1026" s="18"/>
      <c r="AB1026" s="18"/>
      <c r="AC1026" s="18"/>
      <c r="AD1026" s="18"/>
      <c r="AE1026" s="18"/>
      <c r="AF1026" s="18"/>
      <c r="AG1026" s="18"/>
      <c r="AH1026" s="18"/>
      <c r="AI1026" s="18"/>
      <c r="AJ1026" s="18"/>
      <c r="AK1026" s="18"/>
      <c r="AL1026" s="18"/>
      <c r="AM1026" s="18"/>
      <c r="AN1026" s="18"/>
      <c r="AO1026" s="18"/>
      <c r="AP1026" s="18"/>
      <c r="AQ1026" s="18"/>
      <c r="AR1026" s="18"/>
      <c r="AS1026" s="18"/>
      <c r="AT1026" s="18"/>
      <c r="AU1026" s="18"/>
      <c r="AV1026" s="18"/>
      <c r="AW1026" s="18"/>
      <c r="AX1026" s="18"/>
      <c r="AY1026" s="18"/>
      <c r="AZ1026" s="18"/>
      <c r="BA1026" s="18"/>
      <c r="BB1026" s="18"/>
      <c r="BC1026" s="18"/>
      <c r="BD1026" s="18"/>
      <c r="BE1026" s="18"/>
      <c r="BF1026" s="18"/>
      <c r="BG1026" s="18"/>
      <c r="BH1026" s="18"/>
      <c r="BI1026" s="18"/>
      <c r="BJ1026" s="18"/>
      <c r="BK1026" s="18"/>
      <c r="BL1026" s="18"/>
      <c r="BM1026" s="18"/>
      <c r="BN1026" s="18"/>
    </row>
    <row r="1027" spans="1:66">
      <c r="A1027" s="18"/>
      <c r="B1027" s="18"/>
      <c r="C1027" s="18"/>
      <c r="D1027" s="18"/>
      <c r="E1027" s="18"/>
      <c r="F1027" s="18"/>
      <c r="G1027" s="18"/>
      <c r="H1027" s="18"/>
      <c r="I1027" s="18"/>
      <c r="J1027" s="18"/>
      <c r="K1027" s="18"/>
      <c r="L1027" s="18"/>
      <c r="M1027" s="18"/>
      <c r="N1027" s="18"/>
      <c r="O1027" s="18"/>
      <c r="P1027" s="18"/>
      <c r="Q1027" s="18"/>
      <c r="R1027" s="18"/>
      <c r="S1027" s="18"/>
      <c r="T1027" s="18"/>
      <c r="U1027" s="18"/>
      <c r="V1027" s="18"/>
      <c r="W1027" s="18"/>
      <c r="X1027" s="18"/>
      <c r="Y1027" s="18"/>
      <c r="Z1027" s="18"/>
      <c r="AA1027" s="18"/>
      <c r="AB1027" s="18"/>
      <c r="AC1027" s="18"/>
      <c r="AD1027" s="18"/>
      <c r="AE1027" s="18"/>
      <c r="AF1027" s="18"/>
      <c r="AG1027" s="18"/>
      <c r="AH1027" s="18"/>
      <c r="AI1027" s="18"/>
      <c r="AJ1027" s="18"/>
      <c r="AK1027" s="18"/>
      <c r="AL1027" s="18"/>
      <c r="AM1027" s="18"/>
      <c r="AN1027" s="18"/>
      <c r="AO1027" s="18"/>
      <c r="AP1027" s="18"/>
      <c r="AQ1027" s="18"/>
      <c r="AR1027" s="18"/>
      <c r="AS1027" s="18"/>
      <c r="AT1027" s="18"/>
      <c r="AU1027" s="18"/>
      <c r="AV1027" s="18"/>
      <c r="AW1027" s="18"/>
      <c r="AX1027" s="18"/>
      <c r="AY1027" s="18"/>
      <c r="AZ1027" s="18"/>
      <c r="BA1027" s="18"/>
      <c r="BB1027" s="18"/>
      <c r="BC1027" s="18"/>
      <c r="BD1027" s="18"/>
      <c r="BE1027" s="18"/>
      <c r="BF1027" s="18"/>
      <c r="BG1027" s="18"/>
      <c r="BH1027" s="18"/>
      <c r="BI1027" s="18"/>
      <c r="BJ1027" s="18"/>
      <c r="BK1027" s="18"/>
      <c r="BL1027" s="18"/>
      <c r="BM1027" s="18"/>
      <c r="BN1027" s="18"/>
    </row>
    <row r="1028" spans="1:66">
      <c r="A1028" s="18"/>
      <c r="B1028" s="18"/>
      <c r="C1028" s="18"/>
      <c r="D1028" s="18"/>
      <c r="E1028" s="18"/>
      <c r="F1028" s="18"/>
      <c r="G1028" s="18"/>
      <c r="H1028" s="18"/>
      <c r="I1028" s="18"/>
      <c r="J1028" s="18"/>
      <c r="K1028" s="18"/>
      <c r="L1028" s="18"/>
      <c r="M1028" s="18"/>
      <c r="N1028" s="18"/>
      <c r="O1028" s="18"/>
      <c r="P1028" s="18"/>
      <c r="Q1028" s="18"/>
      <c r="R1028" s="18"/>
      <c r="S1028" s="18"/>
      <c r="T1028" s="18"/>
      <c r="U1028" s="18"/>
      <c r="V1028" s="18"/>
      <c r="W1028" s="18"/>
      <c r="X1028" s="18"/>
      <c r="Y1028" s="18"/>
      <c r="Z1028" s="18"/>
      <c r="AA1028" s="18"/>
      <c r="AB1028" s="18"/>
      <c r="AC1028" s="18"/>
      <c r="AD1028" s="18"/>
      <c r="AE1028" s="18"/>
      <c r="AF1028" s="18"/>
      <c r="AG1028" s="18"/>
      <c r="AH1028" s="18"/>
      <c r="AI1028" s="18"/>
      <c r="AJ1028" s="18"/>
      <c r="AK1028" s="18"/>
      <c r="AL1028" s="18"/>
      <c r="AM1028" s="18"/>
      <c r="AN1028" s="18"/>
      <c r="AO1028" s="18"/>
      <c r="AP1028" s="18"/>
      <c r="AQ1028" s="18"/>
      <c r="AR1028" s="18"/>
      <c r="AS1028" s="18"/>
      <c r="AT1028" s="18"/>
      <c r="AU1028" s="18"/>
      <c r="AV1028" s="18"/>
      <c r="AW1028" s="18"/>
      <c r="AX1028" s="18"/>
      <c r="AY1028" s="18"/>
      <c r="AZ1028" s="18"/>
      <c r="BA1028" s="18"/>
      <c r="BB1028" s="18"/>
      <c r="BC1028" s="18"/>
      <c r="BD1028" s="18"/>
      <c r="BE1028" s="18"/>
      <c r="BF1028" s="18"/>
      <c r="BG1028" s="18"/>
      <c r="BH1028" s="18"/>
      <c r="BI1028" s="18"/>
      <c r="BJ1028" s="18"/>
      <c r="BK1028" s="18"/>
      <c r="BL1028" s="18"/>
      <c r="BM1028" s="18"/>
      <c r="BN1028" s="18"/>
    </row>
    <row r="1029" spans="1:66">
      <c r="A1029" s="18"/>
      <c r="B1029" s="18"/>
      <c r="C1029" s="18"/>
      <c r="D1029" s="18"/>
      <c r="E1029" s="18"/>
      <c r="F1029" s="18"/>
      <c r="G1029" s="18"/>
      <c r="H1029" s="18"/>
      <c r="I1029" s="18"/>
      <c r="J1029" s="18"/>
      <c r="K1029" s="18"/>
      <c r="L1029" s="18"/>
      <c r="M1029" s="18"/>
      <c r="N1029" s="18"/>
      <c r="O1029" s="18"/>
      <c r="P1029" s="18"/>
      <c r="Q1029" s="18"/>
      <c r="R1029" s="18"/>
      <c r="S1029" s="18"/>
      <c r="T1029" s="18"/>
      <c r="U1029" s="18"/>
      <c r="V1029" s="18"/>
      <c r="W1029" s="18"/>
      <c r="X1029" s="18"/>
      <c r="Y1029" s="18"/>
      <c r="Z1029" s="18"/>
      <c r="AA1029" s="18"/>
      <c r="AB1029" s="18"/>
      <c r="AC1029" s="18"/>
      <c r="AD1029" s="18"/>
      <c r="AE1029" s="18"/>
      <c r="AF1029" s="18"/>
      <c r="AG1029" s="18"/>
      <c r="AH1029" s="18"/>
      <c r="AI1029" s="18"/>
      <c r="AJ1029" s="18"/>
      <c r="AK1029" s="18"/>
      <c r="AL1029" s="18"/>
      <c r="AM1029" s="18"/>
      <c r="AN1029" s="18"/>
      <c r="AO1029" s="18"/>
      <c r="AP1029" s="18"/>
      <c r="AQ1029" s="18"/>
      <c r="AR1029" s="18"/>
      <c r="AS1029" s="18"/>
      <c r="AT1029" s="18"/>
      <c r="AU1029" s="18"/>
      <c r="AV1029" s="18"/>
      <c r="AW1029" s="18"/>
      <c r="AX1029" s="18"/>
      <c r="AY1029" s="18"/>
      <c r="AZ1029" s="18"/>
      <c r="BA1029" s="18"/>
      <c r="BB1029" s="18"/>
      <c r="BC1029" s="18"/>
      <c r="BD1029" s="18"/>
      <c r="BE1029" s="18"/>
      <c r="BF1029" s="18"/>
      <c r="BG1029" s="18"/>
      <c r="BH1029" s="18"/>
      <c r="BI1029" s="18"/>
      <c r="BJ1029" s="18"/>
      <c r="BK1029" s="18"/>
      <c r="BL1029" s="18"/>
      <c r="BM1029" s="18"/>
      <c r="BN1029" s="18"/>
    </row>
    <row r="1030" spans="1:66">
      <c r="A1030" s="18"/>
      <c r="B1030" s="18"/>
      <c r="C1030" s="18"/>
      <c r="D1030" s="18"/>
      <c r="E1030" s="18"/>
      <c r="F1030" s="18"/>
      <c r="G1030" s="18"/>
      <c r="H1030" s="18"/>
      <c r="I1030" s="18"/>
      <c r="J1030" s="18"/>
      <c r="K1030" s="18"/>
      <c r="L1030" s="18"/>
      <c r="M1030" s="18"/>
      <c r="N1030" s="18"/>
      <c r="O1030" s="18"/>
      <c r="P1030" s="18"/>
      <c r="Q1030" s="18"/>
      <c r="R1030" s="18"/>
      <c r="S1030" s="18"/>
      <c r="T1030" s="18"/>
      <c r="U1030" s="18"/>
      <c r="V1030" s="18"/>
      <c r="W1030" s="18"/>
      <c r="X1030" s="18"/>
      <c r="Y1030" s="18"/>
      <c r="Z1030" s="18"/>
      <c r="AA1030" s="18"/>
      <c r="AB1030" s="18"/>
      <c r="AC1030" s="18"/>
      <c r="AD1030" s="18"/>
      <c r="AE1030" s="18"/>
      <c r="AF1030" s="18"/>
      <c r="AG1030" s="18"/>
      <c r="AH1030" s="18"/>
      <c r="AI1030" s="18"/>
      <c r="AJ1030" s="18"/>
      <c r="AK1030" s="18"/>
      <c r="AL1030" s="18"/>
      <c r="AM1030" s="18"/>
      <c r="AN1030" s="18"/>
      <c r="AO1030" s="18"/>
      <c r="AP1030" s="18"/>
      <c r="AQ1030" s="18"/>
      <c r="AR1030" s="18"/>
      <c r="AS1030" s="18"/>
      <c r="AT1030" s="18"/>
      <c r="AU1030" s="18"/>
      <c r="AV1030" s="18"/>
      <c r="AW1030" s="18"/>
      <c r="AX1030" s="18"/>
      <c r="AY1030" s="18"/>
      <c r="AZ1030" s="18"/>
      <c r="BA1030" s="18"/>
      <c r="BB1030" s="18"/>
      <c r="BC1030" s="18"/>
      <c r="BD1030" s="18"/>
      <c r="BE1030" s="18"/>
      <c r="BF1030" s="18"/>
      <c r="BG1030" s="18"/>
      <c r="BH1030" s="18"/>
      <c r="BI1030" s="18"/>
      <c r="BJ1030" s="18"/>
      <c r="BK1030" s="18"/>
      <c r="BL1030" s="18"/>
      <c r="BM1030" s="18"/>
      <c r="BN1030" s="18"/>
    </row>
    <row r="1031" spans="1:66">
      <c r="A1031" s="18"/>
      <c r="B1031" s="18"/>
      <c r="C1031" s="18"/>
      <c r="D1031" s="18"/>
      <c r="E1031" s="18"/>
      <c r="F1031" s="18"/>
      <c r="G1031" s="18"/>
      <c r="H1031" s="18"/>
      <c r="I1031" s="18"/>
      <c r="J1031" s="18"/>
      <c r="K1031" s="18"/>
      <c r="L1031" s="18"/>
      <c r="M1031" s="18"/>
      <c r="N1031" s="18"/>
      <c r="O1031" s="18"/>
      <c r="P1031" s="18"/>
      <c r="Q1031" s="18"/>
      <c r="R1031" s="18"/>
      <c r="S1031" s="18"/>
      <c r="T1031" s="18"/>
      <c r="U1031" s="18"/>
      <c r="V1031" s="18"/>
      <c r="W1031" s="18"/>
      <c r="X1031" s="18"/>
      <c r="Y1031" s="18"/>
      <c r="Z1031" s="18"/>
      <c r="AA1031" s="18"/>
      <c r="AB1031" s="18"/>
      <c r="AC1031" s="18"/>
      <c r="AD1031" s="18"/>
      <c r="AE1031" s="18"/>
      <c r="AF1031" s="18"/>
      <c r="AG1031" s="18"/>
      <c r="AH1031" s="18"/>
      <c r="AI1031" s="18"/>
      <c r="AJ1031" s="18"/>
      <c r="AK1031" s="18"/>
      <c r="AL1031" s="18"/>
      <c r="AM1031" s="18"/>
      <c r="AN1031" s="18"/>
      <c r="AO1031" s="18"/>
      <c r="AP1031" s="18"/>
      <c r="AQ1031" s="18"/>
      <c r="AR1031" s="18"/>
      <c r="AS1031" s="18"/>
      <c r="AT1031" s="18"/>
      <c r="AU1031" s="18"/>
      <c r="AV1031" s="18"/>
      <c r="AW1031" s="18"/>
      <c r="AX1031" s="18"/>
      <c r="AY1031" s="18"/>
      <c r="AZ1031" s="18"/>
      <c r="BA1031" s="18"/>
      <c r="BB1031" s="18"/>
      <c r="BC1031" s="18"/>
      <c r="BD1031" s="18"/>
      <c r="BE1031" s="18"/>
      <c r="BF1031" s="18"/>
      <c r="BG1031" s="18"/>
      <c r="BH1031" s="18"/>
      <c r="BI1031" s="18"/>
      <c r="BJ1031" s="18"/>
      <c r="BK1031" s="18"/>
      <c r="BL1031" s="18"/>
      <c r="BM1031" s="18"/>
      <c r="BN1031" s="18"/>
    </row>
    <row r="1032" spans="1:66">
      <c r="A1032" s="18"/>
      <c r="B1032" s="18"/>
      <c r="C1032" s="18"/>
      <c r="D1032" s="18"/>
      <c r="E1032" s="18"/>
      <c r="F1032" s="18"/>
      <c r="G1032" s="18"/>
      <c r="H1032" s="18"/>
      <c r="I1032" s="18"/>
      <c r="J1032" s="18"/>
      <c r="K1032" s="18"/>
      <c r="L1032" s="18"/>
      <c r="M1032" s="18"/>
      <c r="N1032" s="18"/>
      <c r="O1032" s="18"/>
      <c r="P1032" s="18"/>
      <c r="Q1032" s="18"/>
      <c r="R1032" s="18"/>
      <c r="S1032" s="18"/>
      <c r="T1032" s="18"/>
      <c r="U1032" s="18"/>
      <c r="V1032" s="18"/>
      <c r="W1032" s="18"/>
      <c r="X1032" s="18"/>
      <c r="Y1032" s="18"/>
      <c r="Z1032" s="18"/>
      <c r="AA1032" s="18"/>
      <c r="AB1032" s="18"/>
      <c r="AC1032" s="18"/>
      <c r="AD1032" s="18"/>
      <c r="AE1032" s="18"/>
      <c r="AF1032" s="18"/>
      <c r="AG1032" s="18"/>
      <c r="AH1032" s="18"/>
      <c r="AI1032" s="18"/>
      <c r="AJ1032" s="18"/>
      <c r="AK1032" s="18"/>
      <c r="AL1032" s="18"/>
      <c r="AM1032" s="18"/>
      <c r="AN1032" s="18"/>
      <c r="AO1032" s="18"/>
      <c r="AP1032" s="18"/>
      <c r="AQ1032" s="18"/>
      <c r="AR1032" s="18"/>
      <c r="AS1032" s="18"/>
      <c r="AT1032" s="18"/>
      <c r="AU1032" s="18"/>
      <c r="AV1032" s="18"/>
      <c r="AW1032" s="18"/>
      <c r="AX1032" s="18"/>
      <c r="AY1032" s="18"/>
      <c r="AZ1032" s="18"/>
      <c r="BA1032" s="18"/>
      <c r="BB1032" s="18"/>
      <c r="BC1032" s="18"/>
      <c r="BD1032" s="18"/>
      <c r="BE1032" s="18"/>
      <c r="BF1032" s="18"/>
      <c r="BG1032" s="18"/>
      <c r="BH1032" s="18"/>
      <c r="BI1032" s="18"/>
      <c r="BJ1032" s="18"/>
      <c r="BK1032" s="18"/>
      <c r="BL1032" s="18"/>
      <c r="BM1032" s="18"/>
      <c r="BN1032" s="18"/>
    </row>
    <row r="1033" spans="1:66">
      <c r="A1033" s="18"/>
      <c r="B1033" s="18"/>
      <c r="C1033" s="18"/>
      <c r="D1033" s="18"/>
      <c r="E1033" s="18"/>
      <c r="F1033" s="18"/>
      <c r="G1033" s="18"/>
      <c r="H1033" s="18"/>
      <c r="I1033" s="18"/>
      <c r="J1033" s="18"/>
      <c r="K1033" s="18"/>
      <c r="L1033" s="18"/>
      <c r="M1033" s="18"/>
      <c r="N1033" s="18"/>
      <c r="O1033" s="18"/>
      <c r="P1033" s="18"/>
      <c r="Q1033" s="18"/>
      <c r="R1033" s="18"/>
      <c r="S1033" s="18"/>
      <c r="T1033" s="18"/>
      <c r="U1033" s="18"/>
      <c r="V1033" s="18"/>
      <c r="W1033" s="18"/>
      <c r="X1033" s="18"/>
      <c r="Y1033" s="18"/>
      <c r="Z1033" s="18"/>
      <c r="AA1033" s="18"/>
      <c r="AB1033" s="18"/>
      <c r="AC1033" s="18"/>
      <c r="AD1033" s="18"/>
      <c r="AE1033" s="18"/>
      <c r="AF1033" s="18"/>
      <c r="AG1033" s="18"/>
      <c r="AH1033" s="18"/>
      <c r="AI1033" s="18"/>
      <c r="AJ1033" s="18"/>
      <c r="AK1033" s="18"/>
      <c r="AL1033" s="18"/>
      <c r="AM1033" s="18"/>
      <c r="AN1033" s="18"/>
      <c r="AO1033" s="18"/>
      <c r="AP1033" s="18"/>
      <c r="AQ1033" s="18"/>
      <c r="AR1033" s="18"/>
      <c r="AS1033" s="18"/>
      <c r="AT1033" s="18"/>
      <c r="AU1033" s="18"/>
      <c r="AV1033" s="18"/>
      <c r="AW1033" s="18"/>
      <c r="AX1033" s="18"/>
      <c r="AY1033" s="18"/>
      <c r="AZ1033" s="18"/>
      <c r="BA1033" s="18"/>
      <c r="BB1033" s="18"/>
      <c r="BC1033" s="18"/>
      <c r="BD1033" s="18"/>
      <c r="BE1033" s="18"/>
      <c r="BF1033" s="18"/>
      <c r="BG1033" s="18"/>
      <c r="BH1033" s="18"/>
      <c r="BI1033" s="18"/>
      <c r="BJ1033" s="18"/>
      <c r="BK1033" s="18"/>
      <c r="BL1033" s="18"/>
      <c r="BM1033" s="18"/>
      <c r="BN1033" s="18"/>
    </row>
    <row r="1034" spans="1:66">
      <c r="A1034" s="18"/>
      <c r="B1034" s="18"/>
      <c r="C1034" s="18"/>
      <c r="D1034" s="18"/>
      <c r="E1034" s="18"/>
      <c r="F1034" s="18"/>
      <c r="G1034" s="18"/>
      <c r="H1034" s="18"/>
      <c r="I1034" s="18"/>
      <c r="J1034" s="18"/>
      <c r="K1034" s="18"/>
      <c r="L1034" s="18"/>
      <c r="M1034" s="18"/>
      <c r="N1034" s="18"/>
      <c r="O1034" s="18"/>
      <c r="P1034" s="18"/>
      <c r="Q1034" s="18"/>
      <c r="R1034" s="18"/>
      <c r="S1034" s="18"/>
      <c r="T1034" s="18"/>
      <c r="U1034" s="18"/>
      <c r="V1034" s="18"/>
      <c r="W1034" s="18"/>
      <c r="X1034" s="18"/>
      <c r="Y1034" s="18"/>
      <c r="Z1034" s="18"/>
      <c r="AA1034" s="18"/>
      <c r="AB1034" s="18"/>
      <c r="AC1034" s="18"/>
      <c r="AD1034" s="18"/>
      <c r="AE1034" s="18"/>
      <c r="AF1034" s="18"/>
      <c r="AG1034" s="18"/>
      <c r="AH1034" s="18"/>
      <c r="AI1034" s="18"/>
      <c r="AJ1034" s="18"/>
      <c r="AK1034" s="18"/>
      <c r="AL1034" s="18"/>
      <c r="AM1034" s="18"/>
      <c r="AN1034" s="18"/>
      <c r="AO1034" s="18"/>
      <c r="AP1034" s="18"/>
      <c r="AQ1034" s="18"/>
      <c r="AR1034" s="18"/>
      <c r="AS1034" s="18"/>
      <c r="AT1034" s="18"/>
      <c r="AU1034" s="18"/>
      <c r="AV1034" s="18"/>
      <c r="AW1034" s="18"/>
      <c r="AX1034" s="18"/>
      <c r="AY1034" s="18"/>
      <c r="AZ1034" s="18"/>
      <c r="BA1034" s="18"/>
      <c r="BB1034" s="18"/>
      <c r="BC1034" s="18"/>
      <c r="BD1034" s="18"/>
      <c r="BE1034" s="18"/>
      <c r="BF1034" s="18"/>
      <c r="BG1034" s="18"/>
      <c r="BH1034" s="18"/>
      <c r="BI1034" s="18"/>
      <c r="BJ1034" s="18"/>
      <c r="BK1034" s="18"/>
      <c r="BL1034" s="18"/>
      <c r="BM1034" s="18"/>
      <c r="BN1034" s="18"/>
    </row>
    <row r="1035" spans="1:66">
      <c r="A1035" s="18"/>
      <c r="B1035" s="18"/>
      <c r="C1035" s="18"/>
      <c r="D1035" s="18"/>
      <c r="E1035" s="18"/>
      <c r="F1035" s="18"/>
      <c r="G1035" s="18"/>
      <c r="H1035" s="18"/>
      <c r="I1035" s="18"/>
      <c r="J1035" s="18"/>
      <c r="K1035" s="18"/>
      <c r="L1035" s="18"/>
      <c r="M1035" s="18"/>
      <c r="N1035" s="18"/>
      <c r="O1035" s="18"/>
      <c r="P1035" s="18"/>
      <c r="Q1035" s="18"/>
      <c r="R1035" s="18"/>
      <c r="S1035" s="18"/>
      <c r="T1035" s="18"/>
      <c r="U1035" s="18"/>
      <c r="V1035" s="18"/>
      <c r="W1035" s="18"/>
      <c r="X1035" s="18"/>
      <c r="Y1035" s="18"/>
      <c r="Z1035" s="18"/>
      <c r="AA1035" s="18"/>
      <c r="AB1035" s="18"/>
      <c r="AC1035" s="18"/>
      <c r="AD1035" s="18"/>
      <c r="AE1035" s="18"/>
      <c r="AF1035" s="18"/>
      <c r="AG1035" s="18"/>
      <c r="AH1035" s="18"/>
      <c r="AI1035" s="18"/>
      <c r="AJ1035" s="18"/>
      <c r="AK1035" s="18"/>
      <c r="AL1035" s="18"/>
      <c r="AM1035" s="18"/>
      <c r="AN1035" s="18"/>
      <c r="AO1035" s="18"/>
      <c r="AP1035" s="18"/>
      <c r="AQ1035" s="18"/>
      <c r="AR1035" s="18"/>
      <c r="AS1035" s="18"/>
      <c r="AT1035" s="18"/>
      <c r="AU1035" s="18"/>
      <c r="AV1035" s="18"/>
      <c r="AW1035" s="18"/>
      <c r="AX1035" s="18"/>
      <c r="AY1035" s="18"/>
      <c r="AZ1035" s="18"/>
      <c r="BA1035" s="18"/>
      <c r="BB1035" s="18"/>
      <c r="BC1035" s="18"/>
      <c r="BD1035" s="18"/>
      <c r="BE1035" s="18"/>
      <c r="BF1035" s="18"/>
      <c r="BG1035" s="18"/>
      <c r="BH1035" s="18"/>
      <c r="BI1035" s="18"/>
      <c r="BJ1035" s="18"/>
      <c r="BK1035" s="18"/>
      <c r="BL1035" s="18"/>
      <c r="BM1035" s="18"/>
      <c r="BN1035" s="18"/>
    </row>
    <row r="1036" spans="1:66">
      <c r="A1036" s="18"/>
      <c r="B1036" s="18"/>
      <c r="C1036" s="18"/>
      <c r="D1036" s="18"/>
      <c r="E1036" s="18"/>
      <c r="F1036" s="18"/>
      <c r="G1036" s="18"/>
      <c r="H1036" s="18"/>
      <c r="I1036" s="18"/>
      <c r="J1036" s="18"/>
      <c r="K1036" s="18"/>
      <c r="L1036" s="18"/>
      <c r="M1036" s="18"/>
      <c r="N1036" s="18"/>
      <c r="O1036" s="18"/>
      <c r="P1036" s="18"/>
      <c r="Q1036" s="18"/>
      <c r="R1036" s="18"/>
      <c r="S1036" s="18"/>
      <c r="T1036" s="18"/>
      <c r="U1036" s="18"/>
      <c r="V1036" s="18"/>
      <c r="W1036" s="18"/>
      <c r="X1036" s="18"/>
      <c r="Y1036" s="18"/>
      <c r="Z1036" s="18"/>
      <c r="AA1036" s="18"/>
      <c r="AB1036" s="18"/>
      <c r="AC1036" s="18"/>
      <c r="AD1036" s="18"/>
      <c r="AE1036" s="18"/>
      <c r="AF1036" s="18"/>
      <c r="AG1036" s="18"/>
      <c r="AH1036" s="18"/>
      <c r="AI1036" s="18"/>
      <c r="AJ1036" s="18"/>
      <c r="AK1036" s="18"/>
      <c r="AL1036" s="18"/>
      <c r="AM1036" s="18"/>
      <c r="AN1036" s="18"/>
      <c r="AO1036" s="18"/>
      <c r="AP1036" s="18"/>
      <c r="AQ1036" s="18"/>
      <c r="AR1036" s="18"/>
      <c r="AS1036" s="18"/>
      <c r="AT1036" s="18"/>
      <c r="AU1036" s="18"/>
      <c r="AV1036" s="18"/>
      <c r="AW1036" s="18"/>
      <c r="AX1036" s="18"/>
      <c r="AY1036" s="18"/>
      <c r="AZ1036" s="18"/>
      <c r="BA1036" s="18"/>
      <c r="BB1036" s="18"/>
      <c r="BC1036" s="18"/>
      <c r="BD1036" s="18"/>
      <c r="BE1036" s="18"/>
      <c r="BF1036" s="18"/>
      <c r="BG1036" s="18"/>
      <c r="BH1036" s="18"/>
      <c r="BI1036" s="18"/>
      <c r="BJ1036" s="18"/>
      <c r="BK1036" s="18"/>
      <c r="BL1036" s="18"/>
      <c r="BM1036" s="18"/>
      <c r="BN1036" s="18"/>
    </row>
    <row r="1037" spans="1:66">
      <c r="A1037" s="18"/>
      <c r="B1037" s="18"/>
      <c r="C1037" s="18"/>
      <c r="D1037" s="18"/>
      <c r="E1037" s="18"/>
      <c r="F1037" s="18"/>
      <c r="G1037" s="18"/>
      <c r="H1037" s="18"/>
      <c r="I1037" s="18"/>
      <c r="J1037" s="18"/>
      <c r="K1037" s="18"/>
      <c r="L1037" s="18"/>
      <c r="M1037" s="18"/>
      <c r="N1037" s="18"/>
      <c r="O1037" s="18"/>
      <c r="P1037" s="18"/>
      <c r="Q1037" s="18"/>
      <c r="R1037" s="18"/>
      <c r="S1037" s="18"/>
      <c r="T1037" s="18"/>
      <c r="U1037" s="18"/>
      <c r="V1037" s="18"/>
      <c r="W1037" s="18"/>
      <c r="X1037" s="18"/>
      <c r="Y1037" s="18"/>
      <c r="Z1037" s="18"/>
      <c r="AA1037" s="18"/>
      <c r="AB1037" s="18"/>
      <c r="AC1037" s="18"/>
      <c r="AD1037" s="18"/>
      <c r="AE1037" s="18"/>
      <c r="AF1037" s="18"/>
      <c r="AG1037" s="18"/>
      <c r="AH1037" s="18"/>
      <c r="AI1037" s="18"/>
      <c r="AJ1037" s="18"/>
      <c r="AK1037" s="18"/>
      <c r="AL1037" s="18"/>
      <c r="AM1037" s="18"/>
      <c r="AN1037" s="18"/>
      <c r="AO1037" s="18"/>
      <c r="AP1037" s="18"/>
      <c r="AQ1037" s="18"/>
      <c r="AR1037" s="18"/>
      <c r="AS1037" s="18"/>
      <c r="AT1037" s="18"/>
      <c r="AU1037" s="18"/>
      <c r="AV1037" s="18"/>
      <c r="AW1037" s="18"/>
      <c r="AX1037" s="18"/>
      <c r="AY1037" s="18"/>
      <c r="AZ1037" s="18"/>
      <c r="BA1037" s="18"/>
      <c r="BB1037" s="18"/>
      <c r="BC1037" s="18"/>
      <c r="BD1037" s="18"/>
      <c r="BE1037" s="18"/>
      <c r="BF1037" s="18"/>
      <c r="BG1037" s="18"/>
      <c r="BH1037" s="18"/>
      <c r="BI1037" s="18"/>
      <c r="BJ1037" s="18"/>
      <c r="BK1037" s="18"/>
      <c r="BL1037" s="18"/>
      <c r="BM1037" s="18"/>
      <c r="BN1037" s="18"/>
    </row>
    <row r="1038" spans="1:66">
      <c r="A1038" s="18"/>
      <c r="B1038" s="18"/>
      <c r="C1038" s="18"/>
      <c r="D1038" s="18"/>
      <c r="E1038" s="18"/>
      <c r="F1038" s="18"/>
      <c r="G1038" s="18"/>
      <c r="H1038" s="18"/>
      <c r="I1038" s="18"/>
      <c r="J1038" s="18"/>
      <c r="K1038" s="18"/>
      <c r="L1038" s="18"/>
      <c r="M1038" s="18"/>
      <c r="N1038" s="18"/>
      <c r="O1038" s="18"/>
      <c r="P1038" s="18"/>
      <c r="Q1038" s="18"/>
      <c r="R1038" s="18"/>
      <c r="S1038" s="18"/>
      <c r="T1038" s="18"/>
      <c r="U1038" s="18"/>
      <c r="V1038" s="18"/>
      <c r="W1038" s="18"/>
      <c r="X1038" s="18"/>
      <c r="Y1038" s="18"/>
      <c r="Z1038" s="18"/>
      <c r="AA1038" s="18"/>
      <c r="AB1038" s="18"/>
      <c r="AC1038" s="18"/>
      <c r="AD1038" s="18"/>
      <c r="AE1038" s="18"/>
      <c r="AF1038" s="18"/>
      <c r="AG1038" s="18"/>
      <c r="AH1038" s="18"/>
      <c r="AI1038" s="18"/>
      <c r="AJ1038" s="18"/>
      <c r="AK1038" s="18"/>
      <c r="AL1038" s="18"/>
      <c r="AM1038" s="18"/>
      <c r="AN1038" s="18"/>
      <c r="AO1038" s="18"/>
      <c r="AP1038" s="18"/>
      <c r="AQ1038" s="18"/>
      <c r="AR1038" s="18"/>
      <c r="AS1038" s="18"/>
      <c r="AT1038" s="18"/>
      <c r="AU1038" s="18"/>
      <c r="AV1038" s="18"/>
      <c r="AW1038" s="18"/>
      <c r="AX1038" s="18"/>
      <c r="AY1038" s="18"/>
      <c r="AZ1038" s="18"/>
      <c r="BA1038" s="18"/>
      <c r="BB1038" s="18"/>
      <c r="BC1038" s="18"/>
      <c r="BD1038" s="18"/>
      <c r="BE1038" s="18"/>
      <c r="BF1038" s="18"/>
      <c r="BG1038" s="18"/>
      <c r="BH1038" s="18"/>
      <c r="BI1038" s="18"/>
      <c r="BJ1038" s="18"/>
      <c r="BK1038" s="18"/>
      <c r="BL1038" s="18"/>
      <c r="BM1038" s="18"/>
      <c r="BN1038" s="18"/>
    </row>
    <row r="1039" spans="1:66">
      <c r="A1039" s="18"/>
      <c r="B1039" s="18"/>
      <c r="C1039" s="18"/>
      <c r="D1039" s="18"/>
      <c r="E1039" s="18"/>
      <c r="F1039" s="18"/>
      <c r="G1039" s="18"/>
      <c r="H1039" s="18"/>
      <c r="I1039" s="18"/>
      <c r="J1039" s="18"/>
      <c r="K1039" s="18"/>
      <c r="L1039" s="18"/>
      <c r="M1039" s="18"/>
      <c r="N1039" s="18"/>
      <c r="O1039" s="18"/>
      <c r="P1039" s="18"/>
      <c r="Q1039" s="18"/>
      <c r="R1039" s="18"/>
      <c r="S1039" s="18"/>
      <c r="T1039" s="18"/>
      <c r="U1039" s="18"/>
      <c r="V1039" s="18"/>
      <c r="W1039" s="18"/>
      <c r="X1039" s="18"/>
      <c r="Y1039" s="18"/>
      <c r="Z1039" s="18"/>
      <c r="AA1039" s="18"/>
      <c r="AB1039" s="18"/>
      <c r="AC1039" s="18"/>
      <c r="AD1039" s="18"/>
      <c r="AE1039" s="18"/>
      <c r="AF1039" s="18"/>
      <c r="AG1039" s="18"/>
      <c r="AH1039" s="18"/>
      <c r="AI1039" s="18"/>
      <c r="AJ1039" s="18"/>
      <c r="AK1039" s="18"/>
      <c r="AL1039" s="18"/>
      <c r="AM1039" s="18"/>
      <c r="AN1039" s="18"/>
      <c r="AO1039" s="18"/>
      <c r="AP1039" s="18"/>
      <c r="AQ1039" s="18"/>
      <c r="AR1039" s="18"/>
      <c r="AS1039" s="18"/>
      <c r="AT1039" s="18"/>
      <c r="AU1039" s="18"/>
      <c r="AV1039" s="18"/>
      <c r="AW1039" s="18"/>
      <c r="AX1039" s="18"/>
      <c r="AY1039" s="18"/>
      <c r="AZ1039" s="18"/>
      <c r="BA1039" s="18"/>
      <c r="BB1039" s="18"/>
      <c r="BC1039" s="18"/>
      <c r="BD1039" s="18"/>
      <c r="BE1039" s="18"/>
      <c r="BF1039" s="18"/>
      <c r="BG1039" s="18"/>
      <c r="BH1039" s="18"/>
      <c r="BI1039" s="18"/>
      <c r="BJ1039" s="18"/>
      <c r="BK1039" s="18"/>
      <c r="BL1039" s="18"/>
      <c r="BM1039" s="18"/>
      <c r="BN1039" s="18"/>
    </row>
    <row r="1040" spans="1:66">
      <c r="A1040" s="18"/>
      <c r="B1040" s="18"/>
      <c r="C1040" s="18"/>
      <c r="D1040" s="18"/>
      <c r="E1040" s="18"/>
      <c r="F1040" s="18"/>
      <c r="G1040" s="18"/>
      <c r="H1040" s="18"/>
      <c r="I1040" s="18"/>
      <c r="J1040" s="18"/>
      <c r="K1040" s="18"/>
      <c r="L1040" s="18"/>
      <c r="M1040" s="18"/>
      <c r="N1040" s="18"/>
      <c r="O1040" s="18"/>
      <c r="P1040" s="18"/>
      <c r="Q1040" s="18"/>
      <c r="R1040" s="18"/>
      <c r="S1040" s="18"/>
      <c r="T1040" s="18"/>
      <c r="U1040" s="18"/>
      <c r="V1040" s="18"/>
      <c r="W1040" s="18"/>
      <c r="X1040" s="18"/>
      <c r="Y1040" s="18"/>
      <c r="Z1040" s="18"/>
      <c r="AA1040" s="18"/>
      <c r="AB1040" s="18"/>
      <c r="AC1040" s="18"/>
      <c r="AD1040" s="18"/>
      <c r="AE1040" s="18"/>
      <c r="AF1040" s="18"/>
      <c r="AG1040" s="18"/>
      <c r="AH1040" s="18"/>
      <c r="AI1040" s="18"/>
      <c r="AJ1040" s="18"/>
      <c r="AK1040" s="18"/>
      <c r="AL1040" s="18"/>
      <c r="AM1040" s="18"/>
      <c r="AN1040" s="18"/>
      <c r="AO1040" s="18"/>
      <c r="AP1040" s="18"/>
      <c r="AQ1040" s="18"/>
      <c r="AR1040" s="18"/>
      <c r="AS1040" s="18"/>
      <c r="AT1040" s="18"/>
      <c r="AU1040" s="18"/>
      <c r="AV1040" s="18"/>
      <c r="AW1040" s="18"/>
      <c r="AX1040" s="18"/>
      <c r="AY1040" s="18"/>
      <c r="AZ1040" s="18"/>
      <c r="BA1040" s="18"/>
      <c r="BB1040" s="18"/>
      <c r="BC1040" s="18"/>
      <c r="BD1040" s="18"/>
      <c r="BE1040" s="18"/>
      <c r="BF1040" s="18"/>
      <c r="BG1040" s="18"/>
      <c r="BH1040" s="18"/>
      <c r="BI1040" s="18"/>
      <c r="BJ1040" s="18"/>
      <c r="BK1040" s="18"/>
      <c r="BL1040" s="18"/>
      <c r="BM1040" s="18"/>
      <c r="BN1040" s="18"/>
    </row>
    <row r="1041" spans="1:66">
      <c r="A1041" s="18"/>
      <c r="B1041" s="18"/>
      <c r="C1041" s="18"/>
      <c r="D1041" s="18"/>
      <c r="E1041" s="18"/>
      <c r="F1041" s="18"/>
      <c r="G1041" s="18"/>
      <c r="H1041" s="18"/>
      <c r="I1041" s="18"/>
      <c r="J1041" s="18"/>
      <c r="K1041" s="18"/>
      <c r="L1041" s="18"/>
      <c r="M1041" s="18"/>
      <c r="N1041" s="18"/>
      <c r="O1041" s="18"/>
      <c r="P1041" s="18"/>
      <c r="Q1041" s="18"/>
      <c r="R1041" s="18"/>
      <c r="S1041" s="18"/>
      <c r="T1041" s="18"/>
      <c r="U1041" s="18"/>
      <c r="V1041" s="18"/>
      <c r="W1041" s="18"/>
      <c r="X1041" s="18"/>
      <c r="Y1041" s="18"/>
      <c r="Z1041" s="18"/>
      <c r="AA1041" s="18"/>
      <c r="AB1041" s="18"/>
      <c r="AC1041" s="18"/>
      <c r="AD1041" s="18"/>
      <c r="AE1041" s="18"/>
      <c r="AF1041" s="18"/>
      <c r="AG1041" s="18"/>
      <c r="AH1041" s="18"/>
      <c r="AI1041" s="18"/>
      <c r="AJ1041" s="18"/>
      <c r="AK1041" s="18"/>
      <c r="AL1041" s="18"/>
      <c r="AM1041" s="18"/>
      <c r="AN1041" s="18"/>
      <c r="AO1041" s="18"/>
      <c r="AP1041" s="18"/>
      <c r="AQ1041" s="18"/>
      <c r="AR1041" s="18"/>
      <c r="AS1041" s="18"/>
      <c r="AT1041" s="18"/>
      <c r="AU1041" s="18"/>
      <c r="AV1041" s="18"/>
      <c r="AW1041" s="18"/>
      <c r="AX1041" s="18"/>
      <c r="AY1041" s="18"/>
      <c r="AZ1041" s="18"/>
      <c r="BA1041" s="18"/>
      <c r="BB1041" s="18"/>
      <c r="BC1041" s="18"/>
      <c r="BD1041" s="18"/>
      <c r="BE1041" s="18"/>
      <c r="BF1041" s="18"/>
      <c r="BG1041" s="18"/>
      <c r="BH1041" s="18"/>
      <c r="BI1041" s="18"/>
      <c r="BJ1041" s="18"/>
      <c r="BK1041" s="18"/>
      <c r="BL1041" s="18"/>
      <c r="BM1041" s="18"/>
      <c r="BN1041" s="18"/>
    </row>
    <row r="1042" spans="1:66">
      <c r="A1042" s="18"/>
      <c r="B1042" s="18"/>
      <c r="C1042" s="18"/>
      <c r="D1042" s="18"/>
      <c r="E1042" s="18"/>
      <c r="F1042" s="18"/>
      <c r="G1042" s="18"/>
      <c r="H1042" s="18"/>
      <c r="I1042" s="18"/>
      <c r="J1042" s="18"/>
      <c r="K1042" s="18"/>
      <c r="L1042" s="18"/>
      <c r="M1042" s="18"/>
      <c r="N1042" s="18"/>
      <c r="O1042" s="18"/>
      <c r="P1042" s="18"/>
      <c r="Q1042" s="18"/>
      <c r="R1042" s="18"/>
      <c r="S1042" s="18"/>
      <c r="T1042" s="18"/>
      <c r="U1042" s="18"/>
      <c r="V1042" s="18"/>
      <c r="W1042" s="18"/>
      <c r="X1042" s="18"/>
      <c r="Y1042" s="18"/>
      <c r="Z1042" s="18"/>
      <c r="AA1042" s="18"/>
      <c r="AB1042" s="18"/>
      <c r="AC1042" s="18"/>
      <c r="AD1042" s="18"/>
      <c r="AE1042" s="18"/>
      <c r="AF1042" s="18"/>
      <c r="AG1042" s="18"/>
      <c r="AH1042" s="18"/>
      <c r="AI1042" s="18"/>
      <c r="AJ1042" s="18"/>
      <c r="AK1042" s="18"/>
      <c r="AL1042" s="18"/>
      <c r="AM1042" s="18"/>
      <c r="AN1042" s="18"/>
      <c r="AO1042" s="18"/>
      <c r="AP1042" s="18"/>
      <c r="AQ1042" s="18"/>
      <c r="AR1042" s="18"/>
      <c r="AS1042" s="18"/>
      <c r="AT1042" s="18"/>
      <c r="AU1042" s="18"/>
      <c r="AV1042" s="18"/>
      <c r="AW1042" s="18"/>
      <c r="AX1042" s="18"/>
      <c r="AY1042" s="18"/>
      <c r="AZ1042" s="18"/>
      <c r="BA1042" s="18"/>
      <c r="BB1042" s="18"/>
      <c r="BC1042" s="18"/>
      <c r="BD1042" s="18"/>
      <c r="BE1042" s="18"/>
      <c r="BF1042" s="18"/>
      <c r="BG1042" s="18"/>
      <c r="BH1042" s="18"/>
      <c r="BI1042" s="18"/>
      <c r="BJ1042" s="18"/>
      <c r="BK1042" s="18"/>
      <c r="BL1042" s="18"/>
      <c r="BM1042" s="18"/>
      <c r="BN1042" s="18"/>
    </row>
    <row r="1043" spans="1:66">
      <c r="A1043" s="18"/>
      <c r="B1043" s="18"/>
      <c r="C1043" s="18"/>
      <c r="D1043" s="18"/>
      <c r="E1043" s="18"/>
      <c r="F1043" s="18"/>
      <c r="G1043" s="18"/>
      <c r="H1043" s="18"/>
      <c r="I1043" s="18"/>
      <c r="J1043" s="18"/>
      <c r="K1043" s="18"/>
      <c r="L1043" s="18"/>
      <c r="M1043" s="18"/>
      <c r="N1043" s="18"/>
      <c r="O1043" s="18"/>
      <c r="P1043" s="18"/>
      <c r="Q1043" s="18"/>
      <c r="R1043" s="18"/>
      <c r="S1043" s="18"/>
      <c r="T1043" s="18"/>
      <c r="U1043" s="18"/>
      <c r="V1043" s="18"/>
      <c r="W1043" s="18"/>
      <c r="X1043" s="18"/>
      <c r="Y1043" s="18"/>
      <c r="Z1043" s="18"/>
      <c r="AA1043" s="18"/>
      <c r="AB1043" s="18"/>
      <c r="AC1043" s="18"/>
      <c r="AD1043" s="18"/>
      <c r="AE1043" s="18"/>
      <c r="AF1043" s="18"/>
      <c r="AG1043" s="18"/>
      <c r="AH1043" s="18"/>
      <c r="AI1043" s="18"/>
      <c r="AJ1043" s="18"/>
      <c r="AK1043" s="18"/>
      <c r="AL1043" s="18"/>
      <c r="AM1043" s="18"/>
      <c r="AN1043" s="18"/>
      <c r="AO1043" s="18"/>
      <c r="AP1043" s="18"/>
      <c r="AQ1043" s="18"/>
      <c r="AR1043" s="18"/>
      <c r="AS1043" s="18"/>
      <c r="AT1043" s="18"/>
      <c r="AU1043" s="18"/>
      <c r="AV1043" s="18"/>
      <c r="AW1043" s="18"/>
      <c r="AX1043" s="18"/>
      <c r="AY1043" s="18"/>
      <c r="AZ1043" s="18"/>
      <c r="BA1043" s="18"/>
      <c r="BB1043" s="18"/>
      <c r="BC1043" s="18"/>
      <c r="BD1043" s="18"/>
      <c r="BE1043" s="18"/>
      <c r="BF1043" s="18"/>
      <c r="BG1043" s="18"/>
      <c r="BH1043" s="18"/>
      <c r="BI1043" s="18"/>
      <c r="BJ1043" s="18"/>
      <c r="BK1043" s="18"/>
      <c r="BL1043" s="18"/>
      <c r="BM1043" s="18"/>
      <c r="BN1043" s="18"/>
    </row>
    <row r="1044" spans="1:66">
      <c r="A1044" s="18"/>
      <c r="B1044" s="18"/>
      <c r="C1044" s="18"/>
      <c r="D1044" s="18"/>
      <c r="E1044" s="18"/>
      <c r="F1044" s="18"/>
      <c r="G1044" s="18"/>
      <c r="H1044" s="18"/>
      <c r="I1044" s="18"/>
      <c r="J1044" s="18"/>
      <c r="K1044" s="18"/>
      <c r="L1044" s="18"/>
      <c r="M1044" s="18"/>
      <c r="N1044" s="18"/>
      <c r="O1044" s="18"/>
      <c r="P1044" s="18"/>
      <c r="Q1044" s="18"/>
      <c r="R1044" s="18"/>
      <c r="S1044" s="18"/>
      <c r="T1044" s="18"/>
      <c r="U1044" s="18"/>
      <c r="V1044" s="18"/>
      <c r="W1044" s="18"/>
      <c r="X1044" s="18"/>
      <c r="Y1044" s="18"/>
      <c r="Z1044" s="18"/>
      <c r="AA1044" s="18"/>
      <c r="AB1044" s="18"/>
      <c r="AC1044" s="18"/>
      <c r="AD1044" s="18"/>
      <c r="AE1044" s="18"/>
      <c r="AF1044" s="18"/>
      <c r="AG1044" s="18"/>
      <c r="AH1044" s="18"/>
      <c r="AI1044" s="18"/>
      <c r="AJ1044" s="18"/>
      <c r="AK1044" s="18"/>
      <c r="AL1044" s="18"/>
      <c r="AM1044" s="18"/>
      <c r="AN1044" s="18"/>
      <c r="AO1044" s="18"/>
      <c r="AP1044" s="18"/>
      <c r="AQ1044" s="18"/>
      <c r="AR1044" s="18"/>
      <c r="AS1044" s="18"/>
      <c r="AT1044" s="18"/>
      <c r="AU1044" s="18"/>
      <c r="AV1044" s="18"/>
      <c r="AW1044" s="18"/>
      <c r="AX1044" s="18"/>
      <c r="AY1044" s="18"/>
      <c r="AZ1044" s="18"/>
      <c r="BA1044" s="18"/>
      <c r="BB1044" s="18"/>
      <c r="BC1044" s="18"/>
      <c r="BD1044" s="18"/>
      <c r="BE1044" s="18"/>
      <c r="BF1044" s="18"/>
      <c r="BG1044" s="18"/>
      <c r="BH1044" s="18"/>
      <c r="BI1044" s="18"/>
      <c r="BJ1044" s="18"/>
      <c r="BK1044" s="18"/>
      <c r="BL1044" s="18"/>
      <c r="BM1044" s="18"/>
      <c r="BN1044" s="18"/>
    </row>
    <row r="1045" spans="1:66">
      <c r="A1045" s="18"/>
      <c r="B1045" s="18"/>
      <c r="C1045" s="18"/>
      <c r="D1045" s="18"/>
      <c r="E1045" s="18"/>
      <c r="F1045" s="18"/>
      <c r="G1045" s="18"/>
      <c r="H1045" s="18"/>
      <c r="I1045" s="18"/>
      <c r="J1045" s="18"/>
      <c r="K1045" s="18"/>
      <c r="L1045" s="18"/>
      <c r="M1045" s="18"/>
      <c r="N1045" s="18"/>
      <c r="O1045" s="18"/>
      <c r="P1045" s="18"/>
      <c r="Q1045" s="18"/>
      <c r="R1045" s="18"/>
      <c r="S1045" s="18"/>
      <c r="T1045" s="18"/>
      <c r="U1045" s="18"/>
      <c r="V1045" s="18"/>
      <c r="W1045" s="18"/>
      <c r="X1045" s="18"/>
      <c r="Y1045" s="18"/>
      <c r="Z1045" s="18"/>
      <c r="AA1045" s="18"/>
      <c r="AB1045" s="18"/>
      <c r="AC1045" s="18"/>
      <c r="AD1045" s="18"/>
      <c r="AE1045" s="18"/>
      <c r="AF1045" s="18"/>
      <c r="AG1045" s="18"/>
      <c r="AH1045" s="18"/>
      <c r="AI1045" s="18"/>
      <c r="AJ1045" s="18"/>
      <c r="AK1045" s="18"/>
      <c r="AL1045" s="18"/>
      <c r="AM1045" s="18"/>
      <c r="AN1045" s="18"/>
      <c r="AO1045" s="18"/>
      <c r="AP1045" s="18"/>
      <c r="AQ1045" s="18"/>
      <c r="AR1045" s="18"/>
      <c r="AS1045" s="18"/>
      <c r="AT1045" s="18"/>
      <c r="AU1045" s="18"/>
      <c r="AV1045" s="18"/>
      <c r="AW1045" s="18"/>
      <c r="AX1045" s="18"/>
      <c r="AY1045" s="18"/>
      <c r="AZ1045" s="18"/>
      <c r="BA1045" s="18"/>
      <c r="BB1045" s="18"/>
      <c r="BC1045" s="18"/>
      <c r="BD1045" s="18"/>
      <c r="BE1045" s="18"/>
      <c r="BF1045" s="18"/>
      <c r="BG1045" s="18"/>
      <c r="BH1045" s="18"/>
      <c r="BI1045" s="18"/>
      <c r="BJ1045" s="18"/>
      <c r="BK1045" s="18"/>
      <c r="BL1045" s="18"/>
      <c r="BM1045" s="18"/>
      <c r="BN1045" s="18"/>
    </row>
    <row r="1046" spans="1:66">
      <c r="A1046" s="18"/>
      <c r="B1046" s="18"/>
      <c r="C1046" s="18"/>
      <c r="D1046" s="18"/>
      <c r="E1046" s="18"/>
      <c r="F1046" s="18"/>
      <c r="G1046" s="18"/>
      <c r="H1046" s="18"/>
      <c r="I1046" s="18"/>
      <c r="J1046" s="18"/>
      <c r="K1046" s="18"/>
      <c r="L1046" s="18"/>
      <c r="M1046" s="18"/>
      <c r="N1046" s="18"/>
      <c r="O1046" s="18"/>
      <c r="P1046" s="18"/>
      <c r="Q1046" s="18"/>
      <c r="R1046" s="18"/>
      <c r="S1046" s="18"/>
      <c r="T1046" s="18"/>
      <c r="U1046" s="18"/>
      <c r="V1046" s="18"/>
      <c r="W1046" s="18"/>
      <c r="X1046" s="18"/>
      <c r="Y1046" s="18"/>
      <c r="Z1046" s="18"/>
      <c r="AA1046" s="18"/>
      <c r="AB1046" s="18"/>
      <c r="AC1046" s="18"/>
      <c r="AD1046" s="18"/>
      <c r="AE1046" s="18"/>
      <c r="AF1046" s="18"/>
      <c r="AG1046" s="18"/>
      <c r="AH1046" s="18"/>
      <c r="AI1046" s="18"/>
      <c r="AJ1046" s="18"/>
      <c r="AK1046" s="18"/>
      <c r="AL1046" s="18"/>
      <c r="AM1046" s="18"/>
      <c r="AN1046" s="18"/>
      <c r="AO1046" s="18"/>
      <c r="AP1046" s="18"/>
      <c r="AQ1046" s="18"/>
      <c r="AR1046" s="18"/>
      <c r="AS1046" s="18"/>
      <c r="AT1046" s="18"/>
      <c r="AU1046" s="18"/>
      <c r="AV1046" s="18"/>
      <c r="AW1046" s="18"/>
      <c r="AX1046" s="18"/>
      <c r="AY1046" s="18"/>
      <c r="AZ1046" s="18"/>
      <c r="BA1046" s="18"/>
      <c r="BB1046" s="18"/>
      <c r="BC1046" s="18"/>
      <c r="BD1046" s="18"/>
      <c r="BE1046" s="18"/>
      <c r="BF1046" s="18"/>
      <c r="BG1046" s="18"/>
      <c r="BH1046" s="18"/>
      <c r="BI1046" s="18"/>
      <c r="BJ1046" s="18"/>
      <c r="BK1046" s="18"/>
      <c r="BL1046" s="18"/>
      <c r="BM1046" s="18"/>
      <c r="BN1046" s="18"/>
    </row>
    <row r="1047" spans="1:66">
      <c r="A1047" s="18"/>
      <c r="B1047" s="18"/>
      <c r="C1047" s="18"/>
      <c r="D1047" s="18"/>
      <c r="E1047" s="18"/>
      <c r="F1047" s="18"/>
      <c r="G1047" s="18"/>
      <c r="H1047" s="18"/>
      <c r="I1047" s="18"/>
      <c r="J1047" s="18"/>
      <c r="K1047" s="18"/>
      <c r="L1047" s="18"/>
      <c r="M1047" s="18"/>
      <c r="N1047" s="18"/>
      <c r="O1047" s="18"/>
      <c r="P1047" s="18"/>
      <c r="Q1047" s="18"/>
      <c r="R1047" s="18"/>
      <c r="S1047" s="18"/>
      <c r="T1047" s="18"/>
      <c r="U1047" s="18"/>
      <c r="V1047" s="18"/>
      <c r="W1047" s="18"/>
      <c r="X1047" s="18"/>
      <c r="Y1047" s="18"/>
      <c r="Z1047" s="18"/>
      <c r="AA1047" s="18"/>
      <c r="AB1047" s="18"/>
      <c r="AC1047" s="18"/>
      <c r="AD1047" s="18"/>
      <c r="AE1047" s="18"/>
      <c r="AF1047" s="18"/>
      <c r="AG1047" s="18"/>
      <c r="AH1047" s="18"/>
      <c r="AI1047" s="18"/>
      <c r="AJ1047" s="18"/>
      <c r="AK1047" s="18"/>
      <c r="AL1047" s="18"/>
      <c r="AM1047" s="18"/>
      <c r="AN1047" s="18"/>
      <c r="AO1047" s="18"/>
      <c r="AP1047" s="18"/>
      <c r="AQ1047" s="18"/>
      <c r="AR1047" s="18"/>
      <c r="AS1047" s="18"/>
      <c r="AT1047" s="18"/>
      <c r="AU1047" s="18"/>
      <c r="AV1047" s="18"/>
      <c r="AW1047" s="18"/>
      <c r="AX1047" s="18"/>
      <c r="AY1047" s="18"/>
      <c r="AZ1047" s="18"/>
      <c r="BA1047" s="18"/>
      <c r="BB1047" s="18"/>
      <c r="BC1047" s="18"/>
      <c r="BD1047" s="18"/>
      <c r="BE1047" s="18"/>
      <c r="BF1047" s="18"/>
      <c r="BG1047" s="18"/>
      <c r="BH1047" s="18"/>
      <c r="BI1047" s="18"/>
      <c r="BJ1047" s="18"/>
      <c r="BK1047" s="18"/>
      <c r="BL1047" s="18"/>
      <c r="BM1047" s="18"/>
      <c r="BN1047" s="18"/>
    </row>
    <row r="1048" spans="1:66">
      <c r="A1048" s="18"/>
      <c r="B1048" s="18"/>
      <c r="C1048" s="18"/>
      <c r="D1048" s="18"/>
      <c r="E1048" s="18"/>
      <c r="F1048" s="18"/>
      <c r="G1048" s="18"/>
      <c r="H1048" s="18"/>
      <c r="I1048" s="18"/>
      <c r="J1048" s="18"/>
      <c r="K1048" s="18"/>
      <c r="L1048" s="18"/>
      <c r="M1048" s="18"/>
      <c r="N1048" s="18"/>
      <c r="O1048" s="18"/>
      <c r="P1048" s="18"/>
      <c r="Q1048" s="18"/>
      <c r="R1048" s="18"/>
      <c r="S1048" s="18"/>
      <c r="T1048" s="18"/>
      <c r="U1048" s="18"/>
      <c r="V1048" s="18"/>
      <c r="W1048" s="18"/>
      <c r="X1048" s="18"/>
      <c r="Y1048" s="18"/>
      <c r="Z1048" s="18"/>
      <c r="AA1048" s="18"/>
      <c r="AB1048" s="18"/>
      <c r="AC1048" s="18"/>
      <c r="AD1048" s="18"/>
      <c r="AE1048" s="18"/>
      <c r="AF1048" s="18"/>
      <c r="AG1048" s="18"/>
      <c r="AH1048" s="18"/>
      <c r="AI1048" s="18"/>
      <c r="AJ1048" s="18"/>
      <c r="AK1048" s="18"/>
      <c r="AL1048" s="18"/>
      <c r="AM1048" s="18"/>
      <c r="AN1048" s="18"/>
      <c r="AO1048" s="18"/>
      <c r="AP1048" s="18"/>
      <c r="AQ1048" s="18"/>
      <c r="AR1048" s="18"/>
      <c r="AS1048" s="18"/>
      <c r="AT1048" s="18"/>
      <c r="AU1048" s="18"/>
      <c r="AV1048" s="18"/>
      <c r="AW1048" s="18"/>
      <c r="AX1048" s="18"/>
      <c r="AY1048" s="18"/>
      <c r="AZ1048" s="18"/>
      <c r="BA1048" s="18"/>
      <c r="BB1048" s="18"/>
      <c r="BC1048" s="18"/>
      <c r="BD1048" s="18"/>
      <c r="BE1048" s="18"/>
      <c r="BF1048" s="18"/>
      <c r="BG1048" s="18"/>
      <c r="BH1048" s="18"/>
      <c r="BI1048" s="18"/>
      <c r="BJ1048" s="18"/>
      <c r="BK1048" s="18"/>
      <c r="BL1048" s="18"/>
      <c r="BM1048" s="18"/>
      <c r="BN1048" s="18"/>
    </row>
    <row r="1049" spans="1:66">
      <c r="A1049" s="18"/>
      <c r="B1049" s="18"/>
      <c r="C1049" s="18"/>
      <c r="D1049" s="18"/>
      <c r="E1049" s="18"/>
      <c r="F1049" s="18"/>
      <c r="G1049" s="18"/>
      <c r="H1049" s="18"/>
      <c r="I1049" s="18"/>
      <c r="J1049" s="18"/>
      <c r="K1049" s="18"/>
      <c r="L1049" s="18"/>
      <c r="M1049" s="18"/>
      <c r="N1049" s="18"/>
      <c r="O1049" s="18"/>
      <c r="P1049" s="18"/>
      <c r="Q1049" s="18"/>
      <c r="R1049" s="18"/>
      <c r="S1049" s="18"/>
      <c r="T1049" s="18"/>
      <c r="U1049" s="18"/>
      <c r="V1049" s="18"/>
      <c r="W1049" s="18"/>
      <c r="X1049" s="18"/>
      <c r="Y1049" s="18"/>
      <c r="Z1049" s="18"/>
      <c r="AA1049" s="18"/>
      <c r="AB1049" s="18"/>
      <c r="AC1049" s="18"/>
      <c r="AD1049" s="18"/>
      <c r="AE1049" s="18"/>
      <c r="AF1049" s="18"/>
      <c r="AG1049" s="18"/>
      <c r="AH1049" s="18"/>
      <c r="AI1049" s="18"/>
      <c r="AJ1049" s="18"/>
      <c r="AK1049" s="18"/>
      <c r="AL1049" s="18"/>
      <c r="AM1049" s="18"/>
      <c r="AN1049" s="18"/>
      <c r="AO1049" s="18"/>
      <c r="AP1049" s="18"/>
      <c r="AQ1049" s="18"/>
      <c r="AR1049" s="18"/>
      <c r="AS1049" s="18"/>
      <c r="AT1049" s="18"/>
      <c r="AU1049" s="18"/>
      <c r="AV1049" s="18"/>
      <c r="AW1049" s="18"/>
      <c r="AX1049" s="18"/>
      <c r="AY1049" s="18"/>
      <c r="AZ1049" s="18"/>
      <c r="BA1049" s="18"/>
      <c r="BB1049" s="18"/>
      <c r="BC1049" s="18"/>
      <c r="BD1049" s="18"/>
      <c r="BE1049" s="18"/>
      <c r="BF1049" s="18"/>
      <c r="BG1049" s="18"/>
      <c r="BH1049" s="18"/>
      <c r="BI1049" s="18"/>
      <c r="BJ1049" s="18"/>
      <c r="BK1049" s="18"/>
      <c r="BL1049" s="18"/>
      <c r="BM1049" s="18"/>
      <c r="BN1049" s="18"/>
    </row>
    <row r="1050" spans="1:66">
      <c r="A1050" s="18"/>
      <c r="B1050" s="18"/>
      <c r="C1050" s="18"/>
      <c r="D1050" s="18"/>
      <c r="E1050" s="18"/>
      <c r="F1050" s="18"/>
      <c r="G1050" s="18"/>
      <c r="H1050" s="18"/>
      <c r="I1050" s="18"/>
      <c r="J1050" s="18"/>
      <c r="K1050" s="18"/>
      <c r="L1050" s="18"/>
      <c r="M1050" s="18"/>
      <c r="N1050" s="18"/>
      <c r="O1050" s="18"/>
      <c r="P1050" s="18"/>
      <c r="Q1050" s="18"/>
      <c r="R1050" s="18"/>
      <c r="S1050" s="18"/>
      <c r="T1050" s="18"/>
      <c r="U1050" s="18"/>
      <c r="V1050" s="18"/>
      <c r="W1050" s="18"/>
      <c r="X1050" s="18"/>
      <c r="Y1050" s="18"/>
      <c r="Z1050" s="18"/>
      <c r="AA1050" s="18"/>
      <c r="AB1050" s="18"/>
      <c r="AC1050" s="18"/>
      <c r="AD1050" s="18"/>
      <c r="AE1050" s="18"/>
      <c r="AF1050" s="18"/>
      <c r="AG1050" s="18"/>
      <c r="AH1050" s="18"/>
      <c r="AI1050" s="18"/>
      <c r="AJ1050" s="18"/>
      <c r="AK1050" s="18"/>
      <c r="AL1050" s="18"/>
      <c r="AM1050" s="18"/>
      <c r="AN1050" s="18"/>
      <c r="AO1050" s="18"/>
      <c r="AP1050" s="18"/>
      <c r="AQ1050" s="18"/>
      <c r="AR1050" s="18"/>
      <c r="AS1050" s="18"/>
      <c r="AT1050" s="18"/>
      <c r="AU1050" s="18"/>
      <c r="AV1050" s="18"/>
      <c r="AW1050" s="18"/>
      <c r="AX1050" s="18"/>
      <c r="AY1050" s="18"/>
      <c r="AZ1050" s="18"/>
      <c r="BA1050" s="18"/>
      <c r="BB1050" s="18"/>
      <c r="BC1050" s="18"/>
      <c r="BD1050" s="18"/>
      <c r="BE1050" s="18"/>
      <c r="BF1050" s="18"/>
      <c r="BG1050" s="18"/>
      <c r="BH1050" s="18"/>
      <c r="BI1050" s="18"/>
      <c r="BJ1050" s="18"/>
      <c r="BK1050" s="18"/>
      <c r="BL1050" s="18"/>
      <c r="BM1050" s="18"/>
      <c r="BN1050" s="18"/>
    </row>
    <row r="1051" spans="1:66">
      <c r="A1051" s="18"/>
      <c r="B1051" s="18"/>
      <c r="C1051" s="18"/>
      <c r="D1051" s="18"/>
      <c r="E1051" s="18"/>
      <c r="F1051" s="18"/>
      <c r="G1051" s="18"/>
      <c r="H1051" s="18"/>
      <c r="I1051" s="18"/>
      <c r="J1051" s="18"/>
      <c r="K1051" s="18"/>
      <c r="L1051" s="18"/>
      <c r="M1051" s="18"/>
      <c r="N1051" s="18"/>
      <c r="O1051" s="18"/>
      <c r="P1051" s="18"/>
      <c r="Q1051" s="18"/>
      <c r="R1051" s="18"/>
      <c r="S1051" s="18"/>
      <c r="T1051" s="18"/>
      <c r="U1051" s="18"/>
      <c r="V1051" s="18"/>
      <c r="W1051" s="18"/>
      <c r="X1051" s="18"/>
      <c r="Y1051" s="18"/>
      <c r="Z1051" s="18"/>
      <c r="AA1051" s="18"/>
      <c r="AB1051" s="18"/>
      <c r="AC1051" s="18"/>
      <c r="AD1051" s="18"/>
      <c r="AE1051" s="18"/>
      <c r="AF1051" s="18"/>
      <c r="AG1051" s="18"/>
      <c r="AH1051" s="18"/>
      <c r="AI1051" s="18"/>
      <c r="AJ1051" s="18"/>
      <c r="AK1051" s="18"/>
      <c r="AL1051" s="18"/>
      <c r="AM1051" s="18"/>
      <c r="AN1051" s="18"/>
      <c r="AO1051" s="18"/>
      <c r="AP1051" s="18"/>
      <c r="AQ1051" s="18"/>
      <c r="AR1051" s="18"/>
      <c r="AS1051" s="18"/>
      <c r="AT1051" s="18"/>
      <c r="AU1051" s="18"/>
      <c r="AV1051" s="18"/>
      <c r="AW1051" s="18"/>
      <c r="AX1051" s="18"/>
      <c r="AY1051" s="18"/>
      <c r="AZ1051" s="18"/>
      <c r="BA1051" s="18"/>
      <c r="BB1051" s="18"/>
      <c r="BC1051" s="18"/>
      <c r="BD1051" s="18"/>
      <c r="BE1051" s="18"/>
      <c r="BF1051" s="18"/>
      <c r="BG1051" s="18"/>
      <c r="BH1051" s="18"/>
      <c r="BI1051" s="18"/>
      <c r="BJ1051" s="18"/>
      <c r="BK1051" s="18"/>
      <c r="BL1051" s="18"/>
      <c r="BM1051" s="18"/>
      <c r="BN1051" s="18"/>
    </row>
    <row r="1052" spans="1:66">
      <c r="A1052" s="18"/>
      <c r="B1052" s="18"/>
      <c r="C1052" s="18"/>
      <c r="D1052" s="18"/>
      <c r="E1052" s="18"/>
      <c r="F1052" s="18"/>
      <c r="G1052" s="18"/>
      <c r="H1052" s="18"/>
      <c r="I1052" s="18"/>
      <c r="J1052" s="18"/>
      <c r="K1052" s="18"/>
      <c r="L1052" s="18"/>
      <c r="M1052" s="18"/>
      <c r="N1052" s="18"/>
      <c r="O1052" s="18"/>
      <c r="P1052" s="18"/>
      <c r="Q1052" s="18"/>
      <c r="R1052" s="18"/>
      <c r="S1052" s="18"/>
      <c r="T1052" s="18"/>
      <c r="U1052" s="18"/>
      <c r="V1052" s="18"/>
      <c r="W1052" s="18"/>
      <c r="X1052" s="18"/>
      <c r="Y1052" s="18"/>
      <c r="Z1052" s="18"/>
      <c r="AA1052" s="18"/>
      <c r="AB1052" s="18"/>
      <c r="AC1052" s="18"/>
      <c r="AD1052" s="18"/>
      <c r="AE1052" s="18"/>
      <c r="AF1052" s="18"/>
      <c r="AG1052" s="18"/>
      <c r="AH1052" s="18"/>
      <c r="AI1052" s="18"/>
      <c r="AJ1052" s="18"/>
      <c r="AK1052" s="18"/>
      <c r="AL1052" s="18"/>
      <c r="AM1052" s="18"/>
      <c r="AN1052" s="18"/>
      <c r="AO1052" s="18"/>
      <c r="AP1052" s="18"/>
      <c r="AQ1052" s="18"/>
      <c r="AR1052" s="18"/>
      <c r="AS1052" s="18"/>
      <c r="AT1052" s="18"/>
      <c r="AU1052" s="18"/>
      <c r="AV1052" s="18"/>
      <c r="AW1052" s="18"/>
      <c r="AX1052" s="18"/>
      <c r="AY1052" s="18"/>
      <c r="AZ1052" s="18"/>
      <c r="BA1052" s="18"/>
      <c r="BB1052" s="18"/>
      <c r="BC1052" s="18"/>
      <c r="BD1052" s="18"/>
      <c r="BE1052" s="18"/>
      <c r="BF1052" s="18"/>
      <c r="BG1052" s="18"/>
      <c r="BH1052" s="18"/>
      <c r="BI1052" s="18"/>
      <c r="BJ1052" s="18"/>
      <c r="BK1052" s="18"/>
      <c r="BL1052" s="18"/>
      <c r="BM1052" s="18"/>
      <c r="BN1052" s="18"/>
    </row>
    <row r="1053" spans="1:66">
      <c r="A1053" s="18"/>
      <c r="B1053" s="18"/>
      <c r="C1053" s="18"/>
      <c r="D1053" s="18"/>
      <c r="E1053" s="18"/>
      <c r="F1053" s="18"/>
      <c r="G1053" s="18"/>
      <c r="H1053" s="18"/>
      <c r="I1053" s="18"/>
      <c r="J1053" s="18"/>
      <c r="K1053" s="18"/>
      <c r="L1053" s="18"/>
      <c r="M1053" s="18"/>
      <c r="N1053" s="18"/>
      <c r="O1053" s="18"/>
      <c r="P1053" s="18"/>
      <c r="Q1053" s="18"/>
      <c r="R1053" s="18"/>
      <c r="S1053" s="18"/>
      <c r="T1053" s="18"/>
      <c r="U1053" s="18"/>
      <c r="V1053" s="18"/>
      <c r="W1053" s="18"/>
      <c r="X1053" s="18"/>
      <c r="Y1053" s="18"/>
      <c r="Z1053" s="18"/>
      <c r="AA1053" s="18"/>
      <c r="AB1053" s="18"/>
      <c r="AC1053" s="18"/>
      <c r="AD1053" s="18"/>
      <c r="AE1053" s="18"/>
      <c r="AF1053" s="18"/>
      <c r="AG1053" s="18"/>
      <c r="AH1053" s="18"/>
      <c r="AI1053" s="18"/>
      <c r="AJ1053" s="18"/>
      <c r="AK1053" s="18"/>
      <c r="AL1053" s="18"/>
      <c r="AM1053" s="18"/>
      <c r="AN1053" s="18"/>
      <c r="AO1053" s="18"/>
      <c r="AP1053" s="18"/>
      <c r="AQ1053" s="18"/>
      <c r="AR1053" s="18"/>
      <c r="AS1053" s="18"/>
      <c r="AT1053" s="18"/>
      <c r="AU1053" s="18"/>
      <c r="AV1053" s="18"/>
      <c r="AW1053" s="18"/>
      <c r="AX1053" s="18"/>
      <c r="AY1053" s="18"/>
      <c r="AZ1053" s="18"/>
      <c r="BA1053" s="18"/>
      <c r="BB1053" s="18"/>
      <c r="BC1053" s="18"/>
      <c r="BD1053" s="18"/>
      <c r="BE1053" s="18"/>
      <c r="BF1053" s="18"/>
      <c r="BG1053" s="18"/>
      <c r="BH1053" s="18"/>
      <c r="BI1053" s="18"/>
      <c r="BJ1053" s="18"/>
      <c r="BK1053" s="18"/>
      <c r="BL1053" s="18"/>
      <c r="BM1053" s="18"/>
      <c r="BN1053" s="18"/>
    </row>
    <row r="1054" spans="1:66">
      <c r="A1054" s="18"/>
      <c r="B1054" s="18"/>
      <c r="C1054" s="18"/>
      <c r="D1054" s="18"/>
      <c r="E1054" s="18"/>
      <c r="F1054" s="18"/>
      <c r="G1054" s="18"/>
      <c r="H1054" s="18"/>
      <c r="I1054" s="18"/>
      <c r="J1054" s="18"/>
      <c r="K1054" s="18"/>
      <c r="L1054" s="18"/>
      <c r="M1054" s="18"/>
      <c r="N1054" s="18"/>
      <c r="O1054" s="18"/>
      <c r="P1054" s="18"/>
      <c r="Q1054" s="18"/>
      <c r="R1054" s="18"/>
      <c r="S1054" s="18"/>
      <c r="T1054" s="18"/>
      <c r="U1054" s="18"/>
      <c r="V1054" s="18"/>
      <c r="W1054" s="18"/>
      <c r="X1054" s="18"/>
      <c r="Y1054" s="18"/>
      <c r="Z1054" s="18"/>
      <c r="AA1054" s="18"/>
      <c r="AB1054" s="18"/>
      <c r="AC1054" s="18"/>
      <c r="AD1054" s="18"/>
      <c r="AE1054" s="18"/>
      <c r="AF1054" s="18"/>
      <c r="AG1054" s="18"/>
      <c r="AH1054" s="18"/>
      <c r="AI1054" s="18"/>
      <c r="AJ1054" s="18"/>
      <c r="AK1054" s="18"/>
      <c r="AL1054" s="18"/>
      <c r="AM1054" s="18"/>
      <c r="AN1054" s="18"/>
      <c r="AO1054" s="18"/>
      <c r="AP1054" s="18"/>
      <c r="AQ1054" s="18"/>
      <c r="AR1054" s="18"/>
      <c r="AS1054" s="18"/>
      <c r="AT1054" s="18"/>
      <c r="AU1054" s="18"/>
      <c r="AV1054" s="18"/>
      <c r="AW1054" s="18"/>
      <c r="AX1054" s="18"/>
      <c r="AY1054" s="18"/>
      <c r="AZ1054" s="18"/>
      <c r="BA1054" s="18"/>
      <c r="BB1054" s="18"/>
      <c r="BC1054" s="18"/>
      <c r="BD1054" s="18"/>
      <c r="BE1054" s="18"/>
      <c r="BF1054" s="18"/>
      <c r="BG1054" s="18"/>
      <c r="BH1054" s="18"/>
      <c r="BI1054" s="18"/>
      <c r="BJ1054" s="18"/>
      <c r="BK1054" s="18"/>
      <c r="BL1054" s="18"/>
      <c r="BM1054" s="18"/>
      <c r="BN1054" s="18"/>
    </row>
    <row r="1055" spans="1:66">
      <c r="A1055" s="18"/>
      <c r="B1055" s="18"/>
      <c r="C1055" s="18"/>
      <c r="D1055" s="18"/>
      <c r="E1055" s="18"/>
      <c r="F1055" s="18"/>
      <c r="G1055" s="18"/>
      <c r="H1055" s="18"/>
      <c r="I1055" s="18"/>
      <c r="J1055" s="18"/>
      <c r="K1055" s="18"/>
      <c r="L1055" s="18"/>
      <c r="M1055" s="18"/>
      <c r="N1055" s="18"/>
      <c r="O1055" s="18"/>
      <c r="P1055" s="18"/>
      <c r="Q1055" s="18"/>
      <c r="R1055" s="18"/>
      <c r="S1055" s="18"/>
      <c r="T1055" s="18"/>
      <c r="U1055" s="18"/>
      <c r="V1055" s="18"/>
      <c r="W1055" s="18"/>
      <c r="X1055" s="18"/>
      <c r="Y1055" s="18"/>
      <c r="Z1055" s="18"/>
      <c r="AA1055" s="18"/>
      <c r="AB1055" s="18"/>
      <c r="AC1055" s="18"/>
      <c r="AD1055" s="18"/>
      <c r="AE1055" s="18"/>
      <c r="AF1055" s="18"/>
      <c r="AG1055" s="18"/>
      <c r="AH1055" s="18"/>
      <c r="AI1055" s="18"/>
      <c r="AJ1055" s="18"/>
      <c r="AK1055" s="18"/>
      <c r="AL1055" s="18"/>
      <c r="AM1055" s="18"/>
      <c r="AN1055" s="18"/>
      <c r="AO1055" s="18"/>
      <c r="AP1055" s="18"/>
      <c r="AQ1055" s="18"/>
      <c r="AR1055" s="18"/>
      <c r="AS1055" s="18"/>
      <c r="AT1055" s="18"/>
      <c r="AU1055" s="18"/>
      <c r="AV1055" s="18"/>
      <c r="AW1055" s="18"/>
      <c r="AX1055" s="18"/>
      <c r="AY1055" s="18"/>
      <c r="AZ1055" s="18"/>
      <c r="BA1055" s="18"/>
      <c r="BB1055" s="18"/>
      <c r="BC1055" s="18"/>
      <c r="BD1055" s="18"/>
      <c r="BE1055" s="18"/>
      <c r="BF1055" s="18"/>
      <c r="BG1055" s="18"/>
      <c r="BH1055" s="18"/>
      <c r="BI1055" s="18"/>
      <c r="BJ1055" s="18"/>
      <c r="BK1055" s="18"/>
      <c r="BL1055" s="18"/>
      <c r="BM1055" s="18"/>
      <c r="BN1055" s="18"/>
    </row>
    <row r="1056" spans="1:66">
      <c r="A1056" s="18"/>
      <c r="B1056" s="18"/>
      <c r="C1056" s="18"/>
      <c r="D1056" s="18"/>
      <c r="E1056" s="18"/>
      <c r="F1056" s="18"/>
      <c r="G1056" s="18"/>
      <c r="H1056" s="18"/>
      <c r="I1056" s="18"/>
      <c r="J1056" s="18"/>
      <c r="K1056" s="18"/>
      <c r="L1056" s="18"/>
      <c r="M1056" s="18"/>
      <c r="N1056" s="18"/>
      <c r="O1056" s="18"/>
      <c r="P1056" s="18"/>
      <c r="Q1056" s="18"/>
      <c r="R1056" s="18"/>
      <c r="S1056" s="18"/>
      <c r="T1056" s="18"/>
      <c r="U1056" s="18"/>
      <c r="V1056" s="18"/>
      <c r="W1056" s="18"/>
      <c r="X1056" s="18"/>
      <c r="Y1056" s="18"/>
      <c r="Z1056" s="18"/>
      <c r="AA1056" s="18"/>
      <c r="AB1056" s="18"/>
      <c r="AC1056" s="18"/>
      <c r="AD1056" s="18"/>
      <c r="AE1056" s="18"/>
      <c r="AF1056" s="18"/>
      <c r="AG1056" s="18"/>
      <c r="AH1056" s="18"/>
      <c r="AI1056" s="18"/>
      <c r="AJ1056" s="18"/>
      <c r="AK1056" s="18"/>
      <c r="AL1056" s="18"/>
      <c r="AM1056" s="18"/>
      <c r="AN1056" s="18"/>
      <c r="AO1056" s="18"/>
      <c r="AP1056" s="18"/>
      <c r="AQ1056" s="18"/>
      <c r="AR1056" s="18"/>
      <c r="AS1056" s="18"/>
      <c r="AT1056" s="18"/>
      <c r="AU1056" s="18"/>
      <c r="AV1056" s="18"/>
      <c r="AW1056" s="18"/>
      <c r="AX1056" s="18"/>
      <c r="AY1056" s="18"/>
      <c r="AZ1056" s="18"/>
      <c r="BA1056" s="18"/>
      <c r="BB1056" s="18"/>
      <c r="BC1056" s="18"/>
      <c r="BD1056" s="18"/>
      <c r="BE1056" s="18"/>
      <c r="BF1056" s="18"/>
      <c r="BG1056" s="18"/>
      <c r="BH1056" s="18"/>
      <c r="BI1056" s="18"/>
      <c r="BJ1056" s="18"/>
      <c r="BK1056" s="18"/>
      <c r="BL1056" s="18"/>
      <c r="BM1056" s="18"/>
      <c r="BN1056" s="18"/>
    </row>
    <row r="1057" spans="1:66">
      <c r="A1057" s="18"/>
      <c r="B1057" s="18"/>
      <c r="C1057" s="18"/>
      <c r="D1057" s="18"/>
      <c r="E1057" s="18"/>
      <c r="F1057" s="18"/>
      <c r="G1057" s="18"/>
      <c r="H1057" s="18"/>
      <c r="I1057" s="18"/>
      <c r="J1057" s="18"/>
      <c r="K1057" s="18"/>
      <c r="L1057" s="18"/>
      <c r="M1057" s="18"/>
      <c r="N1057" s="18"/>
      <c r="O1057" s="18"/>
      <c r="P1057" s="18"/>
      <c r="Q1057" s="18"/>
      <c r="R1057" s="18"/>
      <c r="S1057" s="18"/>
      <c r="T1057" s="18"/>
      <c r="U1057" s="18"/>
      <c r="V1057" s="18"/>
      <c r="W1057" s="18"/>
      <c r="X1057" s="18"/>
      <c r="Y1057" s="18"/>
      <c r="Z1057" s="18"/>
      <c r="AA1057" s="18"/>
      <c r="AB1057" s="18"/>
      <c r="AC1057" s="18"/>
      <c r="AD1057" s="18"/>
      <c r="AE1057" s="18"/>
      <c r="AF1057" s="18"/>
      <c r="AG1057" s="18"/>
      <c r="AH1057" s="18"/>
      <c r="AI1057" s="18"/>
      <c r="AJ1057" s="18"/>
      <c r="AK1057" s="18"/>
      <c r="AL1057" s="18"/>
      <c r="AM1057" s="18"/>
      <c r="AN1057" s="18"/>
      <c r="AO1057" s="18"/>
      <c r="AP1057" s="18"/>
      <c r="AQ1057" s="18"/>
      <c r="AR1057" s="18"/>
      <c r="AS1057" s="18"/>
      <c r="AT1057" s="18"/>
      <c r="AU1057" s="18"/>
      <c r="AV1057" s="18"/>
      <c r="AW1057" s="18"/>
      <c r="AX1057" s="18"/>
      <c r="AY1057" s="18"/>
      <c r="AZ1057" s="18"/>
      <c r="BA1057" s="18"/>
      <c r="BB1057" s="18"/>
      <c r="BC1057" s="18"/>
      <c r="BD1057" s="18"/>
      <c r="BE1057" s="18"/>
      <c r="BF1057" s="18"/>
      <c r="BG1057" s="18"/>
      <c r="BH1057" s="18"/>
      <c r="BI1057" s="18"/>
      <c r="BJ1057" s="18"/>
      <c r="BK1057" s="18"/>
      <c r="BL1057" s="18"/>
      <c r="BM1057" s="18"/>
      <c r="BN1057" s="18"/>
    </row>
    <row r="1058" spans="1:66">
      <c r="A1058" s="18"/>
      <c r="B1058" s="18"/>
      <c r="C1058" s="18"/>
      <c r="D1058" s="18"/>
      <c r="E1058" s="18"/>
      <c r="F1058" s="18"/>
      <c r="G1058" s="18"/>
      <c r="H1058" s="18"/>
      <c r="I1058" s="18"/>
      <c r="J1058" s="18"/>
      <c r="K1058" s="18"/>
      <c r="L1058" s="18"/>
      <c r="M1058" s="18"/>
      <c r="N1058" s="18"/>
      <c r="O1058" s="18"/>
      <c r="P1058" s="18"/>
      <c r="Q1058" s="18"/>
      <c r="R1058" s="18"/>
      <c r="S1058" s="18"/>
      <c r="T1058" s="18"/>
      <c r="U1058" s="18"/>
      <c r="V1058" s="18"/>
      <c r="W1058" s="18"/>
      <c r="X1058" s="18"/>
      <c r="Y1058" s="18"/>
      <c r="Z1058" s="18"/>
      <c r="AA1058" s="18"/>
      <c r="AB1058" s="18"/>
      <c r="AC1058" s="18"/>
      <c r="AD1058" s="18"/>
      <c r="AE1058" s="18"/>
      <c r="AF1058" s="18"/>
      <c r="AG1058" s="18"/>
      <c r="AH1058" s="18"/>
      <c r="AI1058" s="18"/>
      <c r="AJ1058" s="18"/>
      <c r="AK1058" s="18"/>
      <c r="AL1058" s="18"/>
      <c r="AM1058" s="18"/>
      <c r="AN1058" s="18"/>
      <c r="AO1058" s="18"/>
      <c r="AP1058" s="18"/>
      <c r="AQ1058" s="18"/>
      <c r="AR1058" s="18"/>
      <c r="AS1058" s="18"/>
      <c r="AT1058" s="18"/>
      <c r="AU1058" s="18"/>
      <c r="AV1058" s="18"/>
      <c r="AW1058" s="18"/>
      <c r="AX1058" s="18"/>
      <c r="AY1058" s="18"/>
      <c r="AZ1058" s="18"/>
      <c r="BA1058" s="18"/>
      <c r="BB1058" s="18"/>
      <c r="BC1058" s="18"/>
      <c r="BD1058" s="18"/>
      <c r="BE1058" s="18"/>
      <c r="BF1058" s="18"/>
      <c r="BG1058" s="18"/>
      <c r="BH1058" s="18"/>
      <c r="BI1058" s="18"/>
      <c r="BJ1058" s="18"/>
      <c r="BK1058" s="18"/>
      <c r="BL1058" s="18"/>
      <c r="BM1058" s="18"/>
      <c r="BN1058" s="18"/>
    </row>
    <row r="1059" spans="1:66">
      <c r="A1059" s="18"/>
      <c r="B1059" s="18"/>
      <c r="C1059" s="18"/>
      <c r="D1059" s="18"/>
      <c r="E1059" s="18"/>
      <c r="F1059" s="18"/>
      <c r="G1059" s="18"/>
      <c r="H1059" s="18"/>
      <c r="I1059" s="18"/>
      <c r="J1059" s="18"/>
      <c r="K1059" s="18"/>
      <c r="L1059" s="18"/>
      <c r="M1059" s="18"/>
      <c r="N1059" s="18"/>
      <c r="O1059" s="18"/>
      <c r="P1059" s="18"/>
      <c r="Q1059" s="18"/>
      <c r="R1059" s="18"/>
      <c r="S1059" s="18"/>
      <c r="T1059" s="18"/>
      <c r="U1059" s="18"/>
      <c r="V1059" s="18"/>
      <c r="W1059" s="18"/>
      <c r="X1059" s="18"/>
      <c r="Y1059" s="18"/>
      <c r="Z1059" s="18"/>
      <c r="AA1059" s="18"/>
      <c r="AB1059" s="18"/>
      <c r="AC1059" s="18"/>
      <c r="AD1059" s="18"/>
      <c r="AE1059" s="18"/>
      <c r="AF1059" s="18"/>
      <c r="AG1059" s="18"/>
      <c r="AH1059" s="18"/>
      <c r="AI1059" s="18"/>
      <c r="AJ1059" s="18"/>
      <c r="AK1059" s="18"/>
      <c r="AL1059" s="18"/>
      <c r="AM1059" s="18"/>
      <c r="AN1059" s="18"/>
      <c r="AO1059" s="18"/>
      <c r="AP1059" s="18"/>
      <c r="AQ1059" s="18"/>
      <c r="AR1059" s="18"/>
      <c r="AS1059" s="18"/>
      <c r="AT1059" s="18"/>
      <c r="AU1059" s="18"/>
      <c r="AV1059" s="18"/>
      <c r="AW1059" s="18"/>
      <c r="AX1059" s="18"/>
      <c r="AY1059" s="18"/>
      <c r="AZ1059" s="18"/>
      <c r="BA1059" s="18"/>
      <c r="BB1059" s="18"/>
      <c r="BC1059" s="18"/>
      <c r="BD1059" s="18"/>
      <c r="BE1059" s="18"/>
      <c r="BF1059" s="18"/>
      <c r="BG1059" s="18"/>
      <c r="BH1059" s="18"/>
      <c r="BI1059" s="18"/>
      <c r="BJ1059" s="18"/>
      <c r="BK1059" s="18"/>
      <c r="BL1059" s="18"/>
      <c r="BM1059" s="18"/>
      <c r="BN1059" s="18"/>
    </row>
    <row r="1060" spans="1:66">
      <c r="A1060" s="18"/>
      <c r="B1060" s="18"/>
      <c r="C1060" s="18"/>
      <c r="D1060" s="18"/>
      <c r="E1060" s="18"/>
      <c r="F1060" s="18"/>
      <c r="G1060" s="18"/>
      <c r="H1060" s="18"/>
      <c r="I1060" s="18"/>
      <c r="J1060" s="18"/>
      <c r="K1060" s="18"/>
      <c r="L1060" s="18"/>
      <c r="M1060" s="18"/>
      <c r="N1060" s="18"/>
      <c r="O1060" s="18"/>
      <c r="P1060" s="18"/>
      <c r="Q1060" s="18"/>
      <c r="R1060" s="18"/>
      <c r="S1060" s="18"/>
      <c r="T1060" s="18"/>
      <c r="U1060" s="18"/>
      <c r="V1060" s="18"/>
      <c r="W1060" s="18"/>
      <c r="X1060" s="18"/>
      <c r="Y1060" s="18"/>
      <c r="Z1060" s="18"/>
      <c r="AA1060" s="18"/>
      <c r="AB1060" s="18"/>
      <c r="AC1060" s="18"/>
      <c r="AD1060" s="18"/>
      <c r="AE1060" s="18"/>
      <c r="AF1060" s="18"/>
      <c r="AG1060" s="18"/>
      <c r="AH1060" s="18"/>
      <c r="AI1060" s="18"/>
      <c r="AJ1060" s="18"/>
      <c r="AK1060" s="18"/>
      <c r="AL1060" s="18"/>
      <c r="AM1060" s="18"/>
      <c r="AN1060" s="18"/>
      <c r="AO1060" s="18"/>
      <c r="AP1060" s="18"/>
      <c r="AQ1060" s="18"/>
      <c r="AR1060" s="18"/>
      <c r="AS1060" s="18"/>
      <c r="AT1060" s="18"/>
      <c r="AU1060" s="18"/>
      <c r="AV1060" s="18"/>
      <c r="AW1060" s="18"/>
      <c r="AX1060" s="18"/>
      <c r="AY1060" s="18"/>
      <c r="AZ1060" s="18"/>
      <c r="BA1060" s="18"/>
      <c r="BB1060" s="18"/>
      <c r="BC1060" s="18"/>
      <c r="BD1060" s="18"/>
      <c r="BE1060" s="18"/>
      <c r="BF1060" s="18"/>
      <c r="BG1060" s="18"/>
      <c r="BH1060" s="18"/>
      <c r="BI1060" s="18"/>
      <c r="BJ1060" s="18"/>
      <c r="BK1060" s="18"/>
      <c r="BL1060" s="18"/>
      <c r="BM1060" s="18"/>
      <c r="BN1060" s="18"/>
    </row>
    <row r="1061" spans="1:66">
      <c r="A1061" s="18"/>
      <c r="B1061" s="18"/>
      <c r="C1061" s="18"/>
      <c r="D1061" s="18"/>
      <c r="E1061" s="18"/>
      <c r="F1061" s="18"/>
      <c r="G1061" s="18"/>
      <c r="H1061" s="18"/>
      <c r="I1061" s="18"/>
      <c r="J1061" s="18"/>
      <c r="K1061" s="18"/>
      <c r="L1061" s="18"/>
      <c r="M1061" s="18"/>
      <c r="N1061" s="18"/>
      <c r="O1061" s="18"/>
      <c r="P1061" s="18"/>
      <c r="Q1061" s="18"/>
      <c r="R1061" s="18"/>
      <c r="S1061" s="18"/>
      <c r="T1061" s="18"/>
      <c r="U1061" s="18"/>
      <c r="V1061" s="18"/>
      <c r="W1061" s="18"/>
      <c r="X1061" s="18"/>
      <c r="Y1061" s="18"/>
      <c r="Z1061" s="18"/>
      <c r="AA1061" s="18"/>
      <c r="AB1061" s="18"/>
      <c r="AC1061" s="18"/>
      <c r="AD1061" s="18"/>
      <c r="AE1061" s="18"/>
      <c r="AF1061" s="18"/>
      <c r="AG1061" s="18"/>
      <c r="AH1061" s="18"/>
      <c r="AI1061" s="18"/>
      <c r="AJ1061" s="18"/>
      <c r="AK1061" s="18"/>
      <c r="AL1061" s="18"/>
      <c r="AM1061" s="18"/>
      <c r="AN1061" s="18"/>
      <c r="AO1061" s="18"/>
      <c r="AP1061" s="18"/>
      <c r="AQ1061" s="18"/>
      <c r="AR1061" s="18"/>
      <c r="AS1061" s="18"/>
      <c r="AT1061" s="18"/>
      <c r="AU1061" s="18"/>
      <c r="AV1061" s="18"/>
      <c r="AW1061" s="18"/>
      <c r="AX1061" s="18"/>
      <c r="AY1061" s="18"/>
      <c r="AZ1061" s="18"/>
      <c r="BA1061" s="18"/>
      <c r="BB1061" s="18"/>
      <c r="BC1061" s="18"/>
      <c r="BD1061" s="18"/>
      <c r="BE1061" s="18"/>
      <c r="BF1061" s="18"/>
      <c r="BG1061" s="18"/>
      <c r="BH1061" s="18"/>
      <c r="BI1061" s="18"/>
      <c r="BJ1061" s="18"/>
      <c r="BK1061" s="18"/>
      <c r="BL1061" s="18"/>
      <c r="BM1061" s="18"/>
      <c r="BN1061" s="18"/>
    </row>
    <row r="1062" spans="1:66">
      <c r="A1062" s="18"/>
      <c r="B1062" s="18"/>
      <c r="C1062" s="18"/>
      <c r="D1062" s="18"/>
      <c r="E1062" s="18"/>
      <c r="F1062" s="18"/>
      <c r="G1062" s="18"/>
      <c r="H1062" s="18"/>
      <c r="I1062" s="18"/>
      <c r="J1062" s="18"/>
      <c r="K1062" s="18"/>
      <c r="L1062" s="18"/>
      <c r="M1062" s="18"/>
      <c r="N1062" s="18"/>
      <c r="O1062" s="18"/>
      <c r="P1062" s="18"/>
      <c r="Q1062" s="18"/>
      <c r="R1062" s="18"/>
      <c r="S1062" s="18"/>
      <c r="T1062" s="18"/>
      <c r="U1062" s="18"/>
      <c r="V1062" s="18"/>
      <c r="W1062" s="18"/>
      <c r="X1062" s="18"/>
      <c r="Y1062" s="18"/>
      <c r="Z1062" s="18"/>
      <c r="AA1062" s="18"/>
      <c r="AB1062" s="18"/>
      <c r="AC1062" s="18"/>
      <c r="AD1062" s="18"/>
      <c r="AE1062" s="18"/>
      <c r="AF1062" s="18"/>
      <c r="AG1062" s="18"/>
      <c r="AH1062" s="18"/>
      <c r="AI1062" s="18"/>
      <c r="AJ1062" s="18"/>
      <c r="AK1062" s="18"/>
      <c r="AL1062" s="18"/>
      <c r="AM1062" s="18"/>
      <c r="AN1062" s="18"/>
      <c r="AO1062" s="18"/>
      <c r="AP1062" s="18"/>
      <c r="AQ1062" s="18"/>
      <c r="AR1062" s="18"/>
      <c r="AS1062" s="18"/>
      <c r="AT1062" s="18"/>
      <c r="AU1062" s="18"/>
      <c r="AV1062" s="18"/>
      <c r="AW1062" s="18"/>
      <c r="AX1062" s="18"/>
      <c r="AY1062" s="18"/>
      <c r="AZ1062" s="18"/>
      <c r="BA1062" s="18"/>
      <c r="BB1062" s="18"/>
      <c r="BC1062" s="18"/>
      <c r="BD1062" s="18"/>
      <c r="BE1062" s="18"/>
      <c r="BF1062" s="18"/>
      <c r="BG1062" s="18"/>
      <c r="BH1062" s="18"/>
      <c r="BI1062" s="18"/>
      <c r="BJ1062" s="18"/>
      <c r="BK1062" s="18"/>
      <c r="BL1062" s="18"/>
      <c r="BM1062" s="18"/>
      <c r="BN1062" s="18"/>
    </row>
    <row r="1063" spans="1:66">
      <c r="A1063" s="18"/>
      <c r="B1063" s="18"/>
      <c r="C1063" s="18"/>
      <c r="D1063" s="18"/>
      <c r="E1063" s="18"/>
      <c r="F1063" s="18"/>
      <c r="G1063" s="18"/>
      <c r="H1063" s="18"/>
      <c r="I1063" s="18"/>
      <c r="J1063" s="18"/>
      <c r="K1063" s="18"/>
      <c r="L1063" s="18"/>
      <c r="M1063" s="18"/>
      <c r="N1063" s="18"/>
      <c r="O1063" s="18"/>
      <c r="P1063" s="18"/>
      <c r="Q1063" s="18"/>
      <c r="R1063" s="18"/>
      <c r="S1063" s="18"/>
      <c r="T1063" s="18"/>
      <c r="U1063" s="18"/>
      <c r="V1063" s="18"/>
      <c r="W1063" s="18"/>
      <c r="X1063" s="18"/>
      <c r="Y1063" s="18"/>
      <c r="Z1063" s="18"/>
      <c r="AA1063" s="18"/>
      <c r="AB1063" s="18"/>
      <c r="AC1063" s="18"/>
      <c r="AD1063" s="18"/>
      <c r="AE1063" s="18"/>
      <c r="AF1063" s="18"/>
      <c r="AG1063" s="18"/>
      <c r="AH1063" s="18"/>
      <c r="AI1063" s="18"/>
      <c r="AJ1063" s="18"/>
      <c r="AK1063" s="18"/>
      <c r="AL1063" s="18"/>
      <c r="AM1063" s="18"/>
      <c r="AN1063" s="18"/>
      <c r="AO1063" s="18"/>
      <c r="AP1063" s="18"/>
      <c r="AQ1063" s="18"/>
      <c r="AR1063" s="18"/>
      <c r="AS1063" s="18"/>
      <c r="AT1063" s="18"/>
      <c r="AU1063" s="18"/>
      <c r="AV1063" s="18"/>
      <c r="AW1063" s="18"/>
      <c r="AX1063" s="18"/>
      <c r="AY1063" s="18"/>
      <c r="AZ1063" s="18"/>
      <c r="BA1063" s="18"/>
      <c r="BB1063" s="18"/>
      <c r="BC1063" s="18"/>
      <c r="BD1063" s="18"/>
      <c r="BE1063" s="18"/>
      <c r="BF1063" s="18"/>
      <c r="BG1063" s="18"/>
      <c r="BH1063" s="18"/>
      <c r="BI1063" s="18"/>
      <c r="BJ1063" s="18"/>
      <c r="BK1063" s="18"/>
      <c r="BL1063" s="18"/>
      <c r="BM1063" s="18"/>
      <c r="BN1063" s="18"/>
    </row>
    <row r="1064" spans="1:66">
      <c r="A1064" s="18"/>
      <c r="B1064" s="18"/>
      <c r="C1064" s="18"/>
      <c r="D1064" s="18"/>
      <c r="E1064" s="18"/>
      <c r="F1064" s="18"/>
      <c r="G1064" s="18"/>
      <c r="H1064" s="18"/>
      <c r="I1064" s="18"/>
      <c r="J1064" s="18"/>
      <c r="K1064" s="18"/>
      <c r="L1064" s="18"/>
      <c r="M1064" s="18"/>
      <c r="N1064" s="18"/>
      <c r="O1064" s="18"/>
      <c r="P1064" s="18"/>
      <c r="Q1064" s="18"/>
      <c r="R1064" s="18"/>
      <c r="S1064" s="18"/>
      <c r="T1064" s="18"/>
      <c r="U1064" s="18"/>
      <c r="V1064" s="18"/>
      <c r="W1064" s="18"/>
      <c r="X1064" s="18"/>
      <c r="Y1064" s="18"/>
      <c r="Z1064" s="18"/>
      <c r="AA1064" s="18"/>
      <c r="AB1064" s="18"/>
      <c r="AC1064" s="18"/>
      <c r="AD1064" s="18"/>
      <c r="AE1064" s="18"/>
      <c r="AF1064" s="18"/>
      <c r="AG1064" s="18"/>
      <c r="AH1064" s="18"/>
      <c r="AI1064" s="18"/>
      <c r="AJ1064" s="18"/>
      <c r="AK1064" s="18"/>
      <c r="AL1064" s="18"/>
      <c r="AM1064" s="18"/>
      <c r="AN1064" s="18"/>
      <c r="AO1064" s="18"/>
      <c r="AP1064" s="18"/>
      <c r="AQ1064" s="18"/>
      <c r="AR1064" s="18"/>
      <c r="AS1064" s="18"/>
      <c r="AT1064" s="18"/>
      <c r="AU1064" s="18"/>
      <c r="AV1064" s="18"/>
      <c r="AW1064" s="18"/>
      <c r="AX1064" s="18"/>
      <c r="AY1064" s="18"/>
      <c r="AZ1064" s="18"/>
      <c r="BA1064" s="18"/>
      <c r="BB1064" s="18"/>
      <c r="BC1064" s="18"/>
      <c r="BD1064" s="18"/>
      <c r="BE1064" s="18"/>
      <c r="BF1064" s="18"/>
      <c r="BG1064" s="18"/>
      <c r="BH1064" s="18"/>
      <c r="BI1064" s="18"/>
      <c r="BJ1064" s="18"/>
      <c r="BK1064" s="18"/>
      <c r="BL1064" s="18"/>
      <c r="BM1064" s="18"/>
      <c r="BN1064" s="18"/>
    </row>
    <row r="1065" spans="1:66">
      <c r="A1065" s="18"/>
      <c r="B1065" s="18"/>
      <c r="C1065" s="18"/>
      <c r="D1065" s="18"/>
      <c r="E1065" s="18"/>
      <c r="F1065" s="18"/>
      <c r="G1065" s="18"/>
      <c r="H1065" s="18"/>
      <c r="I1065" s="18"/>
      <c r="J1065" s="18"/>
      <c r="K1065" s="18"/>
      <c r="L1065" s="18"/>
      <c r="M1065" s="18"/>
      <c r="N1065" s="18"/>
      <c r="O1065" s="18"/>
      <c r="P1065" s="18"/>
      <c r="Q1065" s="18"/>
      <c r="R1065" s="18"/>
      <c r="S1065" s="18"/>
      <c r="T1065" s="18"/>
      <c r="U1065" s="18"/>
      <c r="V1065" s="18"/>
      <c r="W1065" s="18"/>
      <c r="X1065" s="18"/>
      <c r="Y1065" s="18"/>
      <c r="Z1065" s="18"/>
      <c r="AA1065" s="18"/>
      <c r="AB1065" s="18"/>
      <c r="AC1065" s="18"/>
      <c r="AD1065" s="18"/>
      <c r="AE1065" s="18"/>
      <c r="AF1065" s="18"/>
      <c r="AG1065" s="18"/>
      <c r="AH1065" s="18"/>
      <c r="AI1065" s="18"/>
      <c r="AJ1065" s="18"/>
      <c r="AK1065" s="18"/>
      <c r="AL1065" s="18"/>
      <c r="AM1065" s="18"/>
      <c r="AN1065" s="18"/>
      <c r="AO1065" s="18"/>
      <c r="AP1065" s="18"/>
      <c r="AQ1065" s="18"/>
      <c r="AR1065" s="18"/>
      <c r="AS1065" s="18"/>
      <c r="AT1065" s="18"/>
      <c r="AU1065" s="18"/>
      <c r="AV1065" s="18"/>
      <c r="AW1065" s="18"/>
      <c r="AX1065" s="18"/>
      <c r="AY1065" s="18"/>
      <c r="AZ1065" s="18"/>
      <c r="BA1065" s="18"/>
      <c r="BB1065" s="18"/>
      <c r="BC1065" s="18"/>
      <c r="BD1065" s="18"/>
      <c r="BE1065" s="18"/>
      <c r="BF1065" s="18"/>
      <c r="BG1065" s="18"/>
      <c r="BH1065" s="18"/>
      <c r="BI1065" s="18"/>
      <c r="BJ1065" s="18"/>
      <c r="BK1065" s="18"/>
      <c r="BL1065" s="18"/>
      <c r="BM1065" s="18"/>
      <c r="BN1065" s="18"/>
    </row>
    <row r="1066" spans="1:66">
      <c r="A1066" s="18"/>
      <c r="B1066" s="18"/>
      <c r="C1066" s="18"/>
      <c r="D1066" s="18"/>
      <c r="E1066" s="18"/>
      <c r="F1066" s="18"/>
      <c r="G1066" s="18"/>
      <c r="H1066" s="18"/>
      <c r="I1066" s="18"/>
      <c r="J1066" s="18"/>
      <c r="K1066" s="18"/>
      <c r="L1066" s="18"/>
      <c r="M1066" s="18"/>
      <c r="N1066" s="18"/>
      <c r="O1066" s="18"/>
      <c r="P1066" s="18"/>
      <c r="Q1066" s="18"/>
      <c r="R1066" s="18"/>
      <c r="S1066" s="18"/>
      <c r="T1066" s="18"/>
      <c r="U1066" s="18"/>
      <c r="V1066" s="18"/>
      <c r="W1066" s="18"/>
      <c r="X1066" s="18"/>
      <c r="Y1066" s="18"/>
      <c r="Z1066" s="18"/>
      <c r="AA1066" s="18"/>
      <c r="AB1066" s="18"/>
      <c r="AC1066" s="18"/>
      <c r="AD1066" s="18"/>
      <c r="AE1066" s="18"/>
      <c r="AF1066" s="18"/>
      <c r="AG1066" s="18"/>
      <c r="AH1066" s="18"/>
      <c r="AI1066" s="18"/>
      <c r="AJ1066" s="18"/>
      <c r="AK1066" s="18"/>
      <c r="AL1066" s="18"/>
      <c r="AM1066" s="18"/>
      <c r="AN1066" s="18"/>
      <c r="AO1066" s="18"/>
      <c r="AP1066" s="18"/>
      <c r="AQ1066" s="18"/>
      <c r="AR1066" s="18"/>
      <c r="AS1066" s="18"/>
      <c r="AT1066" s="18"/>
      <c r="AU1066" s="18"/>
      <c r="AV1066" s="18"/>
      <c r="AW1066" s="18"/>
      <c r="AX1066" s="18"/>
      <c r="AY1066" s="18"/>
      <c r="AZ1066" s="18"/>
      <c r="BA1066" s="18"/>
      <c r="BB1066" s="18"/>
      <c r="BC1066" s="18"/>
      <c r="BD1066" s="18"/>
      <c r="BE1066" s="18"/>
      <c r="BF1066" s="18"/>
      <c r="BG1066" s="18"/>
      <c r="BH1066" s="18"/>
      <c r="BI1066" s="18"/>
      <c r="BJ1066" s="18"/>
      <c r="BK1066" s="18"/>
      <c r="BL1066" s="18"/>
      <c r="BM1066" s="18"/>
      <c r="BN1066" s="18"/>
    </row>
    <row r="1067" spans="1:66">
      <c r="A1067" s="18"/>
      <c r="B1067" s="18"/>
      <c r="C1067" s="18"/>
      <c r="D1067" s="18"/>
      <c r="E1067" s="18"/>
      <c r="F1067" s="18"/>
      <c r="G1067" s="18"/>
      <c r="H1067" s="18"/>
      <c r="I1067" s="18"/>
      <c r="J1067" s="18"/>
      <c r="K1067" s="18"/>
      <c r="L1067" s="18"/>
      <c r="M1067" s="18"/>
      <c r="N1067" s="18"/>
      <c r="O1067" s="18"/>
      <c r="P1067" s="18"/>
      <c r="Q1067" s="18"/>
      <c r="R1067" s="18"/>
      <c r="S1067" s="18"/>
      <c r="T1067" s="18"/>
      <c r="U1067" s="18"/>
      <c r="V1067" s="18"/>
      <c r="W1067" s="18"/>
      <c r="X1067" s="18"/>
      <c r="Y1067" s="18"/>
      <c r="Z1067" s="18"/>
      <c r="AA1067" s="18"/>
      <c r="AB1067" s="18"/>
      <c r="AC1067" s="18"/>
      <c r="AD1067" s="18"/>
      <c r="AE1067" s="18"/>
      <c r="AF1067" s="18"/>
      <c r="AG1067" s="18"/>
      <c r="AH1067" s="18"/>
      <c r="AI1067" s="18"/>
      <c r="AJ1067" s="18"/>
      <c r="AK1067" s="18"/>
      <c r="AL1067" s="18"/>
      <c r="AM1067" s="18"/>
      <c r="AN1067" s="18"/>
      <c r="AO1067" s="18"/>
      <c r="AP1067" s="18"/>
      <c r="AQ1067" s="18"/>
      <c r="AR1067" s="18"/>
      <c r="AS1067" s="18"/>
      <c r="AT1067" s="18"/>
      <c r="AU1067" s="18"/>
      <c r="AV1067" s="18"/>
      <c r="AW1067" s="18"/>
      <c r="AX1067" s="18"/>
      <c r="AY1067" s="18"/>
      <c r="AZ1067" s="18"/>
      <c r="BA1067" s="18"/>
      <c r="BB1067" s="18"/>
      <c r="BC1067" s="18"/>
      <c r="BD1067" s="18"/>
      <c r="BE1067" s="18"/>
      <c r="BF1067" s="18"/>
      <c r="BG1067" s="18"/>
      <c r="BH1067" s="18"/>
      <c r="BI1067" s="18"/>
      <c r="BJ1067" s="18"/>
      <c r="BK1067" s="18"/>
      <c r="BL1067" s="18"/>
      <c r="BM1067" s="18"/>
      <c r="BN1067" s="18"/>
    </row>
    <row r="1068" spans="1:66">
      <c r="A1068" s="18"/>
      <c r="B1068" s="18"/>
      <c r="C1068" s="18"/>
      <c r="D1068" s="18"/>
      <c r="E1068" s="18"/>
      <c r="F1068" s="18"/>
      <c r="G1068" s="18"/>
      <c r="H1068" s="18"/>
      <c r="I1068" s="18"/>
      <c r="J1068" s="18"/>
      <c r="K1068" s="18"/>
      <c r="L1068" s="18"/>
      <c r="M1068" s="18"/>
      <c r="N1068" s="18"/>
      <c r="O1068" s="18"/>
      <c r="P1068" s="18"/>
      <c r="Q1068" s="18"/>
      <c r="R1068" s="18"/>
      <c r="S1068" s="18"/>
      <c r="T1068" s="18"/>
      <c r="U1068" s="18"/>
      <c r="V1068" s="18"/>
      <c r="W1068" s="18"/>
      <c r="X1068" s="18"/>
      <c r="Y1068" s="18"/>
      <c r="Z1068" s="18"/>
      <c r="AA1068" s="18"/>
      <c r="AB1068" s="18"/>
      <c r="AC1068" s="18"/>
      <c r="AD1068" s="18"/>
      <c r="AE1068" s="18"/>
      <c r="AF1068" s="18"/>
      <c r="AG1068" s="18"/>
      <c r="AH1068" s="18"/>
      <c r="AI1068" s="18"/>
      <c r="AJ1068" s="18"/>
      <c r="AK1068" s="18"/>
      <c r="AL1068" s="18"/>
      <c r="AM1068" s="18"/>
      <c r="AN1068" s="18"/>
      <c r="AO1068" s="18"/>
      <c r="AP1068" s="18"/>
      <c r="AQ1068" s="18"/>
      <c r="AR1068" s="18"/>
      <c r="AS1068" s="18"/>
      <c r="AT1068" s="18"/>
      <c r="AU1068" s="18"/>
      <c r="AV1068" s="18"/>
      <c r="AW1068" s="18"/>
      <c r="AX1068" s="18"/>
      <c r="AY1068" s="18"/>
      <c r="AZ1068" s="18"/>
      <c r="BA1068" s="18"/>
      <c r="BB1068" s="18"/>
      <c r="BC1068" s="18"/>
      <c r="BD1068" s="18"/>
      <c r="BE1068" s="18"/>
      <c r="BF1068" s="18"/>
      <c r="BG1068" s="18"/>
      <c r="BH1068" s="18"/>
      <c r="BI1068" s="18"/>
      <c r="BJ1068" s="18"/>
      <c r="BK1068" s="18"/>
      <c r="BL1068" s="18"/>
      <c r="BM1068" s="18"/>
      <c r="BN1068" s="18"/>
    </row>
    <row r="1069" spans="1:66">
      <c r="A1069" s="18"/>
      <c r="B1069" s="18"/>
      <c r="C1069" s="18"/>
      <c r="D1069" s="18"/>
      <c r="E1069" s="18"/>
      <c r="F1069" s="18"/>
      <c r="G1069" s="18"/>
      <c r="H1069" s="18"/>
      <c r="I1069" s="18"/>
      <c r="J1069" s="18"/>
      <c r="K1069" s="18"/>
      <c r="L1069" s="18"/>
      <c r="M1069" s="18"/>
      <c r="N1069" s="18"/>
      <c r="O1069" s="18"/>
      <c r="P1069" s="18"/>
      <c r="Q1069" s="18"/>
      <c r="R1069" s="18"/>
      <c r="S1069" s="18"/>
      <c r="T1069" s="18"/>
      <c r="U1069" s="18"/>
      <c r="V1069" s="18"/>
      <c r="W1069" s="18"/>
      <c r="X1069" s="18"/>
      <c r="Y1069" s="18"/>
      <c r="Z1069" s="18"/>
      <c r="AA1069" s="18"/>
      <c r="AB1069" s="18"/>
      <c r="AC1069" s="18"/>
      <c r="AD1069" s="18"/>
      <c r="AE1069" s="18"/>
      <c r="AF1069" s="18"/>
      <c r="AG1069" s="18"/>
      <c r="AH1069" s="18"/>
      <c r="AI1069" s="18"/>
      <c r="AJ1069" s="18"/>
      <c r="AK1069" s="18"/>
      <c r="AL1069" s="18"/>
      <c r="AM1069" s="18"/>
      <c r="AN1069" s="18"/>
      <c r="AO1069" s="18"/>
      <c r="AP1069" s="18"/>
      <c r="AQ1069" s="18"/>
      <c r="AR1069" s="18"/>
      <c r="AS1069" s="18"/>
      <c r="AT1069" s="18"/>
      <c r="AU1069" s="18"/>
      <c r="AV1069" s="18"/>
      <c r="AW1069" s="18"/>
      <c r="AX1069" s="18"/>
      <c r="AY1069" s="18"/>
      <c r="AZ1069" s="18"/>
      <c r="BA1069" s="18"/>
      <c r="BB1069" s="18"/>
      <c r="BC1069" s="18"/>
      <c r="BD1069" s="18"/>
      <c r="BE1069" s="18"/>
      <c r="BF1069" s="18"/>
      <c r="BG1069" s="18"/>
      <c r="BH1069" s="18"/>
      <c r="BI1069" s="18"/>
      <c r="BJ1069" s="18"/>
      <c r="BK1069" s="18"/>
      <c r="BL1069" s="18"/>
      <c r="BM1069" s="18"/>
      <c r="BN1069" s="18"/>
    </row>
    <row r="1070" spans="1:66">
      <c r="A1070" s="18"/>
      <c r="B1070" s="18"/>
      <c r="C1070" s="18"/>
      <c r="D1070" s="18"/>
      <c r="E1070" s="18"/>
      <c r="F1070" s="18"/>
      <c r="G1070" s="18"/>
      <c r="H1070" s="18"/>
      <c r="I1070" s="18"/>
      <c r="J1070" s="18"/>
      <c r="K1070" s="18"/>
      <c r="L1070" s="18"/>
      <c r="M1070" s="18"/>
      <c r="N1070" s="18"/>
      <c r="O1070" s="18"/>
      <c r="P1070" s="18"/>
      <c r="Q1070" s="18"/>
      <c r="R1070" s="18"/>
      <c r="S1070" s="18"/>
      <c r="T1070" s="18"/>
      <c r="U1070" s="18"/>
      <c r="V1070" s="18"/>
      <c r="W1070" s="18"/>
      <c r="X1070" s="18"/>
      <c r="Y1070" s="18"/>
      <c r="Z1070" s="18"/>
      <c r="AA1070" s="18"/>
      <c r="AB1070" s="18"/>
      <c r="AC1070" s="18"/>
      <c r="AD1070" s="18"/>
      <c r="AE1070" s="18"/>
      <c r="AF1070" s="18"/>
      <c r="AG1070" s="18"/>
      <c r="AH1070" s="18"/>
      <c r="AI1070" s="18"/>
      <c r="AJ1070" s="18"/>
      <c r="AK1070" s="18"/>
      <c r="AL1070" s="18"/>
      <c r="AM1070" s="18"/>
      <c r="AN1070" s="18"/>
      <c r="AO1070" s="18"/>
      <c r="AP1070" s="18"/>
      <c r="AQ1070" s="18"/>
      <c r="AR1070" s="18"/>
      <c r="AS1070" s="18"/>
      <c r="AT1070" s="18"/>
      <c r="AU1070" s="18"/>
      <c r="AV1070" s="18"/>
      <c r="AW1070" s="18"/>
      <c r="AX1070" s="18"/>
      <c r="AY1070" s="18"/>
      <c r="AZ1070" s="18"/>
      <c r="BA1070" s="18"/>
      <c r="BB1070" s="18"/>
      <c r="BC1070" s="18"/>
      <c r="BD1070" s="18"/>
      <c r="BE1070" s="18"/>
      <c r="BF1070" s="18"/>
      <c r="BG1070" s="18"/>
      <c r="BH1070" s="18"/>
      <c r="BI1070" s="18"/>
      <c r="BJ1070" s="18"/>
      <c r="BK1070" s="18"/>
      <c r="BL1070" s="18"/>
      <c r="BM1070" s="18"/>
      <c r="BN1070" s="18"/>
    </row>
    <row r="1071" spans="1:66">
      <c r="A1071" s="18"/>
      <c r="B1071" s="18"/>
      <c r="C1071" s="18"/>
      <c r="D1071" s="18"/>
      <c r="E1071" s="18"/>
      <c r="F1071" s="18"/>
      <c r="G1071" s="18"/>
      <c r="H1071" s="18"/>
      <c r="I1071" s="18"/>
      <c r="J1071" s="18"/>
      <c r="K1071" s="18"/>
      <c r="L1071" s="18"/>
      <c r="M1071" s="18"/>
      <c r="N1071" s="18"/>
      <c r="O1071" s="18"/>
      <c r="P1071" s="18"/>
      <c r="Q1071" s="18"/>
      <c r="R1071" s="18"/>
      <c r="S1071" s="18"/>
      <c r="T1071" s="18"/>
      <c r="U1071" s="18"/>
      <c r="V1071" s="18"/>
      <c r="W1071" s="18"/>
      <c r="X1071" s="18"/>
      <c r="Y1071" s="18"/>
      <c r="Z1071" s="18"/>
      <c r="AA1071" s="18"/>
      <c r="AB1071" s="18"/>
      <c r="AC1071" s="18"/>
      <c r="AD1071" s="18"/>
      <c r="AE1071" s="18"/>
      <c r="AF1071" s="18"/>
      <c r="AG1071" s="18"/>
      <c r="AH1071" s="18"/>
      <c r="AI1071" s="18"/>
      <c r="AJ1071" s="18"/>
      <c r="AK1071" s="18"/>
      <c r="AL1071" s="18"/>
      <c r="AM1071" s="18"/>
      <c r="AN1071" s="18"/>
      <c r="AO1071" s="18"/>
      <c r="AP1071" s="18"/>
      <c r="AQ1071" s="18"/>
      <c r="AR1071" s="18"/>
      <c r="AS1071" s="18"/>
      <c r="AT1071" s="18"/>
      <c r="AU1071" s="18"/>
      <c r="AV1071" s="18"/>
      <c r="AW1071" s="18"/>
      <c r="AX1071" s="18"/>
      <c r="AY1071" s="18"/>
      <c r="AZ1071" s="18"/>
      <c r="BA1071" s="18"/>
      <c r="BB1071" s="18"/>
      <c r="BC1071" s="18"/>
      <c r="BD1071" s="18"/>
      <c r="BE1071" s="18"/>
      <c r="BF1071" s="18"/>
      <c r="BG1071" s="18"/>
      <c r="BH1071" s="18"/>
      <c r="BI1071" s="18"/>
      <c r="BJ1071" s="18"/>
      <c r="BK1071" s="18"/>
      <c r="BL1071" s="18"/>
      <c r="BM1071" s="18"/>
      <c r="BN1071" s="18"/>
    </row>
    <row r="1072" spans="1:66">
      <c r="A1072" s="18"/>
      <c r="B1072" s="18"/>
      <c r="C1072" s="18"/>
      <c r="D1072" s="18"/>
      <c r="E1072" s="18"/>
      <c r="F1072" s="18"/>
      <c r="G1072" s="18"/>
      <c r="H1072" s="18"/>
      <c r="I1072" s="18"/>
      <c r="J1072" s="18"/>
      <c r="K1072" s="18"/>
      <c r="L1072" s="18"/>
      <c r="M1072" s="18"/>
      <c r="N1072" s="18"/>
      <c r="O1072" s="18"/>
      <c r="P1072" s="18"/>
      <c r="Q1072" s="18"/>
      <c r="R1072" s="18"/>
      <c r="S1072" s="18"/>
      <c r="T1072" s="18"/>
      <c r="U1072" s="18"/>
      <c r="V1072" s="18"/>
      <c r="W1072" s="18"/>
      <c r="X1072" s="18"/>
      <c r="Y1072" s="18"/>
      <c r="Z1072" s="18"/>
      <c r="AA1072" s="18"/>
      <c r="AB1072" s="18"/>
      <c r="AC1072" s="18"/>
      <c r="AD1072" s="18"/>
      <c r="AE1072" s="18"/>
      <c r="AF1072" s="18"/>
      <c r="AG1072" s="18"/>
      <c r="AH1072" s="18"/>
      <c r="AI1072" s="18"/>
      <c r="AJ1072" s="18"/>
      <c r="AK1072" s="18"/>
      <c r="AL1072" s="18"/>
      <c r="AM1072" s="18"/>
      <c r="AN1072" s="18"/>
      <c r="AO1072" s="18"/>
      <c r="AP1072" s="18"/>
      <c r="AQ1072" s="18"/>
      <c r="AR1072" s="18"/>
      <c r="AS1072" s="18"/>
      <c r="AT1072" s="18"/>
      <c r="AU1072" s="18"/>
      <c r="AV1072" s="18"/>
      <c r="AW1072" s="18"/>
      <c r="AX1072" s="18"/>
      <c r="AY1072" s="18"/>
      <c r="AZ1072" s="18"/>
      <c r="BA1072" s="18"/>
      <c r="BB1072" s="18"/>
      <c r="BC1072" s="18"/>
      <c r="BD1072" s="18"/>
      <c r="BE1072" s="18"/>
      <c r="BF1072" s="18"/>
      <c r="BG1072" s="18"/>
      <c r="BH1072" s="18"/>
      <c r="BI1072" s="18"/>
      <c r="BJ1072" s="18"/>
      <c r="BK1072" s="18"/>
      <c r="BL1072" s="18"/>
      <c r="BM1072" s="18"/>
      <c r="BN1072" s="18"/>
    </row>
    <row r="1073" spans="1:66">
      <c r="A1073" s="18"/>
      <c r="B1073" s="18"/>
      <c r="C1073" s="18"/>
      <c r="D1073" s="18"/>
      <c r="E1073" s="18"/>
      <c r="F1073" s="18"/>
      <c r="G1073" s="18"/>
      <c r="H1073" s="18"/>
      <c r="I1073" s="18"/>
      <c r="J1073" s="18"/>
      <c r="K1073" s="18"/>
      <c r="L1073" s="18"/>
      <c r="M1073" s="18"/>
      <c r="N1073" s="18"/>
      <c r="O1073" s="18"/>
      <c r="P1073" s="18"/>
      <c r="Q1073" s="18"/>
      <c r="R1073" s="18"/>
      <c r="S1073" s="18"/>
      <c r="T1073" s="18"/>
      <c r="U1073" s="18"/>
      <c r="V1073" s="18"/>
      <c r="W1073" s="18"/>
      <c r="X1073" s="18"/>
      <c r="Y1073" s="18"/>
      <c r="Z1073" s="18"/>
      <c r="AA1073" s="18"/>
      <c r="AB1073" s="18"/>
      <c r="AC1073" s="18"/>
      <c r="AD1073" s="18"/>
      <c r="AE1073" s="18"/>
      <c r="AF1073" s="18"/>
      <c r="AG1073" s="18"/>
      <c r="AH1073" s="18"/>
      <c r="AI1073" s="18"/>
      <c r="AJ1073" s="18"/>
      <c r="AK1073" s="18"/>
      <c r="AL1073" s="18"/>
      <c r="AM1073" s="18"/>
      <c r="AN1073" s="18"/>
      <c r="AO1073" s="18"/>
      <c r="AP1073" s="18"/>
      <c r="AQ1073" s="18"/>
      <c r="AR1073" s="18"/>
      <c r="AS1073" s="18"/>
      <c r="AT1073" s="18"/>
      <c r="AU1073" s="18"/>
      <c r="AV1073" s="18"/>
      <c r="AW1073" s="18"/>
      <c r="AX1073" s="18"/>
      <c r="AY1073" s="18"/>
      <c r="AZ1073" s="18"/>
      <c r="BA1073" s="18"/>
      <c r="BB1073" s="18"/>
      <c r="BC1073" s="18"/>
      <c r="BD1073" s="18"/>
      <c r="BE1073" s="18"/>
      <c r="BF1073" s="18"/>
      <c r="BG1073" s="18"/>
      <c r="BH1073" s="18"/>
      <c r="BI1073" s="18"/>
      <c r="BJ1073" s="18"/>
      <c r="BK1073" s="18"/>
      <c r="BL1073" s="18"/>
      <c r="BM1073" s="18"/>
      <c r="BN1073" s="18"/>
    </row>
    <row r="1074" spans="1:66">
      <c r="A1074" s="18"/>
      <c r="B1074" s="18"/>
      <c r="C1074" s="18"/>
      <c r="D1074" s="18"/>
      <c r="E1074" s="18"/>
      <c r="F1074" s="18"/>
      <c r="G1074" s="18"/>
      <c r="H1074" s="18"/>
      <c r="I1074" s="18"/>
      <c r="J1074" s="18"/>
      <c r="K1074" s="18"/>
      <c r="L1074" s="18"/>
      <c r="M1074" s="18"/>
      <c r="N1074" s="18"/>
      <c r="O1074" s="18"/>
      <c r="P1074" s="18"/>
      <c r="Q1074" s="18"/>
      <c r="R1074" s="18"/>
      <c r="S1074" s="18"/>
      <c r="T1074" s="18"/>
      <c r="U1074" s="18"/>
      <c r="V1074" s="18"/>
      <c r="W1074" s="18"/>
      <c r="X1074" s="18"/>
      <c r="Y1074" s="18"/>
      <c r="Z1074" s="18"/>
      <c r="AA1074" s="18"/>
      <c r="AB1074" s="18"/>
      <c r="AC1074" s="18"/>
      <c r="AD1074" s="18"/>
      <c r="AE1074" s="18"/>
      <c r="AF1074" s="18"/>
      <c r="AG1074" s="18"/>
      <c r="AH1074" s="18"/>
      <c r="AI1074" s="18"/>
      <c r="AJ1074" s="18"/>
      <c r="AK1074" s="18"/>
      <c r="AL1074" s="18"/>
      <c r="AM1074" s="18"/>
      <c r="AN1074" s="18"/>
      <c r="AO1074" s="18"/>
      <c r="AP1074" s="18"/>
      <c r="AQ1074" s="18"/>
      <c r="AR1074" s="18"/>
      <c r="AS1074" s="18"/>
      <c r="AT1074" s="18"/>
      <c r="AU1074" s="18"/>
      <c r="AV1074" s="18"/>
      <c r="AW1074" s="18"/>
      <c r="AX1074" s="18"/>
      <c r="AY1074" s="18"/>
      <c r="AZ1074" s="18"/>
      <c r="BA1074" s="18"/>
      <c r="BB1074" s="18"/>
      <c r="BC1074" s="18"/>
      <c r="BD1074" s="18"/>
      <c r="BE1074" s="18"/>
      <c r="BF1074" s="18"/>
      <c r="BG1074" s="18"/>
      <c r="BH1074" s="18"/>
      <c r="BI1074" s="18"/>
      <c r="BJ1074" s="18"/>
      <c r="BK1074" s="18"/>
      <c r="BL1074" s="18"/>
      <c r="BM1074" s="18"/>
      <c r="BN1074" s="18"/>
    </row>
    <row r="1075" spans="1:66">
      <c r="A1075" s="18"/>
      <c r="B1075" s="18"/>
      <c r="C1075" s="18"/>
      <c r="D1075" s="18"/>
      <c r="E1075" s="18"/>
      <c r="F1075" s="18"/>
      <c r="G1075" s="18"/>
      <c r="H1075" s="18"/>
      <c r="I1075" s="18"/>
      <c r="J1075" s="18"/>
      <c r="K1075" s="18"/>
      <c r="L1075" s="18"/>
      <c r="M1075" s="18"/>
      <c r="N1075" s="18"/>
      <c r="O1075" s="18"/>
      <c r="P1075" s="18"/>
      <c r="Q1075" s="18"/>
      <c r="R1075" s="18"/>
      <c r="S1075" s="18"/>
      <c r="T1075" s="18"/>
      <c r="U1075" s="18"/>
      <c r="V1075" s="18"/>
      <c r="W1075" s="18"/>
      <c r="X1075" s="18"/>
      <c r="Y1075" s="18"/>
      <c r="Z1075" s="18"/>
      <c r="AA1075" s="18"/>
      <c r="AB1075" s="18"/>
      <c r="AC1075" s="18"/>
      <c r="AD1075" s="18"/>
      <c r="AE1075" s="18"/>
      <c r="AF1075" s="18"/>
      <c r="AG1075" s="18"/>
      <c r="AH1075" s="18"/>
      <c r="AI1075" s="18"/>
      <c r="AJ1075" s="18"/>
      <c r="AK1075" s="18"/>
      <c r="AL1075" s="18"/>
      <c r="AM1075" s="18"/>
      <c r="AN1075" s="18"/>
      <c r="AO1075" s="18"/>
      <c r="AP1075" s="18"/>
      <c r="AQ1075" s="18"/>
      <c r="AR1075" s="18"/>
      <c r="AS1075" s="18"/>
      <c r="AT1075" s="18"/>
      <c r="AU1075" s="18"/>
      <c r="AV1075" s="18"/>
      <c r="AW1075" s="18"/>
      <c r="AX1075" s="18"/>
      <c r="AY1075" s="18"/>
      <c r="AZ1075" s="18"/>
      <c r="BA1075" s="18"/>
      <c r="BB1075" s="18"/>
      <c r="BC1075" s="18"/>
      <c r="BD1075" s="18"/>
      <c r="BE1075" s="18"/>
      <c r="BF1075" s="18"/>
      <c r="BG1075" s="18"/>
      <c r="BH1075" s="18"/>
      <c r="BI1075" s="18"/>
      <c r="BJ1075" s="18"/>
      <c r="BK1075" s="18"/>
      <c r="BL1075" s="18"/>
      <c r="BM1075" s="18"/>
      <c r="BN1075" s="18"/>
    </row>
    <row r="1076" spans="1:66">
      <c r="A1076" s="18"/>
      <c r="B1076" s="18"/>
      <c r="C1076" s="18"/>
      <c r="D1076" s="18"/>
      <c r="E1076" s="18"/>
      <c r="F1076" s="18"/>
      <c r="G1076" s="18"/>
      <c r="H1076" s="18"/>
      <c r="I1076" s="18"/>
      <c r="J1076" s="18"/>
      <c r="K1076" s="18"/>
      <c r="L1076" s="18"/>
      <c r="M1076" s="18"/>
      <c r="N1076" s="18"/>
      <c r="O1076" s="18"/>
      <c r="P1076" s="18"/>
      <c r="Q1076" s="18"/>
      <c r="R1076" s="18"/>
      <c r="S1076" s="18"/>
      <c r="T1076" s="18"/>
      <c r="U1076" s="18"/>
      <c r="V1076" s="18"/>
      <c r="W1076" s="18"/>
      <c r="X1076" s="18"/>
      <c r="Y1076" s="18"/>
      <c r="Z1076" s="18"/>
      <c r="AA1076" s="18"/>
      <c r="AB1076" s="18"/>
      <c r="AC1076" s="18"/>
      <c r="AD1076" s="18"/>
      <c r="AE1076" s="18"/>
      <c r="AF1076" s="18"/>
      <c r="AG1076" s="18"/>
      <c r="AH1076" s="18"/>
      <c r="AI1076" s="18"/>
      <c r="AJ1076" s="18"/>
      <c r="AK1076" s="18"/>
      <c r="AL1076" s="18"/>
      <c r="AM1076" s="18"/>
      <c r="AN1076" s="18"/>
      <c r="AO1076" s="18"/>
      <c r="AP1076" s="18"/>
      <c r="AQ1076" s="18"/>
      <c r="AR1076" s="18"/>
      <c r="AS1076" s="18"/>
      <c r="AT1076" s="18"/>
      <c r="AU1076" s="18"/>
      <c r="AV1076" s="18"/>
      <c r="AW1076" s="18"/>
      <c r="AX1076" s="18"/>
      <c r="AY1076" s="18"/>
      <c r="AZ1076" s="18"/>
      <c r="BA1076" s="18"/>
      <c r="BB1076" s="18"/>
      <c r="BC1076" s="18"/>
      <c r="BD1076" s="18"/>
      <c r="BE1076" s="18"/>
      <c r="BF1076" s="18"/>
      <c r="BG1076" s="18"/>
      <c r="BH1076" s="18"/>
      <c r="BI1076" s="18"/>
      <c r="BJ1076" s="18"/>
      <c r="BK1076" s="18"/>
      <c r="BL1076" s="18"/>
      <c r="BM1076" s="18"/>
      <c r="BN1076" s="18"/>
    </row>
    <row r="1077" spans="1:66">
      <c r="A1077" s="18"/>
      <c r="B1077" s="18"/>
      <c r="C1077" s="18"/>
      <c r="D1077" s="18"/>
      <c r="E1077" s="18"/>
      <c r="F1077" s="18"/>
      <c r="G1077" s="18"/>
      <c r="H1077" s="18"/>
      <c r="I1077" s="18"/>
      <c r="J1077" s="18"/>
      <c r="K1077" s="18"/>
      <c r="L1077" s="18"/>
      <c r="M1077" s="18"/>
      <c r="N1077" s="18"/>
      <c r="O1077" s="18"/>
      <c r="P1077" s="18"/>
      <c r="Q1077" s="18"/>
      <c r="R1077" s="18"/>
      <c r="S1077" s="18"/>
      <c r="T1077" s="18"/>
      <c r="U1077" s="18"/>
      <c r="V1077" s="18"/>
      <c r="W1077" s="18"/>
      <c r="X1077" s="18"/>
      <c r="Y1077" s="18"/>
      <c r="Z1077" s="18"/>
      <c r="AA1077" s="18"/>
      <c r="AB1077" s="18"/>
      <c r="AC1077" s="18"/>
      <c r="AD1077" s="18"/>
      <c r="AE1077" s="18"/>
      <c r="AF1077" s="18"/>
      <c r="AG1077" s="18"/>
      <c r="AH1077" s="18"/>
      <c r="AI1077" s="18"/>
      <c r="AJ1077" s="18"/>
      <c r="AK1077" s="18"/>
      <c r="AL1077" s="18"/>
      <c r="AM1077" s="18"/>
      <c r="AN1077" s="18"/>
      <c r="AO1077" s="18"/>
      <c r="AP1077" s="18"/>
      <c r="AQ1077" s="18"/>
      <c r="AR1077" s="18"/>
      <c r="AS1077" s="18"/>
      <c r="AT1077" s="18"/>
      <c r="AU1077" s="18"/>
      <c r="AV1077" s="18"/>
      <c r="AW1077" s="18"/>
      <c r="AX1077" s="18"/>
      <c r="AY1077" s="18"/>
      <c r="AZ1077" s="18"/>
      <c r="BA1077" s="18"/>
      <c r="BB1077" s="18"/>
      <c r="BC1077" s="18"/>
      <c r="BD1077" s="18"/>
      <c r="BE1077" s="18"/>
      <c r="BF1077" s="18"/>
      <c r="BG1077" s="18"/>
      <c r="BH1077" s="18"/>
      <c r="BI1077" s="18"/>
      <c r="BJ1077" s="18"/>
      <c r="BK1077" s="18"/>
      <c r="BL1077" s="18"/>
      <c r="BM1077" s="18"/>
      <c r="BN1077" s="18"/>
    </row>
    <row r="1078" spans="1:66">
      <c r="A1078" s="18"/>
      <c r="B1078" s="18"/>
      <c r="C1078" s="18"/>
      <c r="D1078" s="18"/>
      <c r="E1078" s="18"/>
      <c r="F1078" s="18"/>
      <c r="G1078" s="18"/>
      <c r="H1078" s="18"/>
      <c r="I1078" s="18"/>
      <c r="J1078" s="18"/>
      <c r="K1078" s="18"/>
      <c r="L1078" s="18"/>
      <c r="M1078" s="18"/>
      <c r="N1078" s="18"/>
      <c r="O1078" s="18"/>
      <c r="P1078" s="18"/>
      <c r="Q1078" s="18"/>
      <c r="R1078" s="18"/>
      <c r="S1078" s="18"/>
      <c r="T1078" s="18"/>
      <c r="U1078" s="18"/>
      <c r="V1078" s="18"/>
      <c r="W1078" s="18"/>
      <c r="X1078" s="18"/>
      <c r="Y1078" s="18"/>
      <c r="Z1078" s="18"/>
      <c r="AA1078" s="18"/>
      <c r="AB1078" s="18"/>
      <c r="AC1078" s="18"/>
      <c r="AD1078" s="18"/>
      <c r="AE1078" s="18"/>
      <c r="AF1078" s="18"/>
      <c r="AG1078" s="18"/>
      <c r="AH1078" s="18"/>
      <c r="AI1078" s="18"/>
      <c r="AJ1078" s="18"/>
      <c r="AK1078" s="18"/>
      <c r="AL1078" s="18"/>
      <c r="AM1078" s="18"/>
      <c r="AN1078" s="18"/>
      <c r="AO1078" s="18"/>
      <c r="AP1078" s="18"/>
      <c r="AQ1078" s="18"/>
      <c r="AR1078" s="18"/>
      <c r="AS1078" s="18"/>
      <c r="AT1078" s="18"/>
      <c r="AU1078" s="18"/>
      <c r="AV1078" s="18"/>
      <c r="AW1078" s="18"/>
      <c r="AX1078" s="18"/>
      <c r="AY1078" s="18"/>
      <c r="AZ1078" s="18"/>
      <c r="BA1078" s="18"/>
      <c r="BB1078" s="18"/>
      <c r="BC1078" s="18"/>
      <c r="BD1078" s="18"/>
      <c r="BE1078" s="18"/>
      <c r="BF1078" s="18"/>
      <c r="BG1078" s="18"/>
      <c r="BH1078" s="18"/>
      <c r="BI1078" s="18"/>
      <c r="BJ1078" s="18"/>
      <c r="BK1078" s="18"/>
      <c r="BL1078" s="18"/>
      <c r="BM1078" s="18"/>
      <c r="BN1078" s="18"/>
    </row>
    <row r="1079" spans="1:66">
      <c r="A1079" s="18"/>
      <c r="B1079" s="18"/>
      <c r="C1079" s="18"/>
      <c r="D1079" s="18"/>
      <c r="E1079" s="18"/>
      <c r="F1079" s="18"/>
      <c r="G1079" s="18"/>
      <c r="H1079" s="18"/>
      <c r="I1079" s="18"/>
      <c r="J1079" s="18"/>
      <c r="K1079" s="18"/>
      <c r="L1079" s="18"/>
      <c r="M1079" s="18"/>
      <c r="N1079" s="18"/>
      <c r="O1079" s="18"/>
      <c r="P1079" s="18"/>
      <c r="Q1079" s="18"/>
      <c r="R1079" s="18"/>
      <c r="S1079" s="18"/>
      <c r="T1079" s="18"/>
      <c r="U1079" s="18"/>
      <c r="V1079" s="18"/>
      <c r="W1079" s="18"/>
      <c r="X1079" s="18"/>
      <c r="Y1079" s="18"/>
      <c r="Z1079" s="18"/>
      <c r="AA1079" s="18"/>
      <c r="AB1079" s="18"/>
      <c r="AC1079" s="18"/>
      <c r="AD1079" s="18"/>
      <c r="AE1079" s="18"/>
      <c r="AF1079" s="18"/>
      <c r="AG1079" s="18"/>
      <c r="AH1079" s="18"/>
      <c r="AI1079" s="18"/>
      <c r="AJ1079" s="18"/>
      <c r="AK1079" s="18"/>
      <c r="AL1079" s="18"/>
      <c r="AM1079" s="18"/>
      <c r="AN1079" s="18"/>
      <c r="AO1079" s="18"/>
      <c r="AP1079" s="18"/>
      <c r="AQ1079" s="18"/>
      <c r="AR1079" s="18"/>
      <c r="AS1079" s="18"/>
      <c r="AT1079" s="18"/>
      <c r="AU1079" s="18"/>
      <c r="AV1079" s="18"/>
      <c r="AW1079" s="18"/>
      <c r="AX1079" s="18"/>
      <c r="AY1079" s="18"/>
      <c r="AZ1079" s="18"/>
      <c r="BA1079" s="18"/>
      <c r="BB1079" s="18"/>
      <c r="BC1079" s="18"/>
      <c r="BD1079" s="18"/>
      <c r="BE1079" s="18"/>
      <c r="BF1079" s="18"/>
      <c r="BG1079" s="18"/>
      <c r="BH1079" s="18"/>
      <c r="BI1079" s="18"/>
      <c r="BJ1079" s="18"/>
      <c r="BK1079" s="18"/>
      <c r="BL1079" s="18"/>
      <c r="BM1079" s="18"/>
      <c r="BN1079" s="18"/>
    </row>
    <row r="1080" spans="1:66">
      <c r="A1080" s="18"/>
      <c r="B1080" s="18"/>
      <c r="C1080" s="18"/>
      <c r="D1080" s="18"/>
      <c r="E1080" s="18"/>
      <c r="F1080" s="18"/>
      <c r="G1080" s="18"/>
      <c r="H1080" s="18"/>
      <c r="I1080" s="18"/>
      <c r="J1080" s="18"/>
      <c r="K1080" s="18"/>
      <c r="L1080" s="18"/>
      <c r="M1080" s="18"/>
      <c r="N1080" s="18"/>
      <c r="O1080" s="18"/>
      <c r="P1080" s="18"/>
      <c r="Q1080" s="18"/>
      <c r="R1080" s="18"/>
      <c r="S1080" s="18"/>
      <c r="T1080" s="18"/>
      <c r="U1080" s="18"/>
      <c r="V1080" s="18"/>
      <c r="W1080" s="18"/>
      <c r="X1080" s="18"/>
      <c r="Y1080" s="18"/>
      <c r="Z1080" s="18"/>
      <c r="AA1080" s="18"/>
      <c r="AB1080" s="18"/>
      <c r="AC1080" s="18"/>
      <c r="AD1080" s="18"/>
      <c r="AE1080" s="18"/>
      <c r="AF1080" s="18"/>
      <c r="AG1080" s="18"/>
      <c r="AH1080" s="18"/>
      <c r="AI1080" s="18"/>
      <c r="AJ1080" s="18"/>
      <c r="AK1080" s="18"/>
      <c r="AL1080" s="18"/>
      <c r="AM1080" s="18"/>
      <c r="AN1080" s="18"/>
      <c r="AO1080" s="18"/>
      <c r="AP1080" s="18"/>
      <c r="AQ1080" s="18"/>
      <c r="AR1080" s="18"/>
      <c r="AS1080" s="18"/>
      <c r="AT1080" s="18"/>
      <c r="AU1080" s="18"/>
      <c r="AV1080" s="18"/>
      <c r="AW1080" s="18"/>
      <c r="AX1080" s="18"/>
      <c r="AY1080" s="18"/>
      <c r="AZ1080" s="18"/>
      <c r="BA1080" s="18"/>
      <c r="BB1080" s="18"/>
      <c r="BC1080" s="18"/>
      <c r="BD1080" s="18"/>
      <c r="BE1080" s="18"/>
      <c r="BF1080" s="18"/>
      <c r="BG1080" s="18"/>
      <c r="BH1080" s="18"/>
      <c r="BI1080" s="18"/>
      <c r="BJ1080" s="18"/>
      <c r="BK1080" s="18"/>
      <c r="BL1080" s="18"/>
      <c r="BM1080" s="18"/>
      <c r="BN1080" s="18"/>
    </row>
    <row r="1081" spans="1:66">
      <c r="A1081" s="18"/>
      <c r="B1081" s="18"/>
      <c r="C1081" s="18"/>
      <c r="D1081" s="18"/>
      <c r="E1081" s="18"/>
      <c r="F1081" s="18"/>
      <c r="G1081" s="18"/>
      <c r="H1081" s="18"/>
      <c r="I1081" s="18"/>
      <c r="J1081" s="18"/>
      <c r="K1081" s="18"/>
      <c r="L1081" s="18"/>
      <c r="M1081" s="18"/>
      <c r="N1081" s="18"/>
      <c r="O1081" s="18"/>
      <c r="P1081" s="18"/>
      <c r="Q1081" s="18"/>
      <c r="R1081" s="18"/>
      <c r="S1081" s="18"/>
      <c r="T1081" s="18"/>
      <c r="U1081" s="18"/>
      <c r="V1081" s="18"/>
      <c r="W1081" s="18"/>
      <c r="X1081" s="18"/>
      <c r="Y1081" s="18"/>
      <c r="Z1081" s="18"/>
      <c r="AA1081" s="18"/>
      <c r="AB1081" s="18"/>
      <c r="AC1081" s="18"/>
      <c r="AD1081" s="18"/>
      <c r="AE1081" s="18"/>
      <c r="AF1081" s="18"/>
      <c r="AG1081" s="18"/>
      <c r="AH1081" s="18"/>
      <c r="AI1081" s="18"/>
      <c r="AJ1081" s="18"/>
      <c r="AK1081" s="18"/>
      <c r="AL1081" s="18"/>
      <c r="AM1081" s="18"/>
      <c r="AN1081" s="18"/>
      <c r="AO1081" s="18"/>
      <c r="AP1081" s="18"/>
      <c r="AQ1081" s="18"/>
      <c r="AR1081" s="18"/>
      <c r="AS1081" s="18"/>
      <c r="AT1081" s="18"/>
      <c r="AU1081" s="18"/>
      <c r="AV1081" s="18"/>
      <c r="AW1081" s="18"/>
      <c r="AX1081" s="18"/>
      <c r="AY1081" s="18"/>
      <c r="AZ1081" s="18"/>
      <c r="BA1081" s="18"/>
      <c r="BB1081" s="18"/>
      <c r="BC1081" s="18"/>
      <c r="BD1081" s="18"/>
      <c r="BE1081" s="18"/>
      <c r="BF1081" s="18"/>
      <c r="BG1081" s="18"/>
      <c r="BH1081" s="18"/>
      <c r="BI1081" s="18"/>
      <c r="BJ1081" s="18"/>
      <c r="BK1081" s="18"/>
      <c r="BL1081" s="18"/>
      <c r="BM1081" s="18"/>
      <c r="BN1081" s="18"/>
    </row>
    <row r="1082" spans="1:66">
      <c r="A1082" s="18"/>
      <c r="B1082" s="18"/>
      <c r="C1082" s="18"/>
      <c r="D1082" s="18"/>
      <c r="E1082" s="18"/>
      <c r="F1082" s="18"/>
      <c r="G1082" s="18"/>
      <c r="H1082" s="18"/>
      <c r="I1082" s="18"/>
      <c r="J1082" s="18"/>
      <c r="K1082" s="18"/>
      <c r="L1082" s="18"/>
      <c r="M1082" s="18"/>
      <c r="N1082" s="18"/>
      <c r="O1082" s="18"/>
      <c r="P1082" s="18"/>
      <c r="Q1082" s="18"/>
      <c r="R1082" s="18"/>
      <c r="S1082" s="18"/>
      <c r="T1082" s="18"/>
      <c r="U1082" s="18"/>
      <c r="V1082" s="18"/>
      <c r="W1082" s="18"/>
      <c r="X1082" s="18"/>
      <c r="Y1082" s="18"/>
      <c r="Z1082" s="18"/>
      <c r="AA1082" s="18"/>
      <c r="AB1082" s="18"/>
      <c r="AC1082" s="18"/>
      <c r="AD1082" s="18"/>
      <c r="AE1082" s="18"/>
      <c r="AF1082" s="18"/>
      <c r="AG1082" s="18"/>
      <c r="AH1082" s="18"/>
      <c r="AI1082" s="18"/>
      <c r="AJ1082" s="18"/>
      <c r="AK1082" s="18"/>
      <c r="AL1082" s="18"/>
      <c r="AM1082" s="18"/>
      <c r="AN1082" s="18"/>
      <c r="AO1082" s="18"/>
      <c r="AP1082" s="18"/>
      <c r="AQ1082" s="18"/>
      <c r="AR1082" s="18"/>
      <c r="AS1082" s="18"/>
      <c r="AT1082" s="18"/>
      <c r="AU1082" s="18"/>
      <c r="AV1082" s="18"/>
      <c r="AW1082" s="18"/>
      <c r="AX1082" s="18"/>
      <c r="AY1082" s="18"/>
      <c r="AZ1082" s="18"/>
      <c r="BA1082" s="18"/>
      <c r="BB1082" s="18"/>
      <c r="BC1082" s="18"/>
      <c r="BD1082" s="18"/>
      <c r="BE1082" s="18"/>
      <c r="BF1082" s="18"/>
      <c r="BG1082" s="18"/>
      <c r="BH1082" s="18"/>
      <c r="BI1082" s="18"/>
      <c r="BJ1082" s="18"/>
      <c r="BK1082" s="18"/>
      <c r="BL1082" s="18"/>
      <c r="BM1082" s="18"/>
      <c r="BN1082" s="18"/>
    </row>
    <row r="1083" spans="1:66">
      <c r="A1083" s="18"/>
      <c r="B1083" s="18"/>
      <c r="C1083" s="18"/>
      <c r="D1083" s="18"/>
      <c r="E1083" s="18"/>
      <c r="F1083" s="18"/>
      <c r="G1083" s="18"/>
      <c r="H1083" s="18"/>
      <c r="I1083" s="18"/>
      <c r="J1083" s="18"/>
      <c r="K1083" s="18"/>
      <c r="L1083" s="18"/>
      <c r="M1083" s="18"/>
      <c r="N1083" s="18"/>
      <c r="O1083" s="18"/>
      <c r="P1083" s="18"/>
      <c r="Q1083" s="18"/>
      <c r="R1083" s="18"/>
      <c r="S1083" s="18"/>
      <c r="T1083" s="18"/>
      <c r="U1083" s="18"/>
      <c r="V1083" s="18"/>
      <c r="W1083" s="18"/>
      <c r="X1083" s="18"/>
      <c r="Y1083" s="18"/>
      <c r="Z1083" s="18"/>
      <c r="AA1083" s="18"/>
      <c r="AB1083" s="18"/>
      <c r="AC1083" s="18"/>
      <c r="AD1083" s="18"/>
      <c r="AE1083" s="18"/>
      <c r="AF1083" s="18"/>
      <c r="AG1083" s="18"/>
      <c r="AH1083" s="18"/>
      <c r="AI1083" s="18"/>
      <c r="AJ1083" s="18"/>
      <c r="AK1083" s="18"/>
      <c r="AL1083" s="18"/>
      <c r="AM1083" s="18"/>
      <c r="AN1083" s="18"/>
      <c r="AO1083" s="18"/>
      <c r="AP1083" s="18"/>
      <c r="AQ1083" s="18"/>
      <c r="AR1083" s="18"/>
      <c r="AS1083" s="18"/>
      <c r="AT1083" s="18"/>
      <c r="AU1083" s="18"/>
      <c r="AV1083" s="18"/>
      <c r="AW1083" s="18"/>
      <c r="AX1083" s="18"/>
      <c r="AY1083" s="18"/>
      <c r="AZ1083" s="18"/>
      <c r="BA1083" s="18"/>
      <c r="BB1083" s="18"/>
      <c r="BC1083" s="18"/>
      <c r="BD1083" s="18"/>
      <c r="BE1083" s="18"/>
      <c r="BF1083" s="18"/>
      <c r="BG1083" s="18"/>
      <c r="BH1083" s="18"/>
      <c r="BI1083" s="18"/>
      <c r="BJ1083" s="18"/>
      <c r="BK1083" s="18"/>
      <c r="BL1083" s="18"/>
      <c r="BM1083" s="18"/>
      <c r="BN1083" s="18"/>
    </row>
    <row r="1084" spans="1:66">
      <c r="A1084" s="18"/>
      <c r="B1084" s="18"/>
      <c r="C1084" s="18"/>
      <c r="D1084" s="18"/>
      <c r="E1084" s="18"/>
      <c r="F1084" s="18"/>
      <c r="G1084" s="18"/>
      <c r="H1084" s="18"/>
      <c r="I1084" s="18"/>
      <c r="J1084" s="18"/>
      <c r="K1084" s="18"/>
      <c r="L1084" s="18"/>
      <c r="M1084" s="18"/>
      <c r="N1084" s="18"/>
      <c r="O1084" s="18"/>
      <c r="P1084" s="18"/>
      <c r="Q1084" s="18"/>
      <c r="R1084" s="18"/>
      <c r="S1084" s="18"/>
      <c r="T1084" s="18"/>
      <c r="U1084" s="18"/>
      <c r="V1084" s="18"/>
      <c r="W1084" s="18"/>
      <c r="X1084" s="18"/>
      <c r="Y1084" s="18"/>
      <c r="Z1084" s="18"/>
      <c r="AA1084" s="18"/>
      <c r="AB1084" s="18"/>
      <c r="AC1084" s="18"/>
      <c r="AD1084" s="18"/>
      <c r="AE1084" s="18"/>
      <c r="AF1084" s="18"/>
      <c r="AG1084" s="18"/>
      <c r="AH1084" s="18"/>
      <c r="AI1084" s="18"/>
      <c r="AJ1084" s="18"/>
      <c r="AK1084" s="18"/>
      <c r="AL1084" s="18"/>
      <c r="AM1084" s="18"/>
      <c r="AN1084" s="18"/>
      <c r="AO1084" s="18"/>
      <c r="AP1084" s="18"/>
      <c r="AQ1084" s="18"/>
      <c r="AR1084" s="18"/>
      <c r="AS1084" s="18"/>
      <c r="AT1084" s="18"/>
      <c r="AU1084" s="18"/>
      <c r="AV1084" s="18"/>
      <c r="AW1084" s="18"/>
      <c r="AX1084" s="18"/>
      <c r="AY1084" s="18"/>
      <c r="AZ1084" s="18"/>
      <c r="BA1084" s="18"/>
      <c r="BB1084" s="18"/>
      <c r="BC1084" s="18"/>
      <c r="BD1084" s="18"/>
      <c r="BE1084" s="18"/>
      <c r="BF1084" s="18"/>
      <c r="BG1084" s="18"/>
      <c r="BH1084" s="18"/>
      <c r="BI1084" s="18"/>
      <c r="BJ1084" s="18"/>
      <c r="BK1084" s="18"/>
      <c r="BL1084" s="18"/>
      <c r="BM1084" s="18"/>
      <c r="BN1084" s="18"/>
    </row>
    <row r="1085" spans="1:66">
      <c r="A1085" s="18"/>
      <c r="B1085" s="18"/>
      <c r="C1085" s="18"/>
      <c r="D1085" s="18"/>
      <c r="E1085" s="18"/>
      <c r="F1085" s="18"/>
      <c r="G1085" s="18"/>
      <c r="H1085" s="18"/>
      <c r="I1085" s="18"/>
      <c r="J1085" s="18"/>
      <c r="K1085" s="18"/>
      <c r="L1085" s="18"/>
      <c r="M1085" s="18"/>
      <c r="N1085" s="18"/>
      <c r="O1085" s="18"/>
      <c r="P1085" s="18"/>
      <c r="Q1085" s="18"/>
      <c r="R1085" s="18"/>
      <c r="S1085" s="18"/>
      <c r="T1085" s="18"/>
      <c r="U1085" s="18"/>
      <c r="V1085" s="18"/>
      <c r="W1085" s="18"/>
      <c r="X1085" s="18"/>
      <c r="Y1085" s="18"/>
      <c r="Z1085" s="18"/>
      <c r="AA1085" s="18"/>
      <c r="AB1085" s="18"/>
      <c r="AC1085" s="18"/>
      <c r="AD1085" s="18"/>
      <c r="AE1085" s="18"/>
      <c r="AF1085" s="18"/>
      <c r="AG1085" s="18"/>
      <c r="AH1085" s="18"/>
      <c r="AI1085" s="18"/>
      <c r="AJ1085" s="18"/>
      <c r="AK1085" s="18"/>
      <c r="AL1085" s="18"/>
      <c r="AM1085" s="18"/>
      <c r="AN1085" s="18"/>
      <c r="AO1085" s="18"/>
      <c r="AP1085" s="18"/>
      <c r="AQ1085" s="18"/>
      <c r="AR1085" s="18"/>
      <c r="AS1085" s="18"/>
      <c r="AT1085" s="18"/>
      <c r="AU1085" s="18"/>
      <c r="AV1085" s="18"/>
      <c r="AW1085" s="18"/>
      <c r="AX1085" s="18"/>
      <c r="AY1085" s="18"/>
      <c r="AZ1085" s="18"/>
      <c r="BA1085" s="18"/>
      <c r="BB1085" s="18"/>
      <c r="BC1085" s="18"/>
      <c r="BD1085" s="18"/>
      <c r="BE1085" s="18"/>
      <c r="BF1085" s="18"/>
      <c r="BG1085" s="18"/>
      <c r="BH1085" s="18"/>
      <c r="BI1085" s="18"/>
      <c r="BJ1085" s="18"/>
      <c r="BK1085" s="18"/>
      <c r="BL1085" s="18"/>
      <c r="BM1085" s="18"/>
      <c r="BN1085" s="18"/>
    </row>
    <row r="1086" spans="1:66">
      <c r="A1086" s="18"/>
      <c r="B1086" s="18"/>
      <c r="C1086" s="18"/>
      <c r="D1086" s="18"/>
      <c r="E1086" s="18"/>
      <c r="F1086" s="18"/>
      <c r="G1086" s="18"/>
      <c r="H1086" s="18"/>
      <c r="I1086" s="18"/>
      <c r="J1086" s="18"/>
      <c r="K1086" s="18"/>
      <c r="L1086" s="18"/>
      <c r="M1086" s="18"/>
      <c r="N1086" s="18"/>
      <c r="O1086" s="18"/>
      <c r="P1086" s="18"/>
      <c r="Q1086" s="18"/>
      <c r="R1086" s="18"/>
      <c r="S1086" s="18"/>
      <c r="T1086" s="18"/>
      <c r="U1086" s="18"/>
      <c r="V1086" s="18"/>
      <c r="W1086" s="18"/>
      <c r="X1086" s="18"/>
      <c r="Y1086" s="18"/>
      <c r="Z1086" s="18"/>
      <c r="AA1086" s="18"/>
      <c r="AB1086" s="18"/>
      <c r="AC1086" s="18"/>
      <c r="AD1086" s="18"/>
      <c r="AE1086" s="18"/>
      <c r="AF1086" s="18"/>
      <c r="AG1086" s="18"/>
      <c r="AH1086" s="18"/>
      <c r="AI1086" s="18"/>
      <c r="AJ1086" s="18"/>
      <c r="AK1086" s="18"/>
      <c r="AL1086" s="18"/>
      <c r="AM1086" s="18"/>
      <c r="AN1086" s="18"/>
      <c r="AO1086" s="18"/>
      <c r="AP1086" s="18"/>
      <c r="AQ1086" s="18"/>
      <c r="AR1086" s="18"/>
      <c r="AS1086" s="18"/>
      <c r="AT1086" s="18"/>
      <c r="AU1086" s="18"/>
      <c r="AV1086" s="18"/>
      <c r="AW1086" s="18"/>
      <c r="AX1086" s="18"/>
      <c r="AY1086" s="18"/>
      <c r="AZ1086" s="18"/>
      <c r="BA1086" s="18"/>
      <c r="BB1086" s="18"/>
      <c r="BC1086" s="18"/>
      <c r="BD1086" s="18"/>
      <c r="BE1086" s="18"/>
      <c r="BF1086" s="18"/>
      <c r="BG1086" s="18"/>
      <c r="BH1086" s="18"/>
      <c r="BI1086" s="18"/>
      <c r="BJ1086" s="18"/>
      <c r="BK1086" s="18"/>
      <c r="BL1086" s="18"/>
      <c r="BM1086" s="18"/>
      <c r="BN1086" s="18"/>
    </row>
    <row r="1087" spans="1:66">
      <c r="A1087" s="18"/>
      <c r="B1087" s="18"/>
      <c r="C1087" s="18"/>
      <c r="D1087" s="18"/>
      <c r="E1087" s="18"/>
      <c r="F1087" s="18"/>
      <c r="G1087" s="18"/>
      <c r="H1087" s="18"/>
      <c r="I1087" s="18"/>
      <c r="J1087" s="18"/>
      <c r="K1087" s="18"/>
      <c r="L1087" s="18"/>
      <c r="M1087" s="18"/>
      <c r="N1087" s="18"/>
      <c r="O1087" s="18"/>
      <c r="P1087" s="18"/>
      <c r="Q1087" s="18"/>
      <c r="R1087" s="18"/>
      <c r="S1087" s="18"/>
      <c r="T1087" s="18"/>
      <c r="U1087" s="18"/>
      <c r="V1087" s="18"/>
      <c r="W1087" s="18"/>
      <c r="X1087" s="18"/>
      <c r="Y1087" s="18"/>
      <c r="Z1087" s="18"/>
      <c r="AA1087" s="18"/>
      <c r="AB1087" s="18"/>
      <c r="AC1087" s="18"/>
      <c r="AD1087" s="18"/>
      <c r="AE1087" s="18"/>
      <c r="AF1087" s="18"/>
      <c r="AG1087" s="18"/>
      <c r="AH1087" s="18"/>
      <c r="AI1087" s="18"/>
      <c r="AJ1087" s="18"/>
      <c r="AK1087" s="18"/>
      <c r="AL1087" s="18"/>
      <c r="AM1087" s="18"/>
      <c r="AN1087" s="18"/>
      <c r="AO1087" s="18"/>
      <c r="AP1087" s="18"/>
      <c r="AQ1087" s="18"/>
      <c r="AR1087" s="18"/>
      <c r="AS1087" s="18"/>
      <c r="AT1087" s="18"/>
      <c r="AU1087" s="18"/>
      <c r="AV1087" s="18"/>
      <c r="AW1087" s="18"/>
      <c r="AX1087" s="18"/>
      <c r="AY1087" s="18"/>
      <c r="AZ1087" s="18"/>
      <c r="BA1087" s="18"/>
      <c r="BB1087" s="18"/>
      <c r="BC1087" s="18"/>
      <c r="BD1087" s="18"/>
      <c r="BE1087" s="18"/>
      <c r="BF1087" s="18"/>
      <c r="BG1087" s="18"/>
      <c r="BH1087" s="18"/>
      <c r="BI1087" s="18"/>
      <c r="BJ1087" s="18"/>
      <c r="BK1087" s="18"/>
      <c r="BL1087" s="18"/>
      <c r="BM1087" s="18"/>
      <c r="BN1087" s="18"/>
    </row>
    <row r="1088" spans="1:66">
      <c r="A1088" s="18"/>
      <c r="B1088" s="18"/>
      <c r="C1088" s="18"/>
      <c r="D1088" s="18"/>
      <c r="E1088" s="18"/>
      <c r="F1088" s="18"/>
      <c r="G1088" s="18"/>
      <c r="H1088" s="18"/>
      <c r="I1088" s="18"/>
      <c r="J1088" s="18"/>
      <c r="K1088" s="18"/>
      <c r="L1088" s="18"/>
      <c r="M1088" s="18"/>
      <c r="N1088" s="18"/>
      <c r="O1088" s="18"/>
      <c r="P1088" s="18"/>
      <c r="Q1088" s="18"/>
      <c r="R1088" s="18"/>
      <c r="S1088" s="18"/>
      <c r="T1088" s="18"/>
      <c r="U1088" s="18"/>
      <c r="V1088" s="18"/>
      <c r="W1088" s="18"/>
      <c r="X1088" s="18"/>
      <c r="Y1088" s="18"/>
      <c r="Z1088" s="18"/>
      <c r="AA1088" s="18"/>
      <c r="AB1088" s="18"/>
      <c r="AC1088" s="18"/>
      <c r="AD1088" s="18"/>
      <c r="AE1088" s="18"/>
      <c r="AF1088" s="18"/>
      <c r="AG1088" s="18"/>
      <c r="AH1088" s="18"/>
      <c r="AI1088" s="18"/>
      <c r="AJ1088" s="18"/>
      <c r="AK1088" s="18"/>
      <c r="AL1088" s="18"/>
      <c r="AM1088" s="18"/>
      <c r="AN1088" s="18"/>
      <c r="AO1088" s="18"/>
      <c r="AP1088" s="18"/>
      <c r="AQ1088" s="18"/>
      <c r="AR1088" s="18"/>
      <c r="AS1088" s="18"/>
      <c r="AT1088" s="18"/>
      <c r="AU1088" s="18"/>
      <c r="AV1088" s="18"/>
      <c r="AW1088" s="18"/>
      <c r="AX1088" s="18"/>
      <c r="AY1088" s="18"/>
      <c r="AZ1088" s="18"/>
      <c r="BA1088" s="18"/>
      <c r="BB1088" s="18"/>
      <c r="BC1088" s="18"/>
      <c r="BD1088" s="18"/>
      <c r="BE1088" s="18"/>
      <c r="BF1088" s="18"/>
      <c r="BG1088" s="18"/>
      <c r="BH1088" s="18"/>
      <c r="BI1088" s="18"/>
      <c r="BJ1088" s="18"/>
      <c r="BK1088" s="18"/>
      <c r="BL1088" s="18"/>
      <c r="BM1088" s="18"/>
      <c r="BN1088" s="18"/>
    </row>
    <row r="1089" spans="1:66">
      <c r="A1089" s="18"/>
      <c r="B1089" s="18"/>
      <c r="C1089" s="18"/>
      <c r="D1089" s="18"/>
      <c r="E1089" s="18"/>
      <c r="F1089" s="18"/>
      <c r="G1089" s="18"/>
      <c r="H1089" s="18"/>
      <c r="I1089" s="18"/>
      <c r="J1089" s="18"/>
      <c r="K1089" s="18"/>
      <c r="L1089" s="18"/>
      <c r="M1089" s="18"/>
      <c r="N1089" s="18"/>
      <c r="O1089" s="18"/>
      <c r="P1089" s="18"/>
      <c r="Q1089" s="18"/>
      <c r="R1089" s="18"/>
      <c r="S1089" s="18"/>
      <c r="T1089" s="18"/>
      <c r="U1089" s="18"/>
      <c r="V1089" s="18"/>
      <c r="W1089" s="18"/>
      <c r="X1089" s="18"/>
      <c r="Y1089" s="18"/>
      <c r="Z1089" s="18"/>
      <c r="AA1089" s="18"/>
      <c r="AB1089" s="18"/>
      <c r="AC1089" s="18"/>
      <c r="AD1089" s="18"/>
      <c r="AE1089" s="18"/>
      <c r="AF1089" s="18"/>
      <c r="AG1089" s="18"/>
      <c r="AH1089" s="18"/>
      <c r="AI1089" s="18"/>
      <c r="AJ1089" s="18"/>
      <c r="AK1089" s="18"/>
      <c r="AL1089" s="18"/>
      <c r="AM1089" s="18"/>
      <c r="AN1089" s="18"/>
      <c r="AO1089" s="18"/>
      <c r="AP1089" s="18"/>
      <c r="AQ1089" s="18"/>
      <c r="AR1089" s="18"/>
      <c r="AS1089" s="18"/>
      <c r="AT1089" s="18"/>
      <c r="AU1089" s="18"/>
      <c r="AV1089" s="18"/>
      <c r="AW1089" s="18"/>
      <c r="AX1089" s="18"/>
      <c r="AY1089" s="18"/>
      <c r="AZ1089" s="18"/>
      <c r="BA1089" s="18"/>
      <c r="BB1089" s="18"/>
      <c r="BC1089" s="18"/>
      <c r="BD1089" s="18"/>
      <c r="BE1089" s="18"/>
      <c r="BF1089" s="18"/>
      <c r="BG1089" s="18"/>
      <c r="BH1089" s="18"/>
      <c r="BI1089" s="18"/>
      <c r="BJ1089" s="18"/>
      <c r="BK1089" s="18"/>
      <c r="BL1089" s="18"/>
      <c r="BM1089" s="18"/>
      <c r="BN1089" s="18"/>
    </row>
    <row r="1090" spans="1:66">
      <c r="A1090" s="18"/>
      <c r="B1090" s="18"/>
      <c r="C1090" s="18"/>
      <c r="D1090" s="18"/>
      <c r="E1090" s="18"/>
      <c r="F1090" s="18"/>
      <c r="G1090" s="18"/>
      <c r="H1090" s="18"/>
      <c r="I1090" s="18"/>
      <c r="J1090" s="18"/>
      <c r="K1090" s="18"/>
      <c r="L1090" s="18"/>
      <c r="M1090" s="18"/>
      <c r="N1090" s="18"/>
      <c r="O1090" s="18"/>
      <c r="P1090" s="18"/>
      <c r="Q1090" s="18"/>
      <c r="R1090" s="18"/>
      <c r="S1090" s="18"/>
      <c r="T1090" s="18"/>
      <c r="U1090" s="18"/>
      <c r="V1090" s="18"/>
      <c r="W1090" s="18"/>
      <c r="X1090" s="18"/>
      <c r="Y1090" s="18"/>
      <c r="Z1090" s="18"/>
      <c r="AA1090" s="18"/>
      <c r="AB1090" s="18"/>
      <c r="AC1090" s="18"/>
      <c r="AD1090" s="18"/>
      <c r="AE1090" s="18"/>
      <c r="AF1090" s="18"/>
      <c r="AG1090" s="18"/>
      <c r="AH1090" s="18"/>
      <c r="AI1090" s="18"/>
      <c r="AJ1090" s="18"/>
      <c r="AK1090" s="18"/>
      <c r="AL1090" s="18"/>
      <c r="AM1090" s="18"/>
      <c r="AN1090" s="18"/>
      <c r="AO1090" s="18"/>
      <c r="AP1090" s="18"/>
      <c r="AQ1090" s="18"/>
      <c r="AR1090" s="18"/>
      <c r="AS1090" s="18"/>
      <c r="AT1090" s="18"/>
      <c r="AU1090" s="18"/>
      <c r="AV1090" s="18"/>
      <c r="AW1090" s="18"/>
      <c r="AX1090" s="18"/>
      <c r="AY1090" s="18"/>
      <c r="AZ1090" s="18"/>
      <c r="BA1090" s="18"/>
      <c r="BB1090" s="18"/>
      <c r="BC1090" s="18"/>
      <c r="BD1090" s="18"/>
      <c r="BE1090" s="18"/>
      <c r="BF1090" s="18"/>
      <c r="BG1090" s="18"/>
      <c r="BH1090" s="18"/>
      <c r="BI1090" s="18"/>
      <c r="BJ1090" s="18"/>
      <c r="BK1090" s="18"/>
      <c r="BL1090" s="18"/>
      <c r="BM1090" s="18"/>
      <c r="BN1090" s="18"/>
    </row>
    <row r="1091" spans="1:66">
      <c r="A1091" s="18"/>
      <c r="B1091" s="18"/>
      <c r="C1091" s="18"/>
      <c r="D1091" s="18"/>
      <c r="E1091" s="18"/>
      <c r="F1091" s="18"/>
      <c r="G1091" s="18"/>
      <c r="H1091" s="18"/>
      <c r="I1091" s="18"/>
      <c r="J1091" s="18"/>
      <c r="K1091" s="18"/>
      <c r="L1091" s="18"/>
      <c r="M1091" s="18"/>
      <c r="N1091" s="18"/>
      <c r="O1091" s="18"/>
      <c r="P1091" s="18"/>
      <c r="Q1091" s="18"/>
      <c r="R1091" s="18"/>
      <c r="S1091" s="18"/>
      <c r="T1091" s="18"/>
      <c r="U1091" s="18"/>
      <c r="V1091" s="18"/>
      <c r="W1091" s="18"/>
      <c r="X1091" s="18"/>
      <c r="Y1091" s="18"/>
      <c r="Z1091" s="18"/>
      <c r="AA1091" s="18"/>
      <c r="AB1091" s="18"/>
      <c r="AC1091" s="18"/>
      <c r="AD1091" s="18"/>
      <c r="AE1091" s="18"/>
      <c r="AF1091" s="18"/>
      <c r="AG1091" s="18"/>
      <c r="AH1091" s="18"/>
      <c r="AI1091" s="18"/>
      <c r="AJ1091" s="18"/>
      <c r="AK1091" s="18"/>
      <c r="AL1091" s="18"/>
      <c r="AM1091" s="18"/>
      <c r="AN1091" s="18"/>
      <c r="AO1091" s="18"/>
      <c r="AP1091" s="18"/>
      <c r="AQ1091" s="18"/>
      <c r="AR1091" s="18"/>
      <c r="AS1091" s="18"/>
      <c r="AT1091" s="18"/>
      <c r="AU1091" s="18"/>
      <c r="AV1091" s="18"/>
      <c r="AW1091" s="18"/>
      <c r="AX1091" s="18"/>
      <c r="AY1091" s="18"/>
      <c r="AZ1091" s="18"/>
      <c r="BA1091" s="18"/>
      <c r="BB1091" s="18"/>
      <c r="BC1091" s="18"/>
      <c r="BD1091" s="18"/>
      <c r="BE1091" s="18"/>
      <c r="BF1091" s="18"/>
      <c r="BG1091" s="18"/>
      <c r="BH1091" s="18"/>
      <c r="BI1091" s="18"/>
      <c r="BJ1091" s="18"/>
      <c r="BK1091" s="18"/>
      <c r="BL1091" s="18"/>
      <c r="BM1091" s="18"/>
      <c r="BN1091" s="18"/>
    </row>
    <row r="1092" spans="1:66">
      <c r="A1092" s="18"/>
      <c r="B1092" s="18"/>
      <c r="C1092" s="18"/>
      <c r="D1092" s="18"/>
      <c r="E1092" s="18"/>
      <c r="F1092" s="18"/>
      <c r="G1092" s="18"/>
      <c r="H1092" s="18"/>
      <c r="I1092" s="18"/>
      <c r="J1092" s="18"/>
      <c r="K1092" s="18"/>
      <c r="L1092" s="18"/>
      <c r="M1092" s="18"/>
      <c r="N1092" s="18"/>
      <c r="O1092" s="18"/>
      <c r="P1092" s="18"/>
      <c r="Q1092" s="18"/>
      <c r="R1092" s="18"/>
      <c r="S1092" s="18"/>
      <c r="T1092" s="18"/>
      <c r="U1092" s="18"/>
      <c r="V1092" s="18"/>
      <c r="W1092" s="18"/>
      <c r="X1092" s="18"/>
      <c r="Y1092" s="18"/>
      <c r="Z1092" s="18"/>
      <c r="AA1092" s="18"/>
      <c r="AB1092" s="18"/>
      <c r="AC1092" s="18"/>
      <c r="AD1092" s="18"/>
      <c r="AE1092" s="18"/>
      <c r="AF1092" s="18"/>
      <c r="AG1092" s="18"/>
      <c r="AH1092" s="18"/>
      <c r="AI1092" s="18"/>
      <c r="AJ1092" s="18"/>
      <c r="AK1092" s="18"/>
      <c r="AL1092" s="18"/>
      <c r="AM1092" s="18"/>
      <c r="AN1092" s="18"/>
      <c r="AO1092" s="18"/>
      <c r="AP1092" s="18"/>
      <c r="AQ1092" s="18"/>
      <c r="AR1092" s="18"/>
      <c r="AS1092" s="18"/>
      <c r="AT1092" s="18"/>
      <c r="AU1092" s="18"/>
      <c r="AV1092" s="18"/>
      <c r="AW1092" s="18"/>
      <c r="AX1092" s="18"/>
      <c r="AY1092" s="18"/>
      <c r="AZ1092" s="18"/>
      <c r="BA1092" s="18"/>
      <c r="BB1092" s="18"/>
      <c r="BC1092" s="18"/>
      <c r="BD1092" s="18"/>
      <c r="BE1092" s="18"/>
      <c r="BF1092" s="18"/>
      <c r="BG1092" s="18"/>
      <c r="BH1092" s="18"/>
      <c r="BI1092" s="18"/>
      <c r="BJ1092" s="18"/>
      <c r="BK1092" s="18"/>
      <c r="BL1092" s="18"/>
      <c r="BM1092" s="18"/>
      <c r="BN1092" s="18"/>
    </row>
    <row r="1093" spans="1:66">
      <c r="A1093" s="18"/>
      <c r="B1093" s="18"/>
      <c r="C1093" s="18"/>
      <c r="D1093" s="18"/>
      <c r="E1093" s="18"/>
      <c r="F1093" s="18"/>
      <c r="G1093" s="18"/>
      <c r="H1093" s="18"/>
      <c r="I1093" s="18"/>
      <c r="J1093" s="18"/>
      <c r="K1093" s="18"/>
      <c r="L1093" s="18"/>
      <c r="M1093" s="18"/>
      <c r="N1093" s="18"/>
      <c r="O1093" s="18"/>
      <c r="P1093" s="18"/>
      <c r="Q1093" s="18"/>
      <c r="R1093" s="18"/>
      <c r="S1093" s="18"/>
      <c r="T1093" s="18"/>
      <c r="U1093" s="18"/>
      <c r="V1093" s="18"/>
      <c r="W1093" s="18"/>
      <c r="X1093" s="18"/>
      <c r="Y1093" s="18"/>
      <c r="Z1093" s="18"/>
      <c r="AA1093" s="18"/>
      <c r="AB1093" s="18"/>
      <c r="AC1093" s="18"/>
      <c r="AD1093" s="18"/>
      <c r="AE1093" s="18"/>
      <c r="AF1093" s="18"/>
      <c r="AG1093" s="18"/>
      <c r="AH1093" s="18"/>
      <c r="AI1093" s="18"/>
      <c r="AJ1093" s="18"/>
      <c r="AK1093" s="18"/>
      <c r="AL1093" s="18"/>
      <c r="AM1093" s="18"/>
      <c r="AN1093" s="18"/>
      <c r="AO1093" s="18"/>
      <c r="AP1093" s="18"/>
      <c r="AQ1093" s="18"/>
      <c r="AR1093" s="18"/>
      <c r="AS1093" s="18"/>
      <c r="AT1093" s="18"/>
      <c r="AU1093" s="18"/>
      <c r="AV1093" s="18"/>
      <c r="AW1093" s="18"/>
      <c r="AX1093" s="18"/>
      <c r="AY1093" s="18"/>
      <c r="AZ1093" s="18"/>
      <c r="BA1093" s="18"/>
      <c r="BB1093" s="18"/>
      <c r="BC1093" s="18"/>
      <c r="BD1093" s="18"/>
      <c r="BE1093" s="18"/>
      <c r="BF1093" s="18"/>
      <c r="BG1093" s="18"/>
      <c r="BH1093" s="18"/>
      <c r="BI1093" s="18"/>
      <c r="BJ1093" s="18"/>
      <c r="BK1093" s="18"/>
      <c r="BL1093" s="18"/>
      <c r="BM1093" s="18"/>
      <c r="BN1093" s="18"/>
    </row>
    <row r="1094" spans="1:66">
      <c r="A1094" s="18"/>
      <c r="B1094" s="18"/>
      <c r="C1094" s="18"/>
      <c r="D1094" s="18"/>
      <c r="E1094" s="18"/>
      <c r="F1094" s="18"/>
      <c r="G1094" s="18"/>
      <c r="H1094" s="18"/>
      <c r="I1094" s="18"/>
      <c r="J1094" s="18"/>
      <c r="K1094" s="18"/>
      <c r="L1094" s="18"/>
      <c r="M1094" s="18"/>
      <c r="N1094" s="18"/>
      <c r="O1094" s="18"/>
      <c r="P1094" s="18"/>
      <c r="Q1094" s="18"/>
      <c r="R1094" s="18"/>
      <c r="S1094" s="18"/>
      <c r="T1094" s="18"/>
      <c r="U1094" s="18"/>
      <c r="V1094" s="18"/>
      <c r="W1094" s="18"/>
      <c r="X1094" s="18"/>
      <c r="Y1094" s="18"/>
      <c r="Z1094" s="18"/>
      <c r="AA1094" s="18"/>
      <c r="AB1094" s="18"/>
      <c r="AC1094" s="18"/>
      <c r="AD1094" s="18"/>
      <c r="AE1094" s="18"/>
      <c r="AF1094" s="18"/>
      <c r="AG1094" s="18"/>
      <c r="AH1094" s="18"/>
      <c r="AI1094" s="18"/>
      <c r="AJ1094" s="18"/>
      <c r="AK1094" s="18"/>
      <c r="AL1094" s="18"/>
      <c r="AM1094" s="18"/>
      <c r="AN1094" s="18"/>
      <c r="AO1094" s="18"/>
      <c r="AP1094" s="18"/>
      <c r="AQ1094" s="18"/>
      <c r="AR1094" s="18"/>
      <c r="AS1094" s="18"/>
      <c r="AT1094" s="18"/>
      <c r="AU1094" s="18"/>
      <c r="AV1094" s="18"/>
      <c r="AW1094" s="18"/>
      <c r="AX1094" s="18"/>
      <c r="AY1094" s="18"/>
      <c r="AZ1094" s="18"/>
      <c r="BA1094" s="18"/>
      <c r="BB1094" s="18"/>
      <c r="BC1094" s="18"/>
      <c r="BD1094" s="18"/>
      <c r="BE1094" s="18"/>
      <c r="BF1094" s="18"/>
      <c r="BG1094" s="18"/>
      <c r="BH1094" s="18"/>
      <c r="BI1094" s="18"/>
      <c r="BJ1094" s="18"/>
      <c r="BK1094" s="18"/>
      <c r="BL1094" s="18"/>
      <c r="BM1094" s="18"/>
      <c r="BN1094" s="18"/>
    </row>
    <row r="1095" spans="1:66">
      <c r="A1095" s="18"/>
      <c r="B1095" s="18"/>
      <c r="C1095" s="18"/>
      <c r="D1095" s="18"/>
      <c r="E1095" s="18"/>
      <c r="F1095" s="18"/>
      <c r="G1095" s="18"/>
      <c r="H1095" s="18"/>
      <c r="I1095" s="18"/>
      <c r="J1095" s="18"/>
      <c r="K1095" s="18"/>
      <c r="L1095" s="18"/>
      <c r="M1095" s="18"/>
      <c r="N1095" s="18"/>
      <c r="O1095" s="18"/>
      <c r="P1095" s="18"/>
      <c r="Q1095" s="18"/>
      <c r="R1095" s="18"/>
      <c r="S1095" s="18"/>
      <c r="T1095" s="18"/>
      <c r="U1095" s="18"/>
      <c r="V1095" s="18"/>
      <c r="W1095" s="18"/>
      <c r="X1095" s="18"/>
      <c r="Y1095" s="18"/>
      <c r="Z1095" s="18"/>
      <c r="AA1095" s="18"/>
      <c r="AB1095" s="18"/>
      <c r="AC1095" s="18"/>
      <c r="AD1095" s="18"/>
      <c r="AE1095" s="18"/>
      <c r="AF1095" s="18"/>
      <c r="AG1095" s="18"/>
      <c r="AH1095" s="18"/>
      <c r="AI1095" s="18"/>
      <c r="AJ1095" s="18"/>
      <c r="AK1095" s="18"/>
      <c r="AL1095" s="18"/>
      <c r="AM1095" s="18"/>
      <c r="AN1095" s="18"/>
      <c r="AO1095" s="18"/>
      <c r="AP1095" s="18"/>
      <c r="AQ1095" s="18"/>
      <c r="AR1095" s="18"/>
      <c r="AS1095" s="18"/>
      <c r="AT1095" s="18"/>
      <c r="AU1095" s="18"/>
      <c r="AV1095" s="18"/>
      <c r="AW1095" s="18"/>
      <c r="AX1095" s="18"/>
      <c r="AY1095" s="18"/>
      <c r="AZ1095" s="18"/>
      <c r="BA1095" s="18"/>
      <c r="BB1095" s="18"/>
      <c r="BC1095" s="18"/>
      <c r="BD1095" s="18"/>
      <c r="BE1095" s="18"/>
      <c r="BF1095" s="18"/>
      <c r="BG1095" s="18"/>
      <c r="BH1095" s="18"/>
      <c r="BI1095" s="18"/>
      <c r="BJ1095" s="18"/>
      <c r="BK1095" s="18"/>
      <c r="BL1095" s="18"/>
      <c r="BM1095" s="18"/>
      <c r="BN1095" s="18"/>
    </row>
    <row r="1096" spans="1:66">
      <c r="A1096" s="18"/>
      <c r="B1096" s="18"/>
      <c r="C1096" s="18"/>
      <c r="D1096" s="18"/>
      <c r="E1096" s="18"/>
      <c r="F1096" s="18"/>
      <c r="G1096" s="18"/>
      <c r="H1096" s="18"/>
      <c r="I1096" s="18"/>
      <c r="J1096" s="18"/>
      <c r="K1096" s="18"/>
      <c r="L1096" s="18"/>
      <c r="M1096" s="18"/>
      <c r="N1096" s="18"/>
      <c r="O1096" s="18"/>
      <c r="P1096" s="18"/>
      <c r="Q1096" s="18"/>
      <c r="R1096" s="18"/>
      <c r="S1096" s="18"/>
      <c r="T1096" s="18"/>
      <c r="U1096" s="18"/>
      <c r="V1096" s="18"/>
      <c r="W1096" s="18"/>
      <c r="X1096" s="18"/>
      <c r="Y1096" s="18"/>
      <c r="Z1096" s="18"/>
      <c r="AA1096" s="18"/>
      <c r="AB1096" s="18"/>
      <c r="AC1096" s="18"/>
      <c r="AD1096" s="18"/>
      <c r="AE1096" s="18"/>
      <c r="AF1096" s="18"/>
      <c r="AG1096" s="18"/>
      <c r="AH1096" s="18"/>
      <c r="AI1096" s="18"/>
      <c r="AJ1096" s="18"/>
      <c r="AK1096" s="18"/>
      <c r="AL1096" s="18"/>
      <c r="AM1096" s="18"/>
      <c r="AN1096" s="18"/>
      <c r="AO1096" s="18"/>
      <c r="AP1096" s="18"/>
      <c r="AQ1096" s="18"/>
      <c r="AR1096" s="18"/>
      <c r="AS1096" s="18"/>
      <c r="AT1096" s="18"/>
      <c r="AU1096" s="18"/>
      <c r="AV1096" s="18"/>
      <c r="AW1096" s="18"/>
      <c r="AX1096" s="18"/>
      <c r="AY1096" s="18"/>
      <c r="AZ1096" s="18"/>
      <c r="BA1096" s="18"/>
      <c r="BB1096" s="18"/>
      <c r="BC1096" s="18"/>
      <c r="BD1096" s="18"/>
      <c r="BE1096" s="18"/>
      <c r="BF1096" s="18"/>
      <c r="BG1096" s="18"/>
      <c r="BH1096" s="18"/>
      <c r="BI1096" s="18"/>
      <c r="BJ1096" s="18"/>
      <c r="BK1096" s="18"/>
      <c r="BL1096" s="18"/>
      <c r="BM1096" s="18"/>
      <c r="BN1096" s="18"/>
    </row>
    <row r="1097" spans="1:66">
      <c r="A1097" s="18"/>
      <c r="B1097" s="18"/>
      <c r="C1097" s="18"/>
      <c r="D1097" s="18"/>
      <c r="E1097" s="18"/>
      <c r="F1097" s="18"/>
      <c r="G1097" s="18"/>
      <c r="H1097" s="18"/>
      <c r="I1097" s="18"/>
      <c r="J1097" s="18"/>
      <c r="K1097" s="18"/>
      <c r="L1097" s="18"/>
      <c r="M1097" s="18"/>
      <c r="N1097" s="18"/>
      <c r="O1097" s="18"/>
      <c r="P1097" s="18"/>
      <c r="Q1097" s="18"/>
      <c r="R1097" s="18"/>
      <c r="S1097" s="18"/>
      <c r="T1097" s="18"/>
      <c r="U1097" s="18"/>
      <c r="V1097" s="18"/>
      <c r="W1097" s="18"/>
      <c r="X1097" s="18"/>
      <c r="Y1097" s="18"/>
      <c r="Z1097" s="18"/>
      <c r="AA1097" s="18"/>
      <c r="AB1097" s="18"/>
      <c r="AC1097" s="18"/>
      <c r="AD1097" s="18"/>
      <c r="AE1097" s="18"/>
      <c r="AF1097" s="18"/>
      <c r="AG1097" s="18"/>
      <c r="AH1097" s="18"/>
      <c r="AI1097" s="18"/>
      <c r="AJ1097" s="18"/>
      <c r="AK1097" s="18"/>
      <c r="AL1097" s="18"/>
      <c r="AM1097" s="18"/>
      <c r="AN1097" s="18"/>
      <c r="AO1097" s="18"/>
      <c r="AP1097" s="18"/>
      <c r="AQ1097" s="18"/>
      <c r="AR1097" s="18"/>
      <c r="AS1097" s="18"/>
      <c r="AT1097" s="18"/>
      <c r="AU1097" s="18"/>
      <c r="AV1097" s="18"/>
      <c r="AW1097" s="18"/>
      <c r="AX1097" s="18"/>
      <c r="AY1097" s="18"/>
      <c r="AZ1097" s="18"/>
      <c r="BA1097" s="18"/>
      <c r="BB1097" s="18"/>
      <c r="BC1097" s="18"/>
      <c r="BD1097" s="18"/>
      <c r="BE1097" s="18"/>
      <c r="BF1097" s="18"/>
      <c r="BG1097" s="18"/>
      <c r="BH1097" s="18"/>
      <c r="BI1097" s="18"/>
      <c r="BJ1097" s="18"/>
      <c r="BK1097" s="18"/>
      <c r="BL1097" s="18"/>
      <c r="BM1097" s="18"/>
      <c r="BN1097" s="18"/>
    </row>
    <row r="1098" spans="1:66">
      <c r="A1098" s="18"/>
      <c r="B1098" s="18"/>
      <c r="C1098" s="18"/>
      <c r="D1098" s="18"/>
      <c r="E1098" s="18"/>
      <c r="F1098" s="18"/>
      <c r="G1098" s="18"/>
      <c r="H1098" s="18"/>
      <c r="I1098" s="18"/>
      <c r="J1098" s="18"/>
      <c r="K1098" s="18"/>
      <c r="L1098" s="18"/>
      <c r="M1098" s="18"/>
      <c r="N1098" s="18"/>
      <c r="O1098" s="18"/>
      <c r="P1098" s="18"/>
      <c r="Q1098" s="18"/>
      <c r="R1098" s="18"/>
      <c r="S1098" s="18"/>
      <c r="T1098" s="18"/>
      <c r="U1098" s="18"/>
      <c r="V1098" s="18"/>
      <c r="W1098" s="18"/>
      <c r="X1098" s="18"/>
      <c r="Y1098" s="18"/>
      <c r="Z1098" s="18"/>
      <c r="AA1098" s="18"/>
      <c r="AB1098" s="18"/>
      <c r="AC1098" s="18"/>
      <c r="AD1098" s="18"/>
      <c r="AE1098" s="18"/>
      <c r="AF1098" s="18"/>
      <c r="AG1098" s="18"/>
      <c r="AH1098" s="18"/>
      <c r="AI1098" s="18"/>
      <c r="AJ1098" s="18"/>
      <c r="AK1098" s="18"/>
      <c r="AL1098" s="18"/>
      <c r="AM1098" s="18"/>
      <c r="AN1098" s="18"/>
      <c r="AO1098" s="18"/>
      <c r="AP1098" s="18"/>
      <c r="AQ1098" s="18"/>
      <c r="AR1098" s="18"/>
      <c r="AS1098" s="18"/>
      <c r="AT1098" s="18"/>
      <c r="AU1098" s="18"/>
      <c r="AV1098" s="18"/>
      <c r="AW1098" s="18"/>
      <c r="AX1098" s="18"/>
      <c r="AY1098" s="18"/>
      <c r="AZ1098" s="18"/>
      <c r="BA1098" s="18"/>
      <c r="BB1098" s="18"/>
      <c r="BC1098" s="18"/>
      <c r="BD1098" s="18"/>
      <c r="BE1098" s="18"/>
      <c r="BF1098" s="18"/>
      <c r="BG1098" s="18"/>
      <c r="BH1098" s="18"/>
      <c r="BI1098" s="18"/>
      <c r="BJ1098" s="18"/>
      <c r="BK1098" s="18"/>
      <c r="BL1098" s="18"/>
      <c r="BM1098" s="18"/>
      <c r="BN1098" s="18"/>
    </row>
    <row r="1099" spans="1:66">
      <c r="A1099" s="18"/>
      <c r="B1099" s="18"/>
      <c r="C1099" s="18"/>
      <c r="D1099" s="18"/>
      <c r="E1099" s="18"/>
      <c r="F1099" s="18"/>
      <c r="G1099" s="18"/>
      <c r="H1099" s="18"/>
      <c r="I1099" s="18"/>
      <c r="J1099" s="18"/>
      <c r="K1099" s="18"/>
      <c r="L1099" s="18"/>
      <c r="M1099" s="18"/>
      <c r="N1099" s="18"/>
      <c r="O1099" s="18"/>
      <c r="P1099" s="18"/>
      <c r="Q1099" s="18"/>
      <c r="R1099" s="18"/>
      <c r="S1099" s="18"/>
      <c r="T1099" s="18"/>
      <c r="U1099" s="18"/>
      <c r="V1099" s="18"/>
      <c r="W1099" s="18"/>
      <c r="X1099" s="18"/>
      <c r="Y1099" s="18"/>
      <c r="Z1099" s="18"/>
      <c r="AA1099" s="18"/>
      <c r="AB1099" s="18"/>
      <c r="AC1099" s="18"/>
      <c r="AD1099" s="18"/>
      <c r="AE1099" s="18"/>
      <c r="AF1099" s="18"/>
      <c r="AG1099" s="18"/>
      <c r="AH1099" s="18"/>
      <c r="AI1099" s="18"/>
      <c r="AJ1099" s="18"/>
      <c r="AK1099" s="18"/>
      <c r="AL1099" s="18"/>
      <c r="AM1099" s="18"/>
      <c r="AN1099" s="18"/>
      <c r="AO1099" s="18"/>
      <c r="AP1099" s="18"/>
      <c r="AQ1099" s="18"/>
      <c r="AR1099" s="18"/>
      <c r="AS1099" s="18"/>
      <c r="AT1099" s="18"/>
      <c r="AU1099" s="18"/>
      <c r="AV1099" s="18"/>
      <c r="AW1099" s="18"/>
      <c r="AX1099" s="18"/>
      <c r="AY1099" s="18"/>
      <c r="AZ1099" s="18"/>
      <c r="BA1099" s="18"/>
      <c r="BB1099" s="18"/>
      <c r="BC1099" s="18"/>
      <c r="BD1099" s="18"/>
      <c r="BE1099" s="18"/>
      <c r="BF1099" s="18"/>
      <c r="BG1099" s="18"/>
      <c r="BH1099" s="18"/>
      <c r="BI1099" s="18"/>
      <c r="BJ1099" s="18"/>
      <c r="BK1099" s="18"/>
      <c r="BL1099" s="18"/>
      <c r="BM1099" s="18"/>
      <c r="BN1099" s="18"/>
    </row>
    <row r="1100" spans="1:66">
      <c r="A1100" s="18"/>
      <c r="B1100" s="18"/>
      <c r="C1100" s="18"/>
      <c r="D1100" s="18"/>
      <c r="E1100" s="18"/>
      <c r="F1100" s="18"/>
      <c r="G1100" s="18"/>
      <c r="H1100" s="18"/>
      <c r="I1100" s="18"/>
      <c r="J1100" s="18"/>
      <c r="K1100" s="18"/>
      <c r="L1100" s="18"/>
      <c r="M1100" s="18"/>
      <c r="N1100" s="18"/>
      <c r="O1100" s="18"/>
      <c r="P1100" s="18"/>
      <c r="Q1100" s="18"/>
      <c r="R1100" s="18"/>
      <c r="S1100" s="18"/>
      <c r="T1100" s="18"/>
      <c r="U1100" s="18"/>
      <c r="V1100" s="18"/>
      <c r="W1100" s="18"/>
      <c r="X1100" s="18"/>
      <c r="Y1100" s="18"/>
      <c r="Z1100" s="18"/>
      <c r="AA1100" s="18"/>
      <c r="AB1100" s="18"/>
      <c r="AC1100" s="18"/>
      <c r="AD1100" s="18"/>
      <c r="AE1100" s="18"/>
      <c r="AF1100" s="18"/>
      <c r="AG1100" s="18"/>
      <c r="AH1100" s="18"/>
      <c r="AI1100" s="18"/>
      <c r="AJ1100" s="18"/>
      <c r="AK1100" s="18"/>
      <c r="AL1100" s="18"/>
      <c r="AM1100" s="18"/>
      <c r="AN1100" s="18"/>
      <c r="AO1100" s="18"/>
      <c r="AP1100" s="18"/>
      <c r="AQ1100" s="18"/>
      <c r="AR1100" s="18"/>
      <c r="AS1100" s="18"/>
      <c r="AT1100" s="18"/>
      <c r="AU1100" s="18"/>
      <c r="AV1100" s="18"/>
      <c r="AW1100" s="18"/>
      <c r="AX1100" s="18"/>
      <c r="AY1100" s="18"/>
      <c r="AZ1100" s="18"/>
      <c r="BA1100" s="18"/>
      <c r="BB1100" s="18"/>
      <c r="BC1100" s="18"/>
      <c r="BD1100" s="18"/>
      <c r="BE1100" s="18"/>
      <c r="BF1100" s="18"/>
      <c r="BG1100" s="18"/>
      <c r="BH1100" s="18"/>
      <c r="BI1100" s="18"/>
      <c r="BJ1100" s="18"/>
      <c r="BK1100" s="18"/>
      <c r="BL1100" s="18"/>
      <c r="BM1100" s="18"/>
      <c r="BN1100" s="18"/>
    </row>
    <row r="1101" spans="1:66">
      <c r="A1101" s="18"/>
      <c r="B1101" s="18"/>
      <c r="C1101" s="18"/>
      <c r="D1101" s="18"/>
      <c r="E1101" s="18"/>
      <c r="F1101" s="18"/>
      <c r="G1101" s="18"/>
      <c r="H1101" s="18"/>
      <c r="I1101" s="18"/>
      <c r="J1101" s="18"/>
      <c r="K1101" s="18"/>
      <c r="L1101" s="18"/>
      <c r="M1101" s="18"/>
      <c r="N1101" s="18"/>
      <c r="O1101" s="18"/>
      <c r="P1101" s="18"/>
      <c r="Q1101" s="18"/>
      <c r="R1101" s="18"/>
      <c r="S1101" s="18"/>
      <c r="T1101" s="18"/>
      <c r="U1101" s="18"/>
      <c r="V1101" s="18"/>
      <c r="W1101" s="18"/>
      <c r="X1101" s="18"/>
      <c r="Y1101" s="18"/>
      <c r="Z1101" s="18"/>
      <c r="AA1101" s="18"/>
      <c r="AB1101" s="18"/>
      <c r="AC1101" s="18"/>
      <c r="AD1101" s="18"/>
      <c r="AE1101" s="18"/>
      <c r="AF1101" s="18"/>
      <c r="AG1101" s="18"/>
      <c r="AH1101" s="18"/>
      <c r="AI1101" s="18"/>
      <c r="AJ1101" s="18"/>
      <c r="AK1101" s="18"/>
      <c r="AL1101" s="18"/>
      <c r="AM1101" s="18"/>
      <c r="AN1101" s="18"/>
      <c r="AO1101" s="18"/>
      <c r="AP1101" s="18"/>
      <c r="AQ1101" s="18"/>
      <c r="AR1101" s="18"/>
      <c r="AS1101" s="18"/>
      <c r="AT1101" s="18"/>
      <c r="AU1101" s="18"/>
      <c r="AV1101" s="18"/>
      <c r="AW1101" s="18"/>
      <c r="AX1101" s="18"/>
      <c r="AY1101" s="18"/>
      <c r="AZ1101" s="18"/>
      <c r="BA1101" s="18"/>
      <c r="BB1101" s="18"/>
      <c r="BC1101" s="18"/>
      <c r="BD1101" s="18"/>
      <c r="BE1101" s="18"/>
      <c r="BF1101" s="18"/>
      <c r="BG1101" s="18"/>
      <c r="BH1101" s="18"/>
      <c r="BI1101" s="18"/>
      <c r="BJ1101" s="18"/>
      <c r="BK1101" s="18"/>
      <c r="BL1101" s="18"/>
      <c r="BM1101" s="18"/>
      <c r="BN1101" s="18"/>
    </row>
    <row r="1102" spans="1:66">
      <c r="A1102" s="18"/>
      <c r="B1102" s="18"/>
      <c r="C1102" s="18"/>
      <c r="D1102" s="18"/>
      <c r="E1102" s="18"/>
      <c r="F1102" s="18"/>
      <c r="G1102" s="18"/>
      <c r="H1102" s="18"/>
      <c r="I1102" s="18"/>
      <c r="J1102" s="18"/>
      <c r="K1102" s="18"/>
      <c r="L1102" s="18"/>
      <c r="M1102" s="18"/>
      <c r="N1102" s="18"/>
      <c r="O1102" s="18"/>
      <c r="P1102" s="18"/>
      <c r="Q1102" s="18"/>
      <c r="R1102" s="18"/>
      <c r="S1102" s="18"/>
      <c r="T1102" s="18"/>
      <c r="U1102" s="18"/>
      <c r="V1102" s="18"/>
      <c r="W1102" s="18"/>
      <c r="X1102" s="18"/>
      <c r="Y1102" s="18"/>
      <c r="Z1102" s="18"/>
      <c r="AA1102" s="18"/>
      <c r="AB1102" s="18"/>
      <c r="AC1102" s="18"/>
      <c r="AD1102" s="18"/>
      <c r="AE1102" s="18"/>
      <c r="AF1102" s="18"/>
      <c r="AG1102" s="18"/>
      <c r="AH1102" s="18"/>
      <c r="AI1102" s="18"/>
      <c r="AJ1102" s="18"/>
      <c r="AK1102" s="18"/>
      <c r="AL1102" s="18"/>
      <c r="AM1102" s="18"/>
      <c r="AN1102" s="18"/>
      <c r="AO1102" s="18"/>
      <c r="AP1102" s="18"/>
      <c r="AQ1102" s="18"/>
      <c r="AR1102" s="18"/>
      <c r="AS1102" s="18"/>
      <c r="AT1102" s="18"/>
      <c r="AU1102" s="18"/>
      <c r="AV1102" s="18"/>
      <c r="AW1102" s="18"/>
      <c r="AX1102" s="18"/>
      <c r="AY1102" s="18"/>
      <c r="AZ1102" s="18"/>
      <c r="BA1102" s="18"/>
      <c r="BB1102" s="18"/>
      <c r="BC1102" s="18"/>
      <c r="BD1102" s="18"/>
      <c r="BE1102" s="18"/>
      <c r="BF1102" s="18"/>
      <c r="BG1102" s="18"/>
      <c r="BH1102" s="18"/>
      <c r="BI1102" s="18"/>
      <c r="BJ1102" s="18"/>
      <c r="BK1102" s="18"/>
      <c r="BL1102" s="18"/>
      <c r="BM1102" s="18"/>
      <c r="BN1102" s="18"/>
    </row>
    <row r="1103" spans="1:66">
      <c r="A1103" s="18"/>
      <c r="B1103" s="18"/>
      <c r="C1103" s="18"/>
      <c r="D1103" s="18"/>
      <c r="E1103" s="18"/>
      <c r="F1103" s="18"/>
      <c r="G1103" s="18"/>
      <c r="H1103" s="18"/>
      <c r="I1103" s="18"/>
      <c r="J1103" s="18"/>
      <c r="K1103" s="18"/>
      <c r="L1103" s="18"/>
      <c r="M1103" s="18"/>
      <c r="N1103" s="18"/>
      <c r="O1103" s="18"/>
      <c r="P1103" s="18"/>
      <c r="Q1103" s="18"/>
      <c r="R1103" s="18"/>
      <c r="S1103" s="18"/>
      <c r="T1103" s="18"/>
      <c r="U1103" s="18"/>
      <c r="V1103" s="18"/>
      <c r="W1103" s="18"/>
      <c r="X1103" s="18"/>
      <c r="Y1103" s="18"/>
      <c r="Z1103" s="18"/>
      <c r="AA1103" s="18"/>
      <c r="AB1103" s="18"/>
      <c r="AC1103" s="18"/>
      <c r="AD1103" s="18"/>
      <c r="AE1103" s="18"/>
      <c r="AF1103" s="18"/>
      <c r="AG1103" s="18"/>
      <c r="AH1103" s="18"/>
      <c r="AI1103" s="18"/>
      <c r="AJ1103" s="18"/>
      <c r="AK1103" s="18"/>
      <c r="AL1103" s="18"/>
      <c r="AM1103" s="18"/>
      <c r="AN1103" s="18"/>
      <c r="AO1103" s="18"/>
      <c r="AP1103" s="18"/>
      <c r="AQ1103" s="18"/>
      <c r="AR1103" s="18"/>
      <c r="AS1103" s="18"/>
      <c r="AT1103" s="18"/>
      <c r="AU1103" s="18"/>
      <c r="AV1103" s="18"/>
      <c r="AW1103" s="18"/>
      <c r="AX1103" s="18"/>
      <c r="AY1103" s="18"/>
      <c r="AZ1103" s="18"/>
      <c r="BA1103" s="18"/>
      <c r="BB1103" s="18"/>
      <c r="BC1103" s="18"/>
      <c r="BD1103" s="18"/>
      <c r="BE1103" s="18"/>
      <c r="BF1103" s="18"/>
      <c r="BG1103" s="18"/>
      <c r="BH1103" s="18"/>
      <c r="BI1103" s="18"/>
      <c r="BJ1103" s="18"/>
      <c r="BK1103" s="18"/>
      <c r="BL1103" s="18"/>
      <c r="BM1103" s="18"/>
      <c r="BN1103" s="18"/>
    </row>
    <row r="1104" spans="1:66">
      <c r="A1104" s="18"/>
      <c r="B1104" s="18"/>
      <c r="C1104" s="18"/>
      <c r="D1104" s="18"/>
      <c r="E1104" s="18"/>
      <c r="F1104" s="18"/>
      <c r="G1104" s="18"/>
      <c r="H1104" s="18"/>
      <c r="I1104" s="18"/>
      <c r="J1104" s="18"/>
      <c r="K1104" s="18"/>
      <c r="L1104" s="18"/>
      <c r="M1104" s="18"/>
      <c r="N1104" s="18"/>
      <c r="O1104" s="18"/>
      <c r="P1104" s="18"/>
      <c r="Q1104" s="18"/>
      <c r="R1104" s="18"/>
      <c r="S1104" s="18"/>
      <c r="T1104" s="18"/>
      <c r="U1104" s="18"/>
      <c r="V1104" s="18"/>
      <c r="W1104" s="18"/>
      <c r="X1104" s="18"/>
      <c r="Y1104" s="18"/>
      <c r="Z1104" s="18"/>
      <c r="AA1104" s="18"/>
      <c r="AB1104" s="18"/>
      <c r="AC1104" s="18"/>
      <c r="AD1104" s="18"/>
      <c r="AE1104" s="18"/>
      <c r="AF1104" s="18"/>
      <c r="AG1104" s="18"/>
      <c r="AH1104" s="18"/>
      <c r="AI1104" s="18"/>
      <c r="AJ1104" s="18"/>
      <c r="AK1104" s="18"/>
      <c r="AL1104" s="18"/>
      <c r="AM1104" s="18"/>
      <c r="AN1104" s="18"/>
      <c r="AO1104" s="18"/>
      <c r="AP1104" s="18"/>
      <c r="AQ1104" s="18"/>
      <c r="AR1104" s="18"/>
      <c r="AS1104" s="18"/>
      <c r="AT1104" s="18"/>
      <c r="AU1104" s="18"/>
      <c r="AV1104" s="18"/>
      <c r="AW1104" s="18"/>
      <c r="AX1104" s="18"/>
      <c r="AY1104" s="18"/>
      <c r="AZ1104" s="18"/>
      <c r="BA1104" s="18"/>
      <c r="BB1104" s="18"/>
      <c r="BC1104" s="18"/>
      <c r="BD1104" s="18"/>
      <c r="BE1104" s="18"/>
      <c r="BF1104" s="18"/>
      <c r="BG1104" s="18"/>
      <c r="BH1104" s="18"/>
      <c r="BI1104" s="18"/>
      <c r="BJ1104" s="18"/>
      <c r="BK1104" s="18"/>
      <c r="BL1104" s="18"/>
      <c r="BM1104" s="18"/>
      <c r="BN1104" s="18"/>
    </row>
    <row r="1105" spans="1:66">
      <c r="A1105" s="18"/>
      <c r="B1105" s="18"/>
      <c r="C1105" s="18"/>
      <c r="D1105" s="18"/>
      <c r="E1105" s="18"/>
      <c r="F1105" s="18"/>
      <c r="G1105" s="18"/>
      <c r="H1105" s="18"/>
      <c r="I1105" s="18"/>
      <c r="J1105" s="18"/>
      <c r="K1105" s="18"/>
      <c r="L1105" s="18"/>
      <c r="M1105" s="18"/>
      <c r="N1105" s="18"/>
      <c r="O1105" s="18"/>
      <c r="P1105" s="18"/>
      <c r="Q1105" s="18"/>
      <c r="R1105" s="18"/>
      <c r="S1105" s="18"/>
      <c r="T1105" s="18"/>
      <c r="U1105" s="18"/>
      <c r="V1105" s="18"/>
      <c r="W1105" s="18"/>
      <c r="X1105" s="18"/>
      <c r="Y1105" s="18"/>
      <c r="Z1105" s="18"/>
      <c r="AA1105" s="18"/>
      <c r="AB1105" s="18"/>
      <c r="AC1105" s="18"/>
      <c r="AD1105" s="18"/>
      <c r="AE1105" s="18"/>
      <c r="AF1105" s="18"/>
      <c r="AG1105" s="18"/>
      <c r="AH1105" s="18"/>
      <c r="AI1105" s="18"/>
      <c r="AJ1105" s="18"/>
      <c r="AK1105" s="18"/>
      <c r="AL1105" s="18"/>
      <c r="AM1105" s="18"/>
      <c r="AN1105" s="18"/>
      <c r="AO1105" s="18"/>
      <c r="AP1105" s="18"/>
      <c r="AQ1105" s="18"/>
      <c r="AR1105" s="18"/>
      <c r="AS1105" s="18"/>
      <c r="AT1105" s="18"/>
      <c r="AU1105" s="18"/>
      <c r="AV1105" s="18"/>
      <c r="AW1105" s="18"/>
      <c r="AX1105" s="18"/>
      <c r="AY1105" s="18"/>
      <c r="AZ1105" s="18"/>
      <c r="BA1105" s="18"/>
      <c r="BB1105" s="18"/>
      <c r="BC1105" s="18"/>
      <c r="BD1105" s="18"/>
      <c r="BE1105" s="18"/>
      <c r="BF1105" s="18"/>
      <c r="BG1105" s="18"/>
      <c r="BH1105" s="18"/>
      <c r="BI1105" s="18"/>
      <c r="BJ1105" s="18"/>
      <c r="BK1105" s="18"/>
      <c r="BL1105" s="18"/>
      <c r="BM1105" s="18"/>
      <c r="BN1105" s="18"/>
    </row>
    <row r="1106" spans="1:66">
      <c r="A1106" s="18"/>
      <c r="B1106" s="18"/>
      <c r="C1106" s="18"/>
      <c r="D1106" s="18"/>
      <c r="E1106" s="18"/>
      <c r="F1106" s="18"/>
      <c r="G1106" s="18"/>
      <c r="H1106" s="18"/>
      <c r="I1106" s="18"/>
      <c r="J1106" s="18"/>
      <c r="K1106" s="18"/>
      <c r="L1106" s="18"/>
      <c r="M1106" s="18"/>
      <c r="N1106" s="18"/>
      <c r="O1106" s="18"/>
      <c r="P1106" s="18"/>
      <c r="Q1106" s="18"/>
      <c r="R1106" s="18"/>
      <c r="S1106" s="18"/>
      <c r="T1106" s="18"/>
      <c r="U1106" s="18"/>
      <c r="V1106" s="18"/>
      <c r="W1106" s="18"/>
      <c r="X1106" s="18"/>
      <c r="Y1106" s="18"/>
      <c r="Z1106" s="18"/>
      <c r="AA1106" s="18"/>
      <c r="AB1106" s="18"/>
      <c r="AC1106" s="18"/>
      <c r="AD1106" s="18"/>
      <c r="AE1106" s="18"/>
      <c r="AF1106" s="18"/>
      <c r="AG1106" s="18"/>
      <c r="AH1106" s="18"/>
      <c r="AI1106" s="18"/>
      <c r="AJ1106" s="18"/>
      <c r="AK1106" s="18"/>
      <c r="AL1106" s="18"/>
      <c r="AM1106" s="18"/>
      <c r="AN1106" s="18"/>
      <c r="AO1106" s="18"/>
      <c r="AP1106" s="18"/>
      <c r="AQ1106" s="18"/>
      <c r="AR1106" s="18"/>
      <c r="AS1106" s="18"/>
      <c r="AT1106" s="18"/>
      <c r="AU1106" s="18"/>
      <c r="AV1106" s="18"/>
      <c r="AW1106" s="18"/>
      <c r="AX1106" s="18"/>
      <c r="AY1106" s="18"/>
      <c r="AZ1106" s="18"/>
      <c r="BA1106" s="18"/>
      <c r="BB1106" s="18"/>
      <c r="BC1106" s="18"/>
      <c r="BD1106" s="18"/>
      <c r="BE1106" s="18"/>
      <c r="BF1106" s="18"/>
      <c r="BG1106" s="18"/>
      <c r="BH1106" s="18"/>
      <c r="BI1106" s="18"/>
      <c r="BJ1106" s="18"/>
      <c r="BK1106" s="18"/>
      <c r="BL1106" s="18"/>
      <c r="BM1106" s="18"/>
      <c r="BN1106" s="18"/>
    </row>
    <row r="1107" spans="1:66">
      <c r="A1107" s="18"/>
      <c r="B1107" s="18"/>
      <c r="C1107" s="18"/>
      <c r="D1107" s="18"/>
      <c r="E1107" s="18"/>
      <c r="F1107" s="18"/>
      <c r="G1107" s="18"/>
      <c r="H1107" s="18"/>
      <c r="I1107" s="18"/>
      <c r="J1107" s="18"/>
      <c r="K1107" s="18"/>
      <c r="L1107" s="18"/>
      <c r="M1107" s="18"/>
      <c r="N1107" s="18"/>
      <c r="O1107" s="18"/>
      <c r="P1107" s="18"/>
      <c r="Q1107" s="18"/>
      <c r="R1107" s="18"/>
      <c r="S1107" s="18"/>
      <c r="T1107" s="18"/>
      <c r="U1107" s="18"/>
      <c r="V1107" s="18"/>
      <c r="W1107" s="18"/>
      <c r="X1107" s="18"/>
      <c r="Y1107" s="18"/>
      <c r="Z1107" s="18"/>
      <c r="AA1107" s="18"/>
      <c r="AB1107" s="18"/>
      <c r="AC1107" s="18"/>
      <c r="AD1107" s="18"/>
      <c r="AE1107" s="18"/>
      <c r="AF1107" s="18"/>
      <c r="AG1107" s="18"/>
      <c r="AH1107" s="18"/>
      <c r="AI1107" s="18"/>
      <c r="AJ1107" s="18"/>
      <c r="AK1107" s="18"/>
      <c r="AL1107" s="18"/>
      <c r="AM1107" s="18"/>
      <c r="AN1107" s="18"/>
      <c r="AO1107" s="18"/>
      <c r="AP1107" s="18"/>
      <c r="AQ1107" s="18"/>
      <c r="AR1107" s="18"/>
      <c r="AS1107" s="18"/>
      <c r="AT1107" s="18"/>
      <c r="AU1107" s="18"/>
      <c r="AV1107" s="18"/>
      <c r="AW1107" s="18"/>
      <c r="AX1107" s="18"/>
      <c r="AY1107" s="18"/>
      <c r="AZ1107" s="18"/>
      <c r="BA1107" s="18"/>
      <c r="BB1107" s="18"/>
      <c r="BC1107" s="18"/>
      <c r="BD1107" s="18"/>
      <c r="BE1107" s="18"/>
      <c r="BF1107" s="18"/>
      <c r="BG1107" s="18"/>
      <c r="BH1107" s="18"/>
      <c r="BI1107" s="18"/>
      <c r="BJ1107" s="18"/>
      <c r="BK1107" s="18"/>
      <c r="BL1107" s="18"/>
      <c r="BM1107" s="18"/>
      <c r="BN1107" s="18"/>
    </row>
    <row r="1108" spans="1:66">
      <c r="A1108" s="18"/>
      <c r="B1108" s="18"/>
      <c r="C1108" s="18"/>
      <c r="D1108" s="18"/>
      <c r="E1108" s="18"/>
      <c r="F1108" s="18"/>
      <c r="G1108" s="18"/>
      <c r="H1108" s="18"/>
      <c r="I1108" s="18"/>
      <c r="J1108" s="18"/>
      <c r="K1108" s="18"/>
      <c r="L1108" s="18"/>
      <c r="M1108" s="18"/>
      <c r="N1108" s="18"/>
      <c r="O1108" s="18"/>
      <c r="P1108" s="18"/>
      <c r="Q1108" s="18"/>
      <c r="R1108" s="18"/>
      <c r="S1108" s="18"/>
      <c r="T1108" s="18"/>
      <c r="U1108" s="18"/>
      <c r="V1108" s="18"/>
      <c r="W1108" s="18"/>
      <c r="X1108" s="18"/>
      <c r="Y1108" s="18"/>
      <c r="Z1108" s="18"/>
      <c r="AA1108" s="18"/>
      <c r="AB1108" s="18"/>
      <c r="AC1108" s="18"/>
      <c r="AD1108" s="18"/>
      <c r="AE1108" s="18"/>
      <c r="AF1108" s="18"/>
      <c r="AG1108" s="18"/>
      <c r="AH1108" s="18"/>
      <c r="AI1108" s="18"/>
      <c r="AJ1108" s="18"/>
      <c r="AK1108" s="18"/>
      <c r="AL1108" s="18"/>
      <c r="AM1108" s="18"/>
      <c r="AN1108" s="18"/>
      <c r="AO1108" s="18"/>
      <c r="AP1108" s="18"/>
      <c r="AQ1108" s="18"/>
      <c r="AR1108" s="18"/>
      <c r="AS1108" s="18"/>
      <c r="AT1108" s="18"/>
      <c r="AU1108" s="18"/>
      <c r="AV1108" s="18"/>
      <c r="AW1108" s="18"/>
      <c r="AX1108" s="18"/>
      <c r="AY1108" s="18"/>
      <c r="AZ1108" s="18"/>
      <c r="BA1108" s="18"/>
      <c r="BB1108" s="18"/>
      <c r="BC1108" s="18"/>
      <c r="BD1108" s="18"/>
      <c r="BE1108" s="18"/>
      <c r="BF1108" s="18"/>
      <c r="BG1108" s="18"/>
      <c r="BH1108" s="18"/>
      <c r="BI1108" s="18"/>
      <c r="BJ1108" s="18"/>
      <c r="BK1108" s="18"/>
      <c r="BL1108" s="18"/>
      <c r="BM1108" s="18"/>
      <c r="BN1108" s="18"/>
    </row>
    <row r="1109" spans="1:66">
      <c r="A1109" s="18"/>
      <c r="B1109" s="18"/>
      <c r="C1109" s="18"/>
      <c r="D1109" s="18"/>
      <c r="E1109" s="18"/>
      <c r="F1109" s="18"/>
      <c r="G1109" s="18"/>
      <c r="H1109" s="18"/>
      <c r="I1109" s="18"/>
      <c r="J1109" s="18"/>
      <c r="K1109" s="18"/>
      <c r="L1109" s="18"/>
      <c r="M1109" s="18"/>
      <c r="N1109" s="18"/>
      <c r="O1109" s="18"/>
      <c r="P1109" s="18"/>
      <c r="Q1109" s="18"/>
      <c r="R1109" s="18"/>
      <c r="S1109" s="18"/>
      <c r="T1109" s="18"/>
      <c r="U1109" s="18"/>
      <c r="V1109" s="18"/>
      <c r="W1109" s="18"/>
      <c r="X1109" s="18"/>
      <c r="Y1109" s="18"/>
      <c r="Z1109" s="18"/>
      <c r="AA1109" s="18"/>
      <c r="AB1109" s="18"/>
      <c r="AC1109" s="18"/>
      <c r="AD1109" s="18"/>
      <c r="AE1109" s="18"/>
      <c r="AF1109" s="18"/>
      <c r="AG1109" s="18"/>
      <c r="AH1109" s="18"/>
      <c r="AI1109" s="18"/>
      <c r="AJ1109" s="18"/>
      <c r="AK1109" s="18"/>
      <c r="AL1109" s="18"/>
      <c r="AM1109" s="18"/>
      <c r="AN1109" s="18"/>
      <c r="AO1109" s="18"/>
      <c r="AP1109" s="18"/>
      <c r="AQ1109" s="18"/>
      <c r="AR1109" s="18"/>
      <c r="AS1109" s="18"/>
      <c r="AT1109" s="18"/>
      <c r="AU1109" s="18"/>
      <c r="AV1109" s="18"/>
      <c r="AW1109" s="18"/>
      <c r="AX1109" s="18"/>
      <c r="AY1109" s="18"/>
      <c r="AZ1109" s="18"/>
      <c r="BA1109" s="18"/>
      <c r="BB1109" s="18"/>
      <c r="BC1109" s="18"/>
      <c r="BD1109" s="18"/>
      <c r="BE1109" s="18"/>
      <c r="BF1109" s="18"/>
      <c r="BG1109" s="18"/>
      <c r="BH1109" s="18"/>
      <c r="BI1109" s="18"/>
      <c r="BJ1109" s="18"/>
      <c r="BK1109" s="18"/>
      <c r="BL1109" s="18"/>
      <c r="BM1109" s="18"/>
      <c r="BN1109" s="18"/>
    </row>
    <row r="1110" spans="1:66">
      <c r="A1110" s="18"/>
      <c r="B1110" s="18"/>
      <c r="C1110" s="18"/>
      <c r="D1110" s="18"/>
      <c r="E1110" s="18"/>
      <c r="F1110" s="18"/>
      <c r="G1110" s="18"/>
      <c r="H1110" s="18"/>
      <c r="I1110" s="18"/>
      <c r="J1110" s="18"/>
      <c r="K1110" s="18"/>
      <c r="L1110" s="18"/>
      <c r="M1110" s="18"/>
      <c r="N1110" s="18"/>
      <c r="O1110" s="18"/>
      <c r="P1110" s="18"/>
      <c r="Q1110" s="18"/>
      <c r="R1110" s="18"/>
      <c r="S1110" s="18"/>
      <c r="T1110" s="18"/>
      <c r="U1110" s="18"/>
      <c r="V1110" s="18"/>
      <c r="W1110" s="18"/>
      <c r="X1110" s="18"/>
      <c r="Y1110" s="18"/>
      <c r="Z1110" s="18"/>
      <c r="AA1110" s="18"/>
      <c r="AB1110" s="18"/>
      <c r="AC1110" s="18"/>
      <c r="AD1110" s="18"/>
      <c r="AE1110" s="18"/>
      <c r="AF1110" s="18"/>
      <c r="AG1110" s="18"/>
      <c r="AH1110" s="18"/>
      <c r="AI1110" s="18"/>
      <c r="AJ1110" s="18"/>
      <c r="AK1110" s="18"/>
      <c r="AL1110" s="18"/>
      <c r="AM1110" s="18"/>
      <c r="AN1110" s="18"/>
      <c r="AO1110" s="18"/>
      <c r="AP1110" s="18"/>
      <c r="AQ1110" s="18"/>
      <c r="AR1110" s="18"/>
      <c r="AS1110" s="18"/>
      <c r="AT1110" s="18"/>
      <c r="AU1110" s="18"/>
      <c r="AV1110" s="18"/>
      <c r="AW1110" s="18"/>
      <c r="AX1110" s="18"/>
      <c r="AY1110" s="18"/>
      <c r="AZ1110" s="18"/>
      <c r="BA1110" s="18"/>
      <c r="BB1110" s="18"/>
      <c r="BC1110" s="18"/>
      <c r="BD1110" s="18"/>
      <c r="BE1110" s="18"/>
      <c r="BF1110" s="18"/>
      <c r="BG1110" s="18"/>
      <c r="BH1110" s="18"/>
      <c r="BI1110" s="18"/>
      <c r="BJ1110" s="18"/>
      <c r="BK1110" s="18"/>
      <c r="BL1110" s="18"/>
      <c r="BM1110" s="18"/>
      <c r="BN1110" s="18"/>
    </row>
    <row r="1111" spans="1:66">
      <c r="A1111" s="18"/>
      <c r="B1111" s="18"/>
      <c r="C1111" s="18"/>
      <c r="D1111" s="18"/>
      <c r="E1111" s="18"/>
      <c r="F1111" s="18"/>
      <c r="G1111" s="18"/>
      <c r="H1111" s="18"/>
      <c r="I1111" s="18"/>
      <c r="J1111" s="18"/>
      <c r="K1111" s="18"/>
      <c r="L1111" s="18"/>
      <c r="M1111" s="18"/>
      <c r="N1111" s="18"/>
      <c r="O1111" s="18"/>
      <c r="P1111" s="18"/>
      <c r="Q1111" s="18"/>
      <c r="R1111" s="18"/>
      <c r="S1111" s="18"/>
      <c r="T1111" s="18"/>
      <c r="U1111" s="18"/>
      <c r="V1111" s="18"/>
      <c r="W1111" s="18"/>
      <c r="X1111" s="18"/>
      <c r="Y1111" s="18"/>
      <c r="Z1111" s="18"/>
      <c r="AA1111" s="18"/>
      <c r="AB1111" s="18"/>
      <c r="AC1111" s="18"/>
      <c r="AD1111" s="18"/>
      <c r="AE1111" s="18"/>
      <c r="AF1111" s="18"/>
      <c r="AG1111" s="18"/>
      <c r="AH1111" s="18"/>
      <c r="AI1111" s="18"/>
      <c r="AJ1111" s="18"/>
      <c r="AK1111" s="18"/>
      <c r="AL1111" s="18"/>
      <c r="AM1111" s="18"/>
      <c r="AN1111" s="18"/>
      <c r="AO1111" s="18"/>
      <c r="AP1111" s="18"/>
      <c r="AQ1111" s="18"/>
      <c r="AR1111" s="18"/>
      <c r="AS1111" s="18"/>
      <c r="AT1111" s="18"/>
      <c r="AU1111" s="18"/>
      <c r="AV1111" s="18"/>
      <c r="AW1111" s="18"/>
      <c r="AX1111" s="18"/>
      <c r="AY1111" s="18"/>
      <c r="AZ1111" s="18"/>
      <c r="BA1111" s="18"/>
      <c r="BB1111" s="18"/>
      <c r="BC1111" s="18"/>
      <c r="BD1111" s="18"/>
      <c r="BE1111" s="18"/>
      <c r="BF1111" s="18"/>
      <c r="BG1111" s="18"/>
      <c r="BH1111" s="18"/>
      <c r="BI1111" s="18"/>
      <c r="BJ1111" s="18"/>
      <c r="BK1111" s="18"/>
      <c r="BL1111" s="18"/>
      <c r="BM1111" s="18"/>
      <c r="BN1111" s="18"/>
    </row>
    <row r="1112" spans="1:66">
      <c r="A1112" s="18"/>
      <c r="B1112" s="18"/>
      <c r="C1112" s="18"/>
      <c r="D1112" s="18"/>
      <c r="E1112" s="18"/>
      <c r="F1112" s="18"/>
      <c r="G1112" s="18"/>
      <c r="H1112" s="18"/>
      <c r="I1112" s="18"/>
      <c r="J1112" s="18"/>
      <c r="K1112" s="18"/>
      <c r="L1112" s="18"/>
      <c r="M1112" s="18"/>
      <c r="N1112" s="18"/>
      <c r="O1112" s="18"/>
      <c r="P1112" s="18"/>
      <c r="Q1112" s="18"/>
      <c r="R1112" s="18"/>
      <c r="S1112" s="18"/>
      <c r="T1112" s="18"/>
      <c r="U1112" s="18"/>
      <c r="V1112" s="18"/>
      <c r="W1112" s="18"/>
      <c r="X1112" s="18"/>
      <c r="Y1112" s="18"/>
      <c r="Z1112" s="18"/>
      <c r="AA1112" s="18"/>
      <c r="AB1112" s="18"/>
      <c r="AC1112" s="18"/>
      <c r="AD1112" s="18"/>
      <c r="AE1112" s="18"/>
      <c r="AF1112" s="18"/>
      <c r="AG1112" s="18"/>
      <c r="AH1112" s="18"/>
      <c r="AI1112" s="18"/>
      <c r="AJ1112" s="18"/>
      <c r="AK1112" s="18"/>
      <c r="AL1112" s="18"/>
      <c r="AM1112" s="18"/>
      <c r="AN1112" s="18"/>
      <c r="AO1112" s="18"/>
      <c r="AP1112" s="18"/>
      <c r="AQ1112" s="18"/>
      <c r="AR1112" s="18"/>
      <c r="AS1112" s="18"/>
      <c r="AT1112" s="18"/>
      <c r="AU1112" s="18"/>
      <c r="AV1112" s="18"/>
      <c r="AW1112" s="18"/>
      <c r="AX1112" s="18"/>
      <c r="AY1112" s="18"/>
      <c r="AZ1112" s="18"/>
      <c r="BA1112" s="18"/>
      <c r="BB1112" s="18"/>
      <c r="BC1112" s="18"/>
      <c r="BD1112" s="18"/>
      <c r="BE1112" s="18"/>
      <c r="BF1112" s="18"/>
      <c r="BG1112" s="18"/>
      <c r="BH1112" s="18"/>
      <c r="BI1112" s="18"/>
      <c r="BJ1112" s="18"/>
      <c r="BK1112" s="18"/>
      <c r="BL1112" s="18"/>
      <c r="BM1112" s="18"/>
      <c r="BN1112" s="18"/>
    </row>
    <row r="1113" spans="1:66">
      <c r="A1113" s="18"/>
      <c r="B1113" s="18"/>
      <c r="C1113" s="18"/>
      <c r="D1113" s="18"/>
      <c r="E1113" s="18"/>
      <c r="F1113" s="18"/>
      <c r="G1113" s="18"/>
      <c r="H1113" s="18"/>
      <c r="I1113" s="18"/>
      <c r="J1113" s="18"/>
      <c r="K1113" s="18"/>
      <c r="L1113" s="18"/>
      <c r="M1113" s="18"/>
      <c r="N1113" s="18"/>
      <c r="O1113" s="18"/>
      <c r="P1113" s="18"/>
      <c r="Q1113" s="18"/>
      <c r="R1113" s="18"/>
      <c r="S1113" s="18"/>
      <c r="T1113" s="18"/>
      <c r="U1113" s="18"/>
      <c r="V1113" s="18"/>
      <c r="W1113" s="18"/>
      <c r="X1113" s="18"/>
      <c r="Y1113" s="18"/>
      <c r="Z1113" s="18"/>
      <c r="AA1113" s="18"/>
      <c r="AB1113" s="18"/>
      <c r="AC1113" s="18"/>
      <c r="AD1113" s="18"/>
      <c r="AE1113" s="18"/>
      <c r="AF1113" s="18"/>
      <c r="AG1113" s="18"/>
      <c r="AH1113" s="18"/>
      <c r="AI1113" s="18"/>
      <c r="AJ1113" s="18"/>
      <c r="AK1113" s="18"/>
      <c r="AL1113" s="18"/>
      <c r="AM1113" s="18"/>
      <c r="AN1113" s="18"/>
      <c r="AO1113" s="18"/>
      <c r="AP1113" s="18"/>
      <c r="AQ1113" s="18"/>
      <c r="AR1113" s="18"/>
      <c r="AS1113" s="18"/>
      <c r="AT1113" s="18"/>
      <c r="AU1113" s="18"/>
      <c r="AV1113" s="18"/>
      <c r="AW1113" s="18"/>
      <c r="AX1113" s="18"/>
      <c r="AY1113" s="18"/>
      <c r="AZ1113" s="18"/>
      <c r="BA1113" s="18"/>
      <c r="BB1113" s="18"/>
      <c r="BC1113" s="18"/>
      <c r="BD1113" s="18"/>
      <c r="BE1113" s="18"/>
      <c r="BF1113" s="18"/>
      <c r="BG1113" s="18"/>
      <c r="BH1113" s="18"/>
      <c r="BI1113" s="18"/>
      <c r="BJ1113" s="18"/>
      <c r="BK1113" s="18"/>
      <c r="BL1113" s="18"/>
      <c r="BM1113" s="18"/>
      <c r="BN1113" s="18"/>
    </row>
    <row r="1114" spans="1:66">
      <c r="A1114" s="18"/>
      <c r="B1114" s="18"/>
      <c r="C1114" s="18"/>
      <c r="D1114" s="18"/>
      <c r="E1114" s="18"/>
      <c r="F1114" s="18"/>
      <c r="G1114" s="18"/>
      <c r="H1114" s="18"/>
      <c r="I1114" s="18"/>
      <c r="J1114" s="18"/>
      <c r="K1114" s="18"/>
      <c r="L1114" s="18"/>
      <c r="M1114" s="18"/>
      <c r="N1114" s="18"/>
      <c r="O1114" s="18"/>
      <c r="P1114" s="18"/>
      <c r="Q1114" s="18"/>
      <c r="R1114" s="18"/>
      <c r="S1114" s="18"/>
      <c r="T1114" s="18"/>
      <c r="U1114" s="18"/>
      <c r="V1114" s="18"/>
      <c r="W1114" s="18"/>
      <c r="X1114" s="18"/>
      <c r="Y1114" s="18"/>
      <c r="Z1114" s="18"/>
      <c r="AA1114" s="18"/>
      <c r="AB1114" s="18"/>
      <c r="AC1114" s="18"/>
      <c r="AD1114" s="18"/>
      <c r="AE1114" s="18"/>
      <c r="AF1114" s="18"/>
      <c r="AG1114" s="18"/>
      <c r="AH1114" s="18"/>
      <c r="AI1114" s="18"/>
      <c r="AJ1114" s="18"/>
      <c r="AK1114" s="18"/>
      <c r="AL1114" s="18"/>
      <c r="AM1114" s="18"/>
      <c r="AN1114" s="18"/>
      <c r="AO1114" s="18"/>
      <c r="AP1114" s="18"/>
      <c r="AQ1114" s="18"/>
      <c r="AR1114" s="18"/>
      <c r="AS1114" s="18"/>
      <c r="AT1114" s="18"/>
      <c r="AU1114" s="18"/>
      <c r="AV1114" s="18"/>
      <c r="AW1114" s="18"/>
      <c r="AX1114" s="18"/>
      <c r="AY1114" s="18"/>
      <c r="AZ1114" s="18"/>
      <c r="BA1114" s="18"/>
      <c r="BB1114" s="18"/>
      <c r="BC1114" s="18"/>
      <c r="BD1114" s="18"/>
      <c r="BE1114" s="18"/>
      <c r="BF1114" s="18"/>
      <c r="BG1114" s="18"/>
      <c r="BH1114" s="18"/>
      <c r="BI1114" s="18"/>
      <c r="BJ1114" s="18"/>
      <c r="BK1114" s="18"/>
      <c r="BL1114" s="18"/>
      <c r="BM1114" s="18"/>
      <c r="BN1114" s="18"/>
    </row>
    <row r="1115" spans="1:66">
      <c r="A1115" s="18"/>
      <c r="B1115" s="18"/>
      <c r="C1115" s="18"/>
      <c r="D1115" s="18"/>
      <c r="E1115" s="18"/>
      <c r="F1115" s="18"/>
      <c r="G1115" s="18"/>
      <c r="H1115" s="18"/>
      <c r="I1115" s="18"/>
      <c r="J1115" s="18"/>
      <c r="K1115" s="18"/>
      <c r="L1115" s="18"/>
      <c r="M1115" s="18"/>
      <c r="N1115" s="18"/>
      <c r="O1115" s="18"/>
      <c r="P1115" s="18"/>
      <c r="Q1115" s="18"/>
      <c r="R1115" s="18"/>
      <c r="S1115" s="18"/>
      <c r="T1115" s="18"/>
      <c r="U1115" s="18"/>
      <c r="V1115" s="18"/>
      <c r="W1115" s="18"/>
      <c r="X1115" s="18"/>
      <c r="Y1115" s="18"/>
      <c r="Z1115" s="18"/>
      <c r="AA1115" s="18"/>
      <c r="AB1115" s="18"/>
      <c r="AC1115" s="18"/>
      <c r="AD1115" s="18"/>
      <c r="AE1115" s="18"/>
      <c r="AF1115" s="18"/>
      <c r="AG1115" s="18"/>
      <c r="AH1115" s="18"/>
      <c r="AI1115" s="18"/>
      <c r="AJ1115" s="18"/>
      <c r="AK1115" s="18"/>
      <c r="AL1115" s="18"/>
      <c r="AM1115" s="18"/>
      <c r="AN1115" s="18"/>
      <c r="AO1115" s="18"/>
      <c r="AP1115" s="18"/>
      <c r="AQ1115" s="18"/>
      <c r="AR1115" s="18"/>
      <c r="AS1115" s="18"/>
      <c r="AT1115" s="18"/>
      <c r="AU1115" s="18"/>
      <c r="AV1115" s="18"/>
      <c r="AW1115" s="18"/>
      <c r="AX1115" s="18"/>
      <c r="AY1115" s="18"/>
      <c r="AZ1115" s="18"/>
      <c r="BA1115" s="18"/>
      <c r="BB1115" s="18"/>
      <c r="BC1115" s="18"/>
      <c r="BD1115" s="18"/>
      <c r="BE1115" s="18"/>
      <c r="BF1115" s="18"/>
      <c r="BG1115" s="18"/>
      <c r="BH1115" s="18"/>
      <c r="BI1115" s="18"/>
      <c r="BJ1115" s="18"/>
      <c r="BK1115" s="18"/>
      <c r="BL1115" s="18"/>
      <c r="BM1115" s="18"/>
      <c r="BN1115" s="18"/>
    </row>
    <row r="1116" spans="1:66">
      <c r="A1116" s="18"/>
      <c r="B1116" s="18"/>
      <c r="C1116" s="18"/>
      <c r="D1116" s="18"/>
      <c r="E1116" s="18"/>
      <c r="F1116" s="18"/>
      <c r="G1116" s="18"/>
      <c r="H1116" s="18"/>
      <c r="I1116" s="18"/>
      <c r="J1116" s="18"/>
      <c r="K1116" s="18"/>
      <c r="L1116" s="18"/>
      <c r="M1116" s="18"/>
      <c r="N1116" s="18"/>
      <c r="O1116" s="18"/>
      <c r="P1116" s="18"/>
      <c r="Q1116" s="18"/>
      <c r="R1116" s="18"/>
      <c r="S1116" s="18"/>
      <c r="T1116" s="18"/>
      <c r="U1116" s="18"/>
      <c r="V1116" s="18"/>
      <c r="W1116" s="18"/>
      <c r="X1116" s="18"/>
      <c r="Y1116" s="18"/>
      <c r="Z1116" s="18"/>
      <c r="AA1116" s="18"/>
      <c r="AB1116" s="18"/>
      <c r="AC1116" s="18"/>
      <c r="AD1116" s="18"/>
      <c r="AE1116" s="18"/>
      <c r="AF1116" s="18"/>
      <c r="AG1116" s="18"/>
      <c r="AH1116" s="18"/>
      <c r="AI1116" s="18"/>
      <c r="AJ1116" s="18"/>
      <c r="AK1116" s="18"/>
      <c r="AL1116" s="18"/>
      <c r="AM1116" s="18"/>
      <c r="AN1116" s="18"/>
      <c r="AO1116" s="18"/>
      <c r="AP1116" s="18"/>
      <c r="AQ1116" s="18"/>
      <c r="AR1116" s="18"/>
      <c r="AS1116" s="18"/>
      <c r="AT1116" s="18"/>
      <c r="AU1116" s="18"/>
      <c r="AV1116" s="18"/>
      <c r="AW1116" s="18"/>
      <c r="AX1116" s="18"/>
      <c r="AY1116" s="18"/>
      <c r="AZ1116" s="18"/>
      <c r="BA1116" s="18"/>
      <c r="BB1116" s="18"/>
      <c r="BC1116" s="18"/>
      <c r="BD1116" s="18"/>
      <c r="BE1116" s="18"/>
      <c r="BF1116" s="18"/>
      <c r="BG1116" s="18"/>
      <c r="BH1116" s="18"/>
      <c r="BI1116" s="18"/>
      <c r="BJ1116" s="18"/>
      <c r="BK1116" s="18"/>
      <c r="BL1116" s="18"/>
      <c r="BM1116" s="18"/>
      <c r="BN1116" s="18"/>
    </row>
    <row r="1117" spans="1:66">
      <c r="A1117" s="18"/>
      <c r="B1117" s="18"/>
      <c r="C1117" s="18"/>
      <c r="D1117" s="18"/>
      <c r="E1117" s="18"/>
      <c r="F1117" s="18"/>
      <c r="G1117" s="18"/>
      <c r="H1117" s="18"/>
      <c r="I1117" s="18"/>
      <c r="J1117" s="18"/>
      <c r="K1117" s="18"/>
      <c r="L1117" s="18"/>
      <c r="M1117" s="18"/>
      <c r="N1117" s="18"/>
      <c r="O1117" s="18"/>
      <c r="P1117" s="18"/>
      <c r="Q1117" s="18"/>
      <c r="R1117" s="18"/>
      <c r="S1117" s="18"/>
      <c r="T1117" s="18"/>
      <c r="U1117" s="18"/>
      <c r="V1117" s="18"/>
      <c r="W1117" s="18"/>
      <c r="X1117" s="18"/>
      <c r="Y1117" s="18"/>
      <c r="Z1117" s="18"/>
      <c r="AA1117" s="18"/>
      <c r="AB1117" s="18"/>
      <c r="AC1117" s="18"/>
      <c r="AD1117" s="18"/>
      <c r="AE1117" s="18"/>
      <c r="AF1117" s="18"/>
      <c r="AG1117" s="18"/>
      <c r="AH1117" s="18"/>
      <c r="AI1117" s="18"/>
      <c r="AJ1117" s="18"/>
      <c r="AK1117" s="18"/>
      <c r="AL1117" s="18"/>
      <c r="AM1117" s="18"/>
      <c r="AN1117" s="18"/>
      <c r="AO1117" s="18"/>
      <c r="AP1117" s="18"/>
      <c r="AQ1117" s="18"/>
      <c r="AR1117" s="18"/>
      <c r="AS1117" s="18"/>
      <c r="AT1117" s="18"/>
      <c r="AU1117" s="18"/>
      <c r="AV1117" s="18"/>
      <c r="AW1117" s="18"/>
      <c r="AX1117" s="18"/>
      <c r="AY1117" s="18"/>
      <c r="AZ1117" s="18"/>
      <c r="BA1117" s="18"/>
      <c r="BB1117" s="18"/>
      <c r="BC1117" s="18"/>
      <c r="BD1117" s="18"/>
      <c r="BE1117" s="18"/>
      <c r="BF1117" s="18"/>
      <c r="BG1117" s="18"/>
      <c r="BH1117" s="18"/>
      <c r="BI1117" s="18"/>
      <c r="BJ1117" s="18"/>
      <c r="BK1117" s="18"/>
      <c r="BL1117" s="18"/>
      <c r="BM1117" s="18"/>
      <c r="BN1117" s="18"/>
    </row>
    <row r="1118" spans="1:66">
      <c r="A1118" s="18"/>
      <c r="B1118" s="18"/>
      <c r="C1118" s="18"/>
      <c r="D1118" s="18"/>
      <c r="E1118" s="18"/>
      <c r="F1118" s="18"/>
      <c r="G1118" s="18"/>
      <c r="H1118" s="18"/>
      <c r="I1118" s="18"/>
      <c r="J1118" s="18"/>
      <c r="K1118" s="18"/>
      <c r="L1118" s="18"/>
      <c r="M1118" s="18"/>
      <c r="N1118" s="18"/>
      <c r="O1118" s="18"/>
      <c r="P1118" s="18"/>
      <c r="Q1118" s="18"/>
      <c r="R1118" s="18"/>
      <c r="S1118" s="18"/>
      <c r="T1118" s="18"/>
      <c r="U1118" s="18"/>
      <c r="V1118" s="18"/>
      <c r="W1118" s="18"/>
      <c r="X1118" s="18"/>
      <c r="Y1118" s="18"/>
      <c r="Z1118" s="18"/>
      <c r="AA1118" s="18"/>
      <c r="AB1118" s="18"/>
      <c r="AC1118" s="18"/>
      <c r="AD1118" s="18"/>
      <c r="AE1118" s="18"/>
      <c r="AF1118" s="18"/>
      <c r="AG1118" s="18"/>
      <c r="AH1118" s="18"/>
      <c r="AI1118" s="18"/>
      <c r="AJ1118" s="18"/>
      <c r="AK1118" s="18"/>
      <c r="AL1118" s="18"/>
      <c r="AM1118" s="18"/>
      <c r="AN1118" s="18"/>
      <c r="AO1118" s="18"/>
      <c r="AP1118" s="18"/>
      <c r="AQ1118" s="18"/>
      <c r="AR1118" s="18"/>
      <c r="AS1118" s="18"/>
      <c r="AT1118" s="18"/>
      <c r="AU1118" s="18"/>
      <c r="AV1118" s="18"/>
      <c r="AW1118" s="18"/>
      <c r="AX1118" s="18"/>
      <c r="AY1118" s="18"/>
      <c r="AZ1118" s="18"/>
      <c r="BA1118" s="18"/>
      <c r="BB1118" s="18"/>
      <c r="BC1118" s="18"/>
      <c r="BD1118" s="18"/>
      <c r="BE1118" s="18"/>
      <c r="BF1118" s="18"/>
      <c r="BG1118" s="18"/>
      <c r="BH1118" s="18"/>
      <c r="BI1118" s="18"/>
      <c r="BJ1118" s="18"/>
      <c r="BK1118" s="18"/>
      <c r="BL1118" s="18"/>
      <c r="BM1118" s="18"/>
      <c r="BN1118" s="18"/>
    </row>
    <row r="1119" spans="1:66">
      <c r="A1119" s="18"/>
      <c r="B1119" s="18"/>
      <c r="C1119" s="18"/>
      <c r="D1119" s="18"/>
      <c r="E1119" s="18"/>
      <c r="F1119" s="18"/>
      <c r="G1119" s="18"/>
      <c r="H1119" s="18"/>
      <c r="I1119" s="18"/>
      <c r="J1119" s="18"/>
      <c r="K1119" s="18"/>
      <c r="L1119" s="18"/>
      <c r="M1119" s="18"/>
      <c r="N1119" s="18"/>
      <c r="O1119" s="18"/>
      <c r="P1119" s="18"/>
      <c r="Q1119" s="18"/>
      <c r="R1119" s="18"/>
      <c r="S1119" s="18"/>
      <c r="T1119" s="18"/>
      <c r="U1119" s="18"/>
      <c r="V1119" s="18"/>
      <c r="W1119" s="18"/>
      <c r="X1119" s="18"/>
      <c r="Y1119" s="18"/>
      <c r="Z1119" s="18"/>
      <c r="AA1119" s="18"/>
      <c r="AB1119" s="18"/>
      <c r="AC1119" s="18"/>
      <c r="AD1119" s="18"/>
      <c r="AE1119" s="18"/>
      <c r="AF1119" s="18"/>
      <c r="AG1119" s="18"/>
      <c r="AH1119" s="18"/>
      <c r="AI1119" s="18"/>
      <c r="AJ1119" s="18"/>
      <c r="AK1119" s="18"/>
      <c r="AL1119" s="18"/>
      <c r="AM1119" s="18"/>
      <c r="AN1119" s="18"/>
      <c r="AO1119" s="18"/>
      <c r="AP1119" s="18"/>
      <c r="AQ1119" s="18"/>
      <c r="AR1119" s="18"/>
      <c r="AS1119" s="18"/>
      <c r="AT1119" s="18"/>
      <c r="AU1119" s="18"/>
      <c r="AV1119" s="18"/>
      <c r="AW1119" s="18"/>
      <c r="AX1119" s="18"/>
      <c r="AY1119" s="18"/>
      <c r="AZ1119" s="18"/>
      <c r="BA1119" s="18"/>
      <c r="BB1119" s="18"/>
      <c r="BC1119" s="18"/>
      <c r="BD1119" s="18"/>
      <c r="BE1119" s="18"/>
      <c r="BF1119" s="18"/>
      <c r="BG1119" s="18"/>
      <c r="BH1119" s="18"/>
      <c r="BI1119" s="18"/>
      <c r="BJ1119" s="18"/>
      <c r="BK1119" s="18"/>
      <c r="BL1119" s="18"/>
      <c r="BM1119" s="18"/>
      <c r="BN1119" s="18"/>
    </row>
    <row r="1120" spans="1:66">
      <c r="A1120" s="18"/>
      <c r="B1120" s="18"/>
      <c r="C1120" s="18"/>
      <c r="D1120" s="18"/>
      <c r="E1120" s="18"/>
      <c r="F1120" s="18"/>
      <c r="G1120" s="18"/>
      <c r="H1120" s="18"/>
      <c r="I1120" s="18"/>
      <c r="J1120" s="18"/>
      <c r="K1120" s="18"/>
      <c r="L1120" s="18"/>
      <c r="M1120" s="18"/>
      <c r="N1120" s="18"/>
      <c r="O1120" s="18"/>
      <c r="P1120" s="18"/>
      <c r="Q1120" s="18"/>
      <c r="R1120" s="18"/>
      <c r="S1120" s="18"/>
      <c r="T1120" s="18"/>
      <c r="U1120" s="18"/>
      <c r="V1120" s="18"/>
      <c r="W1120" s="18"/>
      <c r="X1120" s="18"/>
      <c r="Y1120" s="18"/>
      <c r="Z1120" s="18"/>
      <c r="AA1120" s="18"/>
      <c r="AB1120" s="18"/>
      <c r="AC1120" s="18"/>
      <c r="AD1120" s="18"/>
      <c r="AE1120" s="18"/>
      <c r="AF1120" s="18"/>
      <c r="AG1120" s="18"/>
      <c r="AH1120" s="18"/>
      <c r="AI1120" s="18"/>
      <c r="AJ1120" s="18"/>
      <c r="AK1120" s="18"/>
      <c r="AL1120" s="18"/>
      <c r="AM1120" s="18"/>
      <c r="AN1120" s="18"/>
      <c r="AO1120" s="18"/>
      <c r="AP1120" s="18"/>
      <c r="AQ1120" s="18"/>
      <c r="AR1120" s="18"/>
      <c r="AS1120" s="18"/>
      <c r="AT1120" s="18"/>
      <c r="AU1120" s="18"/>
      <c r="AV1120" s="18"/>
      <c r="AW1120" s="18"/>
      <c r="AX1120" s="18"/>
      <c r="AY1120" s="18"/>
      <c r="AZ1120" s="18"/>
      <c r="BA1120" s="18"/>
      <c r="BB1120" s="18"/>
      <c r="BC1120" s="18"/>
      <c r="BD1120" s="18"/>
      <c r="BE1120" s="18"/>
      <c r="BF1120" s="18"/>
      <c r="BG1120" s="18"/>
      <c r="BH1120" s="18"/>
      <c r="BI1120" s="18"/>
      <c r="BJ1120" s="18"/>
      <c r="BK1120" s="18"/>
      <c r="BL1120" s="18"/>
      <c r="BM1120" s="18"/>
      <c r="BN1120" s="18"/>
    </row>
    <row r="1121" spans="1:66">
      <c r="A1121" s="18"/>
      <c r="B1121" s="18"/>
      <c r="C1121" s="18"/>
      <c r="D1121" s="18"/>
      <c r="E1121" s="18"/>
      <c r="F1121" s="18"/>
      <c r="G1121" s="18"/>
      <c r="H1121" s="18"/>
      <c r="I1121" s="18"/>
      <c r="J1121" s="18"/>
      <c r="K1121" s="18"/>
      <c r="L1121" s="18"/>
      <c r="M1121" s="18"/>
      <c r="N1121" s="18"/>
      <c r="O1121" s="18"/>
      <c r="P1121" s="18"/>
      <c r="Q1121" s="18"/>
      <c r="R1121" s="18"/>
      <c r="S1121" s="18"/>
      <c r="T1121" s="18"/>
      <c r="U1121" s="18"/>
      <c r="V1121" s="18"/>
      <c r="W1121" s="18"/>
      <c r="X1121" s="18"/>
      <c r="Y1121" s="18"/>
      <c r="Z1121" s="18"/>
      <c r="AA1121" s="18"/>
      <c r="AB1121" s="18"/>
      <c r="AC1121" s="18"/>
      <c r="AD1121" s="18"/>
      <c r="AE1121" s="18"/>
      <c r="AF1121" s="18"/>
      <c r="AG1121" s="18"/>
      <c r="AH1121" s="18"/>
      <c r="AI1121" s="18"/>
      <c r="AJ1121" s="18"/>
      <c r="AK1121" s="18"/>
      <c r="AL1121" s="18"/>
      <c r="AM1121" s="18"/>
      <c r="AN1121" s="18"/>
      <c r="AO1121" s="18"/>
      <c r="AP1121" s="18"/>
      <c r="AQ1121" s="18"/>
      <c r="AR1121" s="18"/>
      <c r="AS1121" s="18"/>
      <c r="AT1121" s="18"/>
      <c r="AU1121" s="18"/>
      <c r="AV1121" s="18"/>
      <c r="AW1121" s="18"/>
      <c r="AX1121" s="18"/>
      <c r="AY1121" s="18"/>
      <c r="AZ1121" s="18"/>
      <c r="BA1121" s="18"/>
      <c r="BB1121" s="18"/>
      <c r="BC1121" s="18"/>
      <c r="BD1121" s="18"/>
      <c r="BE1121" s="18"/>
      <c r="BF1121" s="18"/>
      <c r="BG1121" s="18"/>
      <c r="BH1121" s="18"/>
      <c r="BI1121" s="18"/>
      <c r="BJ1121" s="18"/>
      <c r="BK1121" s="18"/>
      <c r="BL1121" s="18"/>
      <c r="BM1121" s="18"/>
      <c r="BN1121" s="18"/>
    </row>
    <row r="1122" spans="1:66">
      <c r="A1122" s="18"/>
      <c r="B1122" s="18"/>
      <c r="C1122" s="18"/>
      <c r="D1122" s="18"/>
      <c r="E1122" s="18"/>
      <c r="F1122" s="18"/>
      <c r="G1122" s="18"/>
      <c r="H1122" s="18"/>
      <c r="I1122" s="18"/>
      <c r="J1122" s="18"/>
      <c r="K1122" s="18"/>
      <c r="L1122" s="18"/>
      <c r="M1122" s="18"/>
      <c r="N1122" s="18"/>
      <c r="O1122" s="18"/>
      <c r="P1122" s="18"/>
      <c r="Q1122" s="18"/>
      <c r="R1122" s="18"/>
      <c r="S1122" s="18"/>
      <c r="T1122" s="18"/>
      <c r="U1122" s="18"/>
      <c r="V1122" s="18"/>
      <c r="W1122" s="18"/>
      <c r="X1122" s="18"/>
      <c r="Y1122" s="18"/>
      <c r="Z1122" s="18"/>
      <c r="AA1122" s="18"/>
      <c r="AB1122" s="18"/>
      <c r="AC1122" s="18"/>
      <c r="AD1122" s="18"/>
      <c r="AE1122" s="18"/>
      <c r="AF1122" s="18"/>
      <c r="AG1122" s="18"/>
      <c r="AH1122" s="18"/>
      <c r="AI1122" s="18"/>
      <c r="AJ1122" s="18"/>
      <c r="AK1122" s="18"/>
      <c r="AL1122" s="18"/>
      <c r="AM1122" s="18"/>
      <c r="AN1122" s="18"/>
      <c r="AO1122" s="18"/>
      <c r="AP1122" s="18"/>
      <c r="AQ1122" s="18"/>
      <c r="AR1122" s="18"/>
      <c r="AS1122" s="18"/>
      <c r="AT1122" s="18"/>
      <c r="AU1122" s="18"/>
      <c r="AV1122" s="18"/>
      <c r="AW1122" s="18"/>
      <c r="AX1122" s="18"/>
      <c r="AY1122" s="18"/>
      <c r="AZ1122" s="18"/>
      <c r="BA1122" s="18"/>
      <c r="BB1122" s="18"/>
      <c r="BC1122" s="18"/>
      <c r="BD1122" s="18"/>
      <c r="BE1122" s="18"/>
      <c r="BF1122" s="18"/>
      <c r="BG1122" s="18"/>
      <c r="BH1122" s="18"/>
      <c r="BI1122" s="18"/>
      <c r="BJ1122" s="18"/>
      <c r="BK1122" s="18"/>
      <c r="BL1122" s="18"/>
      <c r="BM1122" s="18"/>
      <c r="BN1122" s="18"/>
    </row>
    <row r="1123" spans="1:66">
      <c r="A1123" s="18"/>
      <c r="B1123" s="18"/>
      <c r="C1123" s="18"/>
      <c r="D1123" s="18"/>
      <c r="E1123" s="18"/>
      <c r="F1123" s="18"/>
      <c r="G1123" s="18"/>
      <c r="H1123" s="18"/>
      <c r="I1123" s="18"/>
      <c r="J1123" s="18"/>
      <c r="K1123" s="18"/>
      <c r="L1123" s="18"/>
      <c r="M1123" s="18"/>
      <c r="N1123" s="18"/>
      <c r="O1123" s="18"/>
      <c r="P1123" s="18"/>
      <c r="Q1123" s="18"/>
      <c r="R1123" s="18"/>
      <c r="S1123" s="18"/>
      <c r="T1123" s="18"/>
      <c r="U1123" s="18"/>
      <c r="V1123" s="18"/>
      <c r="W1123" s="18"/>
      <c r="X1123" s="18"/>
      <c r="Y1123" s="18"/>
      <c r="Z1123" s="18"/>
      <c r="AA1123" s="18"/>
      <c r="AB1123" s="18"/>
      <c r="AC1123" s="18"/>
      <c r="AD1123" s="18"/>
      <c r="AE1123" s="18"/>
      <c r="AF1123" s="18"/>
      <c r="AG1123" s="18"/>
      <c r="AH1123" s="18"/>
      <c r="AI1123" s="18"/>
      <c r="AJ1123" s="18"/>
      <c r="AK1123" s="18"/>
      <c r="AL1123" s="18"/>
      <c r="AM1123" s="18"/>
      <c r="AN1123" s="18"/>
      <c r="AO1123" s="18"/>
      <c r="AP1123" s="18"/>
      <c r="AQ1123" s="18"/>
      <c r="AR1123" s="18"/>
      <c r="AS1123" s="18"/>
      <c r="AT1123" s="18"/>
      <c r="AU1123" s="18"/>
      <c r="AV1123" s="18"/>
      <c r="AW1123" s="18"/>
      <c r="AX1123" s="18"/>
      <c r="AY1123" s="18"/>
      <c r="AZ1123" s="18"/>
      <c r="BA1123" s="18"/>
      <c r="BB1123" s="18"/>
      <c r="BC1123" s="18"/>
      <c r="BD1123" s="18"/>
      <c r="BE1123" s="18"/>
      <c r="BF1123" s="18"/>
      <c r="BG1123" s="18"/>
      <c r="BH1123" s="18"/>
      <c r="BI1123" s="18"/>
      <c r="BJ1123" s="18"/>
      <c r="BK1123" s="18"/>
      <c r="BL1123" s="18"/>
      <c r="BM1123" s="18"/>
      <c r="BN1123" s="18"/>
    </row>
    <row r="1124" spans="1:66">
      <c r="A1124" s="18"/>
      <c r="B1124" s="18"/>
      <c r="C1124" s="18"/>
      <c r="D1124" s="18"/>
      <c r="E1124" s="18"/>
      <c r="F1124" s="18"/>
      <c r="G1124" s="18"/>
      <c r="H1124" s="18"/>
      <c r="I1124" s="18"/>
      <c r="J1124" s="18"/>
      <c r="K1124" s="18"/>
      <c r="L1124" s="18"/>
      <c r="M1124" s="18"/>
      <c r="N1124" s="18"/>
      <c r="O1124" s="18"/>
      <c r="P1124" s="18"/>
      <c r="Q1124" s="18"/>
      <c r="R1124" s="18"/>
      <c r="S1124" s="18"/>
      <c r="T1124" s="18"/>
      <c r="U1124" s="18"/>
      <c r="V1124" s="18"/>
      <c r="W1124" s="18"/>
      <c r="X1124" s="18"/>
      <c r="Y1124" s="18"/>
      <c r="Z1124" s="18"/>
      <c r="AA1124" s="18"/>
      <c r="AB1124" s="18"/>
      <c r="AC1124" s="18"/>
      <c r="AD1124" s="18"/>
      <c r="AE1124" s="18"/>
      <c r="AF1124" s="18"/>
      <c r="AG1124" s="18"/>
      <c r="AH1124" s="18"/>
      <c r="AI1124" s="18"/>
      <c r="AJ1124" s="18"/>
      <c r="AK1124" s="18"/>
      <c r="AL1124" s="18"/>
      <c r="AM1124" s="18"/>
      <c r="AN1124" s="18"/>
      <c r="AO1124" s="18"/>
      <c r="AP1124" s="18"/>
      <c r="AQ1124" s="18"/>
      <c r="AR1124" s="18"/>
      <c r="AS1124" s="18"/>
      <c r="AT1124" s="18"/>
      <c r="AU1124" s="18"/>
      <c r="AV1124" s="18"/>
      <c r="AW1124" s="18"/>
      <c r="AX1124" s="18"/>
      <c r="AY1124" s="18"/>
      <c r="AZ1124" s="18"/>
      <c r="BA1124" s="18"/>
      <c r="BB1124" s="18"/>
      <c r="BC1124" s="18"/>
      <c r="BD1124" s="18"/>
      <c r="BE1124" s="18"/>
      <c r="BF1124" s="18"/>
      <c r="BG1124" s="18"/>
      <c r="BH1124" s="18"/>
      <c r="BI1124" s="18"/>
      <c r="BJ1124" s="18"/>
      <c r="BK1124" s="18"/>
      <c r="BL1124" s="18"/>
      <c r="BM1124" s="18"/>
      <c r="BN1124" s="18"/>
    </row>
    <row r="1125" spans="1:66">
      <c r="A1125" s="18"/>
      <c r="B1125" s="18"/>
      <c r="C1125" s="18"/>
      <c r="D1125" s="18"/>
      <c r="E1125" s="18"/>
      <c r="F1125" s="18"/>
      <c r="G1125" s="18"/>
      <c r="H1125" s="18"/>
      <c r="I1125" s="18"/>
      <c r="J1125" s="18"/>
      <c r="K1125" s="18"/>
      <c r="L1125" s="18"/>
      <c r="M1125" s="18"/>
      <c r="N1125" s="18"/>
      <c r="O1125" s="18"/>
      <c r="P1125" s="18"/>
      <c r="Q1125" s="18"/>
      <c r="R1125" s="18"/>
      <c r="S1125" s="18"/>
      <c r="T1125" s="18"/>
      <c r="U1125" s="18"/>
      <c r="V1125" s="18"/>
      <c r="W1125" s="18"/>
      <c r="X1125" s="18"/>
      <c r="Y1125" s="18"/>
      <c r="Z1125" s="18"/>
      <c r="AA1125" s="18"/>
      <c r="AB1125" s="18"/>
      <c r="AC1125" s="18"/>
      <c r="AD1125" s="18"/>
      <c r="AE1125" s="18"/>
      <c r="AF1125" s="18"/>
      <c r="AG1125" s="18"/>
      <c r="AH1125" s="18"/>
      <c r="AI1125" s="18"/>
      <c r="AJ1125" s="18"/>
      <c r="AK1125" s="18"/>
      <c r="AL1125" s="18"/>
      <c r="AM1125" s="18"/>
      <c r="AN1125" s="18"/>
      <c r="AO1125" s="18"/>
      <c r="AP1125" s="18"/>
      <c r="AQ1125" s="18"/>
      <c r="AR1125" s="18"/>
      <c r="AS1125" s="18"/>
      <c r="AT1125" s="18"/>
      <c r="AU1125" s="18"/>
      <c r="AV1125" s="18"/>
      <c r="AW1125" s="18"/>
      <c r="AX1125" s="18"/>
      <c r="AY1125" s="18"/>
      <c r="AZ1125" s="18"/>
      <c r="BA1125" s="18"/>
      <c r="BB1125" s="18"/>
      <c r="BC1125" s="18"/>
      <c r="BD1125" s="18"/>
      <c r="BE1125" s="18"/>
      <c r="BF1125" s="18"/>
      <c r="BG1125" s="18"/>
      <c r="BH1125" s="18"/>
      <c r="BI1125" s="18"/>
      <c r="BJ1125" s="18"/>
      <c r="BK1125" s="18"/>
      <c r="BL1125" s="18"/>
      <c r="BM1125" s="18"/>
      <c r="BN1125" s="18"/>
    </row>
    <row r="1126" spans="1:66">
      <c r="A1126" s="18"/>
      <c r="B1126" s="18"/>
      <c r="C1126" s="18"/>
      <c r="D1126" s="18"/>
      <c r="E1126" s="18"/>
      <c r="F1126" s="18"/>
      <c r="G1126" s="18"/>
      <c r="H1126" s="18"/>
      <c r="I1126" s="18"/>
      <c r="J1126" s="18"/>
      <c r="K1126" s="18"/>
      <c r="L1126" s="18"/>
      <c r="M1126" s="18"/>
      <c r="N1126" s="18"/>
      <c r="O1126" s="18"/>
      <c r="P1126" s="18"/>
      <c r="Q1126" s="18"/>
      <c r="R1126" s="18"/>
      <c r="S1126" s="18"/>
      <c r="T1126" s="18"/>
      <c r="U1126" s="18"/>
      <c r="V1126" s="18"/>
      <c r="W1126" s="18"/>
      <c r="X1126" s="18"/>
      <c r="Y1126" s="18"/>
      <c r="Z1126" s="18"/>
      <c r="AA1126" s="18"/>
      <c r="AB1126" s="18"/>
      <c r="AC1126" s="18"/>
      <c r="AD1126" s="18"/>
      <c r="AE1126" s="18"/>
      <c r="AF1126" s="18"/>
      <c r="AG1126" s="18"/>
      <c r="AH1126" s="18"/>
      <c r="AI1126" s="18"/>
      <c r="AJ1126" s="18"/>
      <c r="AK1126" s="18"/>
      <c r="AL1126" s="18"/>
      <c r="AM1126" s="18"/>
      <c r="AN1126" s="18"/>
      <c r="AO1126" s="18"/>
      <c r="AP1126" s="18"/>
      <c r="AQ1126" s="18"/>
      <c r="AR1126" s="18"/>
      <c r="AS1126" s="18"/>
      <c r="AT1126" s="18"/>
      <c r="AU1126" s="18"/>
      <c r="AV1126" s="18"/>
      <c r="AW1126" s="18"/>
      <c r="AX1126" s="18"/>
      <c r="AY1126" s="18"/>
      <c r="AZ1126" s="18"/>
      <c r="BA1126" s="18"/>
      <c r="BB1126" s="18"/>
      <c r="BC1126" s="18"/>
      <c r="BD1126" s="18"/>
      <c r="BE1126" s="18"/>
      <c r="BF1126" s="18"/>
      <c r="BG1126" s="18"/>
      <c r="BH1126" s="18"/>
      <c r="BI1126" s="18"/>
      <c r="BJ1126" s="18"/>
      <c r="BK1126" s="18"/>
      <c r="BL1126" s="18"/>
      <c r="BM1126" s="18"/>
      <c r="BN1126" s="18"/>
    </row>
    <row r="1127" spans="1:66">
      <c r="A1127" s="18"/>
      <c r="B1127" s="18"/>
      <c r="C1127" s="18"/>
      <c r="D1127" s="18"/>
      <c r="E1127" s="18"/>
      <c r="F1127" s="18"/>
      <c r="G1127" s="18"/>
      <c r="H1127" s="18"/>
      <c r="I1127" s="18"/>
      <c r="J1127" s="18"/>
      <c r="K1127" s="18"/>
      <c r="L1127" s="18"/>
      <c r="M1127" s="18"/>
      <c r="N1127" s="18"/>
      <c r="O1127" s="18"/>
      <c r="P1127" s="18"/>
      <c r="Q1127" s="18"/>
      <c r="R1127" s="18"/>
      <c r="S1127" s="18"/>
      <c r="T1127" s="18"/>
      <c r="U1127" s="18"/>
      <c r="V1127" s="18"/>
      <c r="W1127" s="18"/>
      <c r="X1127" s="18"/>
      <c r="Y1127" s="18"/>
      <c r="Z1127" s="18"/>
      <c r="AA1127" s="18"/>
      <c r="AB1127" s="18"/>
      <c r="AC1127" s="18"/>
      <c r="AD1127" s="18"/>
      <c r="AE1127" s="18"/>
      <c r="AF1127" s="18"/>
      <c r="AG1127" s="18"/>
      <c r="AH1127" s="18"/>
      <c r="AI1127" s="18"/>
      <c r="AJ1127" s="18"/>
      <c r="AK1127" s="18"/>
      <c r="AL1127" s="18"/>
      <c r="AM1127" s="18"/>
      <c r="AN1127" s="18"/>
      <c r="AO1127" s="18"/>
      <c r="AP1127" s="18"/>
      <c r="AQ1127" s="18"/>
      <c r="AR1127" s="18"/>
      <c r="AS1127" s="18"/>
      <c r="AT1127" s="18"/>
      <c r="AU1127" s="18"/>
      <c r="AV1127" s="18"/>
      <c r="AW1127" s="18"/>
      <c r="AX1127" s="18"/>
      <c r="AY1127" s="18"/>
      <c r="AZ1127" s="18"/>
      <c r="BA1127" s="18"/>
      <c r="BB1127" s="18"/>
      <c r="BC1127" s="18"/>
      <c r="BD1127" s="18"/>
      <c r="BE1127" s="18"/>
      <c r="BF1127" s="18"/>
      <c r="BG1127" s="18"/>
      <c r="BH1127" s="18"/>
      <c r="BI1127" s="18"/>
      <c r="BJ1127" s="18"/>
      <c r="BK1127" s="18"/>
      <c r="BL1127" s="18"/>
      <c r="BM1127" s="18"/>
      <c r="BN1127" s="18"/>
    </row>
    <row r="1128" spans="1:66">
      <c r="A1128" s="18"/>
      <c r="B1128" s="18"/>
      <c r="C1128" s="18"/>
      <c r="D1128" s="18"/>
      <c r="E1128" s="18"/>
      <c r="F1128" s="18"/>
      <c r="G1128" s="18"/>
      <c r="H1128" s="18"/>
      <c r="I1128" s="18"/>
      <c r="J1128" s="18"/>
      <c r="K1128" s="18"/>
      <c r="L1128" s="18"/>
      <c r="M1128" s="18"/>
      <c r="N1128" s="18"/>
      <c r="O1128" s="18"/>
      <c r="P1128" s="18"/>
      <c r="Q1128" s="18"/>
      <c r="R1128" s="18"/>
      <c r="S1128" s="18"/>
      <c r="T1128" s="18"/>
      <c r="U1128" s="18"/>
      <c r="V1128" s="18"/>
      <c r="W1128" s="18"/>
      <c r="X1128" s="18"/>
      <c r="Y1128" s="18"/>
      <c r="Z1128" s="18"/>
      <c r="AA1128" s="18"/>
      <c r="AB1128" s="18"/>
      <c r="AC1128" s="18"/>
      <c r="AD1128" s="18"/>
      <c r="AE1128" s="18"/>
      <c r="AF1128" s="18"/>
      <c r="AG1128" s="18"/>
      <c r="AH1128" s="18"/>
      <c r="AI1128" s="18"/>
      <c r="AJ1128" s="18"/>
      <c r="AK1128" s="18"/>
      <c r="AL1128" s="18"/>
      <c r="AM1128" s="18"/>
      <c r="AN1128" s="18"/>
      <c r="AO1128" s="18"/>
      <c r="AP1128" s="18"/>
      <c r="AQ1128" s="18"/>
      <c r="AR1128" s="18"/>
      <c r="AS1128" s="18"/>
      <c r="AT1128" s="18"/>
      <c r="AU1128" s="18"/>
      <c r="AV1128" s="18"/>
      <c r="AW1128" s="18"/>
      <c r="AX1128" s="18"/>
      <c r="AY1128" s="18"/>
      <c r="AZ1128" s="18"/>
      <c r="BA1128" s="18"/>
      <c r="BB1128" s="18"/>
      <c r="BC1128" s="18"/>
      <c r="BD1128" s="18"/>
      <c r="BE1128" s="18"/>
      <c r="BF1128" s="18"/>
      <c r="BG1128" s="18"/>
      <c r="BH1128" s="18"/>
      <c r="BI1128" s="18"/>
      <c r="BJ1128" s="18"/>
      <c r="BK1128" s="18"/>
      <c r="BL1128" s="18"/>
      <c r="BM1128" s="18"/>
      <c r="BN1128" s="18"/>
    </row>
    <row r="1129" spans="1:66">
      <c r="A1129" s="18"/>
      <c r="B1129" s="18"/>
      <c r="C1129" s="18"/>
      <c r="D1129" s="18"/>
      <c r="E1129" s="18"/>
      <c r="F1129" s="18"/>
      <c r="G1129" s="18"/>
      <c r="H1129" s="18"/>
      <c r="I1129" s="18"/>
      <c r="J1129" s="18"/>
      <c r="K1129" s="18"/>
      <c r="L1129" s="18"/>
      <c r="M1129" s="18"/>
      <c r="N1129" s="18"/>
      <c r="O1129" s="18"/>
      <c r="P1129" s="18"/>
      <c r="Q1129" s="18"/>
      <c r="R1129" s="18"/>
      <c r="S1129" s="18"/>
      <c r="T1129" s="18"/>
      <c r="U1129" s="18"/>
      <c r="V1129" s="18"/>
      <c r="W1129" s="18"/>
      <c r="X1129" s="18"/>
      <c r="Y1129" s="18"/>
      <c r="Z1129" s="18"/>
      <c r="AA1129" s="18"/>
      <c r="AB1129" s="18"/>
      <c r="AC1129" s="18"/>
      <c r="AD1129" s="18"/>
      <c r="AE1129" s="18"/>
      <c r="AF1129" s="18"/>
      <c r="AG1129" s="18"/>
      <c r="AH1129" s="18"/>
      <c r="AI1129" s="18"/>
      <c r="AJ1129" s="18"/>
      <c r="AK1129" s="18"/>
      <c r="AL1129" s="18"/>
      <c r="AM1129" s="18"/>
      <c r="AN1129" s="18"/>
      <c r="AO1129" s="18"/>
      <c r="AP1129" s="18"/>
      <c r="AQ1129" s="18"/>
      <c r="AR1129" s="18"/>
      <c r="AS1129" s="18"/>
      <c r="AT1129" s="18"/>
      <c r="AU1129" s="18"/>
      <c r="AV1129" s="18"/>
      <c r="AW1129" s="18"/>
      <c r="AX1129" s="18"/>
      <c r="AY1129" s="18"/>
      <c r="AZ1129" s="18"/>
      <c r="BA1129" s="18"/>
      <c r="BB1129" s="18"/>
      <c r="BC1129" s="18"/>
      <c r="BD1129" s="18"/>
      <c r="BE1129" s="18"/>
      <c r="BF1129" s="18"/>
      <c r="BG1129" s="18"/>
      <c r="BH1129" s="18"/>
      <c r="BI1129" s="18"/>
      <c r="BJ1129" s="18"/>
      <c r="BK1129" s="18"/>
      <c r="BL1129" s="18"/>
      <c r="BM1129" s="18"/>
      <c r="BN1129" s="18"/>
    </row>
    <row r="1130" spans="1:66">
      <c r="A1130" s="18"/>
      <c r="B1130" s="18"/>
      <c r="C1130" s="18"/>
      <c r="D1130" s="18"/>
      <c r="E1130" s="18"/>
      <c r="F1130" s="18"/>
      <c r="G1130" s="18"/>
      <c r="H1130" s="18"/>
      <c r="I1130" s="18"/>
      <c r="J1130" s="18"/>
      <c r="K1130" s="18"/>
      <c r="L1130" s="18"/>
      <c r="M1130" s="18"/>
      <c r="N1130" s="18"/>
      <c r="O1130" s="18"/>
      <c r="P1130" s="18"/>
      <c r="Q1130" s="18"/>
      <c r="R1130" s="18"/>
      <c r="S1130" s="18"/>
      <c r="T1130" s="18"/>
      <c r="U1130" s="18"/>
      <c r="V1130" s="18"/>
      <c r="W1130" s="18"/>
      <c r="X1130" s="18"/>
      <c r="Y1130" s="18"/>
      <c r="Z1130" s="18"/>
      <c r="AA1130" s="18"/>
      <c r="AB1130" s="18"/>
      <c r="AC1130" s="18"/>
      <c r="AD1130" s="18"/>
      <c r="AE1130" s="18"/>
      <c r="AF1130" s="18"/>
      <c r="AG1130" s="18"/>
      <c r="AH1130" s="18"/>
      <c r="AI1130" s="18"/>
      <c r="AJ1130" s="18"/>
      <c r="AK1130" s="18"/>
      <c r="AL1130" s="18"/>
      <c r="AM1130" s="18"/>
      <c r="AN1130" s="18"/>
      <c r="AO1130" s="18"/>
      <c r="AP1130" s="18"/>
      <c r="AQ1130" s="18"/>
      <c r="AR1130" s="18"/>
      <c r="AS1130" s="18"/>
      <c r="AT1130" s="18"/>
      <c r="AU1130" s="18"/>
      <c r="AV1130" s="18"/>
      <c r="AW1130" s="18"/>
      <c r="AX1130" s="18"/>
      <c r="AY1130" s="18"/>
      <c r="AZ1130" s="18"/>
      <c r="BA1130" s="18"/>
      <c r="BB1130" s="18"/>
      <c r="BC1130" s="18"/>
      <c r="BD1130" s="18"/>
      <c r="BE1130" s="18"/>
      <c r="BF1130" s="18"/>
      <c r="BG1130" s="18"/>
      <c r="BH1130" s="18"/>
      <c r="BI1130" s="18"/>
      <c r="BJ1130" s="18"/>
      <c r="BK1130" s="18"/>
      <c r="BL1130" s="18"/>
      <c r="BM1130" s="18"/>
      <c r="BN1130" s="18"/>
    </row>
    <row r="1131" spans="1:66">
      <c r="A1131" s="18"/>
      <c r="B1131" s="18"/>
      <c r="C1131" s="18"/>
      <c r="D1131" s="18"/>
      <c r="E1131" s="18"/>
      <c r="F1131" s="18"/>
      <c r="G1131" s="18"/>
      <c r="H1131" s="18"/>
      <c r="I1131" s="18"/>
      <c r="J1131" s="18"/>
      <c r="K1131" s="18"/>
      <c r="L1131" s="18"/>
      <c r="M1131" s="18"/>
      <c r="N1131" s="18"/>
      <c r="O1131" s="18"/>
      <c r="P1131" s="18"/>
      <c r="Q1131" s="18"/>
      <c r="R1131" s="18"/>
      <c r="S1131" s="18"/>
      <c r="T1131" s="18"/>
      <c r="U1131" s="18"/>
      <c r="V1131" s="18"/>
      <c r="W1131" s="18"/>
      <c r="X1131" s="18"/>
      <c r="Y1131" s="18"/>
      <c r="Z1131" s="18"/>
      <c r="AA1131" s="18"/>
      <c r="AB1131" s="18"/>
      <c r="AC1131" s="18"/>
      <c r="AD1131" s="18"/>
      <c r="AE1131" s="18"/>
      <c r="AF1131" s="18"/>
      <c r="AG1131" s="18"/>
      <c r="AH1131" s="18"/>
      <c r="AI1131" s="18"/>
      <c r="AJ1131" s="18"/>
      <c r="AK1131" s="18"/>
      <c r="AL1131" s="18"/>
      <c r="AM1131" s="18"/>
      <c r="AN1131" s="18"/>
      <c r="AO1131" s="18"/>
      <c r="AP1131" s="18"/>
      <c r="AQ1131" s="18"/>
      <c r="AR1131" s="18"/>
      <c r="AS1131" s="18"/>
      <c r="AT1131" s="18"/>
      <c r="AU1131" s="18"/>
      <c r="AV1131" s="18"/>
      <c r="AW1131" s="18"/>
      <c r="AX1131" s="18"/>
      <c r="AY1131" s="18"/>
      <c r="AZ1131" s="18"/>
      <c r="BA1131" s="18"/>
      <c r="BB1131" s="18"/>
      <c r="BC1131" s="18"/>
      <c r="BD1131" s="18"/>
      <c r="BE1131" s="18"/>
      <c r="BF1131" s="18"/>
      <c r="BG1131" s="18"/>
      <c r="BH1131" s="18"/>
      <c r="BI1131" s="18"/>
      <c r="BJ1131" s="18"/>
      <c r="BK1131" s="18"/>
      <c r="BL1131" s="18"/>
      <c r="BM1131" s="18"/>
      <c r="BN1131" s="18"/>
    </row>
    <row r="1132" spans="1:66">
      <c r="A1132" s="18"/>
      <c r="B1132" s="18"/>
      <c r="C1132" s="18"/>
      <c r="D1132" s="18"/>
      <c r="E1132" s="18"/>
      <c r="F1132" s="18"/>
      <c r="G1132" s="18"/>
      <c r="H1132" s="18"/>
      <c r="I1132" s="18"/>
      <c r="J1132" s="18"/>
      <c r="K1132" s="18"/>
      <c r="L1132" s="18"/>
      <c r="M1132" s="18"/>
      <c r="N1132" s="18"/>
      <c r="O1132" s="18"/>
      <c r="P1132" s="18"/>
      <c r="Q1132" s="18"/>
      <c r="R1132" s="18"/>
      <c r="S1132" s="18"/>
      <c r="T1132" s="18"/>
      <c r="U1132" s="18"/>
      <c r="V1132" s="18"/>
      <c r="W1132" s="18"/>
      <c r="X1132" s="18"/>
      <c r="Y1132" s="18"/>
      <c r="Z1132" s="18"/>
      <c r="AA1132" s="18"/>
      <c r="AB1132" s="18"/>
      <c r="AC1132" s="18"/>
      <c r="AD1132" s="18"/>
      <c r="AE1132" s="18"/>
      <c r="AF1132" s="18"/>
      <c r="AG1132" s="18"/>
      <c r="AH1132" s="18"/>
      <c r="AI1132" s="18"/>
      <c r="AJ1132" s="18"/>
      <c r="AK1132" s="18"/>
      <c r="AL1132" s="18"/>
      <c r="AM1132" s="18"/>
      <c r="AN1132" s="18"/>
      <c r="AO1132" s="18"/>
      <c r="AP1132" s="18"/>
      <c r="AQ1132" s="18"/>
      <c r="AR1132" s="18"/>
      <c r="AS1132" s="18"/>
      <c r="AT1132" s="18"/>
      <c r="AU1132" s="18"/>
      <c r="AV1132" s="18"/>
      <c r="AW1132" s="18"/>
      <c r="AX1132" s="18"/>
      <c r="AY1132" s="18"/>
      <c r="AZ1132" s="18"/>
      <c r="BA1132" s="18"/>
      <c r="BB1132" s="18"/>
      <c r="BC1132" s="18"/>
      <c r="BD1132" s="18"/>
      <c r="BE1132" s="18"/>
      <c r="BF1132" s="18"/>
      <c r="BG1132" s="18"/>
      <c r="BH1132" s="18"/>
      <c r="BI1132" s="18"/>
      <c r="BJ1132" s="18"/>
      <c r="BK1132" s="18"/>
      <c r="BL1132" s="18"/>
      <c r="BM1132" s="18"/>
      <c r="BN1132" s="18"/>
    </row>
    <row r="1133" spans="1:66">
      <c r="A1133" s="18"/>
      <c r="B1133" s="18"/>
      <c r="C1133" s="18"/>
      <c r="D1133" s="18"/>
      <c r="E1133" s="18"/>
      <c r="F1133" s="18"/>
      <c r="G1133" s="18"/>
      <c r="H1133" s="18"/>
      <c r="I1133" s="18"/>
      <c r="J1133" s="18"/>
      <c r="K1133" s="18"/>
      <c r="L1133" s="18"/>
      <c r="M1133" s="18"/>
      <c r="N1133" s="18"/>
      <c r="O1133" s="18"/>
      <c r="P1133" s="18"/>
      <c r="Q1133" s="18"/>
      <c r="R1133" s="18"/>
      <c r="S1133" s="18"/>
      <c r="T1133" s="18"/>
      <c r="U1133" s="18"/>
      <c r="V1133" s="18"/>
      <c r="W1133" s="18"/>
      <c r="X1133" s="18"/>
      <c r="Y1133" s="18"/>
      <c r="Z1133" s="18"/>
      <c r="AA1133" s="18"/>
      <c r="AB1133" s="18"/>
      <c r="AC1133" s="18"/>
      <c r="AD1133" s="18"/>
      <c r="AE1133" s="18"/>
      <c r="AF1133" s="18"/>
      <c r="AG1133" s="18"/>
      <c r="AH1133" s="18"/>
      <c r="AI1133" s="18"/>
      <c r="AJ1133" s="18"/>
      <c r="AK1133" s="18"/>
      <c r="AL1133" s="18"/>
      <c r="AM1133" s="18"/>
      <c r="AN1133" s="18"/>
      <c r="AO1133" s="18"/>
      <c r="AP1133" s="18"/>
      <c r="AQ1133" s="18"/>
      <c r="AR1133" s="18"/>
      <c r="AS1133" s="18"/>
      <c r="AT1133" s="18"/>
      <c r="AU1133" s="18"/>
      <c r="AV1133" s="18"/>
      <c r="AW1133" s="18"/>
      <c r="AX1133" s="18"/>
      <c r="AY1133" s="18"/>
      <c r="AZ1133" s="18"/>
      <c r="BA1133" s="18"/>
      <c r="BB1133" s="18"/>
      <c r="BC1133" s="18"/>
      <c r="BD1133" s="18"/>
      <c r="BE1133" s="18"/>
      <c r="BF1133" s="18"/>
      <c r="BG1133" s="18"/>
      <c r="BH1133" s="18"/>
      <c r="BI1133" s="18"/>
      <c r="BJ1133" s="18"/>
      <c r="BK1133" s="18"/>
      <c r="BL1133" s="18"/>
      <c r="BM1133" s="18"/>
      <c r="BN1133" s="18"/>
    </row>
    <row r="1134" spans="1:66">
      <c r="A1134" s="18"/>
      <c r="B1134" s="18"/>
      <c r="C1134" s="18"/>
      <c r="D1134" s="18"/>
      <c r="E1134" s="18"/>
      <c r="F1134" s="18"/>
      <c r="G1134" s="18"/>
      <c r="H1134" s="18"/>
      <c r="I1134" s="18"/>
      <c r="J1134" s="18"/>
      <c r="K1134" s="18"/>
      <c r="L1134" s="18"/>
      <c r="M1134" s="18"/>
      <c r="N1134" s="18"/>
      <c r="O1134" s="18"/>
      <c r="P1134" s="18"/>
      <c r="Q1134" s="18"/>
      <c r="R1134" s="18"/>
      <c r="S1134" s="18"/>
      <c r="T1134" s="18"/>
      <c r="U1134" s="18"/>
      <c r="V1134" s="18"/>
      <c r="W1134" s="18"/>
      <c r="X1134" s="18"/>
      <c r="Y1134" s="18"/>
      <c r="Z1134" s="18"/>
      <c r="AA1134" s="18"/>
      <c r="AB1134" s="18"/>
      <c r="AC1134" s="18"/>
      <c r="AD1134" s="18"/>
      <c r="AE1134" s="18"/>
      <c r="AF1134" s="18"/>
      <c r="AG1134" s="18"/>
      <c r="AH1134" s="18"/>
      <c r="AI1134" s="18"/>
      <c r="AJ1134" s="18"/>
      <c r="AK1134" s="18"/>
      <c r="AL1134" s="18"/>
      <c r="AM1134" s="18"/>
      <c r="AN1134" s="18"/>
      <c r="AO1134" s="18"/>
      <c r="AP1134" s="18"/>
      <c r="AQ1134" s="18"/>
      <c r="AR1134" s="18"/>
      <c r="AS1134" s="18"/>
      <c r="AT1134" s="18"/>
      <c r="AU1134" s="18"/>
      <c r="AV1134" s="18"/>
      <c r="AW1134" s="18"/>
      <c r="AX1134" s="18"/>
      <c r="AY1134" s="18"/>
      <c r="AZ1134" s="18"/>
      <c r="BA1134" s="18"/>
      <c r="BB1134" s="18"/>
      <c r="BC1134" s="18"/>
      <c r="BD1134" s="18"/>
      <c r="BE1134" s="18"/>
      <c r="BF1134" s="18"/>
      <c r="BG1134" s="18"/>
      <c r="BH1134" s="18"/>
      <c r="BI1134" s="18"/>
      <c r="BJ1134" s="18"/>
      <c r="BK1134" s="18"/>
      <c r="BL1134" s="18"/>
      <c r="BM1134" s="18"/>
      <c r="BN1134" s="18"/>
    </row>
    <row r="1135" spans="1:66">
      <c r="A1135" s="18"/>
      <c r="B1135" s="18"/>
      <c r="C1135" s="18"/>
      <c r="D1135" s="18"/>
      <c r="E1135" s="18"/>
      <c r="F1135" s="18"/>
      <c r="G1135" s="18"/>
      <c r="H1135" s="18"/>
      <c r="I1135" s="18"/>
      <c r="J1135" s="18"/>
      <c r="K1135" s="18"/>
      <c r="L1135" s="18"/>
      <c r="M1135" s="18"/>
      <c r="N1135" s="18"/>
      <c r="O1135" s="18"/>
      <c r="P1135" s="18"/>
      <c r="Q1135" s="18"/>
      <c r="R1135" s="18"/>
      <c r="S1135" s="18"/>
      <c r="T1135" s="18"/>
      <c r="U1135" s="18"/>
      <c r="V1135" s="18"/>
      <c r="W1135" s="18"/>
      <c r="X1135" s="18"/>
      <c r="Y1135" s="18"/>
      <c r="Z1135" s="18"/>
      <c r="AA1135" s="18"/>
      <c r="AB1135" s="18"/>
      <c r="AC1135" s="18"/>
      <c r="AD1135" s="18"/>
      <c r="AE1135" s="18"/>
      <c r="AF1135" s="18"/>
      <c r="AG1135" s="18"/>
      <c r="AH1135" s="18"/>
      <c r="AI1135" s="18"/>
      <c r="AJ1135" s="18"/>
      <c r="AK1135" s="18"/>
      <c r="AL1135" s="18"/>
      <c r="AM1135" s="18"/>
      <c r="AN1135" s="18"/>
      <c r="AO1135" s="18"/>
      <c r="AP1135" s="18"/>
      <c r="AQ1135" s="18"/>
      <c r="AR1135" s="18"/>
      <c r="AS1135" s="18"/>
      <c r="AT1135" s="18"/>
      <c r="AU1135" s="18"/>
      <c r="AV1135" s="18"/>
      <c r="AW1135" s="18"/>
      <c r="AX1135" s="18"/>
      <c r="AY1135" s="18"/>
      <c r="AZ1135" s="18"/>
      <c r="BA1135" s="18"/>
      <c r="BB1135" s="18"/>
      <c r="BC1135" s="18"/>
      <c r="BD1135" s="18"/>
      <c r="BE1135" s="18"/>
      <c r="BF1135" s="18"/>
      <c r="BG1135" s="18"/>
      <c r="BH1135" s="18"/>
      <c r="BI1135" s="18"/>
      <c r="BJ1135" s="18"/>
      <c r="BK1135" s="18"/>
      <c r="BL1135" s="18"/>
      <c r="BM1135" s="18"/>
      <c r="BN1135" s="18"/>
    </row>
    <row r="1136" spans="1:66">
      <c r="A1136" s="18"/>
      <c r="B1136" s="18"/>
      <c r="C1136" s="18"/>
      <c r="D1136" s="18"/>
      <c r="E1136" s="18"/>
      <c r="F1136" s="18"/>
      <c r="G1136" s="18"/>
      <c r="H1136" s="18"/>
      <c r="I1136" s="18"/>
      <c r="J1136" s="18"/>
      <c r="K1136" s="18"/>
      <c r="L1136" s="18"/>
      <c r="M1136" s="18"/>
      <c r="N1136" s="18"/>
      <c r="O1136" s="18"/>
      <c r="P1136" s="18"/>
      <c r="Q1136" s="18"/>
      <c r="R1136" s="18"/>
      <c r="S1136" s="18"/>
      <c r="T1136" s="18"/>
      <c r="U1136" s="18"/>
      <c r="V1136" s="18"/>
      <c r="W1136" s="18"/>
      <c r="X1136" s="18"/>
      <c r="Y1136" s="18"/>
      <c r="Z1136" s="18"/>
      <c r="AA1136" s="18"/>
      <c r="AB1136" s="18"/>
      <c r="AC1136" s="18"/>
      <c r="AD1136" s="18"/>
      <c r="AE1136" s="18"/>
      <c r="AF1136" s="18"/>
      <c r="AG1136" s="18"/>
      <c r="AH1136" s="18"/>
      <c r="AI1136" s="18"/>
      <c r="AJ1136" s="18"/>
      <c r="AK1136" s="18"/>
      <c r="AL1136" s="18"/>
      <c r="AM1136" s="18"/>
      <c r="AN1136" s="18"/>
      <c r="AO1136" s="18"/>
      <c r="AP1136" s="18"/>
      <c r="AQ1136" s="18"/>
      <c r="AR1136" s="18"/>
      <c r="AS1136" s="18"/>
      <c r="AT1136" s="18"/>
      <c r="AU1136" s="18"/>
      <c r="AV1136" s="18"/>
      <c r="AW1136" s="18"/>
      <c r="AX1136" s="18"/>
      <c r="AY1136" s="18"/>
      <c r="AZ1136" s="18"/>
      <c r="BA1136" s="18"/>
      <c r="BB1136" s="18"/>
      <c r="BC1136" s="18"/>
      <c r="BD1136" s="18"/>
      <c r="BE1136" s="18"/>
      <c r="BF1136" s="18"/>
      <c r="BG1136" s="18"/>
      <c r="BH1136" s="18"/>
      <c r="BI1136" s="18"/>
      <c r="BJ1136" s="18"/>
      <c r="BK1136" s="18"/>
      <c r="BL1136" s="18"/>
      <c r="BM1136" s="18"/>
      <c r="BN1136" s="18"/>
    </row>
    <row r="1137" spans="1:66">
      <c r="A1137" s="18"/>
      <c r="B1137" s="18"/>
      <c r="C1137" s="18"/>
      <c r="D1137" s="18"/>
      <c r="E1137" s="18"/>
      <c r="F1137" s="18"/>
      <c r="G1137" s="18"/>
      <c r="H1137" s="18"/>
      <c r="I1137" s="18"/>
      <c r="J1137" s="18"/>
      <c r="K1137" s="18"/>
      <c r="L1137" s="18"/>
      <c r="M1137" s="18"/>
      <c r="N1137" s="18"/>
      <c r="O1137" s="18"/>
      <c r="P1137" s="18"/>
      <c r="Q1137" s="18"/>
      <c r="R1137" s="18"/>
      <c r="S1137" s="18"/>
      <c r="T1137" s="18"/>
      <c r="U1137" s="18"/>
      <c r="V1137" s="18"/>
      <c r="W1137" s="18"/>
      <c r="X1137" s="18"/>
      <c r="Y1137" s="18"/>
      <c r="Z1137" s="18"/>
      <c r="AA1137" s="18"/>
      <c r="AB1137" s="18"/>
      <c r="AC1137" s="18"/>
      <c r="AD1137" s="18"/>
      <c r="AE1137" s="18"/>
      <c r="AF1137" s="18"/>
      <c r="AG1137" s="18"/>
      <c r="AH1137" s="18"/>
      <c r="AI1137" s="18"/>
      <c r="AJ1137" s="18"/>
      <c r="AK1137" s="18"/>
      <c r="AL1137" s="18"/>
      <c r="AM1137" s="18"/>
      <c r="AN1137" s="18"/>
      <c r="AO1137" s="18"/>
      <c r="AP1137" s="18"/>
      <c r="AQ1137" s="18"/>
      <c r="AR1137" s="18"/>
      <c r="AS1137" s="18"/>
      <c r="AT1137" s="18"/>
      <c r="AU1137" s="18"/>
      <c r="AV1137" s="18"/>
      <c r="AW1137" s="18"/>
      <c r="AX1137" s="18"/>
      <c r="AY1137" s="18"/>
      <c r="AZ1137" s="18"/>
      <c r="BA1137" s="18"/>
      <c r="BB1137" s="18"/>
      <c r="BC1137" s="18"/>
      <c r="BD1137" s="18"/>
      <c r="BE1137" s="18"/>
      <c r="BF1137" s="18"/>
      <c r="BG1137" s="18"/>
      <c r="BH1137" s="18"/>
      <c r="BI1137" s="18"/>
      <c r="BJ1137" s="18"/>
      <c r="BK1137" s="18"/>
      <c r="BL1137" s="18"/>
      <c r="BM1137" s="18"/>
      <c r="BN1137" s="18"/>
    </row>
    <row r="1138" spans="1:66">
      <c r="A1138" s="18"/>
      <c r="B1138" s="18"/>
      <c r="C1138" s="18"/>
      <c r="D1138" s="18"/>
      <c r="E1138" s="18"/>
      <c r="F1138" s="18"/>
      <c r="G1138" s="18"/>
      <c r="H1138" s="18"/>
      <c r="I1138" s="18"/>
      <c r="J1138" s="18"/>
      <c r="K1138" s="18"/>
      <c r="L1138" s="18"/>
      <c r="M1138" s="18"/>
      <c r="N1138" s="18"/>
      <c r="O1138" s="18"/>
      <c r="P1138" s="18"/>
      <c r="Q1138" s="18"/>
      <c r="R1138" s="18"/>
      <c r="S1138" s="18"/>
      <c r="T1138" s="18"/>
      <c r="U1138" s="18"/>
      <c r="V1138" s="18"/>
      <c r="W1138" s="18"/>
      <c r="X1138" s="18"/>
      <c r="Y1138" s="18"/>
      <c r="Z1138" s="18"/>
      <c r="AA1138" s="18"/>
      <c r="AB1138" s="18"/>
      <c r="AC1138" s="18"/>
      <c r="AD1138" s="18"/>
      <c r="AE1138" s="18"/>
      <c r="AF1138" s="18"/>
      <c r="AG1138" s="18"/>
      <c r="AH1138" s="18"/>
      <c r="AI1138" s="18"/>
      <c r="AJ1138" s="18"/>
      <c r="AK1138" s="18"/>
      <c r="AL1138" s="18"/>
      <c r="AM1138" s="18"/>
      <c r="AN1138" s="18"/>
      <c r="AO1138" s="18"/>
      <c r="AP1138" s="18"/>
      <c r="AQ1138" s="18"/>
      <c r="AR1138" s="18"/>
      <c r="AS1138" s="18"/>
      <c r="AT1138" s="18"/>
      <c r="AU1138" s="18"/>
      <c r="AV1138" s="18"/>
      <c r="AW1138" s="18"/>
      <c r="AX1138" s="18"/>
      <c r="AY1138" s="18"/>
      <c r="AZ1138" s="18"/>
      <c r="BA1138" s="18"/>
      <c r="BB1138" s="18"/>
      <c r="BC1138" s="18"/>
      <c r="BD1138" s="18"/>
      <c r="BE1138" s="18"/>
      <c r="BF1138" s="18"/>
      <c r="BG1138" s="18"/>
      <c r="BH1138" s="18"/>
      <c r="BI1138" s="18"/>
      <c r="BJ1138" s="18"/>
      <c r="BK1138" s="18"/>
      <c r="BL1138" s="18"/>
      <c r="BM1138" s="18"/>
      <c r="BN1138" s="18"/>
    </row>
    <row r="1139" spans="1:66">
      <c r="A1139" s="18"/>
      <c r="B1139" s="18"/>
      <c r="C1139" s="18"/>
      <c r="D1139" s="18"/>
      <c r="E1139" s="18"/>
      <c r="F1139" s="18"/>
      <c r="G1139" s="18"/>
      <c r="H1139" s="18"/>
      <c r="I1139" s="18"/>
      <c r="J1139" s="18"/>
      <c r="K1139" s="18"/>
      <c r="L1139" s="18"/>
      <c r="M1139" s="18"/>
      <c r="N1139" s="18"/>
      <c r="O1139" s="18"/>
      <c r="P1139" s="18"/>
      <c r="Q1139" s="18"/>
      <c r="R1139" s="18"/>
      <c r="S1139" s="18"/>
      <c r="T1139" s="18"/>
      <c r="U1139" s="18"/>
      <c r="V1139" s="18"/>
      <c r="W1139" s="18"/>
      <c r="X1139" s="18"/>
      <c r="Y1139" s="18"/>
      <c r="Z1139" s="18"/>
      <c r="AA1139" s="18"/>
      <c r="AB1139" s="18"/>
      <c r="AC1139" s="18"/>
      <c r="AD1139" s="18"/>
      <c r="AE1139" s="18"/>
      <c r="AF1139" s="18"/>
      <c r="AG1139" s="18"/>
      <c r="AH1139" s="18"/>
      <c r="AI1139" s="18"/>
      <c r="AJ1139" s="18"/>
      <c r="AK1139" s="18"/>
      <c r="AL1139" s="18"/>
      <c r="AM1139" s="18"/>
      <c r="AN1139" s="18"/>
      <c r="AO1139" s="18"/>
      <c r="AP1139" s="18"/>
      <c r="AQ1139" s="18"/>
      <c r="AR1139" s="18"/>
      <c r="AS1139" s="18"/>
      <c r="AT1139" s="18"/>
      <c r="AU1139" s="18"/>
      <c r="AV1139" s="18"/>
      <c r="AW1139" s="18"/>
      <c r="AX1139" s="18"/>
      <c r="AY1139" s="18"/>
      <c r="AZ1139" s="18"/>
      <c r="BA1139" s="18"/>
      <c r="BB1139" s="18"/>
      <c r="BC1139" s="18"/>
      <c r="BD1139" s="18"/>
      <c r="BE1139" s="18"/>
      <c r="BF1139" s="18"/>
      <c r="BG1139" s="18"/>
      <c r="BH1139" s="18"/>
      <c r="BI1139" s="18"/>
      <c r="BJ1139" s="18"/>
      <c r="BK1139" s="18"/>
      <c r="BL1139" s="18"/>
      <c r="BM1139" s="18"/>
      <c r="BN1139" s="18"/>
    </row>
    <row r="1140" spans="1:66">
      <c r="A1140" s="18"/>
      <c r="B1140" s="18"/>
      <c r="C1140" s="18"/>
      <c r="D1140" s="18"/>
      <c r="E1140" s="18"/>
      <c r="F1140" s="18"/>
      <c r="G1140" s="18"/>
      <c r="H1140" s="18"/>
      <c r="I1140" s="18"/>
      <c r="J1140" s="18"/>
      <c r="K1140" s="18"/>
      <c r="L1140" s="18"/>
      <c r="M1140" s="18"/>
      <c r="N1140" s="18"/>
      <c r="O1140" s="18"/>
      <c r="P1140" s="18"/>
      <c r="Q1140" s="18"/>
      <c r="R1140" s="18"/>
      <c r="S1140" s="18"/>
      <c r="T1140" s="18"/>
      <c r="U1140" s="18"/>
      <c r="V1140" s="18"/>
      <c r="W1140" s="18"/>
      <c r="X1140" s="18"/>
      <c r="Y1140" s="18"/>
      <c r="Z1140" s="18"/>
      <c r="AA1140" s="18"/>
      <c r="AB1140" s="18"/>
      <c r="AC1140" s="18"/>
      <c r="AD1140" s="18"/>
      <c r="AE1140" s="18"/>
      <c r="AF1140" s="18"/>
      <c r="AG1140" s="18"/>
      <c r="AH1140" s="18"/>
      <c r="AI1140" s="18"/>
      <c r="AJ1140" s="18"/>
      <c r="AK1140" s="18"/>
      <c r="AL1140" s="18"/>
      <c r="AM1140" s="18"/>
      <c r="AN1140" s="18"/>
      <c r="AO1140" s="18"/>
      <c r="AP1140" s="18"/>
      <c r="AQ1140" s="18"/>
      <c r="AR1140" s="18"/>
      <c r="AS1140" s="18"/>
      <c r="AT1140" s="18"/>
      <c r="AU1140" s="18"/>
      <c r="AV1140" s="18"/>
      <c r="AW1140" s="18"/>
      <c r="AX1140" s="18"/>
      <c r="AY1140" s="18"/>
      <c r="AZ1140" s="18"/>
      <c r="BA1140" s="18"/>
      <c r="BB1140" s="18"/>
      <c r="BC1140" s="18"/>
      <c r="BD1140" s="18"/>
      <c r="BE1140" s="18"/>
      <c r="BF1140" s="18"/>
      <c r="BG1140" s="18"/>
      <c r="BH1140" s="18"/>
      <c r="BI1140" s="18"/>
      <c r="BJ1140" s="18"/>
      <c r="BK1140" s="18"/>
      <c r="BL1140" s="18"/>
      <c r="BM1140" s="18"/>
      <c r="BN1140" s="18"/>
    </row>
    <row r="1141" spans="1:66">
      <c r="A1141" s="18"/>
      <c r="B1141" s="18"/>
      <c r="C1141" s="18"/>
      <c r="D1141" s="18"/>
      <c r="E1141" s="18"/>
      <c r="F1141" s="18"/>
      <c r="G1141" s="18"/>
      <c r="H1141" s="18"/>
      <c r="I1141" s="18"/>
      <c r="J1141" s="18"/>
      <c r="K1141" s="18"/>
      <c r="L1141" s="18"/>
      <c r="M1141" s="18"/>
      <c r="N1141" s="18"/>
      <c r="O1141" s="18"/>
      <c r="P1141" s="18"/>
      <c r="Q1141" s="18"/>
      <c r="R1141" s="18"/>
      <c r="S1141" s="18"/>
      <c r="T1141" s="18"/>
      <c r="U1141" s="18"/>
      <c r="V1141" s="18"/>
      <c r="W1141" s="18"/>
      <c r="X1141" s="18"/>
      <c r="Y1141" s="18"/>
      <c r="Z1141" s="18"/>
      <c r="AA1141" s="18"/>
      <c r="AB1141" s="18"/>
      <c r="AC1141" s="18"/>
      <c r="AD1141" s="18"/>
      <c r="AE1141" s="18"/>
      <c r="AF1141" s="18"/>
      <c r="AG1141" s="18"/>
      <c r="AH1141" s="18"/>
      <c r="AI1141" s="18"/>
      <c r="AJ1141" s="18"/>
      <c r="AK1141" s="18"/>
      <c r="AL1141" s="18"/>
      <c r="AM1141" s="18"/>
      <c r="AN1141" s="18"/>
      <c r="AO1141" s="18"/>
      <c r="AP1141" s="18"/>
      <c r="AQ1141" s="18"/>
      <c r="AR1141" s="18"/>
      <c r="AS1141" s="18"/>
      <c r="AT1141" s="18"/>
      <c r="AU1141" s="18"/>
      <c r="AV1141" s="18"/>
      <c r="AW1141" s="18"/>
      <c r="AX1141" s="18"/>
      <c r="AY1141" s="18"/>
      <c r="AZ1141" s="18"/>
      <c r="BA1141" s="18"/>
      <c r="BB1141" s="18"/>
      <c r="BC1141" s="18"/>
      <c r="BD1141" s="18"/>
      <c r="BE1141" s="18"/>
      <c r="BF1141" s="18"/>
      <c r="BG1141" s="18"/>
      <c r="BH1141" s="18"/>
      <c r="BI1141" s="18"/>
      <c r="BJ1141" s="18"/>
      <c r="BK1141" s="18"/>
      <c r="BL1141" s="18"/>
      <c r="BM1141" s="18"/>
      <c r="BN1141" s="18"/>
    </row>
    <row r="1142" spans="1:66">
      <c r="A1142" s="18"/>
      <c r="B1142" s="18"/>
      <c r="C1142" s="18"/>
      <c r="D1142" s="18"/>
      <c r="E1142" s="18"/>
      <c r="F1142" s="18"/>
      <c r="G1142" s="18"/>
      <c r="H1142" s="18"/>
      <c r="I1142" s="18"/>
      <c r="J1142" s="18"/>
      <c r="K1142" s="18"/>
      <c r="L1142" s="18"/>
      <c r="M1142" s="18"/>
      <c r="N1142" s="18"/>
      <c r="O1142" s="18"/>
      <c r="P1142" s="18"/>
      <c r="Q1142" s="18"/>
      <c r="R1142" s="18"/>
      <c r="S1142" s="18"/>
      <c r="T1142" s="18"/>
      <c r="U1142" s="18"/>
      <c r="V1142" s="18"/>
      <c r="W1142" s="18"/>
      <c r="X1142" s="18"/>
      <c r="Y1142" s="18"/>
      <c r="Z1142" s="18"/>
      <c r="AA1142" s="18"/>
      <c r="AB1142" s="18"/>
      <c r="AC1142" s="18"/>
      <c r="AD1142" s="18"/>
      <c r="AE1142" s="18"/>
      <c r="AF1142" s="18"/>
      <c r="AG1142" s="18"/>
      <c r="AH1142" s="18"/>
      <c r="AI1142" s="18"/>
      <c r="AJ1142" s="18"/>
      <c r="AK1142" s="18"/>
      <c r="AL1142" s="18"/>
      <c r="AM1142" s="18"/>
      <c r="AN1142" s="18"/>
      <c r="AO1142" s="18"/>
      <c r="AP1142" s="18"/>
      <c r="AQ1142" s="18"/>
      <c r="AR1142" s="18"/>
      <c r="AS1142" s="18"/>
      <c r="AT1142" s="18"/>
      <c r="AU1142" s="18"/>
      <c r="AV1142" s="18"/>
      <c r="AW1142" s="18"/>
      <c r="AX1142" s="18"/>
      <c r="AY1142" s="18"/>
      <c r="AZ1142" s="18"/>
      <c r="BA1142" s="18"/>
      <c r="BB1142" s="18"/>
      <c r="BC1142" s="18"/>
      <c r="BD1142" s="18"/>
      <c r="BE1142" s="18"/>
      <c r="BF1142" s="18"/>
      <c r="BG1142" s="18"/>
      <c r="BH1142" s="18"/>
      <c r="BI1142" s="18"/>
      <c r="BJ1142" s="18"/>
      <c r="BK1142" s="18"/>
      <c r="BL1142" s="18"/>
      <c r="BM1142" s="18"/>
      <c r="BN1142" s="18"/>
    </row>
    <row r="1143" spans="1:66">
      <c r="A1143" s="18"/>
      <c r="B1143" s="18"/>
      <c r="C1143" s="18"/>
      <c r="D1143" s="18"/>
      <c r="E1143" s="18"/>
      <c r="F1143" s="18"/>
      <c r="G1143" s="18"/>
      <c r="H1143" s="18"/>
      <c r="I1143" s="18"/>
      <c r="J1143" s="18"/>
      <c r="K1143" s="18"/>
      <c r="L1143" s="18"/>
      <c r="M1143" s="18"/>
      <c r="N1143" s="18"/>
      <c r="O1143" s="18"/>
      <c r="P1143" s="18"/>
      <c r="Q1143" s="18"/>
      <c r="R1143" s="18"/>
      <c r="S1143" s="18"/>
      <c r="T1143" s="18"/>
      <c r="U1143" s="18"/>
      <c r="V1143" s="18"/>
      <c r="W1143" s="18"/>
      <c r="X1143" s="18"/>
      <c r="Y1143" s="18"/>
      <c r="Z1143" s="18"/>
      <c r="AA1143" s="18"/>
      <c r="AB1143" s="18"/>
      <c r="AC1143" s="18"/>
      <c r="AD1143" s="18"/>
      <c r="AE1143" s="18"/>
      <c r="AF1143" s="18"/>
      <c r="AG1143" s="18"/>
      <c r="AH1143" s="18"/>
      <c r="AI1143" s="18"/>
      <c r="AJ1143" s="18"/>
      <c r="AK1143" s="18"/>
      <c r="AL1143" s="18"/>
      <c r="AM1143" s="18"/>
      <c r="AN1143" s="18"/>
      <c r="AO1143" s="18"/>
      <c r="AP1143" s="18"/>
      <c r="AQ1143" s="18"/>
      <c r="AR1143" s="18"/>
      <c r="AS1143" s="18"/>
      <c r="AT1143" s="18"/>
      <c r="AU1143" s="18"/>
      <c r="AV1143" s="18"/>
      <c r="AW1143" s="18"/>
      <c r="AX1143" s="18"/>
      <c r="AY1143" s="18"/>
      <c r="AZ1143" s="18"/>
      <c r="BA1143" s="18"/>
      <c r="BB1143" s="18"/>
      <c r="BC1143" s="18"/>
      <c r="BD1143" s="18"/>
      <c r="BE1143" s="18"/>
      <c r="BF1143" s="18"/>
      <c r="BG1143" s="18"/>
      <c r="BH1143" s="18"/>
      <c r="BI1143" s="18"/>
      <c r="BJ1143" s="18"/>
      <c r="BK1143" s="18"/>
      <c r="BL1143" s="18"/>
      <c r="BM1143" s="18"/>
      <c r="BN1143" s="18"/>
    </row>
    <row r="1144" spans="1:66">
      <c r="A1144" s="18"/>
      <c r="B1144" s="18"/>
      <c r="C1144" s="18"/>
      <c r="D1144" s="18"/>
      <c r="E1144" s="18"/>
      <c r="F1144" s="18"/>
      <c r="G1144" s="18"/>
      <c r="H1144" s="18"/>
      <c r="I1144" s="18"/>
      <c r="J1144" s="18"/>
      <c r="K1144" s="18"/>
      <c r="L1144" s="18"/>
      <c r="M1144" s="18"/>
      <c r="N1144" s="18"/>
      <c r="O1144" s="18"/>
      <c r="P1144" s="18"/>
      <c r="Q1144" s="18"/>
      <c r="R1144" s="18"/>
      <c r="S1144" s="18"/>
      <c r="T1144" s="18"/>
      <c r="U1144" s="18"/>
      <c r="V1144" s="18"/>
      <c r="W1144" s="18"/>
      <c r="X1144" s="18"/>
      <c r="Y1144" s="18"/>
      <c r="Z1144" s="18"/>
      <c r="AA1144" s="18"/>
      <c r="AB1144" s="18"/>
      <c r="AC1144" s="18"/>
      <c r="AD1144" s="18"/>
      <c r="AE1144" s="18"/>
      <c r="AF1144" s="18"/>
      <c r="AG1144" s="18"/>
      <c r="AH1144" s="18"/>
      <c r="AI1144" s="18"/>
      <c r="AJ1144" s="18"/>
      <c r="AK1144" s="18"/>
      <c r="AL1144" s="18"/>
      <c r="AM1144" s="18"/>
      <c r="AN1144" s="18"/>
      <c r="AO1144" s="18"/>
      <c r="AP1144" s="18"/>
      <c r="AQ1144" s="18"/>
      <c r="AR1144" s="18"/>
      <c r="AS1144" s="18"/>
      <c r="AT1144" s="18"/>
      <c r="AU1144" s="18"/>
      <c r="AV1144" s="18"/>
      <c r="AW1144" s="18"/>
      <c r="AX1144" s="18"/>
      <c r="AY1144" s="18"/>
      <c r="AZ1144" s="18"/>
      <c r="BA1144" s="18"/>
      <c r="BB1144" s="18"/>
      <c r="BC1144" s="18"/>
      <c r="BD1144" s="18"/>
      <c r="BE1144" s="18"/>
      <c r="BF1144" s="18"/>
      <c r="BG1144" s="18"/>
      <c r="BH1144" s="18"/>
      <c r="BI1144" s="18"/>
      <c r="BJ1144" s="18"/>
      <c r="BK1144" s="18"/>
      <c r="BL1144" s="18"/>
      <c r="BM1144" s="18"/>
      <c r="BN1144" s="18"/>
    </row>
    <row r="1145" spans="1:66">
      <c r="A1145" s="18"/>
      <c r="B1145" s="18"/>
      <c r="C1145" s="18"/>
      <c r="D1145" s="18"/>
      <c r="E1145" s="18"/>
      <c r="F1145" s="18"/>
      <c r="G1145" s="18"/>
      <c r="H1145" s="18"/>
      <c r="I1145" s="18"/>
      <c r="J1145" s="18"/>
      <c r="K1145" s="18"/>
      <c r="L1145" s="18"/>
      <c r="M1145" s="18"/>
      <c r="N1145" s="18"/>
      <c r="O1145" s="18"/>
      <c r="P1145" s="18"/>
      <c r="Q1145" s="18"/>
      <c r="R1145" s="18"/>
      <c r="S1145" s="18"/>
      <c r="T1145" s="18"/>
      <c r="U1145" s="18"/>
      <c r="V1145" s="18"/>
      <c r="W1145" s="18"/>
      <c r="X1145" s="18"/>
      <c r="Y1145" s="18"/>
      <c r="Z1145" s="18"/>
      <c r="AA1145" s="18"/>
      <c r="AB1145" s="18"/>
      <c r="AC1145" s="18"/>
      <c r="AD1145" s="18"/>
      <c r="AE1145" s="18"/>
      <c r="AF1145" s="18"/>
      <c r="AG1145" s="18"/>
      <c r="AH1145" s="18"/>
      <c r="AI1145" s="18"/>
      <c r="AJ1145" s="18"/>
      <c r="AK1145" s="18"/>
      <c r="AL1145" s="18"/>
      <c r="AM1145" s="18"/>
      <c r="AN1145" s="18"/>
      <c r="AO1145" s="18"/>
      <c r="AP1145" s="18"/>
      <c r="AQ1145" s="18"/>
      <c r="AR1145" s="18"/>
      <c r="AS1145" s="18"/>
      <c r="AT1145" s="18"/>
      <c r="AU1145" s="18"/>
      <c r="AV1145" s="18"/>
      <c r="AW1145" s="18"/>
      <c r="AX1145" s="18"/>
      <c r="AY1145" s="18"/>
      <c r="AZ1145" s="18"/>
      <c r="BA1145" s="18"/>
      <c r="BB1145" s="18"/>
      <c r="BC1145" s="18"/>
      <c r="BD1145" s="18"/>
      <c r="BE1145" s="18"/>
      <c r="BF1145" s="18"/>
      <c r="BG1145" s="18"/>
      <c r="BH1145" s="18"/>
      <c r="BI1145" s="18"/>
      <c r="BJ1145" s="18"/>
      <c r="BK1145" s="18"/>
      <c r="BL1145" s="18"/>
      <c r="BM1145" s="18"/>
      <c r="BN1145" s="18"/>
    </row>
    <row r="1146" spans="1:66">
      <c r="A1146" s="18"/>
      <c r="B1146" s="18"/>
      <c r="C1146" s="18"/>
      <c r="D1146" s="18"/>
      <c r="E1146" s="18"/>
      <c r="F1146" s="18"/>
      <c r="G1146" s="18"/>
      <c r="H1146" s="18"/>
      <c r="I1146" s="18"/>
      <c r="J1146" s="18"/>
      <c r="K1146" s="18"/>
      <c r="L1146" s="18"/>
      <c r="M1146" s="18"/>
      <c r="N1146" s="18"/>
      <c r="O1146" s="18"/>
      <c r="P1146" s="18"/>
      <c r="Q1146" s="18"/>
      <c r="R1146" s="18"/>
      <c r="S1146" s="18"/>
      <c r="T1146" s="18"/>
      <c r="U1146" s="18"/>
      <c r="V1146" s="18"/>
      <c r="W1146" s="18"/>
      <c r="X1146" s="18"/>
      <c r="Y1146" s="18"/>
      <c r="Z1146" s="18"/>
      <c r="AA1146" s="18"/>
      <c r="AB1146" s="18"/>
      <c r="AC1146" s="18"/>
      <c r="AD1146" s="18"/>
      <c r="AE1146" s="18"/>
      <c r="AF1146" s="18"/>
      <c r="AG1146" s="18"/>
      <c r="AH1146" s="18"/>
      <c r="AI1146" s="18"/>
      <c r="AJ1146" s="18"/>
      <c r="AK1146" s="18"/>
      <c r="AL1146" s="18"/>
      <c r="AM1146" s="18"/>
      <c r="AN1146" s="18"/>
      <c r="AO1146" s="18"/>
      <c r="AP1146" s="18"/>
      <c r="AQ1146" s="18"/>
      <c r="AR1146" s="18"/>
      <c r="AS1146" s="18"/>
      <c r="AT1146" s="18"/>
      <c r="AU1146" s="18"/>
      <c r="AV1146" s="18"/>
      <c r="AW1146" s="18"/>
      <c r="AX1146" s="18"/>
      <c r="AY1146" s="18"/>
      <c r="AZ1146" s="18"/>
      <c r="BA1146" s="18"/>
      <c r="BB1146" s="18"/>
      <c r="BC1146" s="18"/>
      <c r="BD1146" s="18"/>
      <c r="BE1146" s="18"/>
      <c r="BF1146" s="18"/>
      <c r="BG1146" s="18"/>
      <c r="BH1146" s="18"/>
      <c r="BI1146" s="18"/>
      <c r="BJ1146" s="18"/>
      <c r="BK1146" s="18"/>
      <c r="BL1146" s="18"/>
      <c r="BM1146" s="18"/>
      <c r="BN1146" s="18"/>
    </row>
    <row r="1147" spans="1:66">
      <c r="A1147" s="18"/>
      <c r="B1147" s="18"/>
      <c r="C1147" s="18"/>
      <c r="D1147" s="18"/>
      <c r="E1147" s="18"/>
      <c r="F1147" s="18"/>
      <c r="G1147" s="18"/>
      <c r="H1147" s="18"/>
      <c r="I1147" s="18"/>
      <c r="J1147" s="18"/>
      <c r="K1147" s="18"/>
      <c r="L1147" s="18"/>
      <c r="M1147" s="18"/>
      <c r="N1147" s="18"/>
      <c r="O1147" s="18"/>
      <c r="P1147" s="18"/>
      <c r="Q1147" s="18"/>
      <c r="R1147" s="18"/>
      <c r="S1147" s="18"/>
      <c r="T1147" s="18"/>
      <c r="U1147" s="18"/>
      <c r="V1147" s="18"/>
      <c r="W1147" s="18"/>
      <c r="X1147" s="18"/>
      <c r="Y1147" s="18"/>
      <c r="Z1147" s="18"/>
      <c r="AA1147" s="18"/>
      <c r="AB1147" s="18"/>
      <c r="AC1147" s="18"/>
      <c r="AD1147" s="18"/>
      <c r="AE1147" s="18"/>
      <c r="AF1147" s="18"/>
      <c r="AG1147" s="18"/>
      <c r="AH1147" s="18"/>
      <c r="AI1147" s="18"/>
      <c r="AJ1147" s="18"/>
      <c r="AK1147" s="18"/>
      <c r="AL1147" s="18"/>
      <c r="AM1147" s="18"/>
      <c r="AN1147" s="18"/>
      <c r="AO1147" s="18"/>
      <c r="AP1147" s="18"/>
      <c r="AQ1147" s="18"/>
      <c r="AR1147" s="18"/>
      <c r="AS1147" s="18"/>
      <c r="AT1147" s="18"/>
      <c r="AU1147" s="18"/>
      <c r="AV1147" s="18"/>
      <c r="AW1147" s="18"/>
      <c r="AX1147" s="18"/>
      <c r="AY1147" s="18"/>
      <c r="AZ1147" s="18"/>
      <c r="BA1147" s="18"/>
      <c r="BB1147" s="18"/>
      <c r="BC1147" s="18"/>
      <c r="BD1147" s="18"/>
      <c r="BE1147" s="18"/>
      <c r="BF1147" s="18"/>
      <c r="BG1147" s="18"/>
      <c r="BH1147" s="18"/>
      <c r="BI1147" s="18"/>
      <c r="BJ1147" s="18"/>
      <c r="BK1147" s="18"/>
      <c r="BL1147" s="18"/>
      <c r="BM1147" s="18"/>
      <c r="BN1147" s="18"/>
    </row>
    <row r="1148" spans="1:66">
      <c r="A1148" s="18"/>
      <c r="B1148" s="18"/>
      <c r="C1148" s="18"/>
      <c r="D1148" s="18"/>
      <c r="E1148" s="18"/>
      <c r="F1148" s="18"/>
      <c r="G1148" s="18"/>
      <c r="H1148" s="18"/>
      <c r="I1148" s="18"/>
      <c r="J1148" s="18"/>
      <c r="K1148" s="18"/>
      <c r="L1148" s="18"/>
      <c r="M1148" s="18"/>
      <c r="N1148" s="18"/>
      <c r="O1148" s="18"/>
      <c r="P1148" s="18"/>
      <c r="Q1148" s="18"/>
      <c r="R1148" s="18"/>
      <c r="S1148" s="18"/>
      <c r="T1148" s="18"/>
      <c r="U1148" s="18"/>
      <c r="V1148" s="18"/>
      <c r="W1148" s="18"/>
      <c r="X1148" s="18"/>
      <c r="Y1148" s="18"/>
      <c r="Z1148" s="18"/>
      <c r="AA1148" s="18"/>
      <c r="AB1148" s="18"/>
      <c r="AC1148" s="18"/>
      <c r="AD1148" s="18"/>
      <c r="AE1148" s="18"/>
      <c r="AF1148" s="18"/>
      <c r="AG1148" s="18"/>
      <c r="AH1148" s="18"/>
      <c r="AI1148" s="18"/>
      <c r="AJ1148" s="18"/>
      <c r="AK1148" s="18"/>
      <c r="AL1148" s="18"/>
      <c r="AM1148" s="18"/>
      <c r="AN1148" s="18"/>
      <c r="AO1148" s="18"/>
      <c r="AP1148" s="18"/>
      <c r="AQ1148" s="18"/>
      <c r="AR1148" s="18"/>
      <c r="AS1148" s="18"/>
      <c r="AT1148" s="18"/>
      <c r="AU1148" s="18"/>
      <c r="AV1148" s="18"/>
      <c r="AW1148" s="18"/>
      <c r="AX1148" s="18"/>
      <c r="AY1148" s="18"/>
      <c r="AZ1148" s="18"/>
      <c r="BA1148" s="18"/>
      <c r="BB1148" s="18"/>
      <c r="BC1148" s="18"/>
      <c r="BD1148" s="18"/>
      <c r="BE1148" s="18"/>
      <c r="BF1148" s="18"/>
      <c r="BG1148" s="18"/>
      <c r="BH1148" s="18"/>
      <c r="BI1148" s="18"/>
      <c r="BJ1148" s="18"/>
      <c r="BK1148" s="18"/>
      <c r="BL1148" s="18"/>
      <c r="BM1148" s="18"/>
      <c r="BN1148" s="18"/>
    </row>
    <row r="1149" spans="1:66">
      <c r="A1149" s="18"/>
      <c r="B1149" s="18"/>
      <c r="C1149" s="18"/>
      <c r="D1149" s="18"/>
      <c r="E1149" s="18"/>
      <c r="F1149" s="18"/>
      <c r="G1149" s="18"/>
      <c r="H1149" s="18"/>
      <c r="I1149" s="18"/>
      <c r="J1149" s="18"/>
      <c r="K1149" s="18"/>
      <c r="L1149" s="18"/>
      <c r="M1149" s="18"/>
      <c r="N1149" s="18"/>
      <c r="O1149" s="18"/>
      <c r="P1149" s="18"/>
      <c r="Q1149" s="18"/>
      <c r="R1149" s="18"/>
      <c r="S1149" s="18"/>
      <c r="T1149" s="18"/>
      <c r="U1149" s="18"/>
      <c r="V1149" s="18"/>
      <c r="W1149" s="18"/>
      <c r="X1149" s="18"/>
      <c r="Y1149" s="18"/>
      <c r="Z1149" s="18"/>
      <c r="AA1149" s="18"/>
      <c r="AB1149" s="18"/>
      <c r="AC1149" s="18"/>
      <c r="AD1149" s="18"/>
      <c r="AE1149" s="18"/>
      <c r="AF1149" s="18"/>
      <c r="AG1149" s="18"/>
      <c r="AH1149" s="18"/>
      <c r="AI1149" s="18"/>
      <c r="AJ1149" s="18"/>
      <c r="AK1149" s="18"/>
      <c r="AL1149" s="18"/>
      <c r="AM1149" s="18"/>
      <c r="AN1149" s="18"/>
      <c r="AO1149" s="18"/>
      <c r="AP1149" s="18"/>
      <c r="AQ1149" s="18"/>
      <c r="AR1149" s="18"/>
      <c r="AS1149" s="18"/>
      <c r="AT1149" s="18"/>
      <c r="AU1149" s="18"/>
      <c r="AV1149" s="18"/>
      <c r="AW1149" s="18"/>
      <c r="AX1149" s="18"/>
      <c r="AY1149" s="18"/>
      <c r="AZ1149" s="18"/>
      <c r="BA1149" s="18"/>
      <c r="BB1149" s="18"/>
      <c r="BC1149" s="18"/>
      <c r="BD1149" s="18"/>
      <c r="BE1149" s="18"/>
      <c r="BF1149" s="18"/>
      <c r="BG1149" s="18"/>
      <c r="BH1149" s="18"/>
      <c r="BI1149" s="18"/>
      <c r="BJ1149" s="18"/>
      <c r="BK1149" s="18"/>
      <c r="BL1149" s="18"/>
      <c r="BM1149" s="18"/>
      <c r="BN1149" s="18"/>
    </row>
    <row r="1150" spans="1:66">
      <c r="A1150" s="18"/>
      <c r="B1150" s="18"/>
      <c r="C1150" s="18"/>
      <c r="D1150" s="18"/>
      <c r="E1150" s="18"/>
      <c r="F1150" s="18"/>
      <c r="G1150" s="18"/>
      <c r="H1150" s="18"/>
      <c r="I1150" s="18"/>
      <c r="J1150" s="18"/>
      <c r="K1150" s="18"/>
      <c r="L1150" s="18"/>
      <c r="M1150" s="18"/>
      <c r="N1150" s="18"/>
      <c r="O1150" s="18"/>
      <c r="P1150" s="18"/>
      <c r="Q1150" s="18"/>
      <c r="R1150" s="18"/>
      <c r="S1150" s="18"/>
      <c r="T1150" s="18"/>
      <c r="U1150" s="18"/>
      <c r="V1150" s="18"/>
      <c r="W1150" s="18"/>
      <c r="X1150" s="18"/>
      <c r="Y1150" s="18"/>
      <c r="Z1150" s="18"/>
      <c r="AA1150" s="18"/>
      <c r="AB1150" s="18"/>
      <c r="AC1150" s="18"/>
      <c r="AD1150" s="18"/>
      <c r="AE1150" s="18"/>
      <c r="AF1150" s="18"/>
      <c r="AG1150" s="18"/>
      <c r="AH1150" s="18"/>
      <c r="AI1150" s="18"/>
      <c r="AJ1150" s="18"/>
      <c r="AK1150" s="18"/>
      <c r="AL1150" s="18"/>
      <c r="AM1150" s="18"/>
      <c r="AN1150" s="18"/>
      <c r="AO1150" s="18"/>
      <c r="AP1150" s="18"/>
      <c r="AQ1150" s="18"/>
      <c r="AR1150" s="18"/>
      <c r="AS1150" s="18"/>
      <c r="AT1150" s="18"/>
      <c r="AU1150" s="18"/>
      <c r="AV1150" s="18"/>
      <c r="AW1150" s="18"/>
      <c r="AX1150" s="18"/>
      <c r="AY1150" s="18"/>
      <c r="AZ1150" s="18"/>
      <c r="BA1150" s="18"/>
      <c r="BB1150" s="18"/>
      <c r="BC1150" s="18"/>
      <c r="BD1150" s="18"/>
      <c r="BE1150" s="18"/>
      <c r="BF1150" s="18"/>
      <c r="BG1150" s="18"/>
      <c r="BH1150" s="18"/>
      <c r="BI1150" s="18"/>
      <c r="BJ1150" s="18"/>
      <c r="BK1150" s="18"/>
      <c r="BL1150" s="18"/>
      <c r="BM1150" s="18"/>
      <c r="BN1150" s="18"/>
    </row>
    <row r="1151" spans="1:66">
      <c r="A1151" s="18"/>
      <c r="B1151" s="18"/>
      <c r="C1151" s="18"/>
      <c r="D1151" s="18"/>
      <c r="E1151" s="18"/>
      <c r="F1151" s="18"/>
      <c r="G1151" s="18"/>
      <c r="H1151" s="18"/>
      <c r="I1151" s="18"/>
      <c r="J1151" s="18"/>
      <c r="K1151" s="18"/>
      <c r="L1151" s="18"/>
      <c r="M1151" s="18"/>
      <c r="N1151" s="18"/>
      <c r="O1151" s="18"/>
      <c r="P1151" s="18"/>
      <c r="Q1151" s="18"/>
      <c r="R1151" s="18"/>
      <c r="S1151" s="18"/>
      <c r="T1151" s="18"/>
      <c r="U1151" s="18"/>
      <c r="V1151" s="18"/>
      <c r="W1151" s="18"/>
      <c r="X1151" s="18"/>
      <c r="Y1151" s="18"/>
      <c r="Z1151" s="18"/>
      <c r="AA1151" s="18"/>
      <c r="AB1151" s="18"/>
      <c r="AC1151" s="18"/>
      <c r="AD1151" s="18"/>
      <c r="AE1151" s="18"/>
      <c r="AF1151" s="18"/>
      <c r="AG1151" s="18"/>
      <c r="AH1151" s="18"/>
      <c r="AI1151" s="18"/>
      <c r="AJ1151" s="18"/>
      <c r="AK1151" s="18"/>
      <c r="AL1151" s="18"/>
      <c r="AM1151" s="18"/>
      <c r="AN1151" s="18"/>
      <c r="AO1151" s="18"/>
      <c r="AP1151" s="18"/>
      <c r="AQ1151" s="18"/>
      <c r="AR1151" s="18"/>
      <c r="AS1151" s="18"/>
      <c r="AT1151" s="18"/>
      <c r="AU1151" s="18"/>
      <c r="AV1151" s="18"/>
      <c r="AW1151" s="18"/>
      <c r="AX1151" s="18"/>
      <c r="AY1151" s="18"/>
      <c r="AZ1151" s="18"/>
      <c r="BA1151" s="18"/>
      <c r="BB1151" s="18"/>
      <c r="BC1151" s="18"/>
      <c r="BD1151" s="18"/>
      <c r="BE1151" s="18"/>
      <c r="BF1151" s="18"/>
      <c r="BG1151" s="18"/>
      <c r="BH1151" s="18"/>
      <c r="BI1151" s="18"/>
      <c r="BJ1151" s="18"/>
      <c r="BK1151" s="18"/>
      <c r="BL1151" s="18"/>
      <c r="BM1151" s="18"/>
      <c r="BN1151" s="18"/>
    </row>
    <row r="1152" spans="1:66">
      <c r="A1152" s="18"/>
      <c r="B1152" s="18"/>
      <c r="C1152" s="18"/>
      <c r="D1152" s="18"/>
      <c r="E1152" s="18"/>
      <c r="F1152" s="18"/>
      <c r="G1152" s="18"/>
      <c r="H1152" s="18"/>
      <c r="I1152" s="18"/>
      <c r="J1152" s="18"/>
      <c r="K1152" s="18"/>
      <c r="L1152" s="18"/>
      <c r="M1152" s="18"/>
      <c r="N1152" s="18"/>
      <c r="O1152" s="18"/>
      <c r="P1152" s="18"/>
      <c r="Q1152" s="18"/>
      <c r="R1152" s="18"/>
      <c r="S1152" s="18"/>
      <c r="T1152" s="18"/>
      <c r="U1152" s="18"/>
      <c r="V1152" s="18"/>
      <c r="W1152" s="18"/>
      <c r="X1152" s="18"/>
      <c r="Y1152" s="18"/>
      <c r="Z1152" s="18"/>
      <c r="AA1152" s="18"/>
      <c r="AB1152" s="18"/>
      <c r="AC1152" s="18"/>
      <c r="AD1152" s="18"/>
      <c r="AE1152" s="18"/>
      <c r="AF1152" s="18"/>
      <c r="AG1152" s="18"/>
      <c r="AH1152" s="18"/>
      <c r="AI1152" s="18"/>
      <c r="AJ1152" s="18"/>
      <c r="AK1152" s="18"/>
      <c r="AL1152" s="18"/>
      <c r="AM1152" s="18"/>
      <c r="AN1152" s="18"/>
      <c r="AO1152" s="18"/>
      <c r="AP1152" s="18"/>
      <c r="AQ1152" s="18"/>
      <c r="AR1152" s="18"/>
      <c r="AS1152" s="18"/>
      <c r="AT1152" s="18"/>
      <c r="AU1152" s="18"/>
      <c r="AV1152" s="18"/>
      <c r="AW1152" s="18"/>
      <c r="AX1152" s="18"/>
      <c r="AY1152" s="18"/>
      <c r="AZ1152" s="18"/>
      <c r="BA1152" s="18"/>
      <c r="BB1152" s="18"/>
      <c r="BC1152" s="18"/>
      <c r="BD1152" s="18"/>
      <c r="BE1152" s="18"/>
      <c r="BF1152" s="18"/>
      <c r="BG1152" s="18"/>
      <c r="BH1152" s="18"/>
      <c r="BI1152" s="18"/>
      <c r="BJ1152" s="18"/>
      <c r="BK1152" s="18"/>
      <c r="BL1152" s="18"/>
      <c r="BM1152" s="18"/>
      <c r="BN1152" s="18"/>
    </row>
    <row r="1153" spans="1:66">
      <c r="A1153" s="18"/>
      <c r="B1153" s="18"/>
      <c r="C1153" s="18"/>
      <c r="D1153" s="18"/>
      <c r="E1153" s="18"/>
      <c r="F1153" s="18"/>
      <c r="G1153" s="18"/>
      <c r="H1153" s="18"/>
      <c r="I1153" s="18"/>
      <c r="J1153" s="18"/>
      <c r="K1153" s="18"/>
      <c r="L1153" s="18"/>
      <c r="M1153" s="18"/>
      <c r="N1153" s="18"/>
      <c r="O1153" s="18"/>
      <c r="P1153" s="18"/>
      <c r="Q1153" s="18"/>
      <c r="R1153" s="18"/>
      <c r="S1153" s="18"/>
      <c r="T1153" s="18"/>
      <c r="U1153" s="18"/>
      <c r="V1153" s="18"/>
      <c r="W1153" s="18"/>
      <c r="X1153" s="18"/>
      <c r="Y1153" s="18"/>
      <c r="Z1153" s="18"/>
      <c r="AA1153" s="18"/>
      <c r="AB1153" s="18"/>
      <c r="AC1153" s="18"/>
      <c r="AD1153" s="18"/>
      <c r="AE1153" s="18"/>
      <c r="AF1153" s="18"/>
      <c r="AG1153" s="18"/>
      <c r="AH1153" s="18"/>
      <c r="AI1153" s="18"/>
      <c r="AJ1153" s="18"/>
      <c r="AK1153" s="18"/>
      <c r="AL1153" s="18"/>
      <c r="AM1153" s="18"/>
      <c r="AN1153" s="18"/>
      <c r="AO1153" s="18"/>
      <c r="AP1153" s="18"/>
      <c r="AQ1153" s="18"/>
      <c r="AR1153" s="18"/>
      <c r="AS1153" s="18"/>
      <c r="AT1153" s="18"/>
      <c r="AU1153" s="18"/>
      <c r="AV1153" s="18"/>
      <c r="AW1153" s="18"/>
      <c r="AX1153" s="18"/>
      <c r="AY1153" s="18"/>
      <c r="AZ1153" s="18"/>
      <c r="BA1153" s="18"/>
      <c r="BB1153" s="18"/>
      <c r="BC1153" s="18"/>
      <c r="BD1153" s="18"/>
      <c r="BE1153" s="18"/>
      <c r="BF1153" s="18"/>
      <c r="BG1153" s="18"/>
      <c r="BH1153" s="18"/>
      <c r="BI1153" s="18"/>
      <c r="BJ1153" s="18"/>
      <c r="BK1153" s="18"/>
      <c r="BL1153" s="18"/>
      <c r="BM1153" s="18"/>
      <c r="BN1153" s="18"/>
    </row>
    <row r="1154" spans="1:66">
      <c r="A1154" s="18"/>
      <c r="B1154" s="18"/>
      <c r="C1154" s="18"/>
      <c r="D1154" s="18"/>
      <c r="E1154" s="18"/>
      <c r="F1154" s="18"/>
      <c r="G1154" s="18"/>
      <c r="H1154" s="18"/>
      <c r="I1154" s="18"/>
      <c r="J1154" s="18"/>
      <c r="K1154" s="18"/>
      <c r="L1154" s="18"/>
      <c r="M1154" s="18"/>
      <c r="N1154" s="18"/>
      <c r="O1154" s="18"/>
      <c r="P1154" s="18"/>
      <c r="Q1154" s="18"/>
      <c r="R1154" s="18"/>
      <c r="S1154" s="18"/>
      <c r="T1154" s="18"/>
      <c r="U1154" s="18"/>
      <c r="V1154" s="18"/>
      <c r="W1154" s="18"/>
      <c r="X1154" s="18"/>
      <c r="Y1154" s="18"/>
      <c r="Z1154" s="18"/>
      <c r="AA1154" s="18"/>
      <c r="AB1154" s="18"/>
      <c r="AC1154" s="18"/>
      <c r="AD1154" s="18"/>
      <c r="AE1154" s="18"/>
      <c r="AF1154" s="18"/>
      <c r="AG1154" s="18"/>
      <c r="AH1154" s="18"/>
      <c r="AI1154" s="18"/>
      <c r="AJ1154" s="18"/>
      <c r="AK1154" s="18"/>
      <c r="AL1154" s="18"/>
      <c r="AM1154" s="18"/>
      <c r="AN1154" s="18"/>
      <c r="AO1154" s="18"/>
      <c r="AP1154" s="18"/>
      <c r="AQ1154" s="18"/>
      <c r="AR1154" s="18"/>
      <c r="AS1154" s="18"/>
      <c r="AT1154" s="18"/>
      <c r="AU1154" s="18"/>
      <c r="AV1154" s="18"/>
      <c r="AW1154" s="18"/>
      <c r="AX1154" s="18"/>
      <c r="AY1154" s="18"/>
      <c r="AZ1154" s="18"/>
      <c r="BA1154" s="18"/>
      <c r="BB1154" s="18"/>
      <c r="BC1154" s="18"/>
      <c r="BD1154" s="18"/>
      <c r="BE1154" s="18"/>
      <c r="BF1154" s="18"/>
      <c r="BG1154" s="18"/>
      <c r="BH1154" s="18"/>
      <c r="BI1154" s="18"/>
      <c r="BJ1154" s="18"/>
      <c r="BK1154" s="18"/>
      <c r="BL1154" s="18"/>
      <c r="BM1154" s="18"/>
      <c r="BN1154" s="18"/>
    </row>
    <row r="1155" spans="1:66">
      <c r="A1155" s="18"/>
      <c r="B1155" s="18"/>
      <c r="C1155" s="18"/>
      <c r="D1155" s="18"/>
      <c r="E1155" s="18"/>
      <c r="F1155" s="18"/>
      <c r="G1155" s="18"/>
      <c r="H1155" s="18"/>
      <c r="I1155" s="18"/>
      <c r="J1155" s="18"/>
      <c r="K1155" s="18"/>
      <c r="L1155" s="18"/>
      <c r="M1155" s="18"/>
      <c r="N1155" s="18"/>
      <c r="O1155" s="18"/>
      <c r="P1155" s="18"/>
      <c r="Q1155" s="18"/>
      <c r="R1155" s="18"/>
      <c r="S1155" s="18"/>
      <c r="T1155" s="18"/>
      <c r="U1155" s="18"/>
      <c r="V1155" s="18"/>
      <c r="W1155" s="18"/>
      <c r="X1155" s="18"/>
      <c r="Y1155" s="18"/>
      <c r="Z1155" s="18"/>
      <c r="AA1155" s="18"/>
      <c r="AB1155" s="18"/>
      <c r="AC1155" s="18"/>
      <c r="AD1155" s="18"/>
      <c r="AE1155" s="18"/>
      <c r="AF1155" s="18"/>
      <c r="AG1155" s="18"/>
      <c r="AH1155" s="18"/>
      <c r="AI1155" s="18"/>
      <c r="AJ1155" s="18"/>
      <c r="AK1155" s="18"/>
      <c r="AL1155" s="18"/>
      <c r="AM1155" s="18"/>
      <c r="AN1155" s="18"/>
      <c r="AO1155" s="18"/>
      <c r="AP1155" s="18"/>
      <c r="AQ1155" s="18"/>
      <c r="AR1155" s="18"/>
      <c r="AS1155" s="18"/>
      <c r="AT1155" s="18"/>
      <c r="AU1155" s="18"/>
      <c r="AV1155" s="18"/>
      <c r="AW1155" s="18"/>
      <c r="AX1155" s="18"/>
      <c r="AY1155" s="18"/>
      <c r="AZ1155" s="18"/>
      <c r="BA1155" s="18"/>
      <c r="BB1155" s="18"/>
      <c r="BC1155" s="18"/>
      <c r="BD1155" s="18"/>
      <c r="BE1155" s="18"/>
      <c r="BF1155" s="18"/>
      <c r="BG1155" s="18"/>
      <c r="BH1155" s="18"/>
      <c r="BI1155" s="18"/>
      <c r="BJ1155" s="18"/>
      <c r="BK1155" s="18"/>
      <c r="BL1155" s="18"/>
      <c r="BM1155" s="18"/>
      <c r="BN1155" s="18"/>
    </row>
    <row r="1156" spans="1:66">
      <c r="A1156" s="18"/>
      <c r="B1156" s="18"/>
      <c r="C1156" s="18"/>
      <c r="D1156" s="18"/>
      <c r="E1156" s="18"/>
      <c r="F1156" s="18"/>
      <c r="G1156" s="18"/>
      <c r="H1156" s="18"/>
      <c r="I1156" s="18"/>
      <c r="J1156" s="18"/>
      <c r="K1156" s="18"/>
      <c r="L1156" s="18"/>
      <c r="M1156" s="18"/>
      <c r="N1156" s="18"/>
      <c r="O1156" s="18"/>
      <c r="P1156" s="18"/>
      <c r="Q1156" s="18"/>
      <c r="R1156" s="18"/>
      <c r="S1156" s="18"/>
      <c r="T1156" s="18"/>
      <c r="U1156" s="18"/>
      <c r="V1156" s="18"/>
      <c r="W1156" s="18"/>
      <c r="X1156" s="18"/>
      <c r="Y1156" s="18"/>
      <c r="Z1156" s="18"/>
      <c r="AA1156" s="18"/>
      <c r="AB1156" s="18"/>
      <c r="AC1156" s="18"/>
      <c r="AD1156" s="18"/>
      <c r="AE1156" s="18"/>
      <c r="AF1156" s="18"/>
      <c r="AG1156" s="18"/>
      <c r="AH1156" s="18"/>
      <c r="AI1156" s="18"/>
      <c r="AJ1156" s="18"/>
      <c r="AK1156" s="18"/>
      <c r="AL1156" s="18"/>
      <c r="AM1156" s="18"/>
      <c r="AN1156" s="18"/>
      <c r="AO1156" s="18"/>
      <c r="AP1156" s="18"/>
      <c r="AQ1156" s="18"/>
      <c r="AR1156" s="18"/>
      <c r="AS1156" s="18"/>
      <c r="AT1156" s="18"/>
      <c r="AU1156" s="18"/>
      <c r="AV1156" s="18"/>
      <c r="AW1156" s="18"/>
      <c r="AX1156" s="18"/>
      <c r="AY1156" s="18"/>
      <c r="AZ1156" s="18"/>
      <c r="BA1156" s="18"/>
      <c r="BB1156" s="18"/>
      <c r="BC1156" s="18"/>
      <c r="BD1156" s="18"/>
      <c r="BE1156" s="18"/>
      <c r="BF1156" s="18"/>
      <c r="BG1156" s="18"/>
      <c r="BH1156" s="18"/>
      <c r="BI1156" s="18"/>
      <c r="BJ1156" s="18"/>
      <c r="BK1156" s="18"/>
      <c r="BL1156" s="18"/>
      <c r="BM1156" s="18"/>
      <c r="BN1156" s="18"/>
    </row>
    <row r="1157" spans="1:66">
      <c r="A1157" s="18"/>
      <c r="B1157" s="18"/>
      <c r="C1157" s="18"/>
      <c r="D1157" s="18"/>
      <c r="E1157" s="18"/>
      <c r="F1157" s="18"/>
      <c r="G1157" s="18"/>
      <c r="H1157" s="18"/>
      <c r="I1157" s="18"/>
      <c r="J1157" s="18"/>
      <c r="K1157" s="18"/>
      <c r="L1157" s="18"/>
      <c r="M1157" s="18"/>
      <c r="N1157" s="18"/>
      <c r="O1157" s="18"/>
      <c r="P1157" s="18"/>
      <c r="Q1157" s="18"/>
      <c r="R1157" s="18"/>
      <c r="S1157" s="18"/>
      <c r="T1157" s="18"/>
      <c r="U1157" s="18"/>
      <c r="V1157" s="18"/>
      <c r="W1157" s="18"/>
      <c r="X1157" s="18"/>
      <c r="Y1157" s="18"/>
      <c r="Z1157" s="18"/>
      <c r="AA1157" s="18"/>
      <c r="AB1157" s="18"/>
      <c r="AC1157" s="18"/>
      <c r="AD1157" s="18"/>
      <c r="AE1157" s="18"/>
      <c r="AF1157" s="18"/>
      <c r="AG1157" s="18"/>
      <c r="AH1157" s="18"/>
      <c r="AI1157" s="18"/>
      <c r="AJ1157" s="18"/>
      <c r="AK1157" s="18"/>
      <c r="AL1157" s="18"/>
      <c r="AM1157" s="18"/>
      <c r="AN1157" s="18"/>
      <c r="AO1157" s="18"/>
      <c r="AP1157" s="18"/>
      <c r="AQ1157" s="18"/>
      <c r="AR1157" s="18"/>
      <c r="AS1157" s="18"/>
      <c r="AT1157" s="18"/>
      <c r="AU1157" s="18"/>
      <c r="AV1157" s="18"/>
      <c r="AW1157" s="18"/>
      <c r="AX1157" s="18"/>
      <c r="AY1157" s="18"/>
      <c r="AZ1157" s="18"/>
      <c r="BA1157" s="18"/>
      <c r="BB1157" s="18"/>
      <c r="BC1157" s="18"/>
      <c r="BD1157" s="18"/>
      <c r="BE1157" s="18"/>
      <c r="BF1157" s="18"/>
      <c r="BG1157" s="18"/>
      <c r="BH1157" s="18"/>
      <c r="BI1157" s="18"/>
      <c r="BJ1157" s="18"/>
      <c r="BK1157" s="18"/>
      <c r="BL1157" s="18"/>
      <c r="BM1157" s="18"/>
      <c r="BN1157" s="18"/>
    </row>
    <row r="1158" spans="1:66">
      <c r="A1158" s="18"/>
      <c r="B1158" s="18"/>
      <c r="C1158" s="18"/>
      <c r="D1158" s="18"/>
      <c r="E1158" s="18"/>
      <c r="F1158" s="18"/>
      <c r="G1158" s="18"/>
      <c r="H1158" s="18"/>
      <c r="I1158" s="18"/>
      <c r="J1158" s="18"/>
      <c r="K1158" s="18"/>
      <c r="L1158" s="18"/>
      <c r="M1158" s="18"/>
      <c r="N1158" s="18"/>
      <c r="O1158" s="18"/>
      <c r="P1158" s="18"/>
      <c r="Q1158" s="18"/>
      <c r="R1158" s="18"/>
      <c r="S1158" s="18"/>
      <c r="T1158" s="18"/>
      <c r="U1158" s="18"/>
      <c r="V1158" s="18"/>
      <c r="W1158" s="18"/>
      <c r="X1158" s="18"/>
      <c r="Y1158" s="18"/>
      <c r="Z1158" s="18"/>
      <c r="AA1158" s="18"/>
      <c r="AB1158" s="18"/>
      <c r="AC1158" s="18"/>
      <c r="AD1158" s="18"/>
      <c r="AE1158" s="18"/>
      <c r="AF1158" s="18"/>
      <c r="AG1158" s="18"/>
      <c r="AH1158" s="18"/>
      <c r="AI1158" s="18"/>
      <c r="AJ1158" s="18"/>
      <c r="AK1158" s="18"/>
      <c r="AL1158" s="18"/>
      <c r="AM1158" s="18"/>
      <c r="AN1158" s="18"/>
      <c r="AO1158" s="18"/>
      <c r="AP1158" s="18"/>
      <c r="AQ1158" s="18"/>
      <c r="AR1158" s="18"/>
      <c r="AS1158" s="18"/>
      <c r="AT1158" s="18"/>
      <c r="AU1158" s="18"/>
      <c r="AV1158" s="18"/>
      <c r="AW1158" s="18"/>
      <c r="AX1158" s="18"/>
      <c r="AY1158" s="18"/>
      <c r="AZ1158" s="18"/>
      <c r="BA1158" s="18"/>
      <c r="BB1158" s="18"/>
      <c r="BC1158" s="18"/>
      <c r="BD1158" s="18"/>
      <c r="BE1158" s="18"/>
      <c r="BF1158" s="18"/>
      <c r="BG1158" s="18"/>
      <c r="BH1158" s="18"/>
      <c r="BI1158" s="18"/>
      <c r="BJ1158" s="18"/>
      <c r="BK1158" s="18"/>
      <c r="BL1158" s="18"/>
      <c r="BM1158" s="18"/>
      <c r="BN1158" s="18"/>
    </row>
    <row r="1159" spans="1:66">
      <c r="A1159" s="18"/>
      <c r="B1159" s="18"/>
      <c r="C1159" s="18"/>
      <c r="D1159" s="18"/>
      <c r="E1159" s="18"/>
      <c r="F1159" s="18"/>
      <c r="G1159" s="18"/>
      <c r="H1159" s="18"/>
      <c r="I1159" s="18"/>
      <c r="J1159" s="18"/>
      <c r="K1159" s="18"/>
      <c r="L1159" s="18"/>
      <c r="M1159" s="18"/>
      <c r="N1159" s="18"/>
      <c r="O1159" s="18"/>
      <c r="P1159" s="18"/>
      <c r="Q1159" s="18"/>
      <c r="R1159" s="18"/>
      <c r="S1159" s="18"/>
      <c r="T1159" s="18"/>
      <c r="U1159" s="18"/>
      <c r="V1159" s="18"/>
      <c r="W1159" s="18"/>
      <c r="X1159" s="18"/>
      <c r="Y1159" s="18"/>
      <c r="Z1159" s="18"/>
      <c r="AA1159" s="18"/>
      <c r="AB1159" s="18"/>
      <c r="AC1159" s="18"/>
      <c r="AD1159" s="18"/>
      <c r="AE1159" s="18"/>
      <c r="AF1159" s="18"/>
      <c r="AG1159" s="18"/>
      <c r="AH1159" s="18"/>
      <c r="AI1159" s="18"/>
      <c r="AJ1159" s="18"/>
      <c r="AK1159" s="18"/>
      <c r="AL1159" s="18"/>
      <c r="AM1159" s="18"/>
      <c r="AN1159" s="18"/>
      <c r="AO1159" s="18"/>
      <c r="AP1159" s="18"/>
      <c r="AQ1159" s="18"/>
      <c r="AR1159" s="18"/>
      <c r="AS1159" s="18"/>
      <c r="AT1159" s="18"/>
      <c r="AU1159" s="18"/>
      <c r="AV1159" s="18"/>
      <c r="AW1159" s="18"/>
      <c r="AX1159" s="18"/>
      <c r="AY1159" s="18"/>
      <c r="AZ1159" s="18"/>
      <c r="BA1159" s="18"/>
      <c r="BB1159" s="18"/>
      <c r="BC1159" s="18"/>
      <c r="BD1159" s="18"/>
      <c r="BE1159" s="18"/>
      <c r="BF1159" s="18"/>
      <c r="BG1159" s="18"/>
      <c r="BH1159" s="18"/>
      <c r="BI1159" s="18"/>
      <c r="BJ1159" s="18"/>
      <c r="BK1159" s="18"/>
      <c r="BL1159" s="18"/>
      <c r="BM1159" s="18"/>
      <c r="BN1159" s="18"/>
    </row>
    <row r="1160" spans="1:66">
      <c r="A1160" s="18"/>
      <c r="B1160" s="18"/>
      <c r="C1160" s="18"/>
      <c r="D1160" s="18"/>
      <c r="E1160" s="18"/>
      <c r="F1160" s="18"/>
      <c r="G1160" s="18"/>
      <c r="H1160" s="18"/>
      <c r="I1160" s="18"/>
      <c r="J1160" s="18"/>
      <c r="K1160" s="18"/>
      <c r="L1160" s="18"/>
      <c r="M1160" s="18"/>
      <c r="N1160" s="18"/>
      <c r="O1160" s="18"/>
      <c r="P1160" s="18"/>
      <c r="Q1160" s="18"/>
      <c r="R1160" s="18"/>
      <c r="S1160" s="18"/>
      <c r="T1160" s="18"/>
      <c r="U1160" s="18"/>
      <c r="V1160" s="18"/>
      <c r="W1160" s="18"/>
      <c r="X1160" s="18"/>
      <c r="Y1160" s="18"/>
      <c r="Z1160" s="18"/>
      <c r="AA1160" s="18"/>
      <c r="AB1160" s="18"/>
      <c r="AC1160" s="18"/>
      <c r="AD1160" s="18"/>
      <c r="AE1160" s="18"/>
      <c r="AF1160" s="18"/>
      <c r="AG1160" s="18"/>
      <c r="AH1160" s="18"/>
      <c r="AI1160" s="18"/>
      <c r="AJ1160" s="18"/>
      <c r="AK1160" s="18"/>
      <c r="AL1160" s="18"/>
      <c r="AM1160" s="18"/>
      <c r="AN1160" s="18"/>
      <c r="AO1160" s="18"/>
      <c r="AP1160" s="18"/>
      <c r="AQ1160" s="18"/>
      <c r="AR1160" s="18"/>
      <c r="AS1160" s="18"/>
      <c r="AT1160" s="18"/>
      <c r="AU1160" s="18"/>
      <c r="AV1160" s="18"/>
      <c r="AW1160" s="18"/>
      <c r="AX1160" s="18"/>
      <c r="AY1160" s="18"/>
      <c r="AZ1160" s="18"/>
      <c r="BA1160" s="18"/>
      <c r="BB1160" s="18"/>
      <c r="BC1160" s="18"/>
      <c r="BD1160" s="18"/>
      <c r="BE1160" s="18"/>
      <c r="BF1160" s="18"/>
      <c r="BG1160" s="18"/>
      <c r="BH1160" s="18"/>
      <c r="BI1160" s="18"/>
      <c r="BJ1160" s="18"/>
      <c r="BK1160" s="18"/>
      <c r="BL1160" s="18"/>
      <c r="BM1160" s="18"/>
      <c r="BN1160" s="18"/>
    </row>
    <row r="1161" spans="1:66">
      <c r="A1161" s="18"/>
      <c r="B1161" s="18"/>
      <c r="C1161" s="18"/>
      <c r="D1161" s="18"/>
      <c r="E1161" s="18"/>
      <c r="F1161" s="18"/>
      <c r="G1161" s="18"/>
      <c r="H1161" s="18"/>
      <c r="I1161" s="18"/>
      <c r="J1161" s="18"/>
      <c r="K1161" s="18"/>
      <c r="L1161" s="18"/>
      <c r="M1161" s="18"/>
      <c r="N1161" s="18"/>
      <c r="O1161" s="18"/>
      <c r="P1161" s="18"/>
      <c r="Q1161" s="18"/>
      <c r="R1161" s="18"/>
      <c r="S1161" s="18"/>
      <c r="T1161" s="18"/>
      <c r="U1161" s="18"/>
      <c r="V1161" s="18"/>
      <c r="W1161" s="18"/>
      <c r="X1161" s="18"/>
      <c r="Y1161" s="18"/>
      <c r="Z1161" s="18"/>
      <c r="AA1161" s="18"/>
      <c r="AB1161" s="18"/>
      <c r="AC1161" s="18"/>
      <c r="AD1161" s="18"/>
      <c r="AE1161" s="18"/>
      <c r="AF1161" s="18"/>
      <c r="AG1161" s="18"/>
      <c r="AH1161" s="18"/>
      <c r="AI1161" s="18"/>
      <c r="AJ1161" s="18"/>
      <c r="AK1161" s="18"/>
      <c r="AL1161" s="18"/>
      <c r="AM1161" s="18"/>
      <c r="AN1161" s="18"/>
      <c r="AO1161" s="18"/>
      <c r="AP1161" s="18"/>
      <c r="AQ1161" s="18"/>
      <c r="AR1161" s="18"/>
      <c r="AS1161" s="18"/>
      <c r="AT1161" s="18"/>
      <c r="AU1161" s="18"/>
      <c r="AV1161" s="18"/>
      <c r="AW1161" s="18"/>
      <c r="AX1161" s="18"/>
      <c r="AY1161" s="18"/>
      <c r="AZ1161" s="18"/>
      <c r="BA1161" s="18"/>
      <c r="BB1161" s="18"/>
      <c r="BC1161" s="18"/>
      <c r="BD1161" s="18"/>
      <c r="BE1161" s="18"/>
      <c r="BF1161" s="18"/>
      <c r="BG1161" s="18"/>
      <c r="BH1161" s="18"/>
      <c r="BI1161" s="18"/>
      <c r="BJ1161" s="18"/>
      <c r="BK1161" s="18"/>
      <c r="BL1161" s="18"/>
      <c r="BM1161" s="18"/>
      <c r="BN1161" s="18"/>
    </row>
    <row r="1162" spans="1:66">
      <c r="A1162" s="18"/>
      <c r="B1162" s="18"/>
      <c r="C1162" s="18"/>
      <c r="D1162" s="18"/>
      <c r="E1162" s="18"/>
      <c r="F1162" s="18"/>
      <c r="G1162" s="18"/>
      <c r="H1162" s="18"/>
      <c r="I1162" s="18"/>
      <c r="J1162" s="18"/>
      <c r="K1162" s="18"/>
      <c r="L1162" s="18"/>
      <c r="M1162" s="18"/>
      <c r="N1162" s="18"/>
      <c r="O1162" s="18"/>
      <c r="P1162" s="18"/>
      <c r="Q1162" s="18"/>
      <c r="R1162" s="18"/>
      <c r="S1162" s="18"/>
      <c r="T1162" s="18"/>
      <c r="U1162" s="18"/>
      <c r="V1162" s="18"/>
      <c r="W1162" s="18"/>
      <c r="X1162" s="18"/>
      <c r="Y1162" s="18"/>
      <c r="Z1162" s="18"/>
      <c r="AA1162" s="18"/>
      <c r="AB1162" s="18"/>
      <c r="AC1162" s="18"/>
      <c r="AD1162" s="18"/>
      <c r="AE1162" s="18"/>
      <c r="AF1162" s="18"/>
      <c r="AG1162" s="18"/>
      <c r="AH1162" s="18"/>
      <c r="AI1162" s="18"/>
      <c r="AJ1162" s="18"/>
      <c r="AK1162" s="18"/>
      <c r="AL1162" s="18"/>
      <c r="AM1162" s="18"/>
      <c r="AN1162" s="18"/>
      <c r="AO1162" s="18"/>
      <c r="AP1162" s="18"/>
      <c r="AQ1162" s="18"/>
      <c r="AR1162" s="18"/>
      <c r="AS1162" s="18"/>
      <c r="AT1162" s="18"/>
      <c r="AU1162" s="18"/>
      <c r="AV1162" s="18"/>
      <c r="AW1162" s="18"/>
      <c r="AX1162" s="18"/>
      <c r="AY1162" s="18"/>
      <c r="AZ1162" s="18"/>
      <c r="BA1162" s="18"/>
      <c r="BB1162" s="18"/>
      <c r="BC1162" s="18"/>
      <c r="BD1162" s="18"/>
      <c r="BE1162" s="18"/>
      <c r="BF1162" s="18"/>
      <c r="BG1162" s="18"/>
      <c r="BH1162" s="18"/>
      <c r="BI1162" s="18"/>
      <c r="BJ1162" s="18"/>
      <c r="BK1162" s="18"/>
      <c r="BL1162" s="18"/>
      <c r="BM1162" s="18"/>
      <c r="BN1162" s="18"/>
    </row>
    <row r="1163" spans="1:66">
      <c r="A1163" s="18"/>
      <c r="B1163" s="18"/>
      <c r="C1163" s="18"/>
      <c r="D1163" s="18"/>
      <c r="E1163" s="18"/>
      <c r="F1163" s="18"/>
      <c r="G1163" s="18"/>
      <c r="H1163" s="18"/>
      <c r="I1163" s="18"/>
      <c r="J1163" s="18"/>
      <c r="K1163" s="18"/>
      <c r="L1163" s="18"/>
      <c r="M1163" s="18"/>
      <c r="N1163" s="18"/>
      <c r="O1163" s="18"/>
      <c r="P1163" s="18"/>
      <c r="Q1163" s="18"/>
      <c r="R1163" s="18"/>
      <c r="S1163" s="18"/>
      <c r="T1163" s="18"/>
      <c r="U1163" s="18"/>
      <c r="V1163" s="18"/>
      <c r="W1163" s="18"/>
      <c r="X1163" s="18"/>
      <c r="Y1163" s="18"/>
      <c r="Z1163" s="18"/>
      <c r="AA1163" s="18"/>
      <c r="AB1163" s="18"/>
      <c r="AC1163" s="18"/>
      <c r="AD1163" s="18"/>
      <c r="AE1163" s="18"/>
      <c r="AF1163" s="18"/>
      <c r="AG1163" s="18"/>
      <c r="AH1163" s="18"/>
      <c r="AI1163" s="18"/>
      <c r="AJ1163" s="18"/>
      <c r="AK1163" s="18"/>
      <c r="AL1163" s="18"/>
      <c r="AM1163" s="18"/>
      <c r="AN1163" s="18"/>
      <c r="AO1163" s="18"/>
      <c r="AP1163" s="18"/>
      <c r="AQ1163" s="18"/>
      <c r="AR1163" s="18"/>
      <c r="AS1163" s="18"/>
      <c r="AT1163" s="18"/>
      <c r="AU1163" s="18"/>
      <c r="AV1163" s="18"/>
      <c r="AW1163" s="18"/>
      <c r="AX1163" s="18"/>
      <c r="AY1163" s="18"/>
      <c r="AZ1163" s="18"/>
      <c r="BA1163" s="18"/>
      <c r="BB1163" s="18"/>
      <c r="BC1163" s="18"/>
      <c r="BD1163" s="18"/>
      <c r="BE1163" s="18"/>
      <c r="BF1163" s="18"/>
      <c r="BG1163" s="18"/>
      <c r="BH1163" s="18"/>
      <c r="BI1163" s="18"/>
      <c r="BJ1163" s="18"/>
      <c r="BK1163" s="18"/>
      <c r="BL1163" s="18"/>
      <c r="BM1163" s="18"/>
      <c r="BN1163" s="18"/>
    </row>
    <row r="1164" spans="1:66">
      <c r="A1164" s="18"/>
      <c r="B1164" s="18"/>
      <c r="C1164" s="18"/>
      <c r="D1164" s="18"/>
      <c r="E1164" s="18"/>
      <c r="F1164" s="18"/>
      <c r="G1164" s="18"/>
      <c r="H1164" s="18"/>
      <c r="I1164" s="18"/>
      <c r="J1164" s="18"/>
      <c r="K1164" s="18"/>
      <c r="L1164" s="18"/>
      <c r="M1164" s="18"/>
      <c r="N1164" s="18"/>
      <c r="O1164" s="18"/>
      <c r="P1164" s="18"/>
      <c r="Q1164" s="18"/>
      <c r="R1164" s="18"/>
      <c r="S1164" s="18"/>
      <c r="T1164" s="18"/>
      <c r="U1164" s="18"/>
      <c r="V1164" s="18"/>
      <c r="W1164" s="18"/>
      <c r="X1164" s="18"/>
      <c r="Y1164" s="18"/>
      <c r="Z1164" s="18"/>
      <c r="AA1164" s="18"/>
      <c r="AB1164" s="18"/>
      <c r="AC1164" s="18"/>
      <c r="AD1164" s="18"/>
      <c r="AE1164" s="18"/>
      <c r="AF1164" s="18"/>
      <c r="AG1164" s="18"/>
      <c r="AH1164" s="18"/>
      <c r="AI1164" s="18"/>
      <c r="AJ1164" s="18"/>
      <c r="AK1164" s="18"/>
      <c r="AL1164" s="18"/>
      <c r="AM1164" s="18"/>
      <c r="AN1164" s="18"/>
      <c r="AO1164" s="18"/>
      <c r="AP1164" s="18"/>
      <c r="AQ1164" s="18"/>
      <c r="AR1164" s="18"/>
      <c r="AS1164" s="18"/>
      <c r="AT1164" s="18"/>
      <c r="AU1164" s="18"/>
      <c r="AV1164" s="18"/>
      <c r="AW1164" s="18"/>
      <c r="AX1164" s="18"/>
      <c r="AY1164" s="18"/>
      <c r="AZ1164" s="18"/>
      <c r="BA1164" s="18"/>
      <c r="BB1164" s="18"/>
      <c r="BC1164" s="18"/>
      <c r="BD1164" s="18"/>
      <c r="BE1164" s="18"/>
      <c r="BF1164" s="18"/>
      <c r="BG1164" s="18"/>
      <c r="BH1164" s="18"/>
      <c r="BI1164" s="18"/>
      <c r="BJ1164" s="18"/>
      <c r="BK1164" s="18"/>
      <c r="BL1164" s="18"/>
      <c r="BM1164" s="18"/>
      <c r="BN1164" s="18"/>
    </row>
    <row r="1165" spans="1:66">
      <c r="A1165" s="18"/>
      <c r="B1165" s="18"/>
      <c r="C1165" s="18"/>
      <c r="D1165" s="18"/>
      <c r="E1165" s="18"/>
      <c r="F1165" s="18"/>
      <c r="G1165" s="18"/>
      <c r="H1165" s="18"/>
      <c r="I1165" s="18"/>
      <c r="J1165" s="18"/>
      <c r="K1165" s="18"/>
      <c r="L1165" s="18"/>
      <c r="M1165" s="18"/>
      <c r="N1165" s="18"/>
      <c r="O1165" s="18"/>
      <c r="P1165" s="18"/>
      <c r="Q1165" s="18"/>
      <c r="R1165" s="18"/>
      <c r="S1165" s="18"/>
      <c r="T1165" s="18"/>
      <c r="U1165" s="18"/>
      <c r="V1165" s="18"/>
      <c r="W1165" s="18"/>
      <c r="X1165" s="18"/>
      <c r="Y1165" s="18"/>
      <c r="Z1165" s="18"/>
      <c r="AA1165" s="18"/>
      <c r="AB1165" s="18"/>
      <c r="AC1165" s="18"/>
      <c r="AD1165" s="18"/>
      <c r="AE1165" s="18"/>
      <c r="AF1165" s="18"/>
      <c r="AG1165" s="18"/>
      <c r="AH1165" s="18"/>
      <c r="AI1165" s="18"/>
      <c r="AJ1165" s="18"/>
      <c r="AK1165" s="18"/>
      <c r="AL1165" s="18"/>
      <c r="AM1165" s="18"/>
      <c r="AN1165" s="18"/>
      <c r="AO1165" s="18"/>
      <c r="AP1165" s="18"/>
      <c r="AQ1165" s="18"/>
      <c r="AR1165" s="18"/>
      <c r="AS1165" s="18"/>
      <c r="AT1165" s="18"/>
      <c r="AU1165" s="18"/>
      <c r="AV1165" s="18"/>
      <c r="AW1165" s="18"/>
      <c r="AX1165" s="18"/>
      <c r="AY1165" s="18"/>
      <c r="AZ1165" s="18"/>
      <c r="BA1165" s="18"/>
      <c r="BB1165" s="18"/>
      <c r="BC1165" s="18"/>
      <c r="BD1165" s="18"/>
      <c r="BE1165" s="18"/>
      <c r="BF1165" s="18"/>
      <c r="BG1165" s="18"/>
      <c r="BH1165" s="18"/>
      <c r="BI1165" s="18"/>
      <c r="BJ1165" s="18"/>
      <c r="BK1165" s="18"/>
      <c r="BL1165" s="18"/>
      <c r="BM1165" s="18"/>
      <c r="BN1165" s="18"/>
    </row>
    <row r="1166" spans="1:66">
      <c r="A1166" s="18"/>
      <c r="B1166" s="18"/>
      <c r="C1166" s="18"/>
      <c r="D1166" s="18"/>
      <c r="E1166" s="18"/>
      <c r="F1166" s="18"/>
      <c r="G1166" s="18"/>
      <c r="H1166" s="18"/>
      <c r="I1166" s="18"/>
      <c r="J1166" s="18"/>
      <c r="K1166" s="18"/>
      <c r="L1166" s="18"/>
      <c r="M1166" s="18"/>
      <c r="N1166" s="18"/>
      <c r="O1166" s="18"/>
      <c r="P1166" s="18"/>
      <c r="Q1166" s="18"/>
      <c r="R1166" s="18"/>
      <c r="S1166" s="18"/>
      <c r="T1166" s="18"/>
      <c r="U1166" s="18"/>
      <c r="V1166" s="18"/>
      <c r="W1166" s="18"/>
      <c r="X1166" s="18"/>
      <c r="Y1166" s="18"/>
      <c r="Z1166" s="18"/>
      <c r="AA1166" s="18"/>
      <c r="AB1166" s="18"/>
      <c r="AC1166" s="18"/>
      <c r="AD1166" s="18"/>
      <c r="AE1166" s="18"/>
      <c r="AF1166" s="18"/>
      <c r="AG1166" s="18"/>
      <c r="AH1166" s="18"/>
      <c r="AI1166" s="18"/>
      <c r="AJ1166" s="18"/>
      <c r="AK1166" s="18"/>
      <c r="AL1166" s="18"/>
      <c r="AM1166" s="18"/>
      <c r="AN1166" s="18"/>
      <c r="AO1166" s="18"/>
      <c r="AP1166" s="18"/>
      <c r="AQ1166" s="18"/>
      <c r="AR1166" s="18"/>
      <c r="AS1166" s="18"/>
      <c r="AT1166" s="18"/>
      <c r="AU1166" s="18"/>
      <c r="AV1166" s="18"/>
      <c r="AW1166" s="18"/>
      <c r="AX1166" s="18"/>
      <c r="AY1166" s="18"/>
      <c r="AZ1166" s="18"/>
      <c r="BA1166" s="18"/>
      <c r="BB1166" s="18"/>
      <c r="BC1166" s="18"/>
      <c r="BD1166" s="18"/>
      <c r="BE1166" s="18"/>
      <c r="BF1166" s="18"/>
      <c r="BG1166" s="18"/>
      <c r="BH1166" s="18"/>
      <c r="BI1166" s="18"/>
      <c r="BJ1166" s="18"/>
      <c r="BK1166" s="18"/>
      <c r="BL1166" s="18"/>
      <c r="BM1166" s="18"/>
      <c r="BN1166" s="18"/>
    </row>
    <row r="1167" spans="1:66">
      <c r="A1167" s="18"/>
      <c r="B1167" s="18"/>
      <c r="C1167" s="18"/>
      <c r="D1167" s="18"/>
      <c r="E1167" s="18"/>
      <c r="F1167" s="18"/>
      <c r="G1167" s="18"/>
      <c r="H1167" s="18"/>
      <c r="I1167" s="18"/>
      <c r="J1167" s="18"/>
      <c r="K1167" s="18"/>
      <c r="L1167" s="18"/>
      <c r="M1167" s="18"/>
      <c r="N1167" s="18"/>
      <c r="O1167" s="18"/>
      <c r="P1167" s="18"/>
      <c r="Q1167" s="18"/>
      <c r="R1167" s="18"/>
      <c r="S1167" s="18"/>
      <c r="T1167" s="18"/>
      <c r="U1167" s="18"/>
      <c r="V1167" s="18"/>
      <c r="W1167" s="18"/>
      <c r="X1167" s="18"/>
      <c r="Y1167" s="18"/>
      <c r="Z1167" s="18"/>
      <c r="AA1167" s="18"/>
      <c r="AB1167" s="18"/>
      <c r="AC1167" s="18"/>
      <c r="AD1167" s="18"/>
      <c r="AE1167" s="18"/>
      <c r="AF1167" s="18"/>
      <c r="AG1167" s="18"/>
      <c r="AH1167" s="18"/>
      <c r="AI1167" s="18"/>
      <c r="AJ1167" s="18"/>
      <c r="AK1167" s="18"/>
      <c r="AL1167" s="18"/>
      <c r="AM1167" s="18"/>
      <c r="AN1167" s="18"/>
      <c r="AO1167" s="18"/>
      <c r="AP1167" s="18"/>
      <c r="AQ1167" s="18"/>
      <c r="AR1167" s="18"/>
      <c r="AS1167" s="18"/>
      <c r="AT1167" s="18"/>
      <c r="AU1167" s="18"/>
      <c r="AV1167" s="18"/>
      <c r="AW1167" s="18"/>
      <c r="AX1167" s="18"/>
      <c r="AY1167" s="18"/>
      <c r="AZ1167" s="18"/>
      <c r="BA1167" s="18"/>
      <c r="BB1167" s="18"/>
      <c r="BC1167" s="18"/>
      <c r="BD1167" s="18"/>
      <c r="BE1167" s="18"/>
      <c r="BF1167" s="18"/>
      <c r="BG1167" s="18"/>
      <c r="BH1167" s="18"/>
      <c r="BI1167" s="18"/>
      <c r="BJ1167" s="18"/>
      <c r="BK1167" s="18"/>
      <c r="BL1167" s="18"/>
      <c r="BM1167" s="18"/>
      <c r="BN1167" s="18"/>
    </row>
    <row r="1168" spans="1:66">
      <c r="A1168" s="18"/>
      <c r="B1168" s="18"/>
      <c r="C1168" s="18"/>
      <c r="D1168" s="18"/>
      <c r="E1168" s="18"/>
      <c r="F1168" s="18"/>
      <c r="G1168" s="18"/>
      <c r="H1168" s="18"/>
      <c r="I1168" s="18"/>
      <c r="J1168" s="18"/>
      <c r="K1168" s="18"/>
      <c r="L1168" s="18"/>
      <c r="M1168" s="18"/>
      <c r="N1168" s="18"/>
      <c r="O1168" s="18"/>
      <c r="P1168" s="18"/>
      <c r="Q1168" s="18"/>
      <c r="R1168" s="18"/>
      <c r="S1168" s="18"/>
      <c r="T1168" s="18"/>
      <c r="U1168" s="18"/>
      <c r="V1168" s="18"/>
      <c r="W1168" s="18"/>
      <c r="X1168" s="18"/>
      <c r="Y1168" s="18"/>
      <c r="Z1168" s="18"/>
      <c r="AA1168" s="18"/>
      <c r="AB1168" s="18"/>
      <c r="AC1168" s="18"/>
      <c r="AD1168" s="18"/>
      <c r="AE1168" s="18"/>
      <c r="AF1168" s="18"/>
      <c r="AG1168" s="18"/>
      <c r="AH1168" s="18"/>
      <c r="AI1168" s="18"/>
      <c r="AJ1168" s="18"/>
      <c r="AK1168" s="18"/>
      <c r="AL1168" s="18"/>
      <c r="AM1168" s="18"/>
      <c r="AN1168" s="18"/>
      <c r="AO1168" s="18"/>
      <c r="AP1168" s="18"/>
      <c r="AQ1168" s="18"/>
      <c r="AR1168" s="18"/>
      <c r="AS1168" s="18"/>
      <c r="AT1168" s="18"/>
      <c r="AU1168" s="18"/>
      <c r="AV1168" s="18"/>
      <c r="AW1168" s="18"/>
      <c r="AX1168" s="18"/>
      <c r="AY1168" s="18"/>
      <c r="AZ1168" s="18"/>
      <c r="BA1168" s="18"/>
      <c r="BB1168" s="18"/>
      <c r="BC1168" s="18"/>
      <c r="BD1168" s="18"/>
      <c r="BE1168" s="18"/>
      <c r="BF1168" s="18"/>
      <c r="BG1168" s="18"/>
      <c r="BH1168" s="18"/>
      <c r="BI1168" s="18"/>
      <c r="BJ1168" s="18"/>
      <c r="BK1168" s="18"/>
      <c r="BL1168" s="18"/>
      <c r="BM1168" s="18"/>
      <c r="BN1168" s="18"/>
    </row>
    <row r="1169" spans="1:66">
      <c r="A1169" s="18"/>
      <c r="B1169" s="18"/>
      <c r="C1169" s="18"/>
      <c r="D1169" s="18"/>
      <c r="E1169" s="18"/>
      <c r="F1169" s="18"/>
      <c r="G1169" s="18"/>
      <c r="H1169" s="18"/>
      <c r="I1169" s="18"/>
      <c r="J1169" s="18"/>
      <c r="K1169" s="18"/>
      <c r="L1169" s="18"/>
      <c r="M1169" s="18"/>
      <c r="N1169" s="18"/>
      <c r="O1169" s="18"/>
      <c r="P1169" s="18"/>
      <c r="Q1169" s="18"/>
      <c r="R1169" s="18"/>
      <c r="S1169" s="18"/>
      <c r="T1169" s="18"/>
      <c r="U1169" s="18"/>
      <c r="V1169" s="18"/>
      <c r="W1169" s="18"/>
      <c r="X1169" s="18"/>
      <c r="Y1169" s="18"/>
      <c r="Z1169" s="18"/>
      <c r="AA1169" s="18"/>
      <c r="AB1169" s="18"/>
      <c r="AC1169" s="18"/>
      <c r="AD1169" s="18"/>
      <c r="AE1169" s="18"/>
      <c r="AF1169" s="18"/>
      <c r="AG1169" s="18"/>
      <c r="AH1169" s="18"/>
      <c r="AI1169" s="18"/>
      <c r="AJ1169" s="18"/>
      <c r="AK1169" s="18"/>
      <c r="AL1169" s="18"/>
      <c r="AM1169" s="18"/>
      <c r="AN1169" s="18"/>
      <c r="AO1169" s="18"/>
      <c r="AP1169" s="18"/>
      <c r="AQ1169" s="18"/>
      <c r="AR1169" s="18"/>
      <c r="AS1169" s="18"/>
      <c r="AT1169" s="18"/>
      <c r="AU1169" s="18"/>
      <c r="AV1169" s="18"/>
      <c r="AW1169" s="18"/>
      <c r="AX1169" s="18"/>
      <c r="AY1169" s="18"/>
      <c r="AZ1169" s="18"/>
      <c r="BA1169" s="18"/>
      <c r="BB1169" s="18"/>
      <c r="BC1169" s="18"/>
      <c r="BD1169" s="18"/>
      <c r="BE1169" s="18"/>
      <c r="BF1169" s="18"/>
      <c r="BG1169" s="18"/>
      <c r="BH1169" s="18"/>
      <c r="BI1169" s="18"/>
      <c r="BJ1169" s="18"/>
      <c r="BK1169" s="18"/>
      <c r="BL1169" s="18"/>
      <c r="BM1169" s="18"/>
      <c r="BN1169" s="18"/>
    </row>
    <row r="1170" spans="1:66">
      <c r="A1170" s="18"/>
      <c r="B1170" s="18"/>
      <c r="C1170" s="18"/>
      <c r="D1170" s="18"/>
      <c r="E1170" s="18"/>
      <c r="F1170" s="18"/>
      <c r="G1170" s="18"/>
      <c r="H1170" s="18"/>
      <c r="I1170" s="18"/>
      <c r="J1170" s="18"/>
      <c r="K1170" s="18"/>
      <c r="L1170" s="18"/>
      <c r="M1170" s="18"/>
      <c r="N1170" s="18"/>
      <c r="O1170" s="18"/>
      <c r="P1170" s="18"/>
      <c r="Q1170" s="18"/>
      <c r="R1170" s="18"/>
      <c r="S1170" s="18"/>
      <c r="T1170" s="18"/>
      <c r="U1170" s="18"/>
      <c r="V1170" s="18"/>
      <c r="W1170" s="18"/>
      <c r="X1170" s="18"/>
      <c r="Y1170" s="18"/>
      <c r="Z1170" s="18"/>
      <c r="AA1170" s="18"/>
      <c r="AB1170" s="18"/>
      <c r="AC1170" s="18"/>
      <c r="AD1170" s="18"/>
      <c r="AE1170" s="18"/>
      <c r="AF1170" s="18"/>
      <c r="AG1170" s="18"/>
      <c r="AH1170" s="18"/>
      <c r="AI1170" s="18"/>
      <c r="AJ1170" s="18"/>
      <c r="AK1170" s="18"/>
      <c r="AL1170" s="18"/>
      <c r="AM1170" s="18"/>
      <c r="AN1170" s="18"/>
      <c r="AO1170" s="18"/>
      <c r="AP1170" s="18"/>
      <c r="AQ1170" s="18"/>
      <c r="AR1170" s="18"/>
      <c r="AS1170" s="18"/>
      <c r="AT1170" s="18"/>
      <c r="AU1170" s="18"/>
      <c r="AV1170" s="18"/>
      <c r="AW1170" s="18"/>
      <c r="AX1170" s="18"/>
      <c r="AY1170" s="18"/>
      <c r="AZ1170" s="18"/>
      <c r="BA1170" s="18"/>
      <c r="BB1170" s="18"/>
      <c r="BC1170" s="18"/>
      <c r="BD1170" s="18"/>
      <c r="BE1170" s="18"/>
      <c r="BF1170" s="18"/>
      <c r="BG1170" s="18"/>
      <c r="BH1170" s="18"/>
      <c r="BI1170" s="18"/>
      <c r="BJ1170" s="18"/>
      <c r="BK1170" s="18"/>
      <c r="BL1170" s="18"/>
      <c r="BM1170" s="18"/>
      <c r="BN1170" s="18"/>
    </row>
    <row r="1171" spans="1:66">
      <c r="A1171" s="18"/>
      <c r="B1171" s="18"/>
      <c r="C1171" s="18"/>
      <c r="D1171" s="18"/>
      <c r="E1171" s="18"/>
      <c r="F1171" s="18"/>
      <c r="G1171" s="18"/>
      <c r="H1171" s="18"/>
      <c r="I1171" s="18"/>
      <c r="J1171" s="18"/>
      <c r="K1171" s="18"/>
      <c r="L1171" s="18"/>
      <c r="M1171" s="18"/>
      <c r="N1171" s="18"/>
      <c r="O1171" s="18"/>
      <c r="P1171" s="18"/>
      <c r="Q1171" s="18"/>
      <c r="R1171" s="18"/>
      <c r="S1171" s="18"/>
      <c r="T1171" s="18"/>
      <c r="U1171" s="18"/>
      <c r="V1171" s="18"/>
      <c r="W1171" s="18"/>
      <c r="X1171" s="18"/>
      <c r="Y1171" s="18"/>
      <c r="Z1171" s="18"/>
      <c r="AA1171" s="18"/>
      <c r="AB1171" s="18"/>
      <c r="AC1171" s="18"/>
      <c r="AD1171" s="18"/>
      <c r="AE1171" s="18"/>
      <c r="AF1171" s="18"/>
      <c r="AG1171" s="18"/>
      <c r="AH1171" s="18"/>
      <c r="AI1171" s="18"/>
      <c r="AJ1171" s="18"/>
      <c r="AK1171" s="18"/>
      <c r="AL1171" s="18"/>
      <c r="AM1171" s="18"/>
      <c r="AN1171" s="18"/>
      <c r="AO1171" s="18"/>
      <c r="AP1171" s="18"/>
      <c r="AQ1171" s="18"/>
      <c r="AR1171" s="18"/>
      <c r="AS1171" s="18"/>
      <c r="AT1171" s="18"/>
      <c r="AU1171" s="18"/>
      <c r="AV1171" s="18"/>
      <c r="AW1171" s="18"/>
      <c r="AX1171" s="18"/>
      <c r="AY1171" s="18"/>
      <c r="AZ1171" s="18"/>
      <c r="BA1171" s="18"/>
      <c r="BB1171" s="18"/>
      <c r="BC1171" s="18"/>
      <c r="BD1171" s="18"/>
      <c r="BE1171" s="18"/>
      <c r="BF1171" s="18"/>
      <c r="BG1171" s="18"/>
      <c r="BH1171" s="18"/>
      <c r="BI1171" s="18"/>
      <c r="BJ1171" s="18"/>
      <c r="BK1171" s="18"/>
      <c r="BL1171" s="18"/>
      <c r="BM1171" s="18"/>
      <c r="BN1171" s="18"/>
    </row>
    <row r="1172" spans="1:66">
      <c r="A1172" s="18"/>
      <c r="B1172" s="18"/>
      <c r="C1172" s="18"/>
      <c r="D1172" s="18"/>
      <c r="E1172" s="18"/>
      <c r="F1172" s="18"/>
      <c r="G1172" s="18"/>
      <c r="H1172" s="18"/>
      <c r="I1172" s="18"/>
      <c r="J1172" s="18"/>
      <c r="K1172" s="18"/>
      <c r="L1172" s="18"/>
      <c r="M1172" s="18"/>
      <c r="N1172" s="18"/>
      <c r="O1172" s="18"/>
      <c r="P1172" s="18"/>
      <c r="Q1172" s="18"/>
      <c r="R1172" s="18"/>
      <c r="S1172" s="18"/>
      <c r="T1172" s="18"/>
      <c r="U1172" s="18"/>
      <c r="V1172" s="18"/>
      <c r="W1172" s="18"/>
      <c r="X1172" s="18"/>
      <c r="Y1172" s="18"/>
      <c r="Z1172" s="18"/>
      <c r="AA1172" s="18"/>
      <c r="AB1172" s="18"/>
      <c r="AC1172" s="18"/>
      <c r="AD1172" s="18"/>
      <c r="AE1172" s="18"/>
      <c r="AF1172" s="18"/>
      <c r="AG1172" s="18"/>
      <c r="AH1172" s="18"/>
      <c r="AI1172" s="18"/>
      <c r="AJ1172" s="18"/>
      <c r="AK1172" s="18"/>
      <c r="AL1172" s="18"/>
      <c r="AM1172" s="18"/>
      <c r="AN1172" s="18"/>
      <c r="AO1172" s="18"/>
      <c r="AP1172" s="18"/>
      <c r="AQ1172" s="18"/>
      <c r="AR1172" s="18"/>
      <c r="AS1172" s="18"/>
      <c r="AT1172" s="18"/>
      <c r="AU1172" s="18"/>
      <c r="AV1172" s="18"/>
      <c r="AW1172" s="18"/>
      <c r="AX1172" s="18"/>
      <c r="AY1172" s="18"/>
      <c r="AZ1172" s="18"/>
      <c r="BA1172" s="18"/>
      <c r="BB1172" s="18"/>
      <c r="BC1172" s="18"/>
      <c r="BD1172" s="18"/>
      <c r="BE1172" s="18"/>
      <c r="BF1172" s="18"/>
      <c r="BG1172" s="18"/>
      <c r="BH1172" s="18"/>
      <c r="BI1172" s="18"/>
      <c r="BJ1172" s="18"/>
      <c r="BK1172" s="18"/>
      <c r="BL1172" s="18"/>
      <c r="BM1172" s="18"/>
      <c r="BN1172" s="18"/>
    </row>
    <row r="1173" spans="1:66">
      <c r="A1173" s="18"/>
      <c r="B1173" s="18"/>
      <c r="C1173" s="18"/>
      <c r="D1173" s="18"/>
      <c r="E1173" s="18"/>
      <c r="F1173" s="18"/>
      <c r="G1173" s="18"/>
      <c r="H1173" s="18"/>
      <c r="I1173" s="18"/>
      <c r="J1173" s="18"/>
      <c r="K1173" s="18"/>
      <c r="L1173" s="18"/>
      <c r="M1173" s="18"/>
      <c r="N1173" s="18"/>
      <c r="O1173" s="18"/>
      <c r="P1173" s="18"/>
      <c r="Q1173" s="18"/>
      <c r="R1173" s="18"/>
      <c r="S1173" s="18"/>
      <c r="T1173" s="18"/>
      <c r="U1173" s="18"/>
      <c r="V1173" s="18"/>
      <c r="W1173" s="18"/>
      <c r="X1173" s="18"/>
      <c r="Y1173" s="18"/>
      <c r="Z1173" s="18"/>
      <c r="AA1173" s="18"/>
      <c r="AB1173" s="18"/>
      <c r="AC1173" s="18"/>
      <c r="AD1173" s="18"/>
      <c r="AE1173" s="18"/>
      <c r="AF1173" s="18"/>
      <c r="AG1173" s="18"/>
      <c r="AH1173" s="18"/>
      <c r="AI1173" s="18"/>
      <c r="AJ1173" s="18"/>
      <c r="AK1173" s="18"/>
      <c r="AL1173" s="18"/>
      <c r="AM1173" s="18"/>
      <c r="AN1173" s="18"/>
      <c r="AO1173" s="18"/>
      <c r="AP1173" s="18"/>
      <c r="AQ1173" s="18"/>
      <c r="AR1173" s="18"/>
      <c r="AS1173" s="18"/>
      <c r="AT1173" s="18"/>
      <c r="AU1173" s="18"/>
      <c r="AV1173" s="18"/>
      <c r="AW1173" s="18"/>
      <c r="AX1173" s="18"/>
      <c r="AY1173" s="18"/>
      <c r="AZ1173" s="18"/>
      <c r="BA1173" s="18"/>
      <c r="BB1173" s="18"/>
      <c r="BC1173" s="18"/>
      <c r="BD1173" s="18"/>
      <c r="BE1173" s="18"/>
      <c r="BF1173" s="18"/>
      <c r="BG1173" s="18"/>
      <c r="BH1173" s="18"/>
      <c r="BI1173" s="18"/>
      <c r="BJ1173" s="18"/>
      <c r="BK1173" s="18"/>
      <c r="BL1173" s="18"/>
      <c r="BM1173" s="18"/>
      <c r="BN1173" s="18"/>
    </row>
    <row r="1174" spans="1:66">
      <c r="A1174" s="18"/>
      <c r="B1174" s="18"/>
      <c r="C1174" s="18"/>
      <c r="D1174" s="18"/>
      <c r="E1174" s="18"/>
      <c r="F1174" s="18"/>
      <c r="G1174" s="18"/>
      <c r="H1174" s="18"/>
      <c r="I1174" s="18"/>
      <c r="J1174" s="18"/>
      <c r="K1174" s="18"/>
      <c r="L1174" s="18"/>
      <c r="M1174" s="18"/>
      <c r="N1174" s="18"/>
      <c r="O1174" s="18"/>
      <c r="P1174" s="18"/>
      <c r="Q1174" s="18"/>
      <c r="R1174" s="18"/>
      <c r="S1174" s="18"/>
      <c r="T1174" s="18"/>
      <c r="U1174" s="18"/>
      <c r="V1174" s="18"/>
      <c r="W1174" s="18"/>
      <c r="X1174" s="18"/>
      <c r="Y1174" s="18"/>
      <c r="Z1174" s="18"/>
      <c r="AA1174" s="18"/>
      <c r="AB1174" s="18"/>
      <c r="AC1174" s="18"/>
      <c r="AD1174" s="18"/>
      <c r="AE1174" s="18"/>
      <c r="AF1174" s="18"/>
      <c r="AG1174" s="18"/>
      <c r="AH1174" s="18"/>
      <c r="AI1174" s="18"/>
      <c r="AJ1174" s="18"/>
      <c r="AK1174" s="18"/>
      <c r="AL1174" s="18"/>
      <c r="AM1174" s="18"/>
      <c r="AN1174" s="18"/>
      <c r="AO1174" s="18"/>
      <c r="AP1174" s="18"/>
      <c r="AQ1174" s="18"/>
      <c r="AR1174" s="18"/>
      <c r="AS1174" s="18"/>
      <c r="AT1174" s="18"/>
      <c r="AU1174" s="18"/>
      <c r="AV1174" s="18"/>
      <c r="AW1174" s="18"/>
      <c r="AX1174" s="18"/>
      <c r="AY1174" s="18"/>
      <c r="AZ1174" s="18"/>
      <c r="BA1174" s="18"/>
      <c r="BB1174" s="18"/>
      <c r="BC1174" s="18"/>
      <c r="BD1174" s="18"/>
      <c r="BE1174" s="18"/>
      <c r="BF1174" s="18"/>
      <c r="BG1174" s="18"/>
      <c r="BH1174" s="18"/>
      <c r="BI1174" s="18"/>
      <c r="BJ1174" s="18"/>
      <c r="BK1174" s="18"/>
      <c r="BL1174" s="18"/>
      <c r="BM1174" s="18"/>
      <c r="BN1174" s="18"/>
    </row>
    <row r="1175" spans="1:66">
      <c r="A1175" s="18"/>
      <c r="B1175" s="18"/>
      <c r="C1175" s="18"/>
      <c r="D1175" s="18"/>
      <c r="E1175" s="18"/>
      <c r="F1175" s="18"/>
      <c r="G1175" s="18"/>
      <c r="H1175" s="18"/>
      <c r="I1175" s="18"/>
      <c r="J1175" s="18"/>
      <c r="K1175" s="18"/>
      <c r="L1175" s="18"/>
      <c r="M1175" s="18"/>
      <c r="N1175" s="18"/>
      <c r="O1175" s="18"/>
      <c r="P1175" s="18"/>
      <c r="Q1175" s="18"/>
      <c r="R1175" s="18"/>
      <c r="S1175" s="18"/>
      <c r="T1175" s="18"/>
      <c r="U1175" s="18"/>
      <c r="V1175" s="18"/>
      <c r="W1175" s="18"/>
      <c r="X1175" s="18"/>
      <c r="Y1175" s="18"/>
      <c r="Z1175" s="18"/>
      <c r="AA1175" s="18"/>
      <c r="AB1175" s="18"/>
      <c r="AC1175" s="18"/>
      <c r="AD1175" s="18"/>
      <c r="AE1175" s="18"/>
      <c r="AF1175" s="18"/>
      <c r="AG1175" s="18"/>
      <c r="AH1175" s="18"/>
      <c r="AI1175" s="18"/>
      <c r="AJ1175" s="18"/>
      <c r="AK1175" s="18"/>
      <c r="AL1175" s="18"/>
      <c r="AM1175" s="18"/>
      <c r="AN1175" s="18"/>
      <c r="AO1175" s="18"/>
      <c r="AP1175" s="18"/>
      <c r="AQ1175" s="18"/>
      <c r="AR1175" s="18"/>
      <c r="AS1175" s="18"/>
      <c r="AT1175" s="18"/>
      <c r="AU1175" s="18"/>
      <c r="AV1175" s="18"/>
      <c r="AW1175" s="18"/>
      <c r="AX1175" s="18"/>
      <c r="AY1175" s="18"/>
      <c r="AZ1175" s="18"/>
      <c r="BA1175" s="18"/>
      <c r="BB1175" s="18"/>
      <c r="BC1175" s="18"/>
      <c r="BD1175" s="18"/>
      <c r="BE1175" s="18"/>
      <c r="BF1175" s="18"/>
      <c r="BG1175" s="18"/>
      <c r="BH1175" s="18"/>
      <c r="BI1175" s="18"/>
      <c r="BJ1175" s="18"/>
      <c r="BK1175" s="18"/>
      <c r="BL1175" s="18"/>
      <c r="BM1175" s="18"/>
      <c r="BN1175" s="18"/>
    </row>
    <row r="1176" spans="1:66">
      <c r="A1176" s="18"/>
      <c r="B1176" s="18"/>
      <c r="C1176" s="18"/>
      <c r="D1176" s="18"/>
      <c r="E1176" s="18"/>
      <c r="F1176" s="18"/>
      <c r="G1176" s="18"/>
      <c r="H1176" s="18"/>
      <c r="I1176" s="18"/>
      <c r="J1176" s="18"/>
      <c r="K1176" s="18"/>
      <c r="L1176" s="18"/>
      <c r="M1176" s="18"/>
      <c r="N1176" s="18"/>
      <c r="O1176" s="18"/>
      <c r="P1176" s="18"/>
      <c r="Q1176" s="18"/>
      <c r="R1176" s="18"/>
      <c r="S1176" s="18"/>
      <c r="T1176" s="18"/>
      <c r="U1176" s="18"/>
      <c r="V1176" s="18"/>
      <c r="W1176" s="18"/>
      <c r="X1176" s="18"/>
      <c r="Y1176" s="18"/>
      <c r="Z1176" s="18"/>
      <c r="AA1176" s="18"/>
      <c r="AB1176" s="18"/>
      <c r="AC1176" s="18"/>
      <c r="AD1176" s="18"/>
      <c r="AE1176" s="18"/>
      <c r="AF1176" s="18"/>
      <c r="AG1176" s="18"/>
      <c r="AH1176" s="18"/>
      <c r="AI1176" s="18"/>
      <c r="AJ1176" s="18"/>
      <c r="AK1176" s="18"/>
      <c r="AL1176" s="18"/>
      <c r="AM1176" s="18"/>
      <c r="AN1176" s="18"/>
      <c r="AO1176" s="18"/>
      <c r="AP1176" s="18"/>
      <c r="AQ1176" s="18"/>
      <c r="AR1176" s="18"/>
      <c r="AS1176" s="18"/>
      <c r="AT1176" s="18"/>
      <c r="AU1176" s="18"/>
      <c r="AV1176" s="18"/>
      <c r="AW1176" s="18"/>
      <c r="AX1176" s="18"/>
      <c r="AY1176" s="18"/>
      <c r="AZ1176" s="18"/>
      <c r="BA1176" s="18"/>
      <c r="BB1176" s="18"/>
      <c r="BC1176" s="18"/>
      <c r="BD1176" s="18"/>
      <c r="BE1176" s="18"/>
      <c r="BF1176" s="18"/>
      <c r="BG1176" s="18"/>
      <c r="BH1176" s="18"/>
      <c r="BI1176" s="18"/>
      <c r="BJ1176" s="18"/>
      <c r="BK1176" s="18"/>
      <c r="BL1176" s="18"/>
      <c r="BM1176" s="18"/>
      <c r="BN1176" s="18"/>
    </row>
    <row r="1177" spans="1:66">
      <c r="A1177" s="18"/>
      <c r="B1177" s="18"/>
      <c r="C1177" s="18"/>
      <c r="D1177" s="18"/>
      <c r="E1177" s="18"/>
      <c r="F1177" s="18"/>
      <c r="G1177" s="18"/>
      <c r="H1177" s="18"/>
      <c r="I1177" s="18"/>
      <c r="J1177" s="18"/>
      <c r="K1177" s="18"/>
      <c r="L1177" s="18"/>
      <c r="M1177" s="18"/>
      <c r="N1177" s="18"/>
      <c r="O1177" s="18"/>
      <c r="P1177" s="18"/>
      <c r="Q1177" s="18"/>
      <c r="R1177" s="18"/>
      <c r="S1177" s="18"/>
      <c r="T1177" s="18"/>
      <c r="U1177" s="18"/>
      <c r="V1177" s="18"/>
      <c r="W1177" s="18"/>
      <c r="X1177" s="18"/>
      <c r="Y1177" s="18"/>
      <c r="Z1177" s="18"/>
      <c r="AA1177" s="18"/>
      <c r="AB1177" s="18"/>
      <c r="AC1177" s="18"/>
      <c r="AD1177" s="18"/>
      <c r="AE1177" s="18"/>
      <c r="AF1177" s="18"/>
      <c r="AG1177" s="18"/>
      <c r="AH1177" s="18"/>
      <c r="AI1177" s="18"/>
      <c r="AJ1177" s="18"/>
      <c r="AK1177" s="18"/>
      <c r="AL1177" s="18"/>
      <c r="AM1177" s="18"/>
      <c r="AN1177" s="18"/>
      <c r="AO1177" s="18"/>
      <c r="AP1177" s="18"/>
      <c r="AQ1177" s="18"/>
      <c r="AR1177" s="18"/>
      <c r="AS1177" s="18"/>
      <c r="AT1177" s="18"/>
      <c r="AU1177" s="18"/>
      <c r="AV1177" s="18"/>
      <c r="AW1177" s="18"/>
      <c r="AX1177" s="18"/>
      <c r="AY1177" s="18"/>
      <c r="AZ1177" s="18"/>
      <c r="BA1177" s="18"/>
      <c r="BB1177" s="18"/>
      <c r="BC1177" s="18"/>
      <c r="BD1177" s="18"/>
      <c r="BE1177" s="18"/>
      <c r="BF1177" s="18"/>
      <c r="BG1177" s="18"/>
      <c r="BH1177" s="18"/>
      <c r="BI1177" s="18"/>
      <c r="BJ1177" s="18"/>
      <c r="BK1177" s="18"/>
      <c r="BL1177" s="18"/>
      <c r="BM1177" s="18"/>
      <c r="BN1177" s="18"/>
    </row>
    <row r="1178" spans="1:66">
      <c r="A1178" s="18"/>
      <c r="B1178" s="18"/>
      <c r="C1178" s="18"/>
      <c r="D1178" s="18"/>
      <c r="E1178" s="18"/>
      <c r="F1178" s="18"/>
      <c r="G1178" s="18"/>
      <c r="H1178" s="18"/>
      <c r="I1178" s="18"/>
      <c r="J1178" s="18"/>
      <c r="K1178" s="18"/>
      <c r="L1178" s="18"/>
      <c r="M1178" s="18"/>
      <c r="N1178" s="18"/>
      <c r="O1178" s="18"/>
      <c r="P1178" s="18"/>
      <c r="Q1178" s="18"/>
      <c r="R1178" s="18"/>
      <c r="S1178" s="18"/>
      <c r="T1178" s="18"/>
      <c r="U1178" s="18"/>
      <c r="V1178" s="18"/>
      <c r="W1178" s="18"/>
      <c r="X1178" s="18"/>
      <c r="Y1178" s="18"/>
      <c r="Z1178" s="18"/>
      <c r="AA1178" s="18"/>
      <c r="AB1178" s="18"/>
      <c r="AC1178" s="18"/>
      <c r="AD1178" s="18"/>
      <c r="AE1178" s="18"/>
      <c r="AF1178" s="18"/>
      <c r="AG1178" s="18"/>
      <c r="AH1178" s="18"/>
      <c r="AI1178" s="18"/>
      <c r="AJ1178" s="18"/>
      <c r="AK1178" s="18"/>
      <c r="AL1178" s="18"/>
      <c r="AM1178" s="18"/>
      <c r="AN1178" s="18"/>
      <c r="AO1178" s="18"/>
      <c r="AP1178" s="18"/>
      <c r="AQ1178" s="18"/>
      <c r="AR1178" s="18"/>
      <c r="AS1178" s="18"/>
      <c r="AT1178" s="18"/>
      <c r="AU1178" s="18"/>
      <c r="AV1178" s="18"/>
      <c r="AW1178" s="18"/>
      <c r="AX1178" s="18"/>
      <c r="AY1178" s="18"/>
      <c r="AZ1178" s="18"/>
      <c r="BA1178" s="18"/>
      <c r="BB1178" s="18"/>
      <c r="BC1178" s="18"/>
      <c r="BD1178" s="18"/>
      <c r="BE1178" s="18"/>
      <c r="BF1178" s="18"/>
      <c r="BG1178" s="18"/>
      <c r="BH1178" s="18"/>
      <c r="BI1178" s="18"/>
      <c r="BJ1178" s="18"/>
      <c r="BK1178" s="18"/>
      <c r="BL1178" s="18"/>
      <c r="BM1178" s="18"/>
      <c r="BN1178" s="18"/>
    </row>
    <row r="1179" spans="1:66">
      <c r="A1179" s="18"/>
      <c r="B1179" s="18"/>
      <c r="C1179" s="18"/>
      <c r="D1179" s="18"/>
      <c r="E1179" s="18"/>
      <c r="F1179" s="18"/>
      <c r="G1179" s="18"/>
      <c r="H1179" s="18"/>
      <c r="I1179" s="18"/>
      <c r="J1179" s="18"/>
      <c r="K1179" s="18"/>
      <c r="L1179" s="18"/>
      <c r="M1179" s="18"/>
      <c r="N1179" s="18"/>
      <c r="O1179" s="18"/>
      <c r="P1179" s="18"/>
      <c r="Q1179" s="18"/>
      <c r="R1179" s="18"/>
      <c r="S1179" s="18"/>
      <c r="T1179" s="18"/>
      <c r="U1179" s="18"/>
      <c r="V1179" s="18"/>
      <c r="W1179" s="18"/>
      <c r="X1179" s="18"/>
      <c r="Y1179" s="18"/>
      <c r="Z1179" s="18"/>
      <c r="AA1179" s="18"/>
      <c r="AB1179" s="18"/>
      <c r="AC1179" s="18"/>
      <c r="AD1179" s="18"/>
      <c r="AE1179" s="18"/>
      <c r="AF1179" s="18"/>
      <c r="AG1179" s="18"/>
      <c r="AH1179" s="18"/>
      <c r="AI1179" s="18"/>
      <c r="AJ1179" s="18"/>
      <c r="AK1179" s="18"/>
      <c r="AL1179" s="18"/>
      <c r="AM1179" s="18"/>
      <c r="AN1179" s="18"/>
      <c r="AO1179" s="18"/>
      <c r="AP1179" s="18"/>
      <c r="AQ1179" s="18"/>
      <c r="AR1179" s="18"/>
      <c r="AS1179" s="18"/>
      <c r="AT1179" s="18"/>
      <c r="AU1179" s="18"/>
      <c r="AV1179" s="18"/>
      <c r="AW1179" s="18"/>
      <c r="AX1179" s="18"/>
      <c r="AY1179" s="18"/>
      <c r="AZ1179" s="18"/>
      <c r="BA1179" s="18"/>
      <c r="BB1179" s="18"/>
      <c r="BC1179" s="18"/>
      <c r="BD1179" s="18"/>
      <c r="BE1179" s="18"/>
      <c r="BF1179" s="18"/>
      <c r="BG1179" s="18"/>
      <c r="BH1179" s="18"/>
      <c r="BI1179" s="18"/>
      <c r="BJ1179" s="18"/>
      <c r="BK1179" s="18"/>
      <c r="BL1179" s="18"/>
      <c r="BM1179" s="18"/>
      <c r="BN1179" s="18"/>
    </row>
    <row r="1180" spans="1:66">
      <c r="A1180" s="18"/>
      <c r="B1180" s="18"/>
      <c r="C1180" s="18"/>
      <c r="D1180" s="18"/>
      <c r="E1180" s="18"/>
      <c r="F1180" s="18"/>
      <c r="G1180" s="18"/>
      <c r="H1180" s="18"/>
      <c r="I1180" s="18"/>
      <c r="J1180" s="18"/>
      <c r="K1180" s="18"/>
      <c r="L1180" s="18"/>
      <c r="M1180" s="18"/>
      <c r="N1180" s="18"/>
      <c r="O1180" s="18"/>
      <c r="P1180" s="18"/>
      <c r="Q1180" s="18"/>
      <c r="R1180" s="18"/>
      <c r="S1180" s="18"/>
      <c r="T1180" s="18"/>
      <c r="U1180" s="18"/>
      <c r="V1180" s="18"/>
      <c r="W1180" s="18"/>
      <c r="X1180" s="18"/>
      <c r="Y1180" s="18"/>
      <c r="Z1180" s="18"/>
      <c r="AA1180" s="18"/>
      <c r="AB1180" s="18"/>
      <c r="AC1180" s="18"/>
      <c r="AD1180" s="18"/>
      <c r="AE1180" s="18"/>
      <c r="AF1180" s="18"/>
      <c r="AG1180" s="18"/>
      <c r="AH1180" s="18"/>
      <c r="AI1180" s="18"/>
      <c r="AJ1180" s="18"/>
      <c r="AK1180" s="18"/>
      <c r="AL1180" s="18"/>
      <c r="AM1180" s="18"/>
      <c r="AN1180" s="18"/>
      <c r="AO1180" s="18"/>
      <c r="AP1180" s="18"/>
      <c r="AQ1180" s="18"/>
      <c r="AR1180" s="18"/>
      <c r="AS1180" s="18"/>
      <c r="AT1180" s="18"/>
      <c r="AU1180" s="18"/>
      <c r="AV1180" s="18"/>
      <c r="AW1180" s="18"/>
      <c r="AX1180" s="18"/>
      <c r="AY1180" s="18"/>
      <c r="AZ1180" s="18"/>
      <c r="BA1180" s="18"/>
      <c r="BB1180" s="18"/>
      <c r="BC1180" s="18"/>
      <c r="BD1180" s="18"/>
      <c r="BE1180" s="18"/>
      <c r="BF1180" s="18"/>
      <c r="BG1180" s="18"/>
      <c r="BH1180" s="18"/>
      <c r="BI1180" s="18"/>
      <c r="BJ1180" s="18"/>
      <c r="BK1180" s="18"/>
      <c r="BL1180" s="18"/>
      <c r="BM1180" s="18"/>
      <c r="BN1180" s="18"/>
    </row>
    <row r="1181" spans="1:66">
      <c r="A1181" s="18"/>
      <c r="B1181" s="18"/>
      <c r="C1181" s="18"/>
      <c r="D1181" s="18"/>
      <c r="E1181" s="18"/>
      <c r="F1181" s="18"/>
      <c r="G1181" s="18"/>
      <c r="H1181" s="18"/>
      <c r="I1181" s="18"/>
      <c r="J1181" s="18"/>
      <c r="K1181" s="18"/>
      <c r="L1181" s="18"/>
      <c r="M1181" s="18"/>
      <c r="N1181" s="18"/>
      <c r="O1181" s="18"/>
      <c r="P1181" s="18"/>
      <c r="Q1181" s="18"/>
      <c r="R1181" s="18"/>
      <c r="S1181" s="18"/>
      <c r="T1181" s="18"/>
      <c r="U1181" s="18"/>
      <c r="V1181" s="18"/>
      <c r="W1181" s="18"/>
      <c r="X1181" s="18"/>
      <c r="Y1181" s="18"/>
      <c r="Z1181" s="18"/>
      <c r="AA1181" s="18"/>
      <c r="AB1181" s="18"/>
      <c r="AC1181" s="18"/>
      <c r="AD1181" s="18"/>
      <c r="AE1181" s="18"/>
      <c r="AF1181" s="18"/>
      <c r="AG1181" s="18"/>
      <c r="AH1181" s="18"/>
      <c r="AI1181" s="18"/>
      <c r="AJ1181" s="18"/>
      <c r="AK1181" s="18"/>
      <c r="AL1181" s="18"/>
      <c r="AM1181" s="18"/>
      <c r="AN1181" s="18"/>
      <c r="AO1181" s="18"/>
      <c r="AP1181" s="18"/>
      <c r="AQ1181" s="18"/>
      <c r="AR1181" s="18"/>
      <c r="AS1181" s="18"/>
      <c r="AT1181" s="18"/>
      <c r="AU1181" s="18"/>
      <c r="AV1181" s="18"/>
      <c r="AW1181" s="18"/>
      <c r="AX1181" s="18"/>
      <c r="AY1181" s="18"/>
      <c r="AZ1181" s="18"/>
      <c r="BA1181" s="18"/>
      <c r="BB1181" s="18"/>
      <c r="BC1181" s="18"/>
      <c r="BD1181" s="18"/>
      <c r="BE1181" s="18"/>
      <c r="BF1181" s="18"/>
      <c r="BG1181" s="18"/>
      <c r="BH1181" s="18"/>
      <c r="BI1181" s="18"/>
      <c r="BJ1181" s="18"/>
      <c r="BK1181" s="18"/>
      <c r="BL1181" s="18"/>
      <c r="BM1181" s="18"/>
      <c r="BN1181" s="18"/>
    </row>
    <row r="1182" spans="1:66">
      <c r="A1182" s="18"/>
      <c r="B1182" s="18"/>
      <c r="C1182" s="18"/>
      <c r="D1182" s="18"/>
      <c r="E1182" s="18"/>
      <c r="F1182" s="18"/>
      <c r="G1182" s="18"/>
      <c r="H1182" s="18"/>
      <c r="I1182" s="18"/>
      <c r="J1182" s="18"/>
      <c r="K1182" s="18"/>
      <c r="L1182" s="18"/>
      <c r="M1182" s="18"/>
      <c r="N1182" s="18"/>
      <c r="O1182" s="18"/>
      <c r="P1182" s="18"/>
      <c r="Q1182" s="18"/>
      <c r="R1182" s="18"/>
      <c r="S1182" s="18"/>
      <c r="T1182" s="18"/>
      <c r="U1182" s="18"/>
      <c r="V1182" s="18"/>
      <c r="W1182" s="18"/>
      <c r="X1182" s="18"/>
      <c r="Y1182" s="18"/>
      <c r="Z1182" s="18"/>
      <c r="AA1182" s="18"/>
      <c r="AB1182" s="18"/>
      <c r="AC1182" s="18"/>
      <c r="AD1182" s="18"/>
      <c r="AE1182" s="18"/>
      <c r="AF1182" s="18"/>
      <c r="AG1182" s="18"/>
      <c r="AH1182" s="18"/>
      <c r="AI1182" s="18"/>
      <c r="AJ1182" s="18"/>
      <c r="AK1182" s="18"/>
      <c r="AL1182" s="18"/>
      <c r="AM1182" s="18"/>
      <c r="AN1182" s="18"/>
      <c r="AO1182" s="18"/>
      <c r="AP1182" s="18"/>
      <c r="AQ1182" s="18"/>
      <c r="AR1182" s="18"/>
      <c r="AS1182" s="18"/>
      <c r="AT1182" s="18"/>
      <c r="AU1182" s="18"/>
      <c r="AV1182" s="18"/>
      <c r="AW1182" s="18"/>
      <c r="AX1182" s="18"/>
      <c r="AY1182" s="18"/>
      <c r="AZ1182" s="18"/>
      <c r="BA1182" s="18"/>
      <c r="BB1182" s="18"/>
      <c r="BC1182" s="18"/>
      <c r="BD1182" s="18"/>
      <c r="BE1182" s="18"/>
      <c r="BF1182" s="18"/>
      <c r="BG1182" s="18"/>
      <c r="BH1182" s="18"/>
      <c r="BI1182" s="18"/>
      <c r="BJ1182" s="18"/>
      <c r="BK1182" s="18"/>
      <c r="BL1182" s="18"/>
      <c r="BM1182" s="18"/>
      <c r="BN1182" s="18"/>
    </row>
    <row r="1183" spans="1:66">
      <c r="A1183" s="18"/>
      <c r="B1183" s="18"/>
      <c r="C1183" s="18"/>
      <c r="D1183" s="18"/>
      <c r="E1183" s="18"/>
      <c r="F1183" s="18"/>
      <c r="G1183" s="18"/>
      <c r="H1183" s="18"/>
      <c r="I1183" s="18"/>
      <c r="J1183" s="18"/>
      <c r="K1183" s="18"/>
      <c r="L1183" s="18"/>
      <c r="M1183" s="18"/>
      <c r="N1183" s="18"/>
      <c r="O1183" s="18"/>
      <c r="P1183" s="18"/>
      <c r="Q1183" s="18"/>
      <c r="R1183" s="18"/>
      <c r="S1183" s="18"/>
      <c r="T1183" s="18"/>
      <c r="U1183" s="18"/>
      <c r="V1183" s="18"/>
      <c r="W1183" s="18"/>
      <c r="X1183" s="18"/>
      <c r="Y1183" s="18"/>
      <c r="Z1183" s="18"/>
      <c r="AA1183" s="18"/>
      <c r="AB1183" s="18"/>
      <c r="AC1183" s="18"/>
      <c r="AD1183" s="18"/>
      <c r="AE1183" s="18"/>
      <c r="AF1183" s="18"/>
      <c r="AG1183" s="18"/>
      <c r="AH1183" s="18"/>
      <c r="AI1183" s="18"/>
      <c r="AJ1183" s="18"/>
      <c r="AK1183" s="18"/>
      <c r="AL1183" s="18"/>
      <c r="AM1183" s="18"/>
      <c r="AN1183" s="18"/>
      <c r="AO1183" s="18"/>
      <c r="AP1183" s="18"/>
      <c r="AQ1183" s="18"/>
      <c r="AR1183" s="18"/>
      <c r="AS1183" s="18"/>
      <c r="AT1183" s="18"/>
      <c r="AU1183" s="18"/>
      <c r="AV1183" s="18"/>
      <c r="AW1183" s="18"/>
      <c r="AX1183" s="18"/>
      <c r="AY1183" s="18"/>
      <c r="AZ1183" s="18"/>
      <c r="BA1183" s="18"/>
      <c r="BB1183" s="18"/>
      <c r="BC1183" s="18"/>
      <c r="BD1183" s="18"/>
      <c r="BE1183" s="18"/>
      <c r="BF1183" s="18"/>
      <c r="BG1183" s="18"/>
      <c r="BH1183" s="18"/>
      <c r="BI1183" s="18"/>
      <c r="BJ1183" s="18"/>
      <c r="BK1183" s="18"/>
      <c r="BL1183" s="18"/>
      <c r="BM1183" s="18"/>
      <c r="BN1183" s="18"/>
    </row>
    <row r="1184" spans="1:66">
      <c r="A1184" s="18"/>
      <c r="B1184" s="18"/>
      <c r="C1184" s="18"/>
      <c r="D1184" s="18"/>
      <c r="E1184" s="18"/>
      <c r="F1184" s="18"/>
      <c r="G1184" s="18"/>
      <c r="H1184" s="18"/>
      <c r="I1184" s="18"/>
      <c r="J1184" s="18"/>
      <c r="K1184" s="18"/>
      <c r="L1184" s="18"/>
      <c r="M1184" s="18"/>
      <c r="N1184" s="18"/>
      <c r="O1184" s="18"/>
      <c r="P1184" s="18"/>
      <c r="Q1184" s="18"/>
      <c r="R1184" s="18"/>
      <c r="S1184" s="18"/>
      <c r="T1184" s="18"/>
      <c r="U1184" s="18"/>
      <c r="V1184" s="18"/>
      <c r="W1184" s="18"/>
      <c r="X1184" s="18"/>
      <c r="Y1184" s="18"/>
      <c r="Z1184" s="18"/>
      <c r="AA1184" s="18"/>
      <c r="AB1184" s="18"/>
      <c r="AC1184" s="18"/>
      <c r="AD1184" s="18"/>
      <c r="AE1184" s="18"/>
      <c r="AF1184" s="18"/>
      <c r="AG1184" s="18"/>
      <c r="AH1184" s="18"/>
      <c r="AI1184" s="18"/>
      <c r="AJ1184" s="18"/>
      <c r="AK1184" s="18"/>
      <c r="AL1184" s="18"/>
      <c r="AM1184" s="18"/>
      <c r="AN1184" s="18"/>
      <c r="AO1184" s="18"/>
      <c r="AP1184" s="18"/>
      <c r="AQ1184" s="18"/>
      <c r="AR1184" s="18"/>
      <c r="AS1184" s="18"/>
      <c r="AT1184" s="18"/>
      <c r="AU1184" s="18"/>
      <c r="AV1184" s="18"/>
      <c r="AW1184" s="18"/>
      <c r="AX1184" s="18"/>
      <c r="AY1184" s="18"/>
      <c r="AZ1184" s="18"/>
      <c r="BA1184" s="18"/>
      <c r="BB1184" s="18"/>
      <c r="BC1184" s="18"/>
      <c r="BD1184" s="18"/>
      <c r="BE1184" s="18"/>
      <c r="BF1184" s="18"/>
      <c r="BG1184" s="18"/>
      <c r="BH1184" s="18"/>
      <c r="BI1184" s="18"/>
      <c r="BJ1184" s="18"/>
      <c r="BK1184" s="18"/>
      <c r="BL1184" s="18"/>
      <c r="BM1184" s="18"/>
      <c r="BN1184" s="18"/>
    </row>
    <row r="1185" spans="1:66">
      <c r="A1185" s="18"/>
      <c r="B1185" s="18"/>
      <c r="C1185" s="18"/>
      <c r="D1185" s="18"/>
      <c r="E1185" s="18"/>
      <c r="F1185" s="18"/>
      <c r="G1185" s="18"/>
      <c r="H1185" s="18"/>
      <c r="I1185" s="18"/>
      <c r="J1185" s="18"/>
      <c r="K1185" s="18"/>
      <c r="L1185" s="18"/>
      <c r="M1185" s="18"/>
      <c r="N1185" s="18"/>
      <c r="O1185" s="18"/>
      <c r="P1185" s="18"/>
      <c r="Q1185" s="18"/>
      <c r="R1185" s="18"/>
      <c r="S1185" s="18"/>
      <c r="T1185" s="18"/>
      <c r="U1185" s="18"/>
      <c r="V1185" s="18"/>
      <c r="W1185" s="18"/>
      <c r="X1185" s="18"/>
      <c r="Y1185" s="18"/>
      <c r="Z1185" s="18"/>
      <c r="AA1185" s="18"/>
      <c r="AB1185" s="18"/>
      <c r="AC1185" s="18"/>
      <c r="AD1185" s="18"/>
      <c r="AE1185" s="18"/>
      <c r="AF1185" s="18"/>
      <c r="AG1185" s="18"/>
      <c r="AH1185" s="18"/>
      <c r="AI1185" s="18"/>
      <c r="AJ1185" s="18"/>
      <c r="AK1185" s="18"/>
      <c r="AL1185" s="18"/>
      <c r="AM1185" s="18"/>
      <c r="AN1185" s="18"/>
      <c r="AO1185" s="18"/>
      <c r="AP1185" s="18"/>
      <c r="AQ1185" s="18"/>
      <c r="AR1185" s="18"/>
      <c r="AS1185" s="18"/>
      <c r="AT1185" s="18"/>
      <c r="AU1185" s="18"/>
      <c r="AV1185" s="18"/>
      <c r="AW1185" s="18"/>
      <c r="AX1185" s="18"/>
      <c r="AY1185" s="18"/>
      <c r="AZ1185" s="18"/>
      <c r="BA1185" s="18"/>
      <c r="BB1185" s="18"/>
      <c r="BC1185" s="18"/>
      <c r="BD1185" s="18"/>
      <c r="BE1185" s="18"/>
      <c r="BF1185" s="18"/>
      <c r="BG1185" s="18"/>
      <c r="BH1185" s="18"/>
      <c r="BI1185" s="18"/>
      <c r="BJ1185" s="18"/>
      <c r="BK1185" s="18"/>
      <c r="BL1185" s="18"/>
      <c r="BM1185" s="18"/>
      <c r="BN1185" s="18"/>
    </row>
    <row r="1186" spans="1:66">
      <c r="A1186" s="18"/>
      <c r="B1186" s="18"/>
      <c r="C1186" s="18"/>
      <c r="D1186" s="18"/>
      <c r="E1186" s="18"/>
      <c r="F1186" s="18"/>
      <c r="G1186" s="18"/>
      <c r="H1186" s="18"/>
      <c r="I1186" s="18"/>
      <c r="J1186" s="18"/>
      <c r="K1186" s="18"/>
      <c r="L1186" s="18"/>
      <c r="M1186" s="18"/>
      <c r="N1186" s="18"/>
      <c r="O1186" s="18"/>
      <c r="P1186" s="18"/>
      <c r="Q1186" s="18"/>
      <c r="R1186" s="18"/>
      <c r="S1186" s="18"/>
      <c r="T1186" s="18"/>
      <c r="U1186" s="18"/>
      <c r="V1186" s="18"/>
      <c r="W1186" s="18"/>
      <c r="X1186" s="18"/>
      <c r="Y1186" s="18"/>
      <c r="Z1186" s="18"/>
      <c r="AA1186" s="18"/>
      <c r="AB1186" s="18"/>
      <c r="AC1186" s="18"/>
      <c r="AD1186" s="18"/>
      <c r="AE1186" s="18"/>
      <c r="AF1186" s="18"/>
      <c r="AG1186" s="18"/>
      <c r="AH1186" s="18"/>
      <c r="AI1186" s="18"/>
      <c r="AJ1186" s="18"/>
      <c r="AK1186" s="18"/>
      <c r="AL1186" s="18"/>
      <c r="AM1186" s="18"/>
      <c r="AN1186" s="18"/>
      <c r="AO1186" s="18"/>
      <c r="AP1186" s="18"/>
      <c r="AQ1186" s="18"/>
      <c r="AR1186" s="18"/>
      <c r="AS1186" s="18"/>
      <c r="AT1186" s="18"/>
      <c r="AU1186" s="18"/>
      <c r="AV1186" s="18"/>
      <c r="AW1186" s="18"/>
      <c r="AX1186" s="18"/>
      <c r="AY1186" s="18"/>
      <c r="AZ1186" s="18"/>
      <c r="BA1186" s="18"/>
      <c r="BB1186" s="18"/>
      <c r="BC1186" s="18"/>
      <c r="BD1186" s="18"/>
      <c r="BE1186" s="18"/>
      <c r="BF1186" s="18"/>
      <c r="BG1186" s="18"/>
      <c r="BH1186" s="18"/>
      <c r="BI1186" s="18"/>
      <c r="BJ1186" s="18"/>
      <c r="BK1186" s="18"/>
      <c r="BL1186" s="18"/>
      <c r="BM1186" s="18"/>
      <c r="BN1186" s="18"/>
    </row>
    <row r="1187" spans="1:66">
      <c r="A1187" s="18"/>
      <c r="B1187" s="18"/>
      <c r="C1187" s="18"/>
      <c r="D1187" s="18"/>
      <c r="E1187" s="18"/>
      <c r="F1187" s="18"/>
      <c r="G1187" s="18"/>
      <c r="H1187" s="18"/>
      <c r="I1187" s="18"/>
      <c r="J1187" s="18"/>
      <c r="K1187" s="18"/>
      <c r="L1187" s="18"/>
      <c r="M1187" s="18"/>
      <c r="N1187" s="18"/>
      <c r="O1187" s="18"/>
      <c r="P1187" s="18"/>
      <c r="Q1187" s="18"/>
      <c r="R1187" s="18"/>
      <c r="S1187" s="18"/>
      <c r="T1187" s="18"/>
      <c r="U1187" s="18"/>
      <c r="V1187" s="18"/>
      <c r="W1187" s="18"/>
      <c r="X1187" s="18"/>
      <c r="Y1187" s="18"/>
      <c r="Z1187" s="18"/>
      <c r="AA1187" s="18"/>
      <c r="AB1187" s="18"/>
      <c r="AC1187" s="18"/>
      <c r="AD1187" s="18"/>
      <c r="AE1187" s="18"/>
      <c r="AF1187" s="18"/>
      <c r="AG1187" s="18"/>
      <c r="AH1187" s="18"/>
      <c r="AI1187" s="18"/>
      <c r="AJ1187" s="18"/>
      <c r="AK1187" s="18"/>
      <c r="AL1187" s="18"/>
      <c r="AM1187" s="18"/>
      <c r="AN1187" s="18"/>
      <c r="AO1187" s="18"/>
      <c r="AP1187" s="18"/>
      <c r="AQ1187" s="18"/>
      <c r="AR1187" s="18"/>
      <c r="AS1187" s="18"/>
      <c r="AT1187" s="18"/>
      <c r="AU1187" s="18"/>
      <c r="AV1187" s="18"/>
      <c r="AW1187" s="18"/>
      <c r="AX1187" s="18"/>
      <c r="AY1187" s="18"/>
      <c r="AZ1187" s="18"/>
      <c r="BA1187" s="18"/>
      <c r="BB1187" s="18"/>
      <c r="BC1187" s="18"/>
      <c r="BD1187" s="18"/>
      <c r="BE1187" s="18"/>
      <c r="BF1187" s="18"/>
      <c r="BG1187" s="18"/>
      <c r="BH1187" s="18"/>
      <c r="BI1187" s="18"/>
      <c r="BJ1187" s="18"/>
      <c r="BK1187" s="18"/>
      <c r="BL1187" s="18"/>
      <c r="BM1187" s="18"/>
      <c r="BN1187" s="18"/>
    </row>
    <row r="1188" spans="1:66">
      <c r="A1188" s="18"/>
      <c r="B1188" s="18"/>
      <c r="C1188" s="18"/>
      <c r="D1188" s="18"/>
      <c r="E1188" s="18"/>
      <c r="F1188" s="18"/>
      <c r="G1188" s="18"/>
      <c r="H1188" s="18"/>
      <c r="I1188" s="18"/>
      <c r="J1188" s="18"/>
      <c r="K1188" s="18"/>
      <c r="L1188" s="18"/>
      <c r="M1188" s="18"/>
      <c r="N1188" s="18"/>
      <c r="O1188" s="18"/>
      <c r="P1188" s="18"/>
      <c r="Q1188" s="18"/>
      <c r="R1188" s="18"/>
      <c r="S1188" s="18"/>
      <c r="T1188" s="18"/>
      <c r="U1188" s="18"/>
      <c r="V1188" s="18"/>
      <c r="W1188" s="18"/>
      <c r="X1188" s="18"/>
      <c r="Y1188" s="18"/>
      <c r="Z1188" s="18"/>
      <c r="AA1188" s="18"/>
      <c r="AB1188" s="18"/>
      <c r="AC1188" s="18"/>
      <c r="AD1188" s="18"/>
      <c r="AE1188" s="18"/>
      <c r="AF1188" s="18"/>
      <c r="AG1188" s="18"/>
      <c r="AH1188" s="18"/>
      <c r="AI1188" s="18"/>
      <c r="AJ1188" s="18"/>
      <c r="AK1188" s="18"/>
      <c r="AL1188" s="18"/>
      <c r="AM1188" s="18"/>
      <c r="AN1188" s="18"/>
      <c r="AO1188" s="18"/>
      <c r="AP1188" s="18"/>
      <c r="AQ1188" s="18"/>
      <c r="AR1188" s="18"/>
      <c r="AS1188" s="18"/>
      <c r="AT1188" s="18"/>
      <c r="AU1188" s="18"/>
      <c r="AV1188" s="18"/>
      <c r="AW1188" s="18"/>
      <c r="AX1188" s="18"/>
      <c r="AY1188" s="18"/>
      <c r="AZ1188" s="18"/>
      <c r="BA1188" s="18"/>
      <c r="BB1188" s="18"/>
      <c r="BC1188" s="18"/>
      <c r="BD1188" s="18"/>
      <c r="BE1188" s="18"/>
      <c r="BF1188" s="18"/>
      <c r="BG1188" s="18"/>
      <c r="BH1188" s="18"/>
      <c r="BI1188" s="18"/>
      <c r="BJ1188" s="18"/>
      <c r="BK1188" s="18"/>
      <c r="BL1188" s="18"/>
      <c r="BM1188" s="18"/>
      <c r="BN1188" s="18"/>
    </row>
    <row r="1189" spans="1:66">
      <c r="A1189" s="18"/>
      <c r="B1189" s="18"/>
      <c r="C1189" s="18"/>
      <c r="D1189" s="18"/>
      <c r="E1189" s="18"/>
      <c r="F1189" s="18"/>
      <c r="G1189" s="18"/>
      <c r="H1189" s="18"/>
      <c r="I1189" s="18"/>
      <c r="J1189" s="18"/>
      <c r="K1189" s="18"/>
      <c r="L1189" s="18"/>
      <c r="M1189" s="18"/>
      <c r="N1189" s="18"/>
      <c r="O1189" s="18"/>
      <c r="P1189" s="18"/>
      <c r="Q1189" s="18"/>
      <c r="R1189" s="18"/>
      <c r="S1189" s="18"/>
      <c r="T1189" s="18"/>
      <c r="U1189" s="18"/>
      <c r="V1189" s="18"/>
      <c r="W1189" s="18"/>
      <c r="X1189" s="18"/>
      <c r="Y1189" s="18"/>
      <c r="Z1189" s="18"/>
      <c r="AA1189" s="18"/>
      <c r="AB1189" s="18"/>
      <c r="AC1189" s="18"/>
      <c r="AD1189" s="18"/>
      <c r="AE1189" s="18"/>
      <c r="AF1189" s="18"/>
      <c r="AG1189" s="18"/>
      <c r="AH1189" s="18"/>
      <c r="AI1189" s="18"/>
      <c r="AJ1189" s="18"/>
      <c r="AK1189" s="18"/>
      <c r="AL1189" s="18"/>
      <c r="AM1189" s="18"/>
      <c r="AN1189" s="18"/>
      <c r="AO1189" s="18"/>
      <c r="AP1189" s="18"/>
      <c r="AQ1189" s="18"/>
      <c r="AR1189" s="18"/>
      <c r="AS1189" s="18"/>
      <c r="AT1189" s="18"/>
      <c r="AU1189" s="18"/>
      <c r="AV1189" s="18"/>
      <c r="AW1189" s="18"/>
      <c r="AX1189" s="18"/>
      <c r="AY1189" s="18"/>
      <c r="AZ1189" s="18"/>
      <c r="BA1189" s="18"/>
      <c r="BB1189" s="18"/>
      <c r="BC1189" s="18"/>
      <c r="BD1189" s="18"/>
      <c r="BE1189" s="18"/>
      <c r="BF1189" s="18"/>
      <c r="BG1189" s="18"/>
      <c r="BH1189" s="18"/>
      <c r="BI1189" s="18"/>
      <c r="BJ1189" s="18"/>
      <c r="BK1189" s="18"/>
      <c r="BL1189" s="18"/>
      <c r="BM1189" s="18"/>
      <c r="BN1189" s="18"/>
    </row>
    <row r="1190" spans="1:66">
      <c r="A1190" s="18"/>
      <c r="B1190" s="18"/>
      <c r="C1190" s="18"/>
      <c r="D1190" s="18"/>
      <c r="E1190" s="18"/>
      <c r="F1190" s="18"/>
      <c r="G1190" s="18"/>
      <c r="H1190" s="18"/>
      <c r="I1190" s="18"/>
      <c r="J1190" s="18"/>
      <c r="K1190" s="18"/>
      <c r="L1190" s="18"/>
      <c r="M1190" s="18"/>
      <c r="N1190" s="18"/>
      <c r="O1190" s="18"/>
      <c r="P1190" s="18"/>
      <c r="Q1190" s="18"/>
      <c r="R1190" s="18"/>
      <c r="S1190" s="18"/>
      <c r="T1190" s="18"/>
      <c r="U1190" s="18"/>
      <c r="V1190" s="18"/>
      <c r="W1190" s="18"/>
      <c r="X1190" s="18"/>
      <c r="Y1190" s="18"/>
      <c r="Z1190" s="18"/>
      <c r="AA1190" s="18"/>
      <c r="AB1190" s="18"/>
      <c r="AC1190" s="18"/>
      <c r="AD1190" s="18"/>
      <c r="AE1190" s="18"/>
      <c r="AF1190" s="18"/>
      <c r="AG1190" s="18"/>
      <c r="AH1190" s="18"/>
      <c r="AI1190" s="18"/>
      <c r="AJ1190" s="18"/>
      <c r="AK1190" s="18"/>
      <c r="AL1190" s="18"/>
      <c r="AM1190" s="18"/>
      <c r="AN1190" s="18"/>
      <c r="AO1190" s="18"/>
      <c r="AP1190" s="18"/>
      <c r="AQ1190" s="18"/>
      <c r="AR1190" s="18"/>
      <c r="AS1190" s="18"/>
      <c r="AT1190" s="18"/>
      <c r="AU1190" s="18"/>
      <c r="AV1190" s="18"/>
      <c r="AW1190" s="18"/>
      <c r="AX1190" s="18"/>
      <c r="AY1190" s="18"/>
      <c r="AZ1190" s="18"/>
      <c r="BA1190" s="18"/>
      <c r="BB1190" s="18"/>
      <c r="BC1190" s="18"/>
      <c r="BD1190" s="18"/>
      <c r="BE1190" s="18"/>
      <c r="BF1190" s="18"/>
      <c r="BG1190" s="18"/>
      <c r="BH1190" s="18"/>
      <c r="BI1190" s="18"/>
      <c r="BJ1190" s="18"/>
      <c r="BK1190" s="18"/>
      <c r="BL1190" s="18"/>
      <c r="BM1190" s="18"/>
      <c r="BN1190" s="18"/>
    </row>
    <row r="1191" spans="1:66">
      <c r="A1191" s="18"/>
      <c r="B1191" s="18"/>
      <c r="C1191" s="18"/>
      <c r="D1191" s="18"/>
      <c r="E1191" s="18"/>
      <c r="F1191" s="18"/>
      <c r="G1191" s="18"/>
      <c r="H1191" s="18"/>
      <c r="I1191" s="18"/>
      <c r="J1191" s="18"/>
      <c r="K1191" s="18"/>
      <c r="L1191" s="18"/>
      <c r="M1191" s="18"/>
      <c r="N1191" s="18"/>
      <c r="O1191" s="18"/>
      <c r="P1191" s="18"/>
      <c r="Q1191" s="18"/>
      <c r="R1191" s="18"/>
      <c r="S1191" s="18"/>
      <c r="T1191" s="18"/>
      <c r="U1191" s="18"/>
      <c r="V1191" s="18"/>
      <c r="W1191" s="18"/>
      <c r="X1191" s="18"/>
      <c r="Y1191" s="18"/>
      <c r="Z1191" s="18"/>
      <c r="AA1191" s="18"/>
      <c r="AB1191" s="18"/>
      <c r="AC1191" s="18"/>
      <c r="AD1191" s="18"/>
      <c r="AE1191" s="18"/>
      <c r="AF1191" s="18"/>
      <c r="AG1191" s="18"/>
      <c r="AH1191" s="18"/>
      <c r="AI1191" s="18"/>
      <c r="AJ1191" s="18"/>
      <c r="AK1191" s="18"/>
      <c r="AL1191" s="18"/>
      <c r="AM1191" s="18"/>
      <c r="AN1191" s="18"/>
      <c r="AO1191" s="18"/>
      <c r="AP1191" s="18"/>
      <c r="AQ1191" s="18"/>
      <c r="AR1191" s="18"/>
      <c r="AS1191" s="18"/>
      <c r="AT1191" s="18"/>
      <c r="AU1191" s="18"/>
      <c r="AV1191" s="18"/>
      <c r="AW1191" s="18"/>
      <c r="AX1191" s="18"/>
      <c r="AY1191" s="18"/>
      <c r="AZ1191" s="18"/>
      <c r="BA1191" s="18"/>
      <c r="BB1191" s="18"/>
      <c r="BC1191" s="18"/>
      <c r="BD1191" s="18"/>
      <c r="BE1191" s="18"/>
      <c r="BF1191" s="18"/>
      <c r="BG1191" s="18"/>
      <c r="BH1191" s="18"/>
      <c r="BI1191" s="18"/>
      <c r="BJ1191" s="18"/>
      <c r="BK1191" s="18"/>
      <c r="BL1191" s="18"/>
      <c r="BM1191" s="18"/>
      <c r="BN1191" s="18"/>
    </row>
    <row r="1192" spans="1:66">
      <c r="A1192" s="18"/>
      <c r="B1192" s="18"/>
      <c r="C1192" s="18"/>
      <c r="D1192" s="18"/>
      <c r="E1192" s="18"/>
      <c r="F1192" s="18"/>
      <c r="G1192" s="18"/>
      <c r="H1192" s="18"/>
      <c r="I1192" s="18"/>
      <c r="J1192" s="18"/>
      <c r="K1192" s="18"/>
      <c r="L1192" s="18"/>
      <c r="M1192" s="18"/>
      <c r="N1192" s="18"/>
      <c r="O1192" s="18"/>
      <c r="P1192" s="18"/>
      <c r="Q1192" s="18"/>
      <c r="R1192" s="18"/>
      <c r="S1192" s="18"/>
      <c r="T1192" s="18"/>
      <c r="U1192" s="18"/>
      <c r="V1192" s="18"/>
      <c r="W1192" s="18"/>
      <c r="X1192" s="18"/>
      <c r="Y1192" s="18"/>
      <c r="Z1192" s="18"/>
      <c r="AA1192" s="18"/>
      <c r="AB1192" s="18"/>
      <c r="AC1192" s="18"/>
      <c r="AD1192" s="18"/>
      <c r="AE1192" s="18"/>
      <c r="AF1192" s="18"/>
      <c r="AG1192" s="18"/>
      <c r="AH1192" s="18"/>
      <c r="AI1192" s="18"/>
      <c r="AJ1192" s="18"/>
      <c r="AK1192" s="18"/>
      <c r="AL1192" s="18"/>
      <c r="AM1192" s="18"/>
      <c r="AN1192" s="18"/>
      <c r="AO1192" s="18"/>
      <c r="AP1192" s="18"/>
      <c r="AQ1192" s="18"/>
      <c r="AR1192" s="18"/>
      <c r="AS1192" s="18"/>
      <c r="AT1192" s="18"/>
      <c r="AU1192" s="18"/>
      <c r="AV1192" s="18"/>
      <c r="AW1192" s="18"/>
      <c r="AX1192" s="18"/>
      <c r="AY1192" s="18"/>
      <c r="AZ1192" s="18"/>
      <c r="BA1192" s="18"/>
      <c r="BB1192" s="18"/>
      <c r="BC1192" s="18"/>
      <c r="BD1192" s="18"/>
      <c r="BE1192" s="18"/>
      <c r="BF1192" s="18"/>
      <c r="BG1192" s="18"/>
      <c r="BH1192" s="18"/>
      <c r="BI1192" s="18"/>
      <c r="BJ1192" s="18"/>
      <c r="BK1192" s="18"/>
      <c r="BL1192" s="18"/>
      <c r="BM1192" s="18"/>
      <c r="BN1192" s="18"/>
    </row>
    <row r="1193" spans="1:66">
      <c r="A1193" s="18"/>
      <c r="B1193" s="18"/>
      <c r="C1193" s="18"/>
      <c r="D1193" s="18"/>
      <c r="E1193" s="18"/>
      <c r="F1193" s="18"/>
      <c r="G1193" s="18"/>
      <c r="H1193" s="18"/>
      <c r="I1193" s="18"/>
      <c r="J1193" s="18"/>
      <c r="K1193" s="18"/>
      <c r="L1193" s="18"/>
      <c r="M1193" s="18"/>
      <c r="N1193" s="18"/>
      <c r="O1193" s="18"/>
      <c r="P1193" s="18"/>
      <c r="Q1193" s="18"/>
      <c r="R1193" s="18"/>
      <c r="S1193" s="18"/>
      <c r="T1193" s="18"/>
      <c r="U1193" s="18"/>
      <c r="V1193" s="18"/>
      <c r="W1193" s="18"/>
      <c r="X1193" s="18"/>
      <c r="Y1193" s="18"/>
      <c r="Z1193" s="18"/>
      <c r="AA1193" s="18"/>
      <c r="AB1193" s="18"/>
      <c r="AC1193" s="18"/>
      <c r="AD1193" s="18"/>
      <c r="AE1193" s="18"/>
      <c r="AF1193" s="18"/>
      <c r="AG1193" s="18"/>
      <c r="AH1193" s="18"/>
      <c r="AI1193" s="18"/>
      <c r="AJ1193" s="18"/>
      <c r="AK1193" s="18"/>
      <c r="AL1193" s="18"/>
      <c r="AM1193" s="18"/>
      <c r="AN1193" s="18"/>
      <c r="AO1193" s="18"/>
      <c r="AP1193" s="18"/>
      <c r="AQ1193" s="18"/>
      <c r="AR1193" s="18"/>
      <c r="AS1193" s="18"/>
      <c r="AT1193" s="18"/>
      <c r="AU1193" s="18"/>
      <c r="AV1193" s="18"/>
      <c r="AW1193" s="18"/>
      <c r="AX1193" s="18"/>
      <c r="AY1193" s="18"/>
      <c r="AZ1193" s="18"/>
      <c r="BA1193" s="18"/>
      <c r="BB1193" s="18"/>
      <c r="BC1193" s="18"/>
      <c r="BD1193" s="18"/>
      <c r="BE1193" s="18"/>
      <c r="BF1193" s="18"/>
      <c r="BG1193" s="18"/>
      <c r="BH1193" s="18"/>
      <c r="BI1193" s="18"/>
      <c r="BJ1193" s="18"/>
      <c r="BK1193" s="18"/>
      <c r="BL1193" s="18"/>
      <c r="BM1193" s="18"/>
      <c r="BN1193" s="18"/>
    </row>
    <row r="1194" spans="1:66">
      <c r="A1194" s="18"/>
      <c r="B1194" s="18"/>
      <c r="C1194" s="18"/>
      <c r="D1194" s="18"/>
      <c r="E1194" s="18"/>
      <c r="F1194" s="18"/>
      <c r="G1194" s="18"/>
      <c r="H1194" s="18"/>
      <c r="I1194" s="18"/>
      <c r="J1194" s="18"/>
      <c r="K1194" s="18"/>
      <c r="L1194" s="18"/>
      <c r="M1194" s="18"/>
      <c r="N1194" s="18"/>
      <c r="O1194" s="18"/>
      <c r="P1194" s="18"/>
      <c r="Q1194" s="18"/>
      <c r="R1194" s="18"/>
      <c r="S1194" s="18"/>
      <c r="T1194" s="18"/>
      <c r="U1194" s="18"/>
      <c r="V1194" s="18"/>
      <c r="W1194" s="18"/>
      <c r="X1194" s="18"/>
      <c r="Y1194" s="18"/>
      <c r="Z1194" s="18"/>
      <c r="AA1194" s="18"/>
      <c r="AB1194" s="18"/>
      <c r="AC1194" s="18"/>
      <c r="AD1194" s="18"/>
      <c r="AE1194" s="18"/>
      <c r="AF1194" s="18"/>
      <c r="AG1194" s="18"/>
      <c r="AH1194" s="18"/>
      <c r="AI1194" s="18"/>
      <c r="AJ1194" s="18"/>
      <c r="AK1194" s="18"/>
      <c r="AL1194" s="18"/>
      <c r="AM1194" s="18"/>
      <c r="AN1194" s="18"/>
      <c r="AO1194" s="18"/>
      <c r="AP1194" s="18"/>
      <c r="AQ1194" s="18"/>
      <c r="AR1194" s="18"/>
      <c r="AS1194" s="18"/>
      <c r="AT1194" s="18"/>
      <c r="AU1194" s="18"/>
      <c r="AV1194" s="18"/>
      <c r="AW1194" s="18"/>
      <c r="AX1194" s="18"/>
      <c r="AY1194" s="18"/>
      <c r="AZ1194" s="18"/>
      <c r="BA1194" s="18"/>
      <c r="BB1194" s="18"/>
      <c r="BC1194" s="18"/>
      <c r="BD1194" s="18"/>
      <c r="BE1194" s="18"/>
      <c r="BF1194" s="18"/>
      <c r="BG1194" s="18"/>
      <c r="BH1194" s="18"/>
      <c r="BI1194" s="18"/>
      <c r="BJ1194" s="18"/>
      <c r="BK1194" s="18"/>
      <c r="BL1194" s="18"/>
      <c r="BM1194" s="18"/>
      <c r="BN1194" s="18"/>
    </row>
    <row r="1195" spans="1:66">
      <c r="A1195" s="18"/>
      <c r="B1195" s="18"/>
      <c r="C1195" s="18"/>
      <c r="D1195" s="18"/>
      <c r="E1195" s="18"/>
      <c r="F1195" s="18"/>
      <c r="G1195" s="18"/>
      <c r="H1195" s="18"/>
      <c r="I1195" s="18"/>
      <c r="J1195" s="18"/>
      <c r="K1195" s="18"/>
      <c r="L1195" s="18"/>
      <c r="M1195" s="18"/>
      <c r="N1195" s="18"/>
      <c r="O1195" s="18"/>
      <c r="P1195" s="18"/>
      <c r="Q1195" s="18"/>
      <c r="R1195" s="18"/>
      <c r="S1195" s="18"/>
      <c r="T1195" s="18"/>
      <c r="U1195" s="18"/>
      <c r="V1195" s="18"/>
      <c r="W1195" s="18"/>
      <c r="X1195" s="18"/>
      <c r="Y1195" s="18"/>
      <c r="Z1195" s="18"/>
      <c r="AA1195" s="18"/>
      <c r="AB1195" s="18"/>
      <c r="AC1195" s="18"/>
      <c r="AD1195" s="18"/>
      <c r="AE1195" s="18"/>
      <c r="AF1195" s="18"/>
      <c r="AG1195" s="18"/>
      <c r="AH1195" s="18"/>
      <c r="AI1195" s="18"/>
      <c r="AJ1195" s="18"/>
      <c r="AK1195" s="18"/>
      <c r="AL1195" s="18"/>
      <c r="AM1195" s="18"/>
      <c r="AN1195" s="18"/>
      <c r="AO1195" s="18"/>
      <c r="AP1195" s="18"/>
      <c r="AQ1195" s="18"/>
      <c r="AR1195" s="18"/>
      <c r="AS1195" s="18"/>
      <c r="AT1195" s="18"/>
      <c r="AU1195" s="18"/>
      <c r="AV1195" s="18"/>
      <c r="AW1195" s="18"/>
      <c r="AX1195" s="18"/>
      <c r="AY1195" s="18"/>
      <c r="AZ1195" s="18"/>
      <c r="BA1195" s="18"/>
      <c r="BB1195" s="18"/>
      <c r="BC1195" s="18"/>
      <c r="BD1195" s="18"/>
      <c r="BE1195" s="18"/>
      <c r="BF1195" s="18"/>
      <c r="BG1195" s="18"/>
      <c r="BH1195" s="18"/>
      <c r="BI1195" s="18"/>
      <c r="BJ1195" s="18"/>
      <c r="BK1195" s="18"/>
      <c r="BL1195" s="18"/>
      <c r="BM1195" s="18"/>
      <c r="BN1195" s="18"/>
    </row>
    <row r="1196" spans="1:66">
      <c r="A1196" s="18"/>
      <c r="B1196" s="18"/>
      <c r="C1196" s="18"/>
      <c r="D1196" s="18"/>
      <c r="E1196" s="18"/>
      <c r="F1196" s="18"/>
      <c r="G1196" s="18"/>
      <c r="H1196" s="18"/>
      <c r="I1196" s="18"/>
      <c r="J1196" s="18"/>
      <c r="K1196" s="18"/>
      <c r="L1196" s="18"/>
      <c r="M1196" s="18"/>
      <c r="N1196" s="18"/>
      <c r="O1196" s="18"/>
      <c r="P1196" s="18"/>
      <c r="Q1196" s="18"/>
      <c r="R1196" s="18"/>
      <c r="S1196" s="18"/>
      <c r="T1196" s="18"/>
      <c r="U1196" s="18"/>
      <c r="V1196" s="18"/>
      <c r="W1196" s="18"/>
      <c r="X1196" s="18"/>
      <c r="Y1196" s="18"/>
      <c r="Z1196" s="18"/>
      <c r="AA1196" s="18"/>
      <c r="AB1196" s="18"/>
      <c r="AC1196" s="18"/>
      <c r="AD1196" s="18"/>
      <c r="AE1196" s="18"/>
      <c r="AF1196" s="18"/>
      <c r="AG1196" s="18"/>
      <c r="AH1196" s="18"/>
      <c r="AI1196" s="18"/>
      <c r="AJ1196" s="18"/>
      <c r="AK1196" s="18"/>
      <c r="AL1196" s="18"/>
      <c r="AM1196" s="18"/>
      <c r="AN1196" s="18"/>
      <c r="AO1196" s="18"/>
      <c r="AP1196" s="18"/>
      <c r="AQ1196" s="18"/>
      <c r="AR1196" s="18"/>
      <c r="AS1196" s="18"/>
      <c r="AT1196" s="18"/>
      <c r="AU1196" s="18"/>
      <c r="AV1196" s="18"/>
      <c r="AW1196" s="18"/>
      <c r="AX1196" s="18"/>
      <c r="AY1196" s="18"/>
      <c r="AZ1196" s="18"/>
      <c r="BA1196" s="18"/>
      <c r="BB1196" s="18"/>
      <c r="BC1196" s="18"/>
      <c r="BD1196" s="18"/>
      <c r="BE1196" s="18"/>
      <c r="BF1196" s="18"/>
      <c r="BG1196" s="18"/>
      <c r="BH1196" s="18"/>
      <c r="BI1196" s="18"/>
      <c r="BJ1196" s="18"/>
      <c r="BK1196" s="18"/>
      <c r="BL1196" s="18"/>
      <c r="BM1196" s="18"/>
      <c r="BN1196" s="18"/>
    </row>
    <row r="1197" spans="1:66">
      <c r="A1197" s="18"/>
      <c r="B1197" s="18"/>
      <c r="C1197" s="18"/>
      <c r="D1197" s="18"/>
      <c r="E1197" s="18"/>
      <c r="F1197" s="18"/>
      <c r="G1197" s="18"/>
      <c r="H1197" s="18"/>
      <c r="I1197" s="18"/>
      <c r="J1197" s="18"/>
      <c r="K1197" s="18"/>
      <c r="L1197" s="18"/>
      <c r="M1197" s="18"/>
      <c r="N1197" s="18"/>
      <c r="O1197" s="18"/>
      <c r="P1197" s="18"/>
      <c r="Q1197" s="18"/>
      <c r="R1197" s="18"/>
      <c r="S1197" s="18"/>
      <c r="T1197" s="18"/>
      <c r="U1197" s="18"/>
      <c r="V1197" s="18"/>
      <c r="W1197" s="18"/>
      <c r="X1197" s="18"/>
      <c r="Y1197" s="18"/>
      <c r="Z1197" s="18"/>
      <c r="AA1197" s="18"/>
      <c r="AB1197" s="18"/>
      <c r="AC1197" s="18"/>
      <c r="AD1197" s="18"/>
      <c r="AE1197" s="18"/>
      <c r="AF1197" s="18"/>
      <c r="AG1197" s="18"/>
      <c r="AH1197" s="18"/>
      <c r="AI1197" s="18"/>
      <c r="AJ1197" s="18"/>
      <c r="AK1197" s="18"/>
      <c r="AL1197" s="18"/>
      <c r="AM1197" s="18"/>
      <c r="AN1197" s="18"/>
      <c r="AO1197" s="18"/>
      <c r="AP1197" s="18"/>
      <c r="AQ1197" s="18"/>
      <c r="AR1197" s="18"/>
      <c r="AS1197" s="18"/>
      <c r="AT1197" s="18"/>
      <c r="AU1197" s="18"/>
      <c r="AV1197" s="18"/>
      <c r="AW1197" s="18"/>
      <c r="AX1197" s="18"/>
      <c r="AY1197" s="18"/>
      <c r="AZ1197" s="18"/>
      <c r="BA1197" s="18"/>
      <c r="BB1197" s="18"/>
      <c r="BC1197" s="18"/>
      <c r="BD1197" s="18"/>
      <c r="BE1197" s="18"/>
      <c r="BF1197" s="18"/>
      <c r="BG1197" s="18"/>
      <c r="BH1197" s="18"/>
      <c r="BI1197" s="18"/>
      <c r="BJ1197" s="18"/>
      <c r="BK1197" s="18"/>
      <c r="BL1197" s="18"/>
      <c r="BM1197" s="18"/>
      <c r="BN1197" s="18"/>
    </row>
    <row r="1198" spans="1:66">
      <c r="A1198" s="18"/>
      <c r="B1198" s="18"/>
      <c r="C1198" s="18"/>
      <c r="D1198" s="18"/>
      <c r="E1198" s="18"/>
      <c r="F1198" s="18"/>
      <c r="G1198" s="18"/>
      <c r="H1198" s="18"/>
      <c r="I1198" s="18"/>
      <c r="J1198" s="18"/>
      <c r="K1198" s="18"/>
      <c r="L1198" s="18"/>
      <c r="M1198" s="18"/>
      <c r="N1198" s="18"/>
      <c r="O1198" s="18"/>
      <c r="P1198" s="18"/>
      <c r="Q1198" s="18"/>
      <c r="R1198" s="18"/>
      <c r="S1198" s="18"/>
      <c r="T1198" s="18"/>
      <c r="U1198" s="18"/>
      <c r="V1198" s="18"/>
      <c r="W1198" s="18"/>
      <c r="X1198" s="18"/>
      <c r="Y1198" s="18"/>
      <c r="Z1198" s="18"/>
      <c r="AA1198" s="18"/>
      <c r="AB1198" s="18"/>
      <c r="AC1198" s="18"/>
      <c r="AD1198" s="18"/>
      <c r="AE1198" s="18"/>
      <c r="AF1198" s="18"/>
      <c r="AG1198" s="18"/>
      <c r="AH1198" s="18"/>
      <c r="AI1198" s="18"/>
      <c r="AJ1198" s="18"/>
      <c r="AK1198" s="18"/>
      <c r="AL1198" s="18"/>
      <c r="AM1198" s="18"/>
      <c r="AN1198" s="18"/>
      <c r="AO1198" s="18"/>
      <c r="AP1198" s="18"/>
      <c r="AQ1198" s="18"/>
      <c r="AR1198" s="18"/>
      <c r="AS1198" s="18"/>
      <c r="AT1198" s="18"/>
      <c r="AU1198" s="18"/>
      <c r="AV1198" s="18"/>
      <c r="AW1198" s="18"/>
      <c r="AX1198" s="18"/>
      <c r="AY1198" s="18"/>
      <c r="AZ1198" s="18"/>
      <c r="BA1198" s="18"/>
      <c r="BB1198" s="18"/>
      <c r="BC1198" s="18"/>
      <c r="BD1198" s="18"/>
      <c r="BE1198" s="18"/>
      <c r="BF1198" s="18"/>
      <c r="BG1198" s="18"/>
      <c r="BH1198" s="18"/>
      <c r="BI1198" s="18"/>
      <c r="BJ1198" s="18"/>
      <c r="BK1198" s="18"/>
      <c r="BL1198" s="18"/>
      <c r="BM1198" s="18"/>
      <c r="BN1198" s="18"/>
    </row>
    <row r="1199" spans="1:66">
      <c r="A1199" s="18"/>
      <c r="B1199" s="18"/>
      <c r="C1199" s="18"/>
      <c r="D1199" s="18"/>
      <c r="E1199" s="18"/>
      <c r="F1199" s="18"/>
      <c r="G1199" s="18"/>
      <c r="H1199" s="18"/>
      <c r="I1199" s="18"/>
      <c r="J1199" s="18"/>
      <c r="K1199" s="18"/>
      <c r="L1199" s="18"/>
      <c r="M1199" s="18"/>
      <c r="N1199" s="18"/>
      <c r="O1199" s="18"/>
      <c r="P1199" s="18"/>
      <c r="Q1199" s="18"/>
      <c r="R1199" s="18"/>
      <c r="S1199" s="18"/>
      <c r="T1199" s="18"/>
      <c r="U1199" s="18"/>
      <c r="V1199" s="18"/>
      <c r="W1199" s="18"/>
      <c r="X1199" s="18"/>
      <c r="Y1199" s="18"/>
      <c r="Z1199" s="18"/>
      <c r="AA1199" s="18"/>
      <c r="AB1199" s="18"/>
      <c r="AC1199" s="18"/>
      <c r="AD1199" s="18"/>
      <c r="AE1199" s="18"/>
      <c r="AF1199" s="18"/>
      <c r="AG1199" s="18"/>
      <c r="AH1199" s="18"/>
      <c r="AI1199" s="18"/>
      <c r="AJ1199" s="18"/>
      <c r="AK1199" s="18"/>
      <c r="AL1199" s="18"/>
      <c r="AM1199" s="18"/>
      <c r="AN1199" s="18"/>
      <c r="AO1199" s="18"/>
      <c r="AP1199" s="18"/>
      <c r="AQ1199" s="18"/>
      <c r="AR1199" s="18"/>
      <c r="AS1199" s="18"/>
      <c r="AT1199" s="18"/>
      <c r="AU1199" s="18"/>
      <c r="AV1199" s="18"/>
      <c r="AW1199" s="18"/>
      <c r="AX1199" s="18"/>
      <c r="AY1199" s="18"/>
      <c r="AZ1199" s="18"/>
      <c r="BA1199" s="18"/>
      <c r="BB1199" s="18"/>
      <c r="BC1199" s="18"/>
      <c r="BD1199" s="18"/>
      <c r="BE1199" s="18"/>
      <c r="BF1199" s="18"/>
      <c r="BG1199" s="18"/>
      <c r="BH1199" s="18"/>
      <c r="BI1199" s="18"/>
      <c r="BJ1199" s="18"/>
      <c r="BK1199" s="18"/>
      <c r="BL1199" s="18"/>
      <c r="BM1199" s="18"/>
      <c r="BN1199" s="18"/>
    </row>
    <row r="1200" spans="1:66">
      <c r="A1200" s="18"/>
      <c r="B1200" s="18"/>
      <c r="C1200" s="18"/>
      <c r="D1200" s="18"/>
      <c r="E1200" s="18"/>
      <c r="F1200" s="18"/>
      <c r="G1200" s="18"/>
      <c r="H1200" s="18"/>
      <c r="I1200" s="18"/>
      <c r="J1200" s="18"/>
      <c r="K1200" s="18"/>
      <c r="L1200" s="18"/>
      <c r="M1200" s="18"/>
      <c r="N1200" s="18"/>
      <c r="O1200" s="18"/>
      <c r="P1200" s="18"/>
      <c r="Q1200" s="18"/>
      <c r="R1200" s="18"/>
      <c r="S1200" s="18"/>
      <c r="T1200" s="18"/>
      <c r="U1200" s="18"/>
      <c r="V1200" s="18"/>
      <c r="W1200" s="18"/>
      <c r="X1200" s="18"/>
      <c r="Y1200" s="18"/>
      <c r="Z1200" s="18"/>
      <c r="AA1200" s="18"/>
      <c r="AB1200" s="18"/>
      <c r="AC1200" s="18"/>
      <c r="AD1200" s="18"/>
      <c r="AE1200" s="18"/>
      <c r="AF1200" s="18"/>
      <c r="AG1200" s="18"/>
      <c r="AH1200" s="18"/>
      <c r="AI1200" s="18"/>
      <c r="AJ1200" s="18"/>
      <c r="AK1200" s="18"/>
      <c r="AL1200" s="18"/>
      <c r="AM1200" s="18"/>
      <c r="AN1200" s="18"/>
      <c r="AO1200" s="18"/>
      <c r="AP1200" s="18"/>
      <c r="AQ1200" s="18"/>
      <c r="AR1200" s="18"/>
      <c r="AS1200" s="18"/>
      <c r="AT1200" s="18"/>
      <c r="AU1200" s="18"/>
      <c r="AV1200" s="18"/>
      <c r="AW1200" s="18"/>
      <c r="AX1200" s="18"/>
      <c r="AY1200" s="18"/>
      <c r="AZ1200" s="18"/>
      <c r="BA1200" s="18"/>
      <c r="BB1200" s="18"/>
      <c r="BC1200" s="18"/>
      <c r="BD1200" s="18"/>
      <c r="BE1200" s="18"/>
      <c r="BF1200" s="18"/>
      <c r="BG1200" s="18"/>
      <c r="BH1200" s="18"/>
      <c r="BI1200" s="18"/>
      <c r="BJ1200" s="18"/>
      <c r="BK1200" s="18"/>
      <c r="BL1200" s="18"/>
      <c r="BM1200" s="18"/>
      <c r="BN1200" s="18"/>
    </row>
    <row r="1201" spans="1:66">
      <c r="A1201" s="18"/>
      <c r="B1201" s="18"/>
      <c r="C1201" s="18"/>
      <c r="D1201" s="18"/>
      <c r="E1201" s="18"/>
      <c r="F1201" s="18"/>
      <c r="G1201" s="18"/>
      <c r="H1201" s="18"/>
      <c r="I1201" s="18"/>
      <c r="J1201" s="18"/>
      <c r="K1201" s="18"/>
      <c r="L1201" s="18"/>
      <c r="M1201" s="18"/>
      <c r="N1201" s="18"/>
      <c r="O1201" s="18"/>
      <c r="P1201" s="18"/>
      <c r="Q1201" s="18"/>
      <c r="R1201" s="18"/>
      <c r="S1201" s="18"/>
      <c r="T1201" s="18"/>
      <c r="U1201" s="18"/>
      <c r="V1201" s="18"/>
      <c r="W1201" s="18"/>
      <c r="X1201" s="18"/>
      <c r="Y1201" s="18"/>
      <c r="Z1201" s="18"/>
      <c r="AA1201" s="18"/>
      <c r="AB1201" s="18"/>
      <c r="AC1201" s="18"/>
      <c r="AD1201" s="18"/>
      <c r="AE1201" s="18"/>
      <c r="AF1201" s="18"/>
      <c r="AG1201" s="18"/>
      <c r="AH1201" s="18"/>
      <c r="AI1201" s="18"/>
      <c r="AJ1201" s="18"/>
      <c r="AK1201" s="18"/>
      <c r="AL1201" s="18"/>
      <c r="AM1201" s="18"/>
      <c r="AN1201" s="18"/>
      <c r="AO1201" s="18"/>
      <c r="AP1201" s="18"/>
      <c r="AQ1201" s="18"/>
      <c r="AR1201" s="18"/>
      <c r="AS1201" s="18"/>
      <c r="AT1201" s="18"/>
      <c r="AU1201" s="18"/>
      <c r="AV1201" s="18"/>
      <c r="AW1201" s="18"/>
      <c r="AX1201" s="18"/>
      <c r="AY1201" s="18"/>
      <c r="AZ1201" s="18"/>
      <c r="BA1201" s="18"/>
      <c r="BB1201" s="18"/>
      <c r="BC1201" s="18"/>
      <c r="BD1201" s="18"/>
      <c r="BE1201" s="18"/>
      <c r="BF1201" s="18"/>
      <c r="BG1201" s="18"/>
      <c r="BH1201" s="18"/>
      <c r="BI1201" s="18"/>
      <c r="BJ1201" s="18"/>
      <c r="BK1201" s="18"/>
      <c r="BL1201" s="18"/>
      <c r="BM1201" s="18"/>
      <c r="BN1201" s="18"/>
    </row>
    <row r="1202" spans="1:66">
      <c r="A1202" s="18"/>
      <c r="B1202" s="18"/>
      <c r="C1202" s="18"/>
      <c r="D1202" s="18"/>
      <c r="E1202" s="18"/>
      <c r="F1202" s="18"/>
      <c r="G1202" s="18"/>
      <c r="H1202" s="18"/>
      <c r="I1202" s="18"/>
      <c r="J1202" s="18"/>
      <c r="K1202" s="18"/>
      <c r="L1202" s="18"/>
      <c r="M1202" s="18"/>
      <c r="N1202" s="18"/>
      <c r="O1202" s="18"/>
      <c r="P1202" s="18"/>
      <c r="Q1202" s="18"/>
      <c r="R1202" s="18"/>
      <c r="S1202" s="18"/>
      <c r="T1202" s="18"/>
      <c r="U1202" s="18"/>
      <c r="V1202" s="18"/>
      <c r="W1202" s="18"/>
      <c r="X1202" s="18"/>
      <c r="Y1202" s="18"/>
      <c r="Z1202" s="18"/>
      <c r="AA1202" s="18"/>
      <c r="AB1202" s="18"/>
      <c r="AC1202" s="18"/>
      <c r="AD1202" s="18"/>
      <c r="AE1202" s="18"/>
      <c r="AF1202" s="18"/>
      <c r="AG1202" s="18"/>
      <c r="AH1202" s="18"/>
      <c r="AI1202" s="18"/>
      <c r="AJ1202" s="18"/>
      <c r="AK1202" s="18"/>
      <c r="AL1202" s="18"/>
      <c r="AM1202" s="18"/>
      <c r="AN1202" s="18"/>
      <c r="AO1202" s="18"/>
      <c r="AP1202" s="18"/>
      <c r="AQ1202" s="18"/>
      <c r="AR1202" s="18"/>
      <c r="AS1202" s="18"/>
      <c r="AT1202" s="18"/>
      <c r="AU1202" s="18"/>
      <c r="AV1202" s="18"/>
      <c r="AW1202" s="18"/>
      <c r="AX1202" s="18"/>
      <c r="AY1202" s="18"/>
      <c r="AZ1202" s="18"/>
      <c r="BA1202" s="18"/>
      <c r="BB1202" s="18"/>
      <c r="BC1202" s="18"/>
      <c r="BD1202" s="18"/>
      <c r="BE1202" s="18"/>
      <c r="BF1202" s="18"/>
      <c r="BG1202" s="18"/>
      <c r="BH1202" s="18"/>
      <c r="BI1202" s="18"/>
      <c r="BJ1202" s="18"/>
      <c r="BK1202" s="18"/>
      <c r="BL1202" s="18"/>
      <c r="BM1202" s="18"/>
      <c r="BN1202" s="18"/>
    </row>
    <row r="1203" spans="1:66">
      <c r="A1203" s="18"/>
      <c r="B1203" s="18"/>
      <c r="C1203" s="18"/>
      <c r="D1203" s="18"/>
      <c r="E1203" s="18"/>
      <c r="F1203" s="18"/>
      <c r="G1203" s="18"/>
      <c r="H1203" s="18"/>
      <c r="I1203" s="18"/>
      <c r="J1203" s="18"/>
      <c r="K1203" s="18"/>
      <c r="L1203" s="18"/>
      <c r="M1203" s="18"/>
      <c r="N1203" s="18"/>
      <c r="O1203" s="18"/>
      <c r="P1203" s="18"/>
      <c r="Q1203" s="18"/>
      <c r="R1203" s="18"/>
      <c r="S1203" s="18"/>
      <c r="T1203" s="18"/>
      <c r="U1203" s="18"/>
      <c r="V1203" s="18"/>
      <c r="W1203" s="18"/>
      <c r="X1203" s="18"/>
      <c r="Y1203" s="18"/>
      <c r="Z1203" s="18"/>
      <c r="AA1203" s="18"/>
      <c r="AB1203" s="18"/>
      <c r="AC1203" s="18"/>
      <c r="AD1203" s="18"/>
      <c r="AE1203" s="18"/>
      <c r="AF1203" s="18"/>
      <c r="AG1203" s="18"/>
      <c r="AH1203" s="18"/>
      <c r="AI1203" s="18"/>
      <c r="AJ1203" s="18"/>
      <c r="AK1203" s="18"/>
      <c r="AL1203" s="18"/>
      <c r="AM1203" s="18"/>
      <c r="AN1203" s="18"/>
      <c r="AO1203" s="18"/>
      <c r="AP1203" s="18"/>
      <c r="AQ1203" s="18"/>
      <c r="AR1203" s="18"/>
      <c r="AS1203" s="18"/>
      <c r="AT1203" s="18"/>
      <c r="AU1203" s="18"/>
      <c r="AV1203" s="18"/>
      <c r="AW1203" s="18"/>
      <c r="AX1203" s="18"/>
      <c r="AY1203" s="18"/>
      <c r="AZ1203" s="18"/>
      <c r="BA1203" s="18"/>
      <c r="BB1203" s="18"/>
      <c r="BC1203" s="18"/>
      <c r="BD1203" s="18"/>
      <c r="BE1203" s="18"/>
      <c r="BF1203" s="18"/>
      <c r="BG1203" s="18"/>
      <c r="BH1203" s="18"/>
      <c r="BI1203" s="18"/>
      <c r="BJ1203" s="18"/>
      <c r="BK1203" s="18"/>
      <c r="BL1203" s="18"/>
      <c r="BM1203" s="18"/>
      <c r="BN1203" s="18"/>
    </row>
    <row r="1204" spans="1:66">
      <c r="A1204" s="18"/>
      <c r="B1204" s="18"/>
      <c r="C1204" s="18"/>
      <c r="D1204" s="18"/>
      <c r="E1204" s="18"/>
      <c r="F1204" s="18"/>
      <c r="G1204" s="18"/>
      <c r="H1204" s="18"/>
      <c r="I1204" s="18"/>
      <c r="J1204" s="18"/>
      <c r="K1204" s="18"/>
      <c r="L1204" s="18"/>
      <c r="M1204" s="18"/>
      <c r="N1204" s="18"/>
      <c r="O1204" s="18"/>
      <c r="P1204" s="18"/>
      <c r="Q1204" s="18"/>
      <c r="R1204" s="18"/>
      <c r="S1204" s="18"/>
      <c r="T1204" s="18"/>
      <c r="U1204" s="18"/>
      <c r="V1204" s="18"/>
      <c r="W1204" s="18"/>
      <c r="X1204" s="18"/>
      <c r="Y1204" s="18"/>
      <c r="Z1204" s="18"/>
      <c r="AA1204" s="18"/>
      <c r="AB1204" s="18"/>
      <c r="AC1204" s="18"/>
      <c r="AD1204" s="18"/>
      <c r="AE1204" s="18"/>
      <c r="AF1204" s="18"/>
      <c r="AG1204" s="18"/>
      <c r="AH1204" s="18"/>
      <c r="AI1204" s="18"/>
      <c r="AJ1204" s="18"/>
      <c r="AK1204" s="18"/>
      <c r="AL1204" s="18"/>
      <c r="AM1204" s="18"/>
      <c r="AN1204" s="18"/>
      <c r="AO1204" s="18"/>
      <c r="AP1204" s="18"/>
      <c r="AQ1204" s="18"/>
      <c r="AR1204" s="18"/>
      <c r="AS1204" s="18"/>
      <c r="AT1204" s="18"/>
      <c r="AU1204" s="18"/>
      <c r="AV1204" s="18"/>
      <c r="AW1204" s="18"/>
      <c r="AX1204" s="18"/>
      <c r="AY1204" s="18"/>
      <c r="AZ1204" s="18"/>
      <c r="BA1204" s="18"/>
      <c r="BB1204" s="18"/>
      <c r="BC1204" s="18"/>
      <c r="BD1204" s="18"/>
      <c r="BE1204" s="18"/>
      <c r="BF1204" s="18"/>
      <c r="BG1204" s="18"/>
      <c r="BH1204" s="18"/>
      <c r="BI1204" s="18"/>
      <c r="BJ1204" s="18"/>
      <c r="BK1204" s="18"/>
      <c r="BL1204" s="18"/>
      <c r="BM1204" s="18"/>
      <c r="BN1204" s="18"/>
    </row>
    <row r="1205" spans="1:66">
      <c r="A1205" s="18"/>
      <c r="B1205" s="18"/>
      <c r="C1205" s="18"/>
      <c r="D1205" s="18"/>
      <c r="E1205" s="18"/>
      <c r="F1205" s="18"/>
      <c r="G1205" s="18"/>
      <c r="H1205" s="18"/>
      <c r="I1205" s="18"/>
      <c r="J1205" s="18"/>
      <c r="K1205" s="18"/>
      <c r="L1205" s="18"/>
      <c r="M1205" s="18"/>
      <c r="N1205" s="18"/>
      <c r="O1205" s="18"/>
      <c r="P1205" s="18"/>
      <c r="Q1205" s="18"/>
      <c r="R1205" s="18"/>
      <c r="S1205" s="18"/>
      <c r="T1205" s="18"/>
      <c r="U1205" s="18"/>
      <c r="V1205" s="18"/>
      <c r="W1205" s="18"/>
      <c r="X1205" s="18"/>
      <c r="Y1205" s="18"/>
      <c r="Z1205" s="18"/>
      <c r="AA1205" s="18"/>
      <c r="AB1205" s="18"/>
      <c r="AC1205" s="18"/>
      <c r="AD1205" s="18"/>
      <c r="AE1205" s="18"/>
      <c r="AF1205" s="18"/>
      <c r="AG1205" s="18"/>
      <c r="AH1205" s="18"/>
      <c r="AI1205" s="18"/>
      <c r="AJ1205" s="18"/>
      <c r="AK1205" s="18"/>
      <c r="AL1205" s="18"/>
      <c r="AM1205" s="18"/>
      <c r="AN1205" s="18"/>
      <c r="AO1205" s="18"/>
      <c r="AP1205" s="18"/>
      <c r="AQ1205" s="18"/>
      <c r="AR1205" s="18"/>
      <c r="AS1205" s="18"/>
      <c r="AT1205" s="18"/>
      <c r="AU1205" s="18"/>
      <c r="AV1205" s="18"/>
      <c r="AW1205" s="18"/>
      <c r="AX1205" s="18"/>
      <c r="AY1205" s="18"/>
      <c r="AZ1205" s="18"/>
      <c r="BA1205" s="18"/>
      <c r="BB1205" s="18"/>
      <c r="BC1205" s="18"/>
      <c r="BD1205" s="18"/>
      <c r="BE1205" s="18"/>
      <c r="BF1205" s="18"/>
      <c r="BG1205" s="18"/>
      <c r="BH1205" s="18"/>
      <c r="BI1205" s="18"/>
      <c r="BJ1205" s="18"/>
      <c r="BK1205" s="18"/>
      <c r="BL1205" s="18"/>
      <c r="BM1205" s="18"/>
      <c r="BN1205" s="18"/>
    </row>
    <row r="1206" spans="1:66">
      <c r="A1206" s="18"/>
      <c r="B1206" s="18"/>
      <c r="C1206" s="18"/>
      <c r="D1206" s="18"/>
      <c r="E1206" s="18"/>
      <c r="F1206" s="18"/>
      <c r="G1206" s="18"/>
      <c r="H1206" s="18"/>
      <c r="I1206" s="18"/>
      <c r="J1206" s="18"/>
      <c r="K1206" s="18"/>
      <c r="L1206" s="18"/>
      <c r="M1206" s="18"/>
      <c r="N1206" s="18"/>
      <c r="O1206" s="18"/>
      <c r="P1206" s="18"/>
      <c r="Q1206" s="18"/>
      <c r="R1206" s="18"/>
      <c r="S1206" s="18"/>
      <c r="T1206" s="18"/>
      <c r="U1206" s="18"/>
      <c r="V1206" s="18"/>
      <c r="W1206" s="18"/>
      <c r="X1206" s="18"/>
      <c r="Y1206" s="18"/>
      <c r="Z1206" s="18"/>
      <c r="AA1206" s="18"/>
      <c r="AB1206" s="18"/>
      <c r="AC1206" s="18"/>
      <c r="AD1206" s="18"/>
      <c r="AE1206" s="18"/>
      <c r="AF1206" s="18"/>
      <c r="AG1206" s="18"/>
      <c r="AH1206" s="18"/>
      <c r="AI1206" s="18"/>
      <c r="AJ1206" s="18"/>
      <c r="AK1206" s="18"/>
      <c r="AL1206" s="18"/>
      <c r="AM1206" s="18"/>
      <c r="AN1206" s="18"/>
      <c r="AO1206" s="18"/>
      <c r="AP1206" s="18"/>
      <c r="AQ1206" s="18"/>
      <c r="AR1206" s="18"/>
      <c r="AS1206" s="18"/>
      <c r="AT1206" s="18"/>
      <c r="AU1206" s="18"/>
      <c r="AV1206" s="18"/>
      <c r="AW1206" s="18"/>
      <c r="AX1206" s="18"/>
      <c r="AY1206" s="18"/>
      <c r="AZ1206" s="18"/>
      <c r="BA1206" s="18"/>
      <c r="BB1206" s="18"/>
      <c r="BC1206" s="18"/>
      <c r="BD1206" s="18"/>
      <c r="BE1206" s="18"/>
      <c r="BF1206" s="18"/>
      <c r="BG1206" s="18"/>
      <c r="BH1206" s="18"/>
      <c r="BI1206" s="18"/>
      <c r="BJ1206" s="18"/>
      <c r="BK1206" s="18"/>
      <c r="BL1206" s="18"/>
      <c r="BM1206" s="18"/>
      <c r="BN1206" s="18"/>
    </row>
    <row r="1207" spans="1:66">
      <c r="A1207" s="18"/>
      <c r="B1207" s="18"/>
      <c r="C1207" s="18"/>
      <c r="D1207" s="18"/>
      <c r="E1207" s="18"/>
      <c r="F1207" s="18"/>
      <c r="G1207" s="18"/>
      <c r="H1207" s="18"/>
      <c r="I1207" s="18"/>
      <c r="J1207" s="18"/>
      <c r="K1207" s="18"/>
      <c r="L1207" s="18"/>
      <c r="M1207" s="18"/>
      <c r="N1207" s="18"/>
      <c r="O1207" s="18"/>
      <c r="P1207" s="18"/>
      <c r="Q1207" s="18"/>
      <c r="R1207" s="18"/>
      <c r="S1207" s="18"/>
      <c r="T1207" s="18"/>
      <c r="U1207" s="18"/>
      <c r="V1207" s="18"/>
      <c r="W1207" s="18"/>
      <c r="X1207" s="18"/>
      <c r="Y1207" s="18"/>
      <c r="Z1207" s="18"/>
      <c r="AA1207" s="18"/>
      <c r="AB1207" s="18"/>
      <c r="AC1207" s="18"/>
      <c r="AD1207" s="18"/>
      <c r="AE1207" s="18"/>
      <c r="AF1207" s="18"/>
      <c r="AG1207" s="18"/>
      <c r="AH1207" s="18"/>
      <c r="AI1207" s="18"/>
      <c r="AJ1207" s="18"/>
      <c r="AK1207" s="18"/>
      <c r="AL1207" s="18"/>
      <c r="AM1207" s="18"/>
      <c r="AN1207" s="18"/>
      <c r="AO1207" s="18"/>
      <c r="AP1207" s="18"/>
      <c r="AQ1207" s="18"/>
      <c r="AR1207" s="18"/>
      <c r="AS1207" s="18"/>
      <c r="AT1207" s="18"/>
      <c r="AU1207" s="18"/>
      <c r="AV1207" s="18"/>
      <c r="AW1207" s="18"/>
      <c r="AX1207" s="18"/>
      <c r="AY1207" s="18"/>
      <c r="AZ1207" s="18"/>
      <c r="BA1207" s="18"/>
      <c r="BB1207" s="18"/>
      <c r="BC1207" s="18"/>
      <c r="BD1207" s="18"/>
      <c r="BE1207" s="18"/>
      <c r="BF1207" s="18"/>
      <c r="BG1207" s="18"/>
      <c r="BH1207" s="18"/>
      <c r="BI1207" s="18"/>
      <c r="BJ1207" s="18"/>
      <c r="BK1207" s="18"/>
      <c r="BL1207" s="18"/>
      <c r="BM1207" s="18"/>
      <c r="BN1207" s="18"/>
    </row>
    <row r="1208" spans="1:66">
      <c r="A1208" s="18"/>
      <c r="B1208" s="18"/>
      <c r="C1208" s="18"/>
      <c r="D1208" s="18"/>
      <c r="E1208" s="18"/>
      <c r="F1208" s="18"/>
      <c r="G1208" s="18"/>
      <c r="H1208" s="18"/>
      <c r="I1208" s="18"/>
      <c r="J1208" s="18"/>
      <c r="K1208" s="18"/>
      <c r="L1208" s="18"/>
      <c r="M1208" s="18"/>
      <c r="N1208" s="18"/>
      <c r="O1208" s="18"/>
      <c r="P1208" s="18"/>
      <c r="Q1208" s="18"/>
      <c r="R1208" s="18"/>
      <c r="S1208" s="18"/>
      <c r="T1208" s="18"/>
      <c r="U1208" s="18"/>
      <c r="V1208" s="18"/>
      <c r="W1208" s="18"/>
      <c r="X1208" s="18"/>
      <c r="Y1208" s="18"/>
      <c r="Z1208" s="18"/>
      <c r="AA1208" s="18"/>
      <c r="AB1208" s="18"/>
      <c r="AC1208" s="18"/>
      <c r="AD1208" s="18"/>
      <c r="AE1208" s="18"/>
      <c r="AF1208" s="18"/>
      <c r="AG1208" s="18"/>
      <c r="AH1208" s="18"/>
      <c r="AI1208" s="18"/>
      <c r="AJ1208" s="18"/>
      <c r="AK1208" s="18"/>
      <c r="AL1208" s="18"/>
      <c r="AM1208" s="18"/>
      <c r="AN1208" s="18"/>
      <c r="AO1208" s="18"/>
      <c r="AP1208" s="18"/>
      <c r="AQ1208" s="18"/>
      <c r="AR1208" s="18"/>
      <c r="AS1208" s="18"/>
      <c r="AT1208" s="18"/>
      <c r="AU1208" s="18"/>
      <c r="AV1208" s="18"/>
      <c r="AW1208" s="18"/>
      <c r="AX1208" s="18"/>
      <c r="AY1208" s="18"/>
      <c r="AZ1208" s="18"/>
      <c r="BA1208" s="18"/>
      <c r="BB1208" s="18"/>
      <c r="BC1208" s="18"/>
      <c r="BD1208" s="18"/>
      <c r="BE1208" s="18"/>
      <c r="BF1208" s="18"/>
      <c r="BG1208" s="18"/>
      <c r="BH1208" s="18"/>
      <c r="BI1208" s="18"/>
      <c r="BJ1208" s="18"/>
      <c r="BK1208" s="18"/>
      <c r="BL1208" s="18"/>
      <c r="BM1208" s="18"/>
      <c r="BN1208" s="18"/>
    </row>
    <row r="1209" spans="1:66">
      <c r="A1209" s="18"/>
      <c r="B1209" s="18"/>
      <c r="C1209" s="18"/>
      <c r="D1209" s="18"/>
      <c r="E1209" s="18"/>
      <c r="F1209" s="18"/>
      <c r="G1209" s="18"/>
      <c r="H1209" s="18"/>
      <c r="I1209" s="18"/>
      <c r="J1209" s="18"/>
      <c r="K1209" s="18"/>
      <c r="L1209" s="18"/>
      <c r="M1209" s="18"/>
      <c r="N1209" s="18"/>
      <c r="O1209" s="18"/>
      <c r="P1209" s="18"/>
      <c r="Q1209" s="18"/>
      <c r="R1209" s="18"/>
      <c r="S1209" s="18"/>
      <c r="T1209" s="18"/>
      <c r="U1209" s="18"/>
      <c r="V1209" s="18"/>
      <c r="W1209" s="18"/>
      <c r="X1209" s="18"/>
      <c r="Y1209" s="18"/>
      <c r="Z1209" s="18"/>
      <c r="AA1209" s="18"/>
      <c r="AB1209" s="18"/>
      <c r="AC1209" s="18"/>
      <c r="AD1209" s="18"/>
      <c r="AE1209" s="18"/>
      <c r="AF1209" s="18"/>
      <c r="AG1209" s="18"/>
      <c r="AH1209" s="18"/>
      <c r="AI1209" s="18"/>
      <c r="AJ1209" s="18"/>
      <c r="AK1209" s="18"/>
      <c r="AL1209" s="18"/>
      <c r="AM1209" s="18"/>
      <c r="AN1209" s="18"/>
      <c r="AO1209" s="18"/>
      <c r="AP1209" s="18"/>
      <c r="AQ1209" s="18"/>
      <c r="AR1209" s="18"/>
      <c r="AS1209" s="18"/>
      <c r="AT1209" s="18"/>
      <c r="AU1209" s="18"/>
      <c r="AV1209" s="18"/>
      <c r="AW1209" s="18"/>
      <c r="AX1209" s="18"/>
      <c r="AY1209" s="18"/>
      <c r="AZ1209" s="18"/>
      <c r="BA1209" s="18"/>
      <c r="BB1209" s="18"/>
      <c r="BC1209" s="18"/>
      <c r="BD1209" s="18"/>
      <c r="BE1209" s="18"/>
      <c r="BF1209" s="18"/>
      <c r="BG1209" s="18"/>
      <c r="BH1209" s="18"/>
      <c r="BI1209" s="18"/>
      <c r="BJ1209" s="18"/>
      <c r="BK1209" s="18"/>
      <c r="BL1209" s="18"/>
      <c r="BM1209" s="18"/>
      <c r="BN1209" s="18"/>
    </row>
    <row r="1210" spans="1:66">
      <c r="A1210" s="18"/>
      <c r="B1210" s="18"/>
      <c r="C1210" s="18"/>
      <c r="D1210" s="18"/>
      <c r="E1210" s="18"/>
      <c r="F1210" s="18"/>
      <c r="G1210" s="18"/>
      <c r="H1210" s="18"/>
      <c r="I1210" s="18"/>
      <c r="J1210" s="18"/>
      <c r="K1210" s="18"/>
      <c r="L1210" s="18"/>
      <c r="M1210" s="18"/>
      <c r="N1210" s="18"/>
      <c r="O1210" s="18"/>
      <c r="P1210" s="18"/>
      <c r="Q1210" s="18"/>
      <c r="R1210" s="18"/>
      <c r="S1210" s="18"/>
      <c r="T1210" s="18"/>
      <c r="U1210" s="18"/>
      <c r="V1210" s="18"/>
      <c r="W1210" s="18"/>
      <c r="X1210" s="18"/>
      <c r="Y1210" s="18"/>
      <c r="Z1210" s="18"/>
      <c r="AA1210" s="18"/>
      <c r="AB1210" s="18"/>
      <c r="AC1210" s="18"/>
      <c r="AD1210" s="18"/>
      <c r="AE1210" s="18"/>
      <c r="AF1210" s="18"/>
      <c r="AG1210" s="18"/>
      <c r="AH1210" s="18"/>
      <c r="AI1210" s="18"/>
      <c r="AJ1210" s="18"/>
      <c r="AK1210" s="18"/>
      <c r="AL1210" s="18"/>
      <c r="AM1210" s="18"/>
      <c r="AN1210" s="18"/>
      <c r="AO1210" s="18"/>
      <c r="AP1210" s="18"/>
      <c r="AQ1210" s="18"/>
      <c r="AR1210" s="18"/>
      <c r="AS1210" s="18"/>
      <c r="AT1210" s="18"/>
      <c r="AU1210" s="18"/>
      <c r="AV1210" s="18"/>
      <c r="AW1210" s="18"/>
      <c r="AX1210" s="18"/>
      <c r="AY1210" s="18"/>
      <c r="AZ1210" s="18"/>
      <c r="BA1210" s="18"/>
      <c r="BB1210" s="18"/>
      <c r="BC1210" s="18"/>
      <c r="BD1210" s="18"/>
      <c r="BE1210" s="18"/>
      <c r="BF1210" s="18"/>
      <c r="BG1210" s="18"/>
      <c r="BH1210" s="18"/>
      <c r="BI1210" s="18"/>
      <c r="BJ1210" s="18"/>
      <c r="BK1210" s="18"/>
      <c r="BL1210" s="18"/>
      <c r="BM1210" s="18"/>
      <c r="BN1210" s="18"/>
    </row>
    <row r="1211" spans="1:66">
      <c r="A1211" s="18"/>
      <c r="B1211" s="18"/>
      <c r="C1211" s="18"/>
      <c r="D1211" s="18"/>
      <c r="E1211" s="18"/>
      <c r="F1211" s="18"/>
      <c r="G1211" s="18"/>
      <c r="H1211" s="18"/>
      <c r="I1211" s="18"/>
      <c r="J1211" s="18"/>
      <c r="K1211" s="18"/>
      <c r="L1211" s="18"/>
      <c r="M1211" s="18"/>
      <c r="N1211" s="18"/>
      <c r="O1211" s="18"/>
      <c r="P1211" s="18"/>
      <c r="Q1211" s="18"/>
      <c r="R1211" s="18"/>
      <c r="S1211" s="18"/>
      <c r="T1211" s="18"/>
      <c r="U1211" s="18"/>
      <c r="V1211" s="18"/>
      <c r="W1211" s="18"/>
      <c r="X1211" s="18"/>
      <c r="Y1211" s="18"/>
      <c r="Z1211" s="18"/>
      <c r="AA1211" s="18"/>
      <c r="AB1211" s="18"/>
      <c r="AC1211" s="18"/>
      <c r="AD1211" s="18"/>
      <c r="AE1211" s="18"/>
      <c r="AF1211" s="18"/>
      <c r="AG1211" s="18"/>
      <c r="AH1211" s="18"/>
      <c r="AI1211" s="18"/>
      <c r="AJ1211" s="18"/>
      <c r="AK1211" s="18"/>
      <c r="AL1211" s="18"/>
      <c r="AM1211" s="18"/>
      <c r="AN1211" s="18"/>
      <c r="AO1211" s="18"/>
      <c r="AP1211" s="18"/>
      <c r="AQ1211" s="18"/>
      <c r="AR1211" s="18"/>
      <c r="AS1211" s="18"/>
      <c r="AT1211" s="18"/>
      <c r="AU1211" s="18"/>
      <c r="AV1211" s="18"/>
      <c r="AW1211" s="18"/>
      <c r="AX1211" s="18"/>
      <c r="AY1211" s="18"/>
      <c r="AZ1211" s="18"/>
      <c r="BA1211" s="18"/>
      <c r="BB1211" s="18"/>
      <c r="BC1211" s="18"/>
      <c r="BD1211" s="18"/>
      <c r="BE1211" s="18"/>
      <c r="BF1211" s="18"/>
      <c r="BG1211" s="18"/>
      <c r="BH1211" s="18"/>
      <c r="BI1211" s="18"/>
      <c r="BJ1211" s="18"/>
      <c r="BK1211" s="18"/>
      <c r="BL1211" s="18"/>
      <c r="BM1211" s="18"/>
      <c r="BN1211" s="18"/>
    </row>
    <row r="1212" spans="1:66">
      <c r="A1212" s="18"/>
      <c r="B1212" s="18"/>
      <c r="C1212" s="18"/>
      <c r="D1212" s="18"/>
      <c r="E1212" s="18"/>
      <c r="F1212" s="18"/>
      <c r="G1212" s="18"/>
      <c r="H1212" s="18"/>
      <c r="I1212" s="18"/>
      <c r="J1212" s="18"/>
      <c r="K1212" s="18"/>
      <c r="L1212" s="18"/>
      <c r="M1212" s="18"/>
      <c r="N1212" s="18"/>
      <c r="O1212" s="18"/>
      <c r="P1212" s="18"/>
      <c r="Q1212" s="18"/>
      <c r="R1212" s="18"/>
      <c r="S1212" s="18"/>
      <c r="T1212" s="18"/>
      <c r="U1212" s="18"/>
      <c r="V1212" s="18"/>
      <c r="W1212" s="18"/>
      <c r="X1212" s="18"/>
      <c r="Y1212" s="18"/>
      <c r="Z1212" s="18"/>
      <c r="AA1212" s="18"/>
      <c r="AB1212" s="18"/>
      <c r="AC1212" s="18"/>
      <c r="AD1212" s="18"/>
      <c r="AE1212" s="18"/>
      <c r="AF1212" s="18"/>
      <c r="AG1212" s="18"/>
      <c r="AH1212" s="18"/>
      <c r="AI1212" s="18"/>
      <c r="AJ1212" s="18"/>
      <c r="AK1212" s="18"/>
      <c r="AL1212" s="18"/>
      <c r="AM1212" s="18"/>
      <c r="AN1212" s="18"/>
      <c r="AO1212" s="18"/>
      <c r="AP1212" s="18"/>
      <c r="AQ1212" s="18"/>
      <c r="AR1212" s="18"/>
      <c r="AS1212" s="18"/>
      <c r="AT1212" s="18"/>
      <c r="AU1212" s="18"/>
      <c r="AV1212" s="18"/>
      <c r="AW1212" s="18"/>
      <c r="AX1212" s="18"/>
      <c r="AY1212" s="18"/>
      <c r="AZ1212" s="18"/>
      <c r="BA1212" s="18"/>
      <c r="BB1212" s="18"/>
      <c r="BC1212" s="18"/>
      <c r="BD1212" s="18"/>
      <c r="BE1212" s="18"/>
      <c r="BF1212" s="18"/>
      <c r="BG1212" s="18"/>
      <c r="BH1212" s="18"/>
      <c r="BI1212" s="18"/>
      <c r="BJ1212" s="18"/>
      <c r="BK1212" s="18"/>
      <c r="BL1212" s="18"/>
      <c r="BM1212" s="18"/>
      <c r="BN1212" s="18"/>
    </row>
    <row r="1213" spans="1:66">
      <c r="A1213" s="18"/>
      <c r="B1213" s="18"/>
      <c r="C1213" s="18"/>
      <c r="D1213" s="18"/>
      <c r="E1213" s="18"/>
      <c r="F1213" s="18"/>
      <c r="G1213" s="18"/>
      <c r="H1213" s="18"/>
      <c r="I1213" s="18"/>
      <c r="J1213" s="18"/>
      <c r="K1213" s="18"/>
      <c r="L1213" s="18"/>
      <c r="M1213" s="18"/>
      <c r="N1213" s="18"/>
      <c r="O1213" s="18"/>
      <c r="P1213" s="18"/>
      <c r="Q1213" s="18"/>
      <c r="R1213" s="18"/>
      <c r="S1213" s="18"/>
      <c r="T1213" s="18"/>
      <c r="U1213" s="18"/>
      <c r="V1213" s="18"/>
      <c r="W1213" s="18"/>
      <c r="X1213" s="18"/>
      <c r="Y1213" s="18"/>
      <c r="Z1213" s="18"/>
      <c r="AA1213" s="18"/>
      <c r="AB1213" s="18"/>
      <c r="AC1213" s="18"/>
      <c r="AD1213" s="18"/>
      <c r="AE1213" s="18"/>
      <c r="AF1213" s="18"/>
      <c r="AG1213" s="18"/>
      <c r="AH1213" s="18"/>
      <c r="AI1213" s="18"/>
      <c r="AJ1213" s="18"/>
      <c r="AK1213" s="18"/>
      <c r="AL1213" s="18"/>
      <c r="AM1213" s="18"/>
      <c r="AN1213" s="18"/>
      <c r="AO1213" s="18"/>
      <c r="AP1213" s="18"/>
      <c r="AQ1213" s="18"/>
      <c r="AR1213" s="18"/>
      <c r="AS1213" s="18"/>
      <c r="AT1213" s="18"/>
      <c r="AU1213" s="18"/>
      <c r="AV1213" s="18"/>
      <c r="AW1213" s="18"/>
      <c r="AX1213" s="18"/>
      <c r="AY1213" s="18"/>
      <c r="AZ1213" s="18"/>
      <c r="BA1213" s="18"/>
      <c r="BB1213" s="18"/>
      <c r="BC1213" s="18"/>
      <c r="BD1213" s="18"/>
      <c r="BE1213" s="18"/>
      <c r="BF1213" s="18"/>
      <c r="BG1213" s="18"/>
      <c r="BH1213" s="18"/>
      <c r="BI1213" s="18"/>
      <c r="BJ1213" s="18"/>
      <c r="BK1213" s="18"/>
      <c r="BL1213" s="18"/>
      <c r="BM1213" s="18"/>
      <c r="BN1213" s="18"/>
    </row>
    <row r="1214" spans="1:66">
      <c r="A1214" s="18"/>
      <c r="B1214" s="18"/>
      <c r="C1214" s="18"/>
      <c r="D1214" s="18"/>
      <c r="E1214" s="18"/>
      <c r="F1214" s="18"/>
      <c r="G1214" s="18"/>
      <c r="H1214" s="18"/>
      <c r="I1214" s="18"/>
      <c r="J1214" s="18"/>
      <c r="K1214" s="18"/>
      <c r="L1214" s="18"/>
      <c r="M1214" s="18"/>
      <c r="N1214" s="18"/>
      <c r="O1214" s="18"/>
      <c r="P1214" s="18"/>
      <c r="Q1214" s="18"/>
      <c r="R1214" s="18"/>
      <c r="S1214" s="18"/>
      <c r="T1214" s="18"/>
      <c r="U1214" s="18"/>
      <c r="V1214" s="18"/>
      <c r="W1214" s="18"/>
      <c r="X1214" s="18"/>
      <c r="Y1214" s="18"/>
      <c r="Z1214" s="18"/>
      <c r="AA1214" s="18"/>
      <c r="AB1214" s="18"/>
      <c r="AC1214" s="18"/>
      <c r="AD1214" s="18"/>
      <c r="AE1214" s="18"/>
      <c r="AF1214" s="18"/>
      <c r="AG1214" s="18"/>
      <c r="AH1214" s="18"/>
      <c r="AI1214" s="18"/>
      <c r="AJ1214" s="18"/>
      <c r="AK1214" s="18"/>
      <c r="AL1214" s="18"/>
      <c r="AM1214" s="18"/>
      <c r="AN1214" s="18"/>
      <c r="AO1214" s="18"/>
      <c r="AP1214" s="18"/>
      <c r="AQ1214" s="18"/>
      <c r="AR1214" s="18"/>
      <c r="AS1214" s="18"/>
      <c r="AT1214" s="18"/>
      <c r="AU1214" s="18"/>
      <c r="AV1214" s="18"/>
      <c r="AW1214" s="18"/>
      <c r="AX1214" s="18"/>
      <c r="AY1214" s="18"/>
      <c r="AZ1214" s="18"/>
      <c r="BA1214" s="18"/>
      <c r="BB1214" s="18"/>
      <c r="BC1214" s="18"/>
      <c r="BD1214" s="18"/>
      <c r="BE1214" s="18"/>
      <c r="BF1214" s="18"/>
      <c r="BG1214" s="18"/>
      <c r="BH1214" s="18"/>
      <c r="BI1214" s="18"/>
      <c r="BJ1214" s="18"/>
      <c r="BK1214" s="18"/>
      <c r="BL1214" s="18"/>
      <c r="BM1214" s="18"/>
      <c r="BN1214" s="18"/>
    </row>
    <row r="1215" spans="1:66">
      <c r="A1215" s="18"/>
      <c r="B1215" s="18"/>
      <c r="C1215" s="18"/>
      <c r="D1215" s="18"/>
      <c r="E1215" s="18"/>
      <c r="F1215" s="18"/>
      <c r="G1215" s="18"/>
      <c r="H1215" s="18"/>
      <c r="I1215" s="18"/>
      <c r="J1215" s="18"/>
      <c r="K1215" s="18"/>
      <c r="L1215" s="18"/>
      <c r="M1215" s="18"/>
      <c r="N1215" s="18"/>
      <c r="O1215" s="18"/>
      <c r="P1215" s="18"/>
      <c r="Q1215" s="18"/>
      <c r="R1215" s="18"/>
      <c r="S1215" s="18"/>
      <c r="T1215" s="18"/>
      <c r="U1215" s="18"/>
      <c r="V1215" s="18"/>
      <c r="W1215" s="18"/>
      <c r="X1215" s="18"/>
      <c r="Y1215" s="18"/>
      <c r="Z1215" s="18"/>
      <c r="AA1215" s="18"/>
      <c r="AB1215" s="18"/>
      <c r="AC1215" s="18"/>
      <c r="AD1215" s="18"/>
      <c r="AE1215" s="18"/>
      <c r="AF1215" s="18"/>
      <c r="AG1215" s="18"/>
      <c r="AH1215" s="18"/>
      <c r="AI1215" s="18"/>
      <c r="AJ1215" s="18"/>
      <c r="AK1215" s="18"/>
      <c r="AL1215" s="18"/>
      <c r="AM1215" s="18"/>
      <c r="AN1215" s="18"/>
      <c r="AO1215" s="18"/>
      <c r="AP1215" s="18"/>
      <c r="AQ1215" s="18"/>
      <c r="AR1215" s="18"/>
      <c r="AS1215" s="18"/>
      <c r="AT1215" s="18"/>
      <c r="AU1215" s="18"/>
      <c r="AV1215" s="18"/>
      <c r="AW1215" s="18"/>
      <c r="AX1215" s="18"/>
      <c r="AY1215" s="18"/>
      <c r="AZ1215" s="18"/>
      <c r="BA1215" s="18"/>
      <c r="BB1215" s="18"/>
      <c r="BC1215" s="18"/>
      <c r="BD1215" s="18"/>
      <c r="BE1215" s="18"/>
      <c r="BF1215" s="18"/>
      <c r="BG1215" s="18"/>
      <c r="BH1215" s="18"/>
      <c r="BI1215" s="18"/>
      <c r="BJ1215" s="18"/>
      <c r="BK1215" s="18"/>
      <c r="BL1215" s="18"/>
      <c r="BM1215" s="18"/>
      <c r="BN1215" s="18"/>
    </row>
    <row r="1216" spans="1:66">
      <c r="A1216" s="18"/>
      <c r="B1216" s="18"/>
      <c r="C1216" s="18"/>
      <c r="D1216" s="18"/>
      <c r="E1216" s="18"/>
      <c r="F1216" s="18"/>
      <c r="G1216" s="18"/>
      <c r="H1216" s="18"/>
      <c r="I1216" s="18"/>
      <c r="J1216" s="18"/>
      <c r="K1216" s="18"/>
      <c r="L1216" s="18"/>
      <c r="M1216" s="18"/>
      <c r="N1216" s="18"/>
      <c r="O1216" s="18"/>
      <c r="P1216" s="18"/>
      <c r="Q1216" s="18"/>
      <c r="R1216" s="18"/>
      <c r="S1216" s="18"/>
      <c r="T1216" s="18"/>
      <c r="U1216" s="18"/>
      <c r="V1216" s="18"/>
      <c r="W1216" s="18"/>
      <c r="X1216" s="18"/>
      <c r="Y1216" s="18"/>
      <c r="Z1216" s="18"/>
      <c r="AA1216" s="18"/>
      <c r="AB1216" s="18"/>
      <c r="AC1216" s="18"/>
      <c r="AD1216" s="18"/>
      <c r="AE1216" s="18"/>
      <c r="AF1216" s="18"/>
      <c r="AG1216" s="18"/>
      <c r="AH1216" s="18"/>
      <c r="AI1216" s="18"/>
      <c r="AJ1216" s="18"/>
      <c r="AK1216" s="18"/>
      <c r="AL1216" s="18"/>
      <c r="AM1216" s="18"/>
      <c r="AN1216" s="18"/>
      <c r="AO1216" s="18"/>
      <c r="AP1216" s="18"/>
      <c r="AQ1216" s="18"/>
      <c r="AR1216" s="18"/>
      <c r="AS1216" s="18"/>
      <c r="AT1216" s="18"/>
      <c r="AU1216" s="18"/>
      <c r="AV1216" s="18"/>
      <c r="AW1216" s="18"/>
      <c r="AX1216" s="18"/>
      <c r="AY1216" s="18"/>
      <c r="AZ1216" s="18"/>
      <c r="BA1216" s="18"/>
      <c r="BB1216" s="18"/>
      <c r="BC1216" s="18"/>
      <c r="BD1216" s="18"/>
      <c r="BE1216" s="18"/>
      <c r="BF1216" s="18"/>
      <c r="BG1216" s="18"/>
      <c r="BH1216" s="18"/>
      <c r="BI1216" s="18"/>
      <c r="BJ1216" s="18"/>
      <c r="BK1216" s="18"/>
      <c r="BL1216" s="18"/>
      <c r="BM1216" s="18"/>
      <c r="BN1216" s="18"/>
    </row>
    <row r="1217" spans="1:66">
      <c r="A1217" s="18"/>
      <c r="B1217" s="18"/>
      <c r="C1217" s="18"/>
      <c r="D1217" s="18"/>
      <c r="E1217" s="18"/>
      <c r="F1217" s="18"/>
      <c r="G1217" s="18"/>
      <c r="H1217" s="18"/>
      <c r="I1217" s="18"/>
      <c r="J1217" s="18"/>
      <c r="K1217" s="18"/>
      <c r="L1217" s="18"/>
      <c r="M1217" s="18"/>
      <c r="N1217" s="18"/>
      <c r="O1217" s="18"/>
      <c r="P1217" s="18"/>
      <c r="Q1217" s="18"/>
      <c r="R1217" s="18"/>
      <c r="S1217" s="18"/>
      <c r="T1217" s="18"/>
      <c r="U1217" s="18"/>
      <c r="V1217" s="18"/>
      <c r="W1217" s="18"/>
      <c r="X1217" s="18"/>
      <c r="Y1217" s="18"/>
      <c r="Z1217" s="18"/>
      <c r="AA1217" s="18"/>
      <c r="AB1217" s="18"/>
      <c r="AC1217" s="18"/>
      <c r="AD1217" s="18"/>
      <c r="AE1217" s="18"/>
      <c r="AF1217" s="18"/>
      <c r="AG1217" s="18"/>
      <c r="AH1217" s="18"/>
      <c r="AI1217" s="18"/>
      <c r="AJ1217" s="18"/>
      <c r="AK1217" s="18"/>
      <c r="AL1217" s="18"/>
      <c r="AM1217" s="18"/>
      <c r="AN1217" s="18"/>
      <c r="AO1217" s="18"/>
      <c r="AP1217" s="18"/>
      <c r="AQ1217" s="18"/>
      <c r="AR1217" s="18"/>
      <c r="AS1217" s="18"/>
      <c r="AT1217" s="18"/>
      <c r="AU1217" s="18"/>
      <c r="AV1217" s="18"/>
      <c r="AW1217" s="18"/>
      <c r="AX1217" s="18"/>
      <c r="AY1217" s="18"/>
      <c r="AZ1217" s="18"/>
      <c r="BA1217" s="18"/>
      <c r="BB1217" s="18"/>
      <c r="BC1217" s="18"/>
      <c r="BD1217" s="18"/>
      <c r="BE1217" s="18"/>
      <c r="BF1217" s="18"/>
      <c r="BG1217" s="18"/>
      <c r="BH1217" s="18"/>
      <c r="BI1217" s="18"/>
      <c r="BJ1217" s="18"/>
      <c r="BK1217" s="18"/>
      <c r="BL1217" s="18"/>
      <c r="BM1217" s="18"/>
      <c r="BN1217" s="18"/>
    </row>
    <row r="1218" spans="1:66">
      <c r="A1218" s="18"/>
      <c r="B1218" s="18"/>
      <c r="C1218" s="18"/>
      <c r="D1218" s="18"/>
      <c r="E1218" s="18"/>
      <c r="F1218" s="18"/>
      <c r="G1218" s="18"/>
      <c r="H1218" s="18"/>
      <c r="I1218" s="18"/>
      <c r="J1218" s="18"/>
      <c r="K1218" s="18"/>
      <c r="L1218" s="18"/>
      <c r="M1218" s="18"/>
      <c r="N1218" s="18"/>
      <c r="O1218" s="18"/>
      <c r="P1218" s="18"/>
      <c r="Q1218" s="18"/>
      <c r="R1218" s="18"/>
      <c r="S1218" s="18"/>
      <c r="T1218" s="18"/>
      <c r="U1218" s="18"/>
      <c r="V1218" s="18"/>
      <c r="W1218" s="18"/>
      <c r="X1218" s="18"/>
      <c r="Y1218" s="18"/>
      <c r="Z1218" s="18"/>
      <c r="AA1218" s="18"/>
      <c r="AB1218" s="18"/>
      <c r="AC1218" s="18"/>
      <c r="AD1218" s="18"/>
      <c r="AE1218" s="18"/>
      <c r="AF1218" s="18"/>
      <c r="AG1218" s="18"/>
      <c r="AH1218" s="18"/>
      <c r="AI1218" s="18"/>
      <c r="AJ1218" s="18"/>
      <c r="AK1218" s="18"/>
      <c r="AL1218" s="18"/>
      <c r="AM1218" s="18"/>
      <c r="AN1218" s="18"/>
      <c r="AO1218" s="18"/>
      <c r="AP1218" s="18"/>
      <c r="AQ1218" s="18"/>
      <c r="AR1218" s="18"/>
      <c r="AS1218" s="18"/>
      <c r="AT1218" s="18"/>
      <c r="AU1218" s="18"/>
      <c r="AV1218" s="18"/>
      <c r="AW1218" s="18"/>
      <c r="AX1218" s="18"/>
      <c r="AY1218" s="18"/>
      <c r="AZ1218" s="18"/>
      <c r="BA1218" s="18"/>
      <c r="BB1218" s="18"/>
      <c r="BC1218" s="18"/>
      <c r="BD1218" s="18"/>
      <c r="BE1218" s="18"/>
      <c r="BF1218" s="18"/>
      <c r="BG1218" s="18"/>
      <c r="BH1218" s="18"/>
      <c r="BI1218" s="18"/>
      <c r="BJ1218" s="18"/>
      <c r="BK1218" s="18"/>
      <c r="BL1218" s="18"/>
      <c r="BM1218" s="18"/>
      <c r="BN1218" s="18"/>
    </row>
    <row r="1219" spans="1:66">
      <c r="A1219" s="18"/>
      <c r="B1219" s="18"/>
      <c r="C1219" s="18"/>
      <c r="D1219" s="18"/>
      <c r="E1219" s="18"/>
      <c r="F1219" s="18"/>
      <c r="G1219" s="18"/>
      <c r="H1219" s="18"/>
      <c r="I1219" s="18"/>
      <c r="J1219" s="18"/>
      <c r="K1219" s="18"/>
      <c r="L1219" s="18"/>
      <c r="M1219" s="18"/>
      <c r="N1219" s="18"/>
      <c r="O1219" s="18"/>
      <c r="P1219" s="18"/>
      <c r="Q1219" s="18"/>
      <c r="R1219" s="18"/>
      <c r="S1219" s="18"/>
      <c r="T1219" s="18"/>
      <c r="U1219" s="18"/>
      <c r="V1219" s="18"/>
      <c r="W1219" s="18"/>
      <c r="X1219" s="18"/>
      <c r="Y1219" s="18"/>
      <c r="Z1219" s="18"/>
      <c r="AA1219" s="18"/>
      <c r="AB1219" s="18"/>
      <c r="AC1219" s="18"/>
      <c r="AD1219" s="18"/>
      <c r="AE1219" s="18"/>
      <c r="AF1219" s="18"/>
      <c r="AG1219" s="18"/>
      <c r="AH1219" s="18"/>
      <c r="AI1219" s="18"/>
      <c r="AJ1219" s="18"/>
      <c r="AK1219" s="18"/>
      <c r="AL1219" s="18"/>
      <c r="AM1219" s="18"/>
      <c r="AN1219" s="18"/>
      <c r="AO1219" s="18"/>
      <c r="AP1219" s="18"/>
      <c r="AQ1219" s="18"/>
      <c r="AR1219" s="18"/>
      <c r="AS1219" s="18"/>
      <c r="AT1219" s="18"/>
      <c r="AU1219" s="18"/>
      <c r="AV1219" s="18"/>
      <c r="AW1219" s="18"/>
      <c r="AX1219" s="18"/>
      <c r="AY1219" s="18"/>
      <c r="AZ1219" s="18"/>
      <c r="BA1219" s="18"/>
      <c r="BB1219" s="18"/>
      <c r="BC1219" s="18"/>
      <c r="BD1219" s="18"/>
      <c r="BE1219" s="18"/>
      <c r="BF1219" s="18"/>
      <c r="BG1219" s="18"/>
      <c r="BH1219" s="18"/>
      <c r="BI1219" s="18"/>
      <c r="BJ1219" s="18"/>
      <c r="BK1219" s="18"/>
      <c r="BL1219" s="18"/>
      <c r="BM1219" s="18"/>
      <c r="BN1219" s="18"/>
    </row>
    <row r="1220" spans="1:66">
      <c r="A1220" s="18"/>
      <c r="B1220" s="18"/>
      <c r="C1220" s="18"/>
      <c r="D1220" s="18"/>
      <c r="E1220" s="18"/>
      <c r="F1220" s="18"/>
      <c r="G1220" s="18"/>
      <c r="H1220" s="18"/>
      <c r="I1220" s="18"/>
      <c r="J1220" s="18"/>
      <c r="K1220" s="18"/>
      <c r="L1220" s="18"/>
      <c r="M1220" s="18"/>
      <c r="N1220" s="18"/>
      <c r="O1220" s="18"/>
      <c r="P1220" s="18"/>
      <c r="Q1220" s="18"/>
      <c r="R1220" s="18"/>
      <c r="S1220" s="18"/>
      <c r="T1220" s="18"/>
      <c r="U1220" s="18"/>
      <c r="V1220" s="18"/>
      <c r="W1220" s="18"/>
      <c r="X1220" s="18"/>
      <c r="Y1220" s="18"/>
      <c r="Z1220" s="18"/>
      <c r="AA1220" s="18"/>
      <c r="AB1220" s="18"/>
      <c r="AC1220" s="18"/>
      <c r="AD1220" s="18"/>
      <c r="AE1220" s="18"/>
      <c r="AF1220" s="18"/>
      <c r="AG1220" s="18"/>
      <c r="AH1220" s="18"/>
      <c r="AI1220" s="18"/>
      <c r="AJ1220" s="18"/>
      <c r="AK1220" s="18"/>
      <c r="AL1220" s="18"/>
      <c r="AM1220" s="18"/>
      <c r="AN1220" s="18"/>
      <c r="AO1220" s="18"/>
      <c r="AP1220" s="18"/>
      <c r="AQ1220" s="18"/>
      <c r="AR1220" s="18"/>
      <c r="AS1220" s="18"/>
      <c r="AT1220" s="18"/>
      <c r="AU1220" s="18"/>
      <c r="AV1220" s="18"/>
      <c r="AW1220" s="18"/>
      <c r="AX1220" s="18"/>
      <c r="AY1220" s="18"/>
      <c r="AZ1220" s="18"/>
      <c r="BA1220" s="18"/>
      <c r="BB1220" s="18"/>
      <c r="BC1220" s="18"/>
      <c r="BD1220" s="18"/>
      <c r="BE1220" s="18"/>
      <c r="BF1220" s="18"/>
      <c r="BG1220" s="18"/>
      <c r="BH1220" s="18"/>
      <c r="BI1220" s="18"/>
      <c r="BJ1220" s="18"/>
      <c r="BK1220" s="18"/>
      <c r="BL1220" s="18"/>
      <c r="BM1220" s="18"/>
      <c r="BN1220" s="18"/>
    </row>
    <row r="1221" spans="1:66">
      <c r="A1221" s="18"/>
      <c r="B1221" s="18"/>
      <c r="C1221" s="18"/>
      <c r="D1221" s="18"/>
      <c r="E1221" s="18"/>
      <c r="F1221" s="18"/>
      <c r="G1221" s="18"/>
      <c r="H1221" s="18"/>
      <c r="I1221" s="18"/>
      <c r="J1221" s="18"/>
      <c r="K1221" s="18"/>
      <c r="L1221" s="18"/>
      <c r="M1221" s="18"/>
      <c r="N1221" s="18"/>
      <c r="O1221" s="18"/>
      <c r="P1221" s="18"/>
      <c r="Q1221" s="18"/>
      <c r="R1221" s="18"/>
      <c r="S1221" s="18"/>
      <c r="T1221" s="18"/>
      <c r="U1221" s="18"/>
      <c r="V1221" s="18"/>
      <c r="W1221" s="18"/>
      <c r="X1221" s="18"/>
      <c r="Y1221" s="18"/>
      <c r="Z1221" s="18"/>
      <c r="AA1221" s="18"/>
      <c r="AB1221" s="18"/>
      <c r="AC1221" s="18"/>
      <c r="AD1221" s="18"/>
      <c r="AE1221" s="18"/>
      <c r="AF1221" s="18"/>
      <c r="AG1221" s="18"/>
      <c r="AH1221" s="18"/>
      <c r="AI1221" s="18"/>
      <c r="AJ1221" s="18"/>
      <c r="AK1221" s="18"/>
      <c r="AL1221" s="18"/>
      <c r="AM1221" s="18"/>
      <c r="AN1221" s="18"/>
      <c r="AO1221" s="18"/>
      <c r="AP1221" s="18"/>
      <c r="AQ1221" s="18"/>
      <c r="AR1221" s="18"/>
      <c r="AS1221" s="18"/>
      <c r="AT1221" s="18"/>
      <c r="AU1221" s="18"/>
      <c r="AV1221" s="18"/>
      <c r="AW1221" s="18"/>
      <c r="AX1221" s="18"/>
      <c r="AY1221" s="18"/>
      <c r="AZ1221" s="18"/>
      <c r="BA1221" s="18"/>
      <c r="BB1221" s="18"/>
      <c r="BC1221" s="18"/>
      <c r="BD1221" s="18"/>
      <c r="BE1221" s="18"/>
      <c r="BF1221" s="18"/>
      <c r="BG1221" s="18"/>
      <c r="BH1221" s="18"/>
      <c r="BI1221" s="18"/>
      <c r="BJ1221" s="18"/>
      <c r="BK1221" s="18"/>
      <c r="BL1221" s="18"/>
      <c r="BM1221" s="18"/>
      <c r="BN1221" s="18"/>
    </row>
    <row r="1222" spans="1:66">
      <c r="A1222" s="18"/>
      <c r="B1222" s="18"/>
      <c r="C1222" s="18"/>
      <c r="D1222" s="18"/>
      <c r="E1222" s="18"/>
      <c r="F1222" s="18"/>
      <c r="G1222" s="18"/>
      <c r="H1222" s="18"/>
      <c r="I1222" s="18"/>
      <c r="J1222" s="18"/>
      <c r="K1222" s="18"/>
      <c r="L1222" s="18"/>
      <c r="M1222" s="18"/>
      <c r="N1222" s="18"/>
      <c r="O1222" s="18"/>
      <c r="P1222" s="18"/>
      <c r="Q1222" s="18"/>
      <c r="R1222" s="18"/>
      <c r="S1222" s="18"/>
      <c r="T1222" s="18"/>
      <c r="U1222" s="18"/>
      <c r="V1222" s="18"/>
      <c r="W1222" s="18"/>
      <c r="X1222" s="18"/>
      <c r="Y1222" s="18"/>
      <c r="Z1222" s="18"/>
      <c r="AA1222" s="18"/>
      <c r="AB1222" s="18"/>
      <c r="AC1222" s="18"/>
      <c r="AD1222" s="18"/>
      <c r="AE1222" s="18"/>
      <c r="AF1222" s="18"/>
      <c r="AG1222" s="18"/>
      <c r="AH1222" s="18"/>
      <c r="AI1222" s="18"/>
      <c r="AJ1222" s="18"/>
      <c r="AK1222" s="18"/>
      <c r="AL1222" s="18"/>
      <c r="AM1222" s="18"/>
      <c r="AN1222" s="18"/>
      <c r="AO1222" s="18"/>
      <c r="AP1222" s="18"/>
      <c r="AQ1222" s="18"/>
      <c r="AR1222" s="18"/>
      <c r="AS1222" s="18"/>
      <c r="AT1222" s="18"/>
      <c r="AU1222" s="18"/>
      <c r="AV1222" s="18"/>
      <c r="AW1222" s="18"/>
      <c r="AX1222" s="18"/>
      <c r="AY1222" s="18"/>
      <c r="AZ1222" s="18"/>
      <c r="BA1222" s="18"/>
      <c r="BB1222" s="18"/>
      <c r="BC1222" s="18"/>
      <c r="BD1222" s="18"/>
      <c r="BE1222" s="18"/>
      <c r="BF1222" s="18"/>
      <c r="BG1222" s="18"/>
      <c r="BH1222" s="18"/>
      <c r="BI1222" s="18"/>
      <c r="BJ1222" s="18"/>
      <c r="BK1222" s="18"/>
      <c r="BL1222" s="18"/>
      <c r="BM1222" s="18"/>
      <c r="BN1222" s="18"/>
    </row>
    <row r="1223" spans="1:66">
      <c r="A1223" s="18"/>
      <c r="B1223" s="18"/>
      <c r="C1223" s="18"/>
      <c r="D1223" s="18"/>
      <c r="E1223" s="18"/>
      <c r="F1223" s="18"/>
      <c r="G1223" s="18"/>
      <c r="H1223" s="18"/>
      <c r="I1223" s="18"/>
      <c r="J1223" s="18"/>
      <c r="K1223" s="18"/>
      <c r="L1223" s="18"/>
      <c r="M1223" s="18"/>
      <c r="N1223" s="18"/>
      <c r="O1223" s="18"/>
      <c r="P1223" s="18"/>
      <c r="Q1223" s="18"/>
      <c r="R1223" s="18"/>
      <c r="S1223" s="18"/>
      <c r="T1223" s="18"/>
      <c r="U1223" s="18"/>
      <c r="V1223" s="18"/>
      <c r="W1223" s="18"/>
      <c r="X1223" s="18"/>
      <c r="Y1223" s="18"/>
      <c r="Z1223" s="18"/>
      <c r="AA1223" s="18"/>
      <c r="AB1223" s="18"/>
      <c r="AC1223" s="18"/>
      <c r="AD1223" s="18"/>
      <c r="AE1223" s="18"/>
      <c r="AF1223" s="18"/>
      <c r="AG1223" s="18"/>
      <c r="AH1223" s="18"/>
      <c r="AI1223" s="18"/>
      <c r="AJ1223" s="18"/>
      <c r="AK1223" s="18"/>
      <c r="AL1223" s="18"/>
      <c r="AM1223" s="18"/>
      <c r="AN1223" s="18"/>
      <c r="AO1223" s="18"/>
      <c r="AP1223" s="18"/>
      <c r="AQ1223" s="18"/>
      <c r="AR1223" s="18"/>
      <c r="AS1223" s="18"/>
      <c r="AT1223" s="18"/>
      <c r="AU1223" s="18"/>
      <c r="AV1223" s="18"/>
      <c r="AW1223" s="18"/>
      <c r="AX1223" s="18"/>
      <c r="AY1223" s="18"/>
      <c r="AZ1223" s="18"/>
      <c r="BA1223" s="18"/>
      <c r="BB1223" s="18"/>
      <c r="BC1223" s="18"/>
      <c r="BD1223" s="18"/>
      <c r="BE1223" s="18"/>
      <c r="BF1223" s="18"/>
      <c r="BG1223" s="18"/>
      <c r="BH1223" s="18"/>
      <c r="BI1223" s="18"/>
      <c r="BJ1223" s="18"/>
      <c r="BK1223" s="18"/>
      <c r="BL1223" s="18"/>
      <c r="BM1223" s="18"/>
      <c r="BN1223" s="18"/>
    </row>
    <row r="1224" spans="1:66">
      <c r="A1224" s="18"/>
      <c r="B1224" s="18"/>
      <c r="C1224" s="18"/>
      <c r="D1224" s="18"/>
      <c r="E1224" s="18"/>
      <c r="F1224" s="18"/>
      <c r="G1224" s="18"/>
      <c r="H1224" s="18"/>
      <c r="I1224" s="18"/>
      <c r="J1224" s="18"/>
      <c r="K1224" s="18"/>
      <c r="L1224" s="18"/>
      <c r="M1224" s="18"/>
      <c r="N1224" s="18"/>
      <c r="O1224" s="18"/>
      <c r="P1224" s="18"/>
      <c r="Q1224" s="18"/>
      <c r="R1224" s="18"/>
      <c r="S1224" s="18"/>
      <c r="T1224" s="18"/>
      <c r="U1224" s="18"/>
      <c r="V1224" s="18"/>
      <c r="W1224" s="18"/>
      <c r="X1224" s="18"/>
      <c r="Y1224" s="18"/>
      <c r="Z1224" s="18"/>
      <c r="AA1224" s="18"/>
      <c r="AB1224" s="18"/>
      <c r="AC1224" s="18"/>
      <c r="AD1224" s="18"/>
      <c r="AE1224" s="18"/>
      <c r="AF1224" s="18"/>
      <c r="AG1224" s="18"/>
      <c r="AH1224" s="18"/>
      <c r="AI1224" s="18"/>
      <c r="AJ1224" s="18"/>
      <c r="AK1224" s="18"/>
      <c r="AL1224" s="18"/>
      <c r="AM1224" s="18"/>
      <c r="AN1224" s="18"/>
      <c r="AO1224" s="18"/>
      <c r="AP1224" s="18"/>
      <c r="AQ1224" s="18"/>
      <c r="AR1224" s="18"/>
      <c r="AS1224" s="18"/>
      <c r="AT1224" s="18"/>
      <c r="AU1224" s="18"/>
      <c r="AV1224" s="18"/>
      <c r="AW1224" s="18"/>
      <c r="AX1224" s="18"/>
      <c r="AY1224" s="18"/>
      <c r="AZ1224" s="18"/>
      <c r="BA1224" s="18"/>
      <c r="BB1224" s="18"/>
      <c r="BC1224" s="18"/>
      <c r="BD1224" s="18"/>
      <c r="BE1224" s="18"/>
      <c r="BF1224" s="18"/>
      <c r="BG1224" s="18"/>
      <c r="BH1224" s="18"/>
      <c r="BI1224" s="18"/>
      <c r="BJ1224" s="18"/>
      <c r="BK1224" s="18"/>
      <c r="BL1224" s="18"/>
      <c r="BM1224" s="18"/>
      <c r="BN1224" s="18"/>
    </row>
    <row r="1225" spans="1:66">
      <c r="A1225" s="18"/>
      <c r="B1225" s="18"/>
      <c r="C1225" s="18"/>
      <c r="D1225" s="18"/>
      <c r="E1225" s="18"/>
      <c r="F1225" s="18"/>
      <c r="G1225" s="18"/>
      <c r="H1225" s="18"/>
      <c r="I1225" s="18"/>
      <c r="J1225" s="18"/>
      <c r="K1225" s="18"/>
      <c r="L1225" s="18"/>
      <c r="M1225" s="18"/>
      <c r="N1225" s="18"/>
      <c r="O1225" s="18"/>
      <c r="P1225" s="18"/>
      <c r="Q1225" s="18"/>
      <c r="R1225" s="18"/>
      <c r="S1225" s="18"/>
      <c r="T1225" s="18"/>
      <c r="U1225" s="18"/>
      <c r="V1225" s="18"/>
      <c r="W1225" s="18"/>
      <c r="X1225" s="18"/>
      <c r="Y1225" s="18"/>
      <c r="Z1225" s="18"/>
      <c r="AA1225" s="18"/>
      <c r="AB1225" s="18"/>
      <c r="AC1225" s="18"/>
      <c r="AD1225" s="18"/>
      <c r="AE1225" s="18"/>
      <c r="AF1225" s="18"/>
      <c r="AG1225" s="18"/>
      <c r="AH1225" s="18"/>
      <c r="AI1225" s="18"/>
      <c r="AJ1225" s="18"/>
      <c r="AK1225" s="18"/>
      <c r="AL1225" s="18"/>
      <c r="AM1225" s="18"/>
      <c r="AN1225" s="18"/>
      <c r="AO1225" s="18"/>
      <c r="AP1225" s="18"/>
      <c r="AQ1225" s="18"/>
      <c r="AR1225" s="18"/>
      <c r="AS1225" s="18"/>
      <c r="AT1225" s="18"/>
      <c r="AU1225" s="18"/>
      <c r="AV1225" s="18"/>
      <c r="AW1225" s="18"/>
      <c r="AX1225" s="18"/>
      <c r="AY1225" s="18"/>
      <c r="AZ1225" s="18"/>
      <c r="BA1225" s="18"/>
      <c r="BB1225" s="18"/>
      <c r="BC1225" s="18"/>
      <c r="BD1225" s="18"/>
      <c r="BE1225" s="18"/>
      <c r="BF1225" s="18"/>
      <c r="BG1225" s="18"/>
      <c r="BH1225" s="18"/>
      <c r="BI1225" s="18"/>
      <c r="BJ1225" s="18"/>
      <c r="BK1225" s="18"/>
      <c r="BL1225" s="18"/>
      <c r="BM1225" s="18"/>
      <c r="BN1225" s="18"/>
    </row>
    <row r="1226" spans="1:66">
      <c r="A1226" s="18"/>
      <c r="B1226" s="18"/>
      <c r="C1226" s="18"/>
      <c r="D1226" s="18"/>
      <c r="E1226" s="18"/>
      <c r="F1226" s="18"/>
      <c r="G1226" s="18"/>
      <c r="H1226" s="18"/>
      <c r="I1226" s="18"/>
      <c r="J1226" s="18"/>
      <c r="K1226" s="18"/>
      <c r="L1226" s="18"/>
      <c r="M1226" s="18"/>
      <c r="N1226" s="18"/>
      <c r="O1226" s="18"/>
      <c r="P1226" s="18"/>
      <c r="Q1226" s="18"/>
      <c r="R1226" s="18"/>
      <c r="S1226" s="18"/>
      <c r="T1226" s="18"/>
      <c r="U1226" s="18"/>
      <c r="V1226" s="18"/>
      <c r="W1226" s="18"/>
      <c r="X1226" s="18"/>
      <c r="Y1226" s="18"/>
      <c r="Z1226" s="18"/>
      <c r="AA1226" s="18"/>
      <c r="AB1226" s="18"/>
      <c r="AC1226" s="18"/>
      <c r="AD1226" s="18"/>
      <c r="AE1226" s="18"/>
      <c r="AF1226" s="18"/>
      <c r="AG1226" s="18"/>
      <c r="AH1226" s="18"/>
      <c r="AI1226" s="18"/>
      <c r="AJ1226" s="18"/>
      <c r="AK1226" s="18"/>
      <c r="AL1226" s="18"/>
      <c r="AM1226" s="18"/>
      <c r="AN1226" s="18"/>
      <c r="AO1226" s="18"/>
      <c r="AP1226" s="18"/>
      <c r="AQ1226" s="18"/>
      <c r="AR1226" s="18"/>
      <c r="AS1226" s="18"/>
      <c r="AT1226" s="18"/>
      <c r="AU1226" s="18"/>
      <c r="AV1226" s="18"/>
      <c r="AW1226" s="18"/>
      <c r="AX1226" s="18"/>
      <c r="AY1226" s="18"/>
      <c r="AZ1226" s="18"/>
      <c r="BA1226" s="18"/>
      <c r="BB1226" s="18"/>
      <c r="BC1226" s="18"/>
      <c r="BD1226" s="18"/>
      <c r="BE1226" s="18"/>
      <c r="BF1226" s="18"/>
      <c r="BG1226" s="18"/>
      <c r="BH1226" s="18"/>
      <c r="BI1226" s="18"/>
      <c r="BJ1226" s="18"/>
      <c r="BK1226" s="18"/>
      <c r="BL1226" s="18"/>
      <c r="BM1226" s="18"/>
      <c r="BN1226" s="18"/>
    </row>
    <row r="1227" spans="1:66">
      <c r="A1227" s="18"/>
      <c r="B1227" s="18"/>
      <c r="C1227" s="18"/>
      <c r="D1227" s="18"/>
      <c r="E1227" s="18"/>
      <c r="F1227" s="18"/>
      <c r="G1227" s="18"/>
      <c r="H1227" s="18"/>
      <c r="I1227" s="18"/>
      <c r="J1227" s="18"/>
      <c r="K1227" s="18"/>
      <c r="L1227" s="18"/>
      <c r="M1227" s="18"/>
      <c r="N1227" s="18"/>
      <c r="O1227" s="18"/>
      <c r="P1227" s="18"/>
      <c r="Q1227" s="18"/>
      <c r="R1227" s="18"/>
      <c r="S1227" s="18"/>
      <c r="T1227" s="18"/>
      <c r="U1227" s="18"/>
      <c r="V1227" s="18"/>
      <c r="W1227" s="18"/>
      <c r="X1227" s="18"/>
      <c r="Y1227" s="18"/>
      <c r="Z1227" s="18"/>
      <c r="AA1227" s="18"/>
      <c r="AB1227" s="18"/>
      <c r="AC1227" s="18"/>
      <c r="AD1227" s="18"/>
      <c r="AE1227" s="18"/>
      <c r="AF1227" s="18"/>
      <c r="AG1227" s="18"/>
      <c r="AH1227" s="18"/>
      <c r="AI1227" s="18"/>
      <c r="AJ1227" s="18"/>
      <c r="AK1227" s="18"/>
      <c r="AL1227" s="18"/>
      <c r="AM1227" s="18"/>
      <c r="AN1227" s="18"/>
      <c r="AO1227" s="18"/>
      <c r="AP1227" s="18"/>
      <c r="AQ1227" s="18"/>
      <c r="AR1227" s="18"/>
      <c r="AS1227" s="18"/>
      <c r="AT1227" s="18"/>
      <c r="AU1227" s="18"/>
      <c r="AV1227" s="18"/>
      <c r="AW1227" s="18"/>
      <c r="AX1227" s="18"/>
      <c r="AY1227" s="18"/>
      <c r="AZ1227" s="18"/>
      <c r="BA1227" s="18"/>
      <c r="BB1227" s="18"/>
      <c r="BC1227" s="18"/>
      <c r="BD1227" s="18"/>
      <c r="BE1227" s="18"/>
      <c r="BF1227" s="18"/>
      <c r="BG1227" s="18"/>
      <c r="BH1227" s="18"/>
      <c r="BI1227" s="18"/>
      <c r="BJ1227" s="18"/>
      <c r="BK1227" s="18"/>
      <c r="BL1227" s="18"/>
      <c r="BM1227" s="18"/>
      <c r="BN1227" s="18"/>
    </row>
    <row r="1228" spans="1:66">
      <c r="A1228" s="18"/>
      <c r="B1228" s="18"/>
      <c r="C1228" s="18"/>
      <c r="D1228" s="18"/>
      <c r="E1228" s="18"/>
      <c r="F1228" s="18"/>
      <c r="G1228" s="18"/>
      <c r="H1228" s="18"/>
      <c r="I1228" s="18"/>
      <c r="J1228" s="18"/>
      <c r="K1228" s="18"/>
      <c r="L1228" s="18"/>
      <c r="M1228" s="18"/>
      <c r="N1228" s="18"/>
      <c r="O1228" s="18"/>
      <c r="P1228" s="18"/>
      <c r="Q1228" s="18"/>
      <c r="R1228" s="18"/>
      <c r="S1228" s="18"/>
      <c r="T1228" s="18"/>
      <c r="U1228" s="18"/>
      <c r="V1228" s="18"/>
      <c r="W1228" s="18"/>
      <c r="X1228" s="18"/>
      <c r="Y1228" s="18"/>
      <c r="Z1228" s="18"/>
      <c r="AA1228" s="18"/>
      <c r="AB1228" s="18"/>
      <c r="AC1228" s="18"/>
      <c r="AD1228" s="18"/>
      <c r="AE1228" s="18"/>
      <c r="AF1228" s="18"/>
      <c r="AG1228" s="18"/>
      <c r="AH1228" s="18"/>
      <c r="AI1228" s="18"/>
      <c r="AJ1228" s="18"/>
      <c r="AK1228" s="18"/>
      <c r="AL1228" s="18"/>
      <c r="AM1228" s="18"/>
      <c r="AN1228" s="18"/>
      <c r="AO1228" s="18"/>
      <c r="AP1228" s="18"/>
      <c r="AQ1228" s="18"/>
      <c r="AR1228" s="18"/>
      <c r="AS1228" s="18"/>
      <c r="AT1228" s="18"/>
      <c r="AU1228" s="18"/>
      <c r="AV1228" s="18"/>
      <c r="AW1228" s="18"/>
      <c r="AX1228" s="18"/>
      <c r="AY1228" s="18"/>
      <c r="AZ1228" s="18"/>
      <c r="BA1228" s="18"/>
      <c r="BB1228" s="18"/>
      <c r="BC1228" s="18"/>
      <c r="BD1228" s="18"/>
      <c r="BE1228" s="18"/>
      <c r="BF1228" s="18"/>
      <c r="BG1228" s="18"/>
      <c r="BH1228" s="18"/>
      <c r="BI1228" s="18"/>
      <c r="BJ1228" s="18"/>
      <c r="BK1228" s="18"/>
      <c r="BL1228" s="18"/>
      <c r="BM1228" s="18"/>
      <c r="BN1228" s="18"/>
    </row>
    <row r="1229" spans="1:66">
      <c r="A1229" s="18"/>
      <c r="B1229" s="18"/>
      <c r="C1229" s="18"/>
      <c r="D1229" s="18"/>
      <c r="E1229" s="18"/>
      <c r="F1229" s="18"/>
      <c r="G1229" s="18"/>
      <c r="H1229" s="18"/>
      <c r="I1229" s="18"/>
      <c r="J1229" s="18"/>
      <c r="K1229" s="18"/>
      <c r="L1229" s="18"/>
      <c r="M1229" s="18"/>
      <c r="N1229" s="18"/>
      <c r="O1229" s="18"/>
      <c r="P1229" s="18"/>
      <c r="Q1229" s="18"/>
      <c r="R1229" s="18"/>
      <c r="S1229" s="18"/>
      <c r="T1229" s="18"/>
      <c r="U1229" s="18"/>
      <c r="V1229" s="18"/>
      <c r="W1229" s="18"/>
      <c r="X1229" s="18"/>
      <c r="Y1229" s="18"/>
      <c r="Z1229" s="18"/>
      <c r="AA1229" s="18"/>
      <c r="AB1229" s="18"/>
      <c r="AC1229" s="18"/>
      <c r="AD1229" s="18"/>
      <c r="AE1229" s="18"/>
      <c r="AF1229" s="18"/>
      <c r="AG1229" s="18"/>
      <c r="AH1229" s="18"/>
      <c r="AI1229" s="18"/>
      <c r="AJ1229" s="18"/>
      <c r="AK1229" s="18"/>
      <c r="AL1229" s="18"/>
      <c r="AM1229" s="18"/>
      <c r="AN1229" s="18"/>
      <c r="AO1229" s="18"/>
      <c r="AP1229" s="18"/>
      <c r="AQ1229" s="18"/>
      <c r="AR1229" s="18"/>
      <c r="AS1229" s="18"/>
      <c r="AT1229" s="18"/>
      <c r="AU1229" s="18"/>
      <c r="AV1229" s="18"/>
      <c r="AW1229" s="18"/>
      <c r="AX1229" s="18"/>
      <c r="AY1229" s="18"/>
      <c r="AZ1229" s="18"/>
      <c r="BA1229" s="18"/>
      <c r="BB1229" s="18"/>
      <c r="BC1229" s="18"/>
      <c r="BD1229" s="18"/>
      <c r="BE1229" s="18"/>
      <c r="BF1229" s="18"/>
      <c r="BG1229" s="18"/>
      <c r="BH1229" s="18"/>
      <c r="BI1229" s="18"/>
      <c r="BJ1229" s="18"/>
      <c r="BK1229" s="18"/>
      <c r="BL1229" s="18"/>
      <c r="BM1229" s="18"/>
      <c r="BN1229" s="18"/>
    </row>
    <row r="1230" spans="1:66">
      <c r="A1230" s="18"/>
      <c r="B1230" s="18"/>
      <c r="C1230" s="18"/>
      <c r="D1230" s="18"/>
      <c r="E1230" s="18"/>
      <c r="F1230" s="18"/>
      <c r="G1230" s="18"/>
      <c r="H1230" s="18"/>
      <c r="I1230" s="18"/>
      <c r="J1230" s="18"/>
      <c r="K1230" s="18"/>
      <c r="L1230" s="18"/>
      <c r="M1230" s="18"/>
      <c r="N1230" s="18"/>
      <c r="O1230" s="18"/>
      <c r="P1230" s="18"/>
      <c r="Q1230" s="18"/>
      <c r="R1230" s="18"/>
      <c r="S1230" s="18"/>
      <c r="T1230" s="18"/>
      <c r="U1230" s="18"/>
      <c r="V1230" s="18"/>
      <c r="W1230" s="18"/>
      <c r="X1230" s="18"/>
      <c r="Y1230" s="18"/>
      <c r="Z1230" s="18"/>
      <c r="AA1230" s="18"/>
      <c r="AB1230" s="18"/>
      <c r="AC1230" s="18"/>
      <c r="AD1230" s="18"/>
      <c r="AE1230" s="18"/>
      <c r="AF1230" s="18"/>
      <c r="AG1230" s="18"/>
      <c r="AH1230" s="18"/>
      <c r="AI1230" s="18"/>
      <c r="AJ1230" s="18"/>
      <c r="AK1230" s="18"/>
      <c r="AL1230" s="18"/>
      <c r="AM1230" s="18"/>
      <c r="AN1230" s="18"/>
      <c r="AO1230" s="18"/>
      <c r="AP1230" s="18"/>
      <c r="AQ1230" s="18"/>
      <c r="AR1230" s="18"/>
      <c r="AS1230" s="18"/>
      <c r="AT1230" s="18"/>
      <c r="AU1230" s="18"/>
      <c r="AV1230" s="18"/>
      <c r="AW1230" s="18"/>
      <c r="AX1230" s="18"/>
      <c r="AY1230" s="18"/>
      <c r="AZ1230" s="18"/>
      <c r="BA1230" s="18"/>
      <c r="BB1230" s="18"/>
      <c r="BC1230" s="18"/>
      <c r="BD1230" s="18"/>
      <c r="BE1230" s="18"/>
      <c r="BF1230" s="18"/>
      <c r="BG1230" s="18"/>
      <c r="BH1230" s="18"/>
      <c r="BI1230" s="18"/>
      <c r="BJ1230" s="18"/>
      <c r="BK1230" s="18"/>
      <c r="BL1230" s="18"/>
      <c r="BM1230" s="18"/>
      <c r="BN1230" s="18"/>
    </row>
    <row r="1231" spans="1:66">
      <c r="A1231" s="18"/>
      <c r="B1231" s="18"/>
      <c r="C1231" s="18"/>
      <c r="D1231" s="18"/>
      <c r="E1231" s="18"/>
      <c r="F1231" s="18"/>
      <c r="G1231" s="18"/>
      <c r="H1231" s="18"/>
      <c r="I1231" s="18"/>
      <c r="J1231" s="18"/>
      <c r="K1231" s="18"/>
      <c r="L1231" s="18"/>
      <c r="M1231" s="18"/>
      <c r="N1231" s="18"/>
      <c r="O1231" s="18"/>
      <c r="P1231" s="18"/>
      <c r="Q1231" s="18"/>
      <c r="R1231" s="18"/>
      <c r="S1231" s="18"/>
      <c r="T1231" s="18"/>
      <c r="U1231" s="18"/>
      <c r="V1231" s="18"/>
      <c r="W1231" s="18"/>
      <c r="X1231" s="18"/>
      <c r="Y1231" s="18"/>
      <c r="Z1231" s="18"/>
      <c r="AA1231" s="18"/>
      <c r="AB1231" s="18"/>
      <c r="AC1231" s="18"/>
      <c r="AD1231" s="18"/>
      <c r="AE1231" s="18"/>
      <c r="AF1231" s="18"/>
      <c r="AG1231" s="18"/>
      <c r="AH1231" s="18"/>
      <c r="AI1231" s="18"/>
      <c r="AJ1231" s="18"/>
      <c r="AK1231" s="18"/>
      <c r="AL1231" s="18"/>
      <c r="AM1231" s="18"/>
      <c r="AN1231" s="18"/>
      <c r="AO1231" s="18"/>
      <c r="AP1231" s="18"/>
      <c r="AQ1231" s="18"/>
      <c r="AR1231" s="18"/>
      <c r="AS1231" s="18"/>
      <c r="AT1231" s="18"/>
      <c r="AU1231" s="18"/>
      <c r="AV1231" s="18"/>
      <c r="AW1231" s="18"/>
      <c r="AX1231" s="18"/>
      <c r="AY1231" s="18"/>
      <c r="AZ1231" s="18"/>
      <c r="BA1231" s="18"/>
      <c r="BB1231" s="18"/>
      <c r="BC1231" s="18"/>
      <c r="BD1231" s="18"/>
      <c r="BE1231" s="18"/>
      <c r="BF1231" s="18"/>
      <c r="BG1231" s="18"/>
      <c r="BH1231" s="18"/>
      <c r="BI1231" s="18"/>
      <c r="BJ1231" s="18"/>
      <c r="BK1231" s="18"/>
      <c r="BL1231" s="18"/>
      <c r="BM1231" s="18"/>
      <c r="BN1231" s="18"/>
    </row>
    <row r="1232" spans="1:66">
      <c r="A1232" s="18"/>
      <c r="B1232" s="18"/>
      <c r="C1232" s="18"/>
      <c r="D1232" s="18"/>
      <c r="E1232" s="18"/>
      <c r="F1232" s="18"/>
      <c r="G1232" s="18"/>
      <c r="H1232" s="18"/>
      <c r="I1232" s="18"/>
      <c r="J1232" s="18"/>
      <c r="K1232" s="18"/>
      <c r="L1232" s="18"/>
      <c r="M1232" s="18"/>
      <c r="N1232" s="18"/>
      <c r="O1232" s="18"/>
      <c r="P1232" s="18"/>
      <c r="Q1232" s="18"/>
      <c r="R1232" s="18"/>
      <c r="S1232" s="18"/>
      <c r="T1232" s="18"/>
      <c r="U1232" s="18"/>
      <c r="V1232" s="18"/>
      <c r="W1232" s="18"/>
      <c r="X1232" s="18"/>
      <c r="Y1232" s="18"/>
      <c r="Z1232" s="18"/>
      <c r="AA1232" s="18"/>
      <c r="AB1232" s="18"/>
      <c r="AC1232" s="18"/>
      <c r="AD1232" s="18"/>
      <c r="AE1232" s="18"/>
      <c r="AF1232" s="18"/>
      <c r="AG1232" s="18"/>
      <c r="AH1232" s="18"/>
      <c r="AI1232" s="18"/>
      <c r="AJ1232" s="18"/>
      <c r="AK1232" s="18"/>
      <c r="AL1232" s="18"/>
      <c r="AM1232" s="18"/>
      <c r="AN1232" s="18"/>
      <c r="AO1232" s="18"/>
      <c r="AP1232" s="18"/>
      <c r="AQ1232" s="18"/>
      <c r="AR1232" s="18"/>
      <c r="AS1232" s="18"/>
      <c r="AT1232" s="18"/>
      <c r="AU1232" s="18"/>
      <c r="AV1232" s="18"/>
      <c r="AW1232" s="18"/>
      <c r="AX1232" s="18"/>
      <c r="AY1232" s="18"/>
      <c r="AZ1232" s="18"/>
      <c r="BA1232" s="18"/>
      <c r="BB1232" s="18"/>
      <c r="BC1232" s="18"/>
      <c r="BD1232" s="18"/>
      <c r="BE1232" s="18"/>
      <c r="BF1232" s="18"/>
      <c r="BG1232" s="18"/>
      <c r="BH1232" s="18"/>
      <c r="BI1232" s="18"/>
      <c r="BJ1232" s="18"/>
      <c r="BK1232" s="18"/>
      <c r="BL1232" s="18"/>
      <c r="BM1232" s="18"/>
      <c r="BN1232" s="18"/>
    </row>
    <row r="1233" spans="1:66">
      <c r="A1233" s="18"/>
      <c r="B1233" s="18"/>
      <c r="C1233" s="18"/>
      <c r="D1233" s="18"/>
      <c r="E1233" s="18"/>
      <c r="F1233" s="18"/>
      <c r="G1233" s="18"/>
      <c r="H1233" s="18"/>
      <c r="I1233" s="18"/>
      <c r="J1233" s="18"/>
      <c r="K1233" s="18"/>
      <c r="L1233" s="18"/>
      <c r="M1233" s="18"/>
      <c r="N1233" s="18"/>
      <c r="O1233" s="18"/>
      <c r="P1233" s="18"/>
      <c r="Q1233" s="18"/>
      <c r="R1233" s="18"/>
      <c r="S1233" s="18"/>
      <c r="T1233" s="18"/>
      <c r="U1233" s="18"/>
      <c r="V1233" s="18"/>
      <c r="W1233" s="18"/>
      <c r="X1233" s="18"/>
      <c r="Y1233" s="18"/>
      <c r="Z1233" s="18"/>
      <c r="AA1233" s="18"/>
      <c r="AB1233" s="18"/>
      <c r="AC1233" s="18"/>
      <c r="AD1233" s="18"/>
      <c r="AE1233" s="18"/>
      <c r="AF1233" s="18"/>
      <c r="AG1233" s="18"/>
      <c r="AH1233" s="18"/>
      <c r="AI1233" s="18"/>
      <c r="AJ1233" s="18"/>
      <c r="AK1233" s="18"/>
      <c r="AL1233" s="18"/>
      <c r="AM1233" s="18"/>
      <c r="AN1233" s="18"/>
      <c r="AO1233" s="18"/>
      <c r="AP1233" s="18"/>
      <c r="AQ1233" s="18"/>
      <c r="AR1233" s="18"/>
      <c r="AS1233" s="18"/>
      <c r="AT1233" s="18"/>
      <c r="AU1233" s="18"/>
      <c r="AV1233" s="18"/>
      <c r="AW1233" s="18"/>
      <c r="AX1233" s="18"/>
      <c r="AY1233" s="18"/>
      <c r="AZ1233" s="18"/>
      <c r="BA1233" s="18"/>
      <c r="BB1233" s="18"/>
      <c r="BC1233" s="18"/>
      <c r="BD1233" s="18"/>
      <c r="BE1233" s="18"/>
      <c r="BF1233" s="18"/>
      <c r="BG1233" s="18"/>
      <c r="BH1233" s="18"/>
      <c r="BI1233" s="18"/>
      <c r="BJ1233" s="18"/>
      <c r="BK1233" s="18"/>
      <c r="BL1233" s="18"/>
      <c r="BM1233" s="18"/>
      <c r="BN1233" s="18"/>
    </row>
    <row r="1234" spans="1:66">
      <c r="A1234" s="18"/>
      <c r="B1234" s="18"/>
      <c r="C1234" s="18"/>
      <c r="D1234" s="18"/>
      <c r="E1234" s="18"/>
      <c r="F1234" s="18"/>
      <c r="G1234" s="18"/>
      <c r="H1234" s="18"/>
      <c r="I1234" s="18"/>
      <c r="J1234" s="18"/>
      <c r="K1234" s="18"/>
      <c r="L1234" s="18"/>
      <c r="M1234" s="18"/>
      <c r="N1234" s="18"/>
      <c r="O1234" s="18"/>
      <c r="P1234" s="18"/>
      <c r="Q1234" s="18"/>
      <c r="R1234" s="18"/>
      <c r="S1234" s="18"/>
      <c r="T1234" s="18"/>
      <c r="U1234" s="18"/>
      <c r="V1234" s="18"/>
      <c r="W1234" s="18"/>
      <c r="X1234" s="18"/>
      <c r="Y1234" s="18"/>
      <c r="Z1234" s="18"/>
      <c r="AA1234" s="18"/>
      <c r="AB1234" s="18"/>
      <c r="AC1234" s="18"/>
      <c r="AD1234" s="18"/>
      <c r="AE1234" s="18"/>
      <c r="AF1234" s="18"/>
      <c r="AG1234" s="18"/>
      <c r="AH1234" s="18"/>
      <c r="AI1234" s="18"/>
      <c r="AJ1234" s="18"/>
      <c r="AK1234" s="18"/>
      <c r="AL1234" s="18"/>
      <c r="AM1234" s="18"/>
      <c r="AN1234" s="18"/>
      <c r="AO1234" s="18"/>
      <c r="AP1234" s="18"/>
      <c r="AQ1234" s="18"/>
      <c r="AR1234" s="18"/>
      <c r="AS1234" s="18"/>
      <c r="AT1234" s="18"/>
      <c r="AU1234" s="18"/>
      <c r="AV1234" s="18"/>
      <c r="AW1234" s="18"/>
      <c r="AX1234" s="18"/>
      <c r="AY1234" s="18"/>
      <c r="AZ1234" s="18"/>
      <c r="BA1234" s="18"/>
      <c r="BB1234" s="18"/>
      <c r="BC1234" s="18"/>
      <c r="BD1234" s="18"/>
      <c r="BE1234" s="18"/>
      <c r="BF1234" s="18"/>
      <c r="BG1234" s="18"/>
      <c r="BH1234" s="18"/>
      <c r="BI1234" s="18"/>
      <c r="BJ1234" s="18"/>
      <c r="BK1234" s="18"/>
      <c r="BL1234" s="18"/>
      <c r="BM1234" s="18"/>
      <c r="BN1234" s="18"/>
    </row>
    <row r="1235" spans="1:66">
      <c r="A1235" s="18"/>
      <c r="B1235" s="18"/>
      <c r="C1235" s="18"/>
      <c r="D1235" s="18"/>
      <c r="E1235" s="18"/>
      <c r="F1235" s="18"/>
      <c r="G1235" s="18"/>
      <c r="H1235" s="18"/>
      <c r="I1235" s="18"/>
      <c r="J1235" s="18"/>
      <c r="K1235" s="18"/>
      <c r="L1235" s="18"/>
      <c r="M1235" s="18"/>
      <c r="N1235" s="18"/>
      <c r="O1235" s="18"/>
      <c r="P1235" s="18"/>
      <c r="Q1235" s="18"/>
      <c r="R1235" s="18"/>
      <c r="S1235" s="18"/>
      <c r="T1235" s="18"/>
      <c r="U1235" s="18"/>
      <c r="V1235" s="18"/>
      <c r="W1235" s="18"/>
      <c r="X1235" s="18"/>
      <c r="Y1235" s="18"/>
      <c r="Z1235" s="18"/>
      <c r="AA1235" s="18"/>
      <c r="AB1235" s="18"/>
      <c r="AC1235" s="18"/>
      <c r="AD1235" s="18"/>
      <c r="AE1235" s="18"/>
      <c r="AF1235" s="18"/>
      <c r="AG1235" s="18"/>
      <c r="AH1235" s="18"/>
      <c r="AI1235" s="18"/>
      <c r="AJ1235" s="18"/>
      <c r="AK1235" s="18"/>
      <c r="AL1235" s="18"/>
      <c r="AM1235" s="18"/>
      <c r="AN1235" s="18"/>
      <c r="AO1235" s="18"/>
      <c r="AP1235" s="18"/>
      <c r="AQ1235" s="18"/>
      <c r="AR1235" s="18"/>
      <c r="AS1235" s="18"/>
      <c r="AT1235" s="18"/>
      <c r="AU1235" s="18"/>
      <c r="AV1235" s="18"/>
      <c r="AW1235" s="18"/>
      <c r="AX1235" s="18"/>
      <c r="AY1235" s="18"/>
      <c r="AZ1235" s="18"/>
      <c r="BA1235" s="18"/>
      <c r="BB1235" s="18"/>
      <c r="BC1235" s="18"/>
      <c r="BD1235" s="18"/>
      <c r="BE1235" s="18"/>
      <c r="BF1235" s="18"/>
      <c r="BG1235" s="18"/>
      <c r="BH1235" s="18"/>
      <c r="BI1235" s="18"/>
      <c r="BJ1235" s="18"/>
      <c r="BK1235" s="18"/>
      <c r="BL1235" s="18"/>
      <c r="BM1235" s="18"/>
      <c r="BN1235" s="18"/>
    </row>
    <row r="1236" spans="1:66">
      <c r="A1236" s="18"/>
      <c r="B1236" s="18"/>
      <c r="C1236" s="18"/>
      <c r="D1236" s="18"/>
      <c r="E1236" s="18"/>
      <c r="F1236" s="18"/>
      <c r="G1236" s="18"/>
      <c r="H1236" s="18"/>
      <c r="I1236" s="18"/>
      <c r="J1236" s="18"/>
      <c r="K1236" s="18"/>
      <c r="L1236" s="18"/>
      <c r="M1236" s="18"/>
      <c r="N1236" s="18"/>
      <c r="O1236" s="18"/>
      <c r="P1236" s="18"/>
      <c r="Q1236" s="18"/>
      <c r="R1236" s="18"/>
      <c r="S1236" s="18"/>
      <c r="T1236" s="18"/>
      <c r="U1236" s="18"/>
      <c r="V1236" s="18"/>
      <c r="W1236" s="18"/>
      <c r="X1236" s="18"/>
      <c r="Y1236" s="18"/>
      <c r="Z1236" s="18"/>
      <c r="AA1236" s="18"/>
      <c r="AB1236" s="18"/>
      <c r="AC1236" s="18"/>
      <c r="AD1236" s="18"/>
      <c r="AE1236" s="18"/>
      <c r="AF1236" s="18"/>
      <c r="AG1236" s="18"/>
      <c r="AH1236" s="18"/>
      <c r="AI1236" s="18"/>
      <c r="AJ1236" s="18"/>
      <c r="AK1236" s="18"/>
      <c r="AL1236" s="18"/>
      <c r="AM1236" s="18"/>
      <c r="AN1236" s="18"/>
      <c r="AO1236" s="18"/>
      <c r="AP1236" s="18"/>
      <c r="AQ1236" s="18"/>
      <c r="AR1236" s="18"/>
      <c r="AS1236" s="18"/>
      <c r="AT1236" s="18"/>
      <c r="AU1236" s="18"/>
      <c r="AV1236" s="18"/>
      <c r="AW1236" s="18"/>
      <c r="AX1236" s="18"/>
      <c r="AY1236" s="18"/>
      <c r="AZ1236" s="18"/>
      <c r="BA1236" s="18"/>
      <c r="BB1236" s="18"/>
      <c r="BC1236" s="18"/>
      <c r="BD1236" s="18"/>
      <c r="BE1236" s="18"/>
      <c r="BF1236" s="18"/>
      <c r="BG1236" s="18"/>
      <c r="BH1236" s="18"/>
      <c r="BI1236" s="18"/>
      <c r="BJ1236" s="18"/>
      <c r="BK1236" s="18"/>
      <c r="BL1236" s="18"/>
      <c r="BM1236" s="18"/>
      <c r="BN1236" s="18"/>
    </row>
    <row r="1237" spans="1:66">
      <c r="A1237" s="18"/>
      <c r="B1237" s="18"/>
      <c r="C1237" s="18"/>
      <c r="D1237" s="18"/>
      <c r="E1237" s="18"/>
      <c r="F1237" s="18"/>
      <c r="G1237" s="18"/>
      <c r="H1237" s="18"/>
      <c r="I1237" s="18"/>
      <c r="J1237" s="18"/>
      <c r="K1237" s="18"/>
      <c r="L1237" s="18"/>
      <c r="M1237" s="18"/>
      <c r="N1237" s="18"/>
      <c r="O1237" s="18"/>
      <c r="P1237" s="18"/>
      <c r="Q1237" s="18"/>
      <c r="R1237" s="18"/>
      <c r="S1237" s="18"/>
      <c r="T1237" s="18"/>
      <c r="U1237" s="18"/>
      <c r="V1237" s="18"/>
      <c r="W1237" s="18"/>
      <c r="X1237" s="18"/>
      <c r="Y1237" s="18"/>
      <c r="Z1237" s="18"/>
      <c r="AA1237" s="18"/>
      <c r="AB1237" s="18"/>
      <c r="AC1237" s="18"/>
      <c r="AD1237" s="18"/>
      <c r="AE1237" s="18"/>
      <c r="AF1237" s="18"/>
      <c r="AG1237" s="18"/>
      <c r="AH1237" s="18"/>
      <c r="AI1237" s="18"/>
      <c r="AJ1237" s="18"/>
      <c r="AK1237" s="18"/>
      <c r="AL1237" s="18"/>
      <c r="AM1237" s="18"/>
      <c r="AN1237" s="18"/>
      <c r="AO1237" s="18"/>
      <c r="AP1237" s="18"/>
      <c r="AQ1237" s="18"/>
      <c r="AR1237" s="18"/>
      <c r="AS1237" s="18"/>
      <c r="AT1237" s="18"/>
      <c r="AU1237" s="18"/>
      <c r="AV1237" s="18"/>
      <c r="AW1237" s="18"/>
      <c r="AX1237" s="18"/>
      <c r="AY1237" s="18"/>
      <c r="AZ1237" s="18"/>
      <c r="BA1237" s="18"/>
      <c r="BB1237" s="18"/>
      <c r="BC1237" s="18"/>
      <c r="BD1237" s="18"/>
      <c r="BE1237" s="18"/>
      <c r="BF1237" s="18"/>
      <c r="BG1237" s="18"/>
      <c r="BH1237" s="18"/>
      <c r="BI1237" s="18"/>
      <c r="BJ1237" s="18"/>
      <c r="BK1237" s="18"/>
      <c r="BL1237" s="18"/>
      <c r="BM1237" s="18"/>
      <c r="BN1237" s="18"/>
    </row>
    <row r="1238" spans="1:66">
      <c r="A1238" s="18"/>
      <c r="B1238" s="18"/>
      <c r="C1238" s="18"/>
      <c r="D1238" s="18"/>
      <c r="E1238" s="18"/>
      <c r="F1238" s="18"/>
      <c r="G1238" s="18"/>
      <c r="H1238" s="18"/>
      <c r="I1238" s="18"/>
      <c r="J1238" s="18"/>
      <c r="K1238" s="18"/>
      <c r="L1238" s="18"/>
      <c r="M1238" s="18"/>
      <c r="N1238" s="18"/>
      <c r="O1238" s="18"/>
      <c r="P1238" s="18"/>
      <c r="Q1238" s="18"/>
      <c r="R1238" s="18"/>
      <c r="S1238" s="18"/>
      <c r="T1238" s="18"/>
      <c r="U1238" s="18"/>
      <c r="V1238" s="18"/>
      <c r="W1238" s="18"/>
      <c r="X1238" s="18"/>
      <c r="Y1238" s="18"/>
      <c r="Z1238" s="18"/>
      <c r="AA1238" s="18"/>
      <c r="AB1238" s="18"/>
      <c r="AC1238" s="18"/>
      <c r="AD1238" s="18"/>
      <c r="AE1238" s="18"/>
      <c r="AF1238" s="18"/>
      <c r="AG1238" s="18"/>
      <c r="AH1238" s="18"/>
      <c r="AI1238" s="18"/>
      <c r="AJ1238" s="18"/>
      <c r="AK1238" s="18"/>
      <c r="AL1238" s="18"/>
      <c r="AM1238" s="18"/>
      <c r="AN1238" s="18"/>
      <c r="AO1238" s="18"/>
      <c r="AP1238" s="18"/>
      <c r="AQ1238" s="18"/>
      <c r="AR1238" s="18"/>
      <c r="AS1238" s="18"/>
      <c r="AT1238" s="18"/>
      <c r="AU1238" s="18"/>
      <c r="AV1238" s="18"/>
      <c r="AW1238" s="18"/>
      <c r="AX1238" s="18"/>
      <c r="AY1238" s="18"/>
      <c r="AZ1238" s="18"/>
      <c r="BA1238" s="18"/>
      <c r="BB1238" s="18"/>
      <c r="BC1238" s="18"/>
      <c r="BD1238" s="18"/>
      <c r="BE1238" s="18"/>
      <c r="BF1238" s="18"/>
      <c r="BG1238" s="18"/>
      <c r="BH1238" s="18"/>
      <c r="BI1238" s="18"/>
      <c r="BJ1238" s="18"/>
      <c r="BK1238" s="18"/>
      <c r="BL1238" s="18"/>
      <c r="BM1238" s="18"/>
      <c r="BN1238" s="18"/>
    </row>
    <row r="1239" spans="1:66">
      <c r="A1239" s="18"/>
      <c r="B1239" s="18"/>
      <c r="C1239" s="18"/>
      <c r="D1239" s="18"/>
      <c r="E1239" s="18"/>
      <c r="F1239" s="18"/>
      <c r="G1239" s="18"/>
      <c r="H1239" s="18"/>
      <c r="I1239" s="18"/>
      <c r="J1239" s="18"/>
      <c r="K1239" s="18"/>
      <c r="L1239" s="18"/>
      <c r="M1239" s="18"/>
      <c r="N1239" s="18"/>
      <c r="O1239" s="18"/>
      <c r="P1239" s="18"/>
      <c r="Q1239" s="18"/>
      <c r="R1239" s="18"/>
      <c r="S1239" s="18"/>
      <c r="T1239" s="18"/>
      <c r="U1239" s="18"/>
      <c r="V1239" s="18"/>
      <c r="W1239" s="18"/>
      <c r="X1239" s="18"/>
      <c r="Y1239" s="18"/>
      <c r="Z1239" s="18"/>
      <c r="AA1239" s="18"/>
      <c r="AB1239" s="18"/>
      <c r="AC1239" s="18"/>
      <c r="AD1239" s="18"/>
      <c r="AE1239" s="18"/>
      <c r="AF1239" s="18"/>
      <c r="AG1239" s="18"/>
      <c r="AH1239" s="18"/>
      <c r="AI1239" s="18"/>
      <c r="AJ1239" s="18"/>
      <c r="AK1239" s="18"/>
      <c r="AL1239" s="18"/>
      <c r="AM1239" s="18"/>
      <c r="AN1239" s="18"/>
      <c r="AO1239" s="18"/>
      <c r="AP1239" s="18"/>
      <c r="AQ1239" s="18"/>
      <c r="AR1239" s="18"/>
      <c r="AS1239" s="18"/>
      <c r="AT1239" s="18"/>
      <c r="AU1239" s="18"/>
      <c r="AV1239" s="18"/>
      <c r="AW1239" s="18"/>
      <c r="AX1239" s="18"/>
      <c r="AY1239" s="18"/>
      <c r="AZ1239" s="18"/>
      <c r="BA1239" s="18"/>
      <c r="BB1239" s="18"/>
      <c r="BC1239" s="18"/>
      <c r="BD1239" s="18"/>
      <c r="BE1239" s="18"/>
      <c r="BF1239" s="18"/>
      <c r="BG1239" s="18"/>
      <c r="BH1239" s="18"/>
      <c r="BI1239" s="18"/>
      <c r="BJ1239" s="18"/>
      <c r="BK1239" s="18"/>
      <c r="BL1239" s="18"/>
      <c r="BM1239" s="18"/>
      <c r="BN1239" s="18"/>
    </row>
    <row r="1240" spans="1:66">
      <c r="A1240" s="18"/>
      <c r="B1240" s="18"/>
      <c r="C1240" s="18"/>
      <c r="D1240" s="18"/>
      <c r="E1240" s="18"/>
      <c r="F1240" s="18"/>
      <c r="G1240" s="18"/>
      <c r="H1240" s="18"/>
      <c r="I1240" s="18"/>
      <c r="J1240" s="18"/>
      <c r="K1240" s="18"/>
      <c r="L1240" s="18"/>
      <c r="M1240" s="18"/>
      <c r="N1240" s="18"/>
      <c r="O1240" s="18"/>
      <c r="P1240" s="18"/>
      <c r="Q1240" s="18"/>
      <c r="R1240" s="18"/>
      <c r="S1240" s="18"/>
      <c r="T1240" s="18"/>
      <c r="U1240" s="18"/>
      <c r="V1240" s="18"/>
      <c r="W1240" s="18"/>
      <c r="X1240" s="18"/>
      <c r="Y1240" s="18"/>
      <c r="Z1240" s="18"/>
      <c r="AA1240" s="18"/>
      <c r="AB1240" s="18"/>
      <c r="AC1240" s="18"/>
      <c r="AD1240" s="18"/>
      <c r="AE1240" s="18"/>
      <c r="AF1240" s="18"/>
      <c r="AG1240" s="18"/>
      <c r="AH1240" s="18"/>
      <c r="AI1240" s="18"/>
      <c r="AJ1240" s="18"/>
      <c r="AK1240" s="18"/>
      <c r="AL1240" s="18"/>
      <c r="AM1240" s="18"/>
      <c r="AN1240" s="18"/>
      <c r="AO1240" s="18"/>
      <c r="AP1240" s="18"/>
      <c r="AQ1240" s="18"/>
      <c r="AR1240" s="18"/>
      <c r="AS1240" s="18"/>
      <c r="AT1240" s="18"/>
      <c r="AU1240" s="18"/>
      <c r="AV1240" s="18"/>
      <c r="AW1240" s="18"/>
      <c r="AX1240" s="18"/>
      <c r="AY1240" s="18"/>
      <c r="AZ1240" s="18"/>
      <c r="BA1240" s="18"/>
      <c r="BB1240" s="18"/>
      <c r="BC1240" s="18"/>
      <c r="BD1240" s="18"/>
      <c r="BE1240" s="18"/>
      <c r="BF1240" s="18"/>
      <c r="BG1240" s="18"/>
      <c r="BH1240" s="18"/>
      <c r="BI1240" s="18"/>
      <c r="BJ1240" s="18"/>
      <c r="BK1240" s="18"/>
      <c r="BL1240" s="18"/>
      <c r="BM1240" s="18"/>
      <c r="BN1240" s="18"/>
    </row>
    <row r="1241" spans="1:66">
      <c r="A1241" s="18"/>
      <c r="B1241" s="18"/>
      <c r="C1241" s="18"/>
      <c r="D1241" s="18"/>
      <c r="E1241" s="18"/>
      <c r="F1241" s="18"/>
      <c r="G1241" s="18"/>
      <c r="H1241" s="18"/>
      <c r="I1241" s="18"/>
      <c r="J1241" s="18"/>
      <c r="K1241" s="18"/>
      <c r="L1241" s="18"/>
      <c r="M1241" s="18"/>
      <c r="N1241" s="18"/>
      <c r="O1241" s="18"/>
      <c r="P1241" s="18"/>
      <c r="Q1241" s="18"/>
      <c r="R1241" s="18"/>
      <c r="S1241" s="18"/>
      <c r="T1241" s="18"/>
      <c r="U1241" s="18"/>
      <c r="V1241" s="18"/>
      <c r="W1241" s="18"/>
      <c r="X1241" s="18"/>
      <c r="Y1241" s="18"/>
      <c r="Z1241" s="18"/>
      <c r="AA1241" s="18"/>
      <c r="AB1241" s="18"/>
      <c r="AC1241" s="18"/>
      <c r="AD1241" s="18"/>
      <c r="AE1241" s="18"/>
      <c r="AF1241" s="18"/>
      <c r="AG1241" s="18"/>
      <c r="AH1241" s="18"/>
      <c r="AI1241" s="18"/>
      <c r="AJ1241" s="18"/>
      <c r="AK1241" s="18"/>
      <c r="AL1241" s="18"/>
      <c r="AM1241" s="18"/>
      <c r="AN1241" s="18"/>
      <c r="AO1241" s="18"/>
      <c r="AP1241" s="18"/>
      <c r="AQ1241" s="18"/>
      <c r="AR1241" s="18"/>
      <c r="AS1241" s="18"/>
      <c r="AT1241" s="18"/>
      <c r="AU1241" s="18"/>
      <c r="AV1241" s="18"/>
      <c r="AW1241" s="18"/>
      <c r="AX1241" s="18"/>
      <c r="AY1241" s="18"/>
      <c r="AZ1241" s="18"/>
      <c r="BA1241" s="18"/>
      <c r="BB1241" s="18"/>
      <c r="BC1241" s="18"/>
      <c r="BD1241" s="18"/>
      <c r="BE1241" s="18"/>
      <c r="BF1241" s="18"/>
      <c r="BG1241" s="18"/>
      <c r="BH1241" s="18"/>
      <c r="BI1241" s="18"/>
      <c r="BJ1241" s="18"/>
      <c r="BK1241" s="18"/>
      <c r="BL1241" s="18"/>
      <c r="BM1241" s="18"/>
      <c r="BN1241" s="18"/>
    </row>
    <row r="1242" spans="1:66">
      <c r="A1242" s="18"/>
      <c r="B1242" s="18"/>
      <c r="C1242" s="18"/>
      <c r="D1242" s="18"/>
      <c r="E1242" s="18"/>
      <c r="F1242" s="18"/>
      <c r="G1242" s="18"/>
      <c r="H1242" s="18"/>
      <c r="I1242" s="18"/>
      <c r="J1242" s="18"/>
      <c r="K1242" s="18"/>
      <c r="L1242" s="18"/>
      <c r="M1242" s="18"/>
      <c r="N1242" s="18"/>
      <c r="O1242" s="18"/>
      <c r="P1242" s="18"/>
      <c r="Q1242" s="18"/>
      <c r="R1242" s="18"/>
      <c r="S1242" s="18"/>
      <c r="T1242" s="18"/>
      <c r="U1242" s="18"/>
      <c r="V1242" s="18"/>
      <c r="W1242" s="18"/>
      <c r="X1242" s="18"/>
      <c r="Y1242" s="18"/>
      <c r="Z1242" s="18"/>
      <c r="AA1242" s="18"/>
      <c r="AB1242" s="18"/>
      <c r="AC1242" s="18"/>
      <c r="AD1242" s="18"/>
      <c r="AE1242" s="18"/>
      <c r="AF1242" s="18"/>
      <c r="AG1242" s="18"/>
      <c r="AH1242" s="18"/>
      <c r="AI1242" s="18"/>
      <c r="AJ1242" s="18"/>
      <c r="AK1242" s="18"/>
      <c r="AL1242" s="18"/>
      <c r="AM1242" s="18"/>
      <c r="AN1242" s="18"/>
      <c r="AO1242" s="18"/>
      <c r="AP1242" s="18"/>
      <c r="AQ1242" s="18"/>
      <c r="AR1242" s="18"/>
      <c r="AS1242" s="18"/>
      <c r="AT1242" s="18"/>
      <c r="AU1242" s="18"/>
      <c r="AV1242" s="18"/>
      <c r="AW1242" s="18"/>
      <c r="AX1242" s="18"/>
      <c r="AY1242" s="18"/>
      <c r="AZ1242" s="18"/>
      <c r="BA1242" s="18"/>
      <c r="BB1242" s="18"/>
      <c r="BC1242" s="18"/>
      <c r="BD1242" s="18"/>
      <c r="BE1242" s="18"/>
      <c r="BF1242" s="18"/>
      <c r="BG1242" s="18"/>
      <c r="BH1242" s="18"/>
      <c r="BI1242" s="18"/>
      <c r="BJ1242" s="18"/>
      <c r="BK1242" s="18"/>
      <c r="BL1242" s="18"/>
      <c r="BM1242" s="18"/>
      <c r="BN1242" s="18"/>
    </row>
    <row r="1243" spans="1:66">
      <c r="A1243" s="18"/>
      <c r="B1243" s="18"/>
      <c r="C1243" s="18"/>
      <c r="D1243" s="18"/>
      <c r="E1243" s="18"/>
      <c r="F1243" s="18"/>
      <c r="G1243" s="18"/>
      <c r="H1243" s="18"/>
      <c r="I1243" s="18"/>
      <c r="J1243" s="18"/>
      <c r="K1243" s="18"/>
      <c r="L1243" s="18"/>
      <c r="M1243" s="18"/>
      <c r="N1243" s="18"/>
      <c r="O1243" s="18"/>
      <c r="P1243" s="18"/>
      <c r="Q1243" s="18"/>
      <c r="R1243" s="18"/>
      <c r="S1243" s="18"/>
      <c r="T1243" s="18"/>
      <c r="U1243" s="18"/>
      <c r="V1243" s="18"/>
      <c r="W1243" s="18"/>
      <c r="X1243" s="18"/>
      <c r="Y1243" s="18"/>
      <c r="Z1243" s="18"/>
      <c r="AA1243" s="18"/>
      <c r="AB1243" s="18"/>
      <c r="AC1243" s="18"/>
      <c r="AD1243" s="18"/>
      <c r="AE1243" s="18"/>
      <c r="AF1243" s="18"/>
      <c r="AG1243" s="18"/>
      <c r="AH1243" s="18"/>
      <c r="AI1243" s="18"/>
      <c r="AJ1243" s="18"/>
      <c r="AK1243" s="18"/>
      <c r="AL1243" s="18"/>
      <c r="AM1243" s="18"/>
      <c r="AN1243" s="18"/>
      <c r="AO1243" s="18"/>
      <c r="AP1243" s="18"/>
      <c r="AQ1243" s="18"/>
      <c r="AR1243" s="18"/>
      <c r="AS1243" s="18"/>
      <c r="AT1243" s="18"/>
      <c r="AU1243" s="18"/>
      <c r="AV1243" s="18"/>
      <c r="AW1243" s="18"/>
      <c r="AX1243" s="18"/>
      <c r="AY1243" s="18"/>
      <c r="AZ1243" s="18"/>
      <c r="BA1243" s="18"/>
      <c r="BB1243" s="18"/>
      <c r="BC1243" s="18"/>
      <c r="BD1243" s="18"/>
      <c r="BE1243" s="18"/>
      <c r="BF1243" s="18"/>
      <c r="BG1243" s="18"/>
      <c r="BH1243" s="18"/>
      <c r="BI1243" s="18"/>
      <c r="BJ1243" s="18"/>
      <c r="BK1243" s="18"/>
      <c r="BL1243" s="18"/>
      <c r="BM1243" s="18"/>
      <c r="BN1243" s="18"/>
    </row>
    <row r="1244" spans="1:66">
      <c r="A1244" s="18"/>
      <c r="B1244" s="18"/>
      <c r="C1244" s="18"/>
      <c r="D1244" s="18"/>
      <c r="E1244" s="18"/>
      <c r="F1244" s="18"/>
      <c r="G1244" s="18"/>
      <c r="H1244" s="18"/>
      <c r="I1244" s="18"/>
      <c r="J1244" s="18"/>
      <c r="K1244" s="18"/>
      <c r="L1244" s="18"/>
      <c r="M1244" s="18"/>
      <c r="N1244" s="18"/>
      <c r="O1244" s="18"/>
      <c r="P1244" s="18"/>
      <c r="Q1244" s="18"/>
      <c r="R1244" s="18"/>
      <c r="S1244" s="18"/>
      <c r="T1244" s="18"/>
      <c r="U1244" s="18"/>
      <c r="V1244" s="18"/>
      <c r="W1244" s="18"/>
      <c r="X1244" s="18"/>
      <c r="Y1244" s="18"/>
      <c r="Z1244" s="18"/>
      <c r="AA1244" s="18"/>
      <c r="AB1244" s="18"/>
      <c r="AC1244" s="18"/>
      <c r="AD1244" s="18"/>
      <c r="AE1244" s="18"/>
      <c r="AF1244" s="18"/>
      <c r="AG1244" s="18"/>
      <c r="AH1244" s="18"/>
      <c r="AI1244" s="18"/>
      <c r="AJ1244" s="18"/>
      <c r="AK1244" s="18"/>
      <c r="AL1244" s="18"/>
      <c r="AM1244" s="18"/>
      <c r="AN1244" s="18"/>
      <c r="AO1244" s="18"/>
      <c r="AP1244" s="18"/>
      <c r="AQ1244" s="18"/>
      <c r="AR1244" s="18"/>
      <c r="AS1244" s="18"/>
      <c r="AT1244" s="18"/>
      <c r="AU1244" s="18"/>
      <c r="AV1244" s="18"/>
      <c r="AW1244" s="18"/>
      <c r="AX1244" s="18"/>
      <c r="AY1244" s="18"/>
      <c r="AZ1244" s="18"/>
      <c r="BA1244" s="18"/>
      <c r="BB1244" s="18"/>
      <c r="BC1244" s="18"/>
      <c r="BD1244" s="18"/>
      <c r="BE1244" s="18"/>
      <c r="BF1244" s="18"/>
      <c r="BG1244" s="18"/>
      <c r="BH1244" s="18"/>
      <c r="BI1244" s="18"/>
      <c r="BJ1244" s="18"/>
      <c r="BK1244" s="18"/>
      <c r="BL1244" s="18"/>
      <c r="BM1244" s="18"/>
      <c r="BN1244" s="18"/>
    </row>
    <row r="1245" spans="1:66">
      <c r="A1245" s="18"/>
      <c r="B1245" s="18"/>
      <c r="C1245" s="18"/>
      <c r="D1245" s="18"/>
      <c r="E1245" s="18"/>
      <c r="F1245" s="18"/>
      <c r="G1245" s="18"/>
      <c r="H1245" s="18"/>
      <c r="I1245" s="18"/>
      <c r="J1245" s="18"/>
      <c r="K1245" s="18"/>
      <c r="L1245" s="18"/>
      <c r="M1245" s="18"/>
      <c r="N1245" s="18"/>
      <c r="O1245" s="18"/>
      <c r="P1245" s="18"/>
      <c r="Q1245" s="18"/>
      <c r="R1245" s="18"/>
      <c r="S1245" s="18"/>
      <c r="T1245" s="18"/>
      <c r="U1245" s="18"/>
      <c r="V1245" s="18"/>
      <c r="W1245" s="18"/>
      <c r="X1245" s="18"/>
      <c r="Y1245" s="18"/>
      <c r="Z1245" s="18"/>
      <c r="AA1245" s="18"/>
      <c r="AB1245" s="18"/>
      <c r="AC1245" s="18"/>
      <c r="AD1245" s="18"/>
      <c r="AE1245" s="18"/>
      <c r="AF1245" s="18"/>
      <c r="AG1245" s="18"/>
      <c r="AH1245" s="18"/>
      <c r="AI1245" s="18"/>
      <c r="AJ1245" s="18"/>
      <c r="AK1245" s="18"/>
      <c r="AL1245" s="18"/>
      <c r="AM1245" s="18"/>
      <c r="AN1245" s="18"/>
      <c r="AO1245" s="18"/>
      <c r="AP1245" s="18"/>
      <c r="AQ1245" s="18"/>
      <c r="AR1245" s="18"/>
      <c r="AS1245" s="18"/>
      <c r="AT1245" s="18"/>
      <c r="AU1245" s="18"/>
      <c r="AV1245" s="18"/>
      <c r="AW1245" s="18"/>
      <c r="AX1245" s="18"/>
      <c r="AY1245" s="18"/>
      <c r="AZ1245" s="18"/>
      <c r="BA1245" s="18"/>
      <c r="BB1245" s="18"/>
      <c r="BC1245" s="18"/>
      <c r="BD1245" s="18"/>
      <c r="BE1245" s="18"/>
      <c r="BF1245" s="18"/>
      <c r="BG1245" s="18"/>
      <c r="BH1245" s="18"/>
      <c r="BI1245" s="18"/>
      <c r="BJ1245" s="18"/>
      <c r="BK1245" s="18"/>
      <c r="BL1245" s="18"/>
      <c r="BM1245" s="18"/>
      <c r="BN1245" s="18"/>
    </row>
    <row r="1246" spans="1:66">
      <c r="A1246" s="18"/>
      <c r="B1246" s="18"/>
      <c r="C1246" s="18"/>
      <c r="D1246" s="18"/>
      <c r="E1246" s="18"/>
      <c r="F1246" s="18"/>
      <c r="G1246" s="18"/>
      <c r="H1246" s="18"/>
      <c r="I1246" s="18"/>
      <c r="J1246" s="18"/>
      <c r="K1246" s="18"/>
      <c r="L1246" s="18"/>
      <c r="M1246" s="18"/>
      <c r="N1246" s="18"/>
      <c r="O1246" s="18"/>
      <c r="P1246" s="18"/>
      <c r="Q1246" s="18"/>
      <c r="R1246" s="18"/>
      <c r="S1246" s="18"/>
      <c r="T1246" s="18"/>
      <c r="U1246" s="18"/>
      <c r="V1246" s="18"/>
      <c r="W1246" s="18"/>
      <c r="X1246" s="18"/>
      <c r="Y1246" s="18"/>
      <c r="Z1246" s="18"/>
      <c r="AA1246" s="18"/>
      <c r="AB1246" s="18"/>
      <c r="AC1246" s="18"/>
      <c r="AD1246" s="18"/>
      <c r="AE1246" s="18"/>
      <c r="AF1246" s="18"/>
      <c r="AG1246" s="18"/>
      <c r="AH1246" s="18"/>
      <c r="AI1246" s="18"/>
      <c r="AJ1246" s="18"/>
      <c r="AK1246" s="18"/>
      <c r="AL1246" s="18"/>
      <c r="AM1246" s="18"/>
      <c r="AN1246" s="18"/>
      <c r="AO1246" s="18"/>
      <c r="AP1246" s="18"/>
      <c r="AQ1246" s="18"/>
      <c r="AR1246" s="18"/>
      <c r="AS1246" s="18"/>
      <c r="AT1246" s="18"/>
      <c r="AU1246" s="18"/>
      <c r="AV1246" s="18"/>
      <c r="AW1246" s="18"/>
      <c r="AX1246" s="18"/>
      <c r="AY1246" s="18"/>
      <c r="AZ1246" s="18"/>
      <c r="BA1246" s="18"/>
      <c r="BB1246" s="18"/>
      <c r="BC1246" s="18"/>
      <c r="BD1246" s="18"/>
      <c r="BE1246" s="18"/>
      <c r="BF1246" s="18"/>
      <c r="BG1246" s="18"/>
      <c r="BH1246" s="18"/>
      <c r="BI1246" s="18"/>
      <c r="BJ1246" s="18"/>
      <c r="BK1246" s="18"/>
      <c r="BL1246" s="18"/>
      <c r="BM1246" s="18"/>
      <c r="BN1246" s="18"/>
    </row>
    <row r="1247" spans="1:66">
      <c r="A1247" s="18"/>
      <c r="B1247" s="18"/>
      <c r="C1247" s="18"/>
      <c r="D1247" s="18"/>
      <c r="E1247" s="18"/>
      <c r="F1247" s="18"/>
      <c r="G1247" s="18"/>
      <c r="H1247" s="18"/>
      <c r="I1247" s="18"/>
      <c r="J1247" s="18"/>
      <c r="K1247" s="18"/>
      <c r="L1247" s="18"/>
      <c r="M1247" s="18"/>
      <c r="N1247" s="18"/>
      <c r="O1247" s="18"/>
      <c r="P1247" s="18"/>
      <c r="Q1247" s="18"/>
      <c r="R1247" s="18"/>
      <c r="S1247" s="18"/>
      <c r="T1247" s="18"/>
      <c r="U1247" s="18"/>
      <c r="V1247" s="18"/>
      <c r="W1247" s="18"/>
      <c r="X1247" s="18"/>
      <c r="Y1247" s="18"/>
      <c r="Z1247" s="18"/>
      <c r="AA1247" s="18"/>
      <c r="AB1247" s="18"/>
      <c r="AC1247" s="18"/>
      <c r="AD1247" s="18"/>
      <c r="AE1247" s="18"/>
      <c r="AF1247" s="18"/>
      <c r="AG1247" s="18"/>
      <c r="AH1247" s="18"/>
      <c r="AI1247" s="18"/>
      <c r="AJ1247" s="18"/>
      <c r="AK1247" s="18"/>
      <c r="AL1247" s="18"/>
      <c r="AM1247" s="18"/>
      <c r="AN1247" s="18"/>
      <c r="AO1247" s="18"/>
      <c r="AP1247" s="18"/>
      <c r="AQ1247" s="18"/>
      <c r="AR1247" s="18"/>
      <c r="AS1247" s="18"/>
      <c r="AT1247" s="18"/>
      <c r="AU1247" s="18"/>
      <c r="AV1247" s="18"/>
      <c r="AW1247" s="18"/>
      <c r="AX1247" s="18"/>
      <c r="AY1247" s="18"/>
      <c r="AZ1247" s="18"/>
      <c r="BA1247" s="18"/>
      <c r="BB1247" s="18"/>
      <c r="BC1247" s="18"/>
      <c r="BD1247" s="18"/>
      <c r="BE1247" s="18"/>
      <c r="BF1247" s="18"/>
      <c r="BG1247" s="18"/>
      <c r="BH1247" s="18"/>
      <c r="BI1247" s="18"/>
      <c r="BJ1247" s="18"/>
      <c r="BK1247" s="18"/>
      <c r="BL1247" s="18"/>
      <c r="BM1247" s="18"/>
      <c r="BN1247" s="18"/>
    </row>
    <row r="1248" spans="1:66">
      <c r="A1248" s="18"/>
      <c r="B1248" s="18"/>
      <c r="C1248" s="18"/>
      <c r="D1248" s="18"/>
      <c r="E1248" s="18"/>
      <c r="F1248" s="18"/>
      <c r="G1248" s="18"/>
      <c r="H1248" s="18"/>
      <c r="I1248" s="18"/>
      <c r="J1248" s="18"/>
      <c r="K1248" s="18"/>
      <c r="L1248" s="18"/>
      <c r="M1248" s="18"/>
      <c r="N1248" s="18"/>
      <c r="O1248" s="18"/>
      <c r="P1248" s="18"/>
      <c r="Q1248" s="18"/>
      <c r="R1248" s="18"/>
      <c r="S1248" s="18"/>
      <c r="T1248" s="18"/>
      <c r="U1248" s="18"/>
      <c r="V1248" s="18"/>
      <c r="W1248" s="18"/>
      <c r="X1248" s="18"/>
      <c r="Y1248" s="18"/>
      <c r="Z1248" s="18"/>
      <c r="AA1248" s="18"/>
      <c r="AB1248" s="18"/>
      <c r="AC1248" s="18"/>
      <c r="AD1248" s="18"/>
      <c r="AE1248" s="18"/>
      <c r="AF1248" s="18"/>
      <c r="AG1248" s="18"/>
      <c r="AH1248" s="18"/>
      <c r="AI1248" s="18"/>
      <c r="AJ1248" s="18"/>
      <c r="AK1248" s="18"/>
      <c r="AL1248" s="18"/>
      <c r="AM1248" s="18"/>
      <c r="AN1248" s="18"/>
      <c r="AO1248" s="18"/>
      <c r="AP1248" s="18"/>
      <c r="AQ1248" s="18"/>
      <c r="AR1248" s="18"/>
      <c r="AS1248" s="18"/>
      <c r="AT1248" s="18"/>
      <c r="AU1248" s="18"/>
      <c r="AV1248" s="18"/>
      <c r="AW1248" s="18"/>
      <c r="AX1248" s="18"/>
      <c r="AY1248" s="18"/>
      <c r="AZ1248" s="18"/>
      <c r="BA1248" s="18"/>
      <c r="BB1248" s="18"/>
      <c r="BC1248" s="18"/>
      <c r="BD1248" s="18"/>
      <c r="BE1248" s="18"/>
      <c r="BF1248" s="18"/>
      <c r="BG1248" s="18"/>
      <c r="BH1248" s="18"/>
      <c r="BI1248" s="18"/>
      <c r="BJ1248" s="18"/>
      <c r="BK1248" s="18"/>
      <c r="BL1248" s="18"/>
      <c r="BM1248" s="18"/>
      <c r="BN1248" s="18"/>
    </row>
    <row r="1249" spans="1:66">
      <c r="A1249" s="18"/>
      <c r="B1249" s="18"/>
      <c r="C1249" s="18"/>
      <c r="D1249" s="18"/>
      <c r="E1249" s="18"/>
      <c r="F1249" s="18"/>
      <c r="G1249" s="18"/>
      <c r="H1249" s="18"/>
      <c r="I1249" s="18"/>
      <c r="J1249" s="18"/>
      <c r="K1249" s="18"/>
      <c r="L1249" s="18"/>
      <c r="M1249" s="18"/>
      <c r="N1249" s="18"/>
      <c r="O1249" s="18"/>
      <c r="P1249" s="18"/>
      <c r="Q1249" s="18"/>
      <c r="R1249" s="18"/>
      <c r="S1249" s="18"/>
      <c r="T1249" s="18"/>
      <c r="U1249" s="18"/>
      <c r="V1249" s="18"/>
      <c r="W1249" s="18"/>
      <c r="X1249" s="18"/>
      <c r="Y1249" s="18"/>
      <c r="Z1249" s="18"/>
      <c r="AA1249" s="18"/>
      <c r="AB1249" s="18"/>
      <c r="AC1249" s="18"/>
      <c r="AD1249" s="18"/>
      <c r="AE1249" s="18"/>
      <c r="AF1249" s="18"/>
      <c r="AG1249" s="18"/>
      <c r="AH1249" s="18"/>
      <c r="AI1249" s="18"/>
      <c r="AJ1249" s="18"/>
      <c r="AK1249" s="18"/>
      <c r="AL1249" s="18"/>
      <c r="AM1249" s="18"/>
      <c r="AN1249" s="18"/>
      <c r="AO1249" s="18"/>
      <c r="AP1249" s="18"/>
      <c r="AQ1249" s="18"/>
      <c r="AR1249" s="18"/>
      <c r="AS1249" s="18"/>
      <c r="AT1249" s="18"/>
      <c r="AU1249" s="18"/>
      <c r="AV1249" s="18"/>
      <c r="AW1249" s="18"/>
      <c r="AX1249" s="18"/>
      <c r="AY1249" s="18"/>
      <c r="AZ1249" s="18"/>
      <c r="BA1249" s="18"/>
      <c r="BB1249" s="18"/>
      <c r="BC1249" s="18"/>
      <c r="BD1249" s="18"/>
      <c r="BE1249" s="18"/>
      <c r="BF1249" s="18"/>
      <c r="BG1249" s="18"/>
      <c r="BH1249" s="18"/>
      <c r="BI1249" s="18"/>
      <c r="BJ1249" s="18"/>
      <c r="BK1249" s="18"/>
      <c r="BL1249" s="18"/>
      <c r="BM1249" s="18"/>
      <c r="BN1249" s="18"/>
    </row>
    <row r="1250" spans="1:66">
      <c r="A1250" s="18"/>
      <c r="B1250" s="18"/>
      <c r="C1250" s="18"/>
      <c r="D1250" s="18"/>
      <c r="E1250" s="18"/>
      <c r="F1250" s="18"/>
      <c r="G1250" s="18"/>
      <c r="H1250" s="18"/>
      <c r="I1250" s="18"/>
      <c r="J1250" s="18"/>
      <c r="K1250" s="18"/>
      <c r="L1250" s="18"/>
      <c r="M1250" s="18"/>
      <c r="N1250" s="18"/>
      <c r="O1250" s="18"/>
      <c r="P1250" s="18"/>
      <c r="Q1250" s="18"/>
      <c r="R1250" s="18"/>
      <c r="S1250" s="18"/>
      <c r="T1250" s="18"/>
      <c r="U1250" s="18"/>
      <c r="V1250" s="18"/>
      <c r="W1250" s="18"/>
      <c r="X1250" s="18"/>
      <c r="Y1250" s="18"/>
      <c r="Z1250" s="18"/>
      <c r="AA1250" s="18"/>
      <c r="AB1250" s="18"/>
      <c r="AC1250" s="18"/>
      <c r="AD1250" s="18"/>
      <c r="AE1250" s="18"/>
      <c r="AF1250" s="18"/>
      <c r="AG1250" s="18"/>
      <c r="AH1250" s="18"/>
      <c r="AI1250" s="18"/>
      <c r="AJ1250" s="18"/>
      <c r="AK1250" s="18"/>
      <c r="AL1250" s="18"/>
      <c r="AM1250" s="18"/>
      <c r="AN1250" s="18"/>
      <c r="AO1250" s="18"/>
      <c r="AP1250" s="18"/>
      <c r="AQ1250" s="18"/>
      <c r="AR1250" s="18"/>
      <c r="AS1250" s="18"/>
      <c r="AT1250" s="18"/>
      <c r="AU1250" s="18"/>
      <c r="AV1250" s="18"/>
      <c r="AW1250" s="18"/>
      <c r="AX1250" s="18"/>
      <c r="AY1250" s="18"/>
      <c r="AZ1250" s="18"/>
      <c r="BA1250" s="18"/>
      <c r="BB1250" s="18"/>
      <c r="BC1250" s="18"/>
      <c r="BD1250" s="18"/>
      <c r="BE1250" s="18"/>
      <c r="BF1250" s="18"/>
      <c r="BG1250" s="18"/>
      <c r="BH1250" s="18"/>
      <c r="BI1250" s="18"/>
      <c r="BJ1250" s="18"/>
      <c r="BK1250" s="18"/>
      <c r="BL1250" s="18"/>
      <c r="BM1250" s="18"/>
      <c r="BN1250" s="18"/>
    </row>
    <row r="1251" spans="1:66">
      <c r="A1251" s="18"/>
      <c r="B1251" s="18"/>
      <c r="C1251" s="18"/>
      <c r="D1251" s="18"/>
      <c r="E1251" s="18"/>
      <c r="F1251" s="18"/>
      <c r="G1251" s="18"/>
      <c r="H1251" s="18"/>
      <c r="I1251" s="18"/>
      <c r="J1251" s="18"/>
      <c r="K1251" s="18"/>
      <c r="L1251" s="18"/>
      <c r="M1251" s="18"/>
      <c r="N1251" s="18"/>
      <c r="O1251" s="18"/>
      <c r="P1251" s="18"/>
      <c r="Q1251" s="18"/>
      <c r="R1251" s="18"/>
      <c r="S1251" s="18"/>
      <c r="T1251" s="18"/>
      <c r="U1251" s="18"/>
      <c r="V1251" s="18"/>
      <c r="W1251" s="18"/>
      <c r="X1251" s="18"/>
      <c r="Y1251" s="18"/>
      <c r="Z1251" s="18"/>
      <c r="AA1251" s="18"/>
      <c r="AB1251" s="18"/>
      <c r="AC1251" s="18"/>
      <c r="AD1251" s="18"/>
      <c r="AE1251" s="18"/>
      <c r="AF1251" s="18"/>
      <c r="AG1251" s="18"/>
      <c r="AH1251" s="18"/>
      <c r="AI1251" s="18"/>
      <c r="AJ1251" s="18"/>
      <c r="AK1251" s="18"/>
      <c r="AL1251" s="18"/>
      <c r="AM1251" s="18"/>
      <c r="AN1251" s="18"/>
      <c r="AO1251" s="18"/>
      <c r="AP1251" s="18"/>
      <c r="AQ1251" s="18"/>
      <c r="AR1251" s="18"/>
      <c r="AS1251" s="18"/>
      <c r="AT1251" s="18"/>
      <c r="AU1251" s="18"/>
      <c r="AV1251" s="18"/>
      <c r="AW1251" s="18"/>
      <c r="AX1251" s="18"/>
      <c r="AY1251" s="18"/>
      <c r="AZ1251" s="18"/>
      <c r="BA1251" s="18"/>
      <c r="BB1251" s="18"/>
      <c r="BC1251" s="18"/>
      <c r="BD1251" s="18"/>
      <c r="BE1251" s="18"/>
      <c r="BF1251" s="18"/>
      <c r="BG1251" s="18"/>
      <c r="BH1251" s="18"/>
      <c r="BI1251" s="18"/>
      <c r="BJ1251" s="18"/>
      <c r="BK1251" s="18"/>
      <c r="BL1251" s="18"/>
      <c r="BM1251" s="18"/>
      <c r="BN1251" s="18"/>
    </row>
    <row r="1252" spans="1:66">
      <c r="A1252" s="18"/>
      <c r="B1252" s="18"/>
      <c r="C1252" s="18"/>
      <c r="D1252" s="18"/>
      <c r="E1252" s="18"/>
      <c r="F1252" s="18"/>
      <c r="G1252" s="18"/>
      <c r="H1252" s="18"/>
      <c r="I1252" s="18"/>
      <c r="J1252" s="18"/>
      <c r="K1252" s="18"/>
      <c r="L1252" s="18"/>
      <c r="M1252" s="18"/>
      <c r="N1252" s="18"/>
      <c r="O1252" s="18"/>
      <c r="P1252" s="18"/>
      <c r="Q1252" s="18"/>
      <c r="R1252" s="18"/>
      <c r="S1252" s="18"/>
      <c r="T1252" s="18"/>
      <c r="U1252" s="18"/>
      <c r="V1252" s="18"/>
      <c r="W1252" s="18"/>
      <c r="X1252" s="18"/>
      <c r="Y1252" s="18"/>
      <c r="Z1252" s="18"/>
      <c r="AA1252" s="18"/>
      <c r="AB1252" s="18"/>
      <c r="AC1252" s="18"/>
      <c r="AD1252" s="18"/>
      <c r="AE1252" s="18"/>
      <c r="AF1252" s="18"/>
      <c r="AG1252" s="18"/>
      <c r="AH1252" s="18"/>
      <c r="AI1252" s="18"/>
      <c r="AJ1252" s="18"/>
      <c r="AK1252" s="18"/>
      <c r="AL1252" s="18"/>
      <c r="AM1252" s="18"/>
      <c r="AN1252" s="18"/>
      <c r="AO1252" s="18"/>
      <c r="AP1252" s="18"/>
      <c r="AQ1252" s="18"/>
      <c r="AR1252" s="18"/>
      <c r="AS1252" s="18"/>
      <c r="AT1252" s="18"/>
      <c r="AU1252" s="18"/>
      <c r="AV1252" s="18"/>
      <c r="AW1252" s="18"/>
      <c r="AX1252" s="18"/>
      <c r="AY1252" s="18"/>
      <c r="AZ1252" s="18"/>
      <c r="BA1252" s="18"/>
      <c r="BB1252" s="18"/>
      <c r="BC1252" s="18"/>
      <c r="BD1252" s="18"/>
      <c r="BE1252" s="18"/>
      <c r="BF1252" s="18"/>
      <c r="BG1252" s="18"/>
      <c r="BH1252" s="18"/>
      <c r="BI1252" s="18"/>
      <c r="BJ1252" s="18"/>
      <c r="BK1252" s="18"/>
      <c r="BL1252" s="18"/>
      <c r="BM1252" s="18"/>
      <c r="BN1252" s="18"/>
    </row>
    <row r="1253" spans="1:66">
      <c r="A1253" s="18"/>
      <c r="B1253" s="18"/>
      <c r="C1253" s="18"/>
      <c r="D1253" s="18"/>
      <c r="E1253" s="18"/>
      <c r="F1253" s="18"/>
      <c r="G1253" s="18"/>
      <c r="H1253" s="18"/>
      <c r="I1253" s="18"/>
      <c r="J1253" s="18"/>
      <c r="K1253" s="18"/>
      <c r="L1253" s="18"/>
      <c r="M1253" s="18"/>
      <c r="N1253" s="18"/>
      <c r="O1253" s="18"/>
      <c r="P1253" s="18"/>
      <c r="Q1253" s="18"/>
      <c r="R1253" s="18"/>
      <c r="S1253" s="18"/>
      <c r="T1253" s="18"/>
      <c r="U1253" s="18"/>
      <c r="V1253" s="18"/>
      <c r="W1253" s="18"/>
      <c r="X1253" s="18"/>
      <c r="Y1253" s="18"/>
      <c r="Z1253" s="18"/>
      <c r="AA1253" s="18"/>
      <c r="AB1253" s="18"/>
      <c r="AC1253" s="18"/>
      <c r="AD1253" s="18"/>
      <c r="AE1253" s="18"/>
      <c r="AF1253" s="18"/>
      <c r="AG1253" s="18"/>
      <c r="AH1253" s="18"/>
      <c r="AI1253" s="18"/>
      <c r="AJ1253" s="18"/>
      <c r="AK1253" s="18"/>
      <c r="AL1253" s="18"/>
      <c r="AM1253" s="18"/>
      <c r="AN1253" s="18"/>
      <c r="AO1253" s="18"/>
      <c r="AP1253" s="18"/>
      <c r="AQ1253" s="18"/>
      <c r="AR1253" s="18"/>
      <c r="AS1253" s="18"/>
      <c r="AT1253" s="18"/>
      <c r="AU1253" s="18"/>
      <c r="AV1253" s="18"/>
      <c r="AW1253" s="18"/>
      <c r="AX1253" s="18"/>
      <c r="AY1253" s="18"/>
      <c r="AZ1253" s="18"/>
      <c r="BA1253" s="18"/>
      <c r="BB1253" s="18"/>
      <c r="BC1253" s="18"/>
      <c r="BD1253" s="18"/>
      <c r="BE1253" s="18"/>
      <c r="BF1253" s="18"/>
      <c r="BG1253" s="18"/>
      <c r="BH1253" s="18"/>
      <c r="BI1253" s="18"/>
      <c r="BJ1253" s="18"/>
      <c r="BK1253" s="18"/>
      <c r="BL1253" s="18"/>
      <c r="BM1253" s="18"/>
      <c r="BN1253" s="18"/>
    </row>
    <row r="1254" spans="1:66">
      <c r="A1254" s="18"/>
      <c r="B1254" s="18"/>
      <c r="C1254" s="18"/>
      <c r="D1254" s="18"/>
      <c r="E1254" s="18"/>
      <c r="F1254" s="18"/>
      <c r="G1254" s="18"/>
      <c r="H1254" s="18"/>
      <c r="I1254" s="18"/>
      <c r="J1254" s="18"/>
      <c r="K1254" s="18"/>
      <c r="L1254" s="18"/>
      <c r="M1254" s="18"/>
      <c r="N1254" s="18"/>
      <c r="O1254" s="18"/>
      <c r="P1254" s="18"/>
      <c r="Q1254" s="18"/>
      <c r="R1254" s="18"/>
      <c r="S1254" s="18"/>
      <c r="T1254" s="18"/>
      <c r="U1254" s="18"/>
      <c r="V1254" s="18"/>
      <c r="W1254" s="18"/>
      <c r="X1254" s="18"/>
      <c r="Y1254" s="18"/>
      <c r="Z1254" s="18"/>
      <c r="AA1254" s="18"/>
      <c r="AB1254" s="18"/>
      <c r="AC1254" s="18"/>
      <c r="AD1254" s="18"/>
      <c r="AE1254" s="18"/>
      <c r="AF1254" s="18"/>
      <c r="AG1254" s="18"/>
      <c r="AH1254" s="18"/>
      <c r="AI1254" s="18"/>
      <c r="AJ1254" s="18"/>
      <c r="AK1254" s="18"/>
      <c r="AL1254" s="18"/>
      <c r="AM1254" s="18"/>
      <c r="AN1254" s="18"/>
      <c r="AO1254" s="18"/>
      <c r="AP1254" s="18"/>
      <c r="AQ1254" s="18"/>
      <c r="AR1254" s="18"/>
      <c r="AS1254" s="18"/>
      <c r="AT1254" s="18"/>
      <c r="AU1254" s="18"/>
      <c r="AV1254" s="18"/>
      <c r="AW1254" s="18"/>
      <c r="AX1254" s="18"/>
      <c r="AY1254" s="18"/>
      <c r="AZ1254" s="18"/>
      <c r="BA1254" s="18"/>
      <c r="BB1254" s="18"/>
      <c r="BC1254" s="18"/>
      <c r="BD1254" s="18"/>
      <c r="BE1254" s="18"/>
      <c r="BF1254" s="18"/>
      <c r="BG1254" s="18"/>
      <c r="BH1254" s="18"/>
      <c r="BI1254" s="18"/>
      <c r="BJ1254" s="18"/>
      <c r="BK1254" s="18"/>
      <c r="BL1254" s="18"/>
      <c r="BM1254" s="18"/>
      <c r="BN1254" s="18"/>
    </row>
    <row r="1255" spans="1:66">
      <c r="A1255" s="18"/>
      <c r="B1255" s="18"/>
      <c r="C1255" s="18"/>
      <c r="D1255" s="18"/>
      <c r="E1255" s="18"/>
      <c r="F1255" s="18"/>
      <c r="G1255" s="18"/>
      <c r="H1255" s="18"/>
      <c r="I1255" s="18"/>
      <c r="J1255" s="18"/>
      <c r="K1255" s="18"/>
      <c r="L1255" s="18"/>
      <c r="M1255" s="18"/>
      <c r="N1255" s="18"/>
      <c r="O1255" s="18"/>
      <c r="P1255" s="18"/>
      <c r="Q1255" s="18"/>
      <c r="R1255" s="18"/>
      <c r="S1255" s="18"/>
      <c r="T1255" s="18"/>
      <c r="U1255" s="18"/>
      <c r="V1255" s="18"/>
      <c r="W1255" s="18"/>
      <c r="X1255" s="18"/>
      <c r="Y1255" s="18"/>
      <c r="Z1255" s="18"/>
      <c r="AA1255" s="18"/>
      <c r="AB1255" s="18"/>
      <c r="AC1255" s="18"/>
      <c r="AD1255" s="18"/>
      <c r="AE1255" s="18"/>
      <c r="AF1255" s="18"/>
      <c r="AG1255" s="18"/>
      <c r="AH1255" s="18"/>
      <c r="AI1255" s="18"/>
      <c r="AJ1255" s="18"/>
      <c r="AK1255" s="18"/>
      <c r="AL1255" s="18"/>
      <c r="AM1255" s="18"/>
      <c r="AN1255" s="18"/>
      <c r="AO1255" s="18"/>
      <c r="AP1255" s="18"/>
      <c r="AQ1255" s="18"/>
      <c r="AR1255" s="18"/>
      <c r="AS1255" s="18"/>
      <c r="AT1255" s="18"/>
      <c r="AU1255" s="18"/>
      <c r="AV1255" s="18"/>
      <c r="AW1255" s="18"/>
      <c r="AX1255" s="18"/>
      <c r="AY1255" s="18"/>
      <c r="AZ1255" s="18"/>
      <c r="BA1255" s="18"/>
      <c r="BB1255" s="18"/>
      <c r="BC1255" s="18"/>
      <c r="BD1255" s="18"/>
      <c r="BE1255" s="18"/>
      <c r="BF1255" s="18"/>
      <c r="BG1255" s="18"/>
      <c r="BH1255" s="18"/>
      <c r="BI1255" s="18"/>
      <c r="BJ1255" s="18"/>
      <c r="BK1255" s="18"/>
      <c r="BL1255" s="18"/>
      <c r="BM1255" s="18"/>
      <c r="BN1255" s="18"/>
    </row>
    <row r="1256" spans="1:66">
      <c r="A1256" s="18"/>
      <c r="B1256" s="18"/>
      <c r="C1256" s="18"/>
      <c r="D1256" s="18"/>
      <c r="E1256" s="18"/>
      <c r="F1256" s="18"/>
      <c r="G1256" s="18"/>
      <c r="H1256" s="18"/>
      <c r="I1256" s="18"/>
      <c r="J1256" s="18"/>
      <c r="K1256" s="18"/>
      <c r="L1256" s="18"/>
      <c r="M1256" s="18"/>
      <c r="N1256" s="18"/>
      <c r="O1256" s="18"/>
      <c r="P1256" s="18"/>
      <c r="Q1256" s="18"/>
      <c r="R1256" s="18"/>
      <c r="S1256" s="18"/>
      <c r="T1256" s="18"/>
      <c r="U1256" s="18"/>
      <c r="V1256" s="18"/>
      <c r="W1256" s="18"/>
      <c r="X1256" s="18"/>
      <c r="Y1256" s="18"/>
      <c r="Z1256" s="18"/>
      <c r="AA1256" s="18"/>
      <c r="AB1256" s="18"/>
      <c r="AC1256" s="18"/>
      <c r="AD1256" s="18"/>
      <c r="AE1256" s="18"/>
      <c r="AF1256" s="18"/>
      <c r="AG1256" s="18"/>
      <c r="AH1256" s="18"/>
      <c r="AI1256" s="18"/>
      <c r="AJ1256" s="18"/>
      <c r="AK1256" s="18"/>
      <c r="AL1256" s="18"/>
      <c r="AM1256" s="18"/>
      <c r="AN1256" s="18"/>
      <c r="AO1256" s="18"/>
      <c r="AP1256" s="18"/>
      <c r="AQ1256" s="18"/>
      <c r="AR1256" s="18"/>
      <c r="AS1256" s="18"/>
      <c r="AT1256" s="18"/>
      <c r="AU1256" s="18"/>
      <c r="AV1256" s="18"/>
      <c r="AW1256" s="18"/>
      <c r="AX1256" s="18"/>
      <c r="AY1256" s="18"/>
      <c r="AZ1256" s="18"/>
      <c r="BA1256" s="18"/>
      <c r="BB1256" s="18"/>
      <c r="BC1256" s="18"/>
      <c r="BD1256" s="18"/>
      <c r="BE1256" s="18"/>
      <c r="BF1256" s="18"/>
      <c r="BG1256" s="18"/>
      <c r="BH1256" s="18"/>
      <c r="BI1256" s="18"/>
      <c r="BJ1256" s="18"/>
      <c r="BK1256" s="18"/>
      <c r="BL1256" s="18"/>
      <c r="BM1256" s="18"/>
      <c r="BN1256" s="18"/>
    </row>
    <row r="1257" spans="1:66">
      <c r="A1257" s="18"/>
      <c r="B1257" s="18"/>
      <c r="C1257" s="18"/>
      <c r="D1257" s="18"/>
      <c r="E1257" s="18"/>
      <c r="F1257" s="18"/>
      <c r="G1257" s="18"/>
      <c r="H1257" s="18"/>
      <c r="I1257" s="18"/>
      <c r="J1257" s="18"/>
      <c r="K1257" s="18"/>
      <c r="L1257" s="18"/>
      <c r="M1257" s="18"/>
      <c r="N1257" s="18"/>
      <c r="O1257" s="18"/>
      <c r="P1257" s="18"/>
      <c r="Q1257" s="18"/>
      <c r="R1257" s="18"/>
      <c r="S1257" s="18"/>
      <c r="T1257" s="18"/>
      <c r="U1257" s="18"/>
      <c r="V1257" s="18"/>
      <c r="W1257" s="18"/>
      <c r="X1257" s="18"/>
      <c r="Y1257" s="18"/>
      <c r="Z1257" s="18"/>
      <c r="AA1257" s="18"/>
      <c r="AB1257" s="18"/>
      <c r="AC1257" s="18"/>
      <c r="AD1257" s="18"/>
      <c r="AE1257" s="18"/>
      <c r="AF1257" s="18"/>
      <c r="AG1257" s="18"/>
      <c r="AH1257" s="18"/>
      <c r="AI1257" s="18"/>
      <c r="AJ1257" s="18"/>
      <c r="AK1257" s="18"/>
      <c r="AL1257" s="18"/>
      <c r="AM1257" s="18"/>
      <c r="AN1257" s="18"/>
      <c r="AO1257" s="18"/>
      <c r="AP1257" s="18"/>
      <c r="AQ1257" s="18"/>
      <c r="AR1257" s="18"/>
      <c r="AS1257" s="18"/>
      <c r="AT1257" s="18"/>
      <c r="AU1257" s="18"/>
      <c r="AV1257" s="18"/>
      <c r="AW1257" s="18"/>
      <c r="AX1257" s="18"/>
      <c r="AY1257" s="18"/>
      <c r="AZ1257" s="18"/>
      <c r="BA1257" s="18"/>
      <c r="BB1257" s="18"/>
      <c r="BC1257" s="18"/>
      <c r="BD1257" s="18"/>
      <c r="BE1257" s="18"/>
      <c r="BF1257" s="18"/>
      <c r="BG1257" s="18"/>
      <c r="BH1257" s="18"/>
      <c r="BI1257" s="18"/>
      <c r="BJ1257" s="18"/>
      <c r="BK1257" s="18"/>
      <c r="BL1257" s="18"/>
      <c r="BM1257" s="18"/>
      <c r="BN1257" s="18"/>
    </row>
    <row r="1258" spans="1:66">
      <c r="A1258" s="18"/>
      <c r="B1258" s="18"/>
      <c r="C1258" s="18"/>
      <c r="D1258" s="18"/>
      <c r="E1258" s="18"/>
      <c r="F1258" s="18"/>
      <c r="G1258" s="18"/>
      <c r="H1258" s="18"/>
      <c r="I1258" s="18"/>
      <c r="J1258" s="18"/>
      <c r="K1258" s="18"/>
      <c r="L1258" s="18"/>
      <c r="M1258" s="18"/>
      <c r="N1258" s="18"/>
      <c r="O1258" s="18"/>
      <c r="P1258" s="18"/>
      <c r="Q1258" s="18"/>
      <c r="R1258" s="18"/>
      <c r="S1258" s="18"/>
      <c r="T1258" s="18"/>
      <c r="U1258" s="18"/>
      <c r="V1258" s="18"/>
      <c r="W1258" s="18"/>
      <c r="X1258" s="18"/>
      <c r="Y1258" s="18"/>
      <c r="Z1258" s="18"/>
      <c r="AA1258" s="18"/>
      <c r="AB1258" s="18"/>
      <c r="AC1258" s="18"/>
      <c r="AD1258" s="18"/>
      <c r="AE1258" s="18"/>
      <c r="AF1258" s="18"/>
      <c r="AG1258" s="18"/>
      <c r="AH1258" s="18"/>
      <c r="AI1258" s="18"/>
      <c r="AJ1258" s="18"/>
      <c r="AK1258" s="18"/>
      <c r="AL1258" s="18"/>
      <c r="AM1258" s="18"/>
      <c r="AN1258" s="18"/>
      <c r="AO1258" s="18"/>
      <c r="AP1258" s="18"/>
      <c r="AQ1258" s="18"/>
      <c r="AR1258" s="18"/>
      <c r="AS1258" s="18"/>
      <c r="AT1258" s="18"/>
      <c r="AU1258" s="18"/>
      <c r="AV1258" s="18"/>
      <c r="AW1258" s="18"/>
      <c r="AX1258" s="18"/>
      <c r="AY1258" s="18"/>
      <c r="AZ1258" s="18"/>
      <c r="BA1258" s="18"/>
      <c r="BB1258" s="18"/>
      <c r="BC1258" s="18"/>
      <c r="BD1258" s="18"/>
      <c r="BE1258" s="18"/>
      <c r="BF1258" s="18"/>
      <c r="BG1258" s="18"/>
      <c r="BH1258" s="18"/>
      <c r="BI1258" s="18"/>
      <c r="BJ1258" s="18"/>
      <c r="BK1258" s="18"/>
      <c r="BL1258" s="18"/>
      <c r="BM1258" s="18"/>
      <c r="BN1258" s="18"/>
    </row>
    <row r="1259" spans="1:66">
      <c r="A1259" s="18"/>
      <c r="B1259" s="18"/>
      <c r="C1259" s="18"/>
      <c r="D1259" s="18"/>
      <c r="E1259" s="18"/>
      <c r="F1259" s="18"/>
      <c r="G1259" s="18"/>
      <c r="H1259" s="18"/>
      <c r="I1259" s="18"/>
      <c r="J1259" s="18"/>
      <c r="K1259" s="18"/>
      <c r="L1259" s="18"/>
      <c r="M1259" s="18"/>
      <c r="N1259" s="18"/>
      <c r="O1259" s="18"/>
      <c r="P1259" s="18"/>
      <c r="Q1259" s="18"/>
      <c r="R1259" s="18"/>
      <c r="S1259" s="18"/>
      <c r="T1259" s="18"/>
      <c r="U1259" s="18"/>
      <c r="V1259" s="18"/>
      <c r="W1259" s="18"/>
      <c r="X1259" s="18"/>
      <c r="Y1259" s="18"/>
      <c r="Z1259" s="18"/>
      <c r="AA1259" s="18"/>
      <c r="AB1259" s="18"/>
      <c r="AC1259" s="18"/>
      <c r="AD1259" s="18"/>
      <c r="AE1259" s="18"/>
      <c r="AF1259" s="18"/>
      <c r="AG1259" s="18"/>
      <c r="AH1259" s="18"/>
      <c r="AI1259" s="18"/>
      <c r="AJ1259" s="18"/>
      <c r="AK1259" s="18"/>
      <c r="AL1259" s="18"/>
      <c r="AM1259" s="18"/>
      <c r="AN1259" s="18"/>
      <c r="AO1259" s="18"/>
      <c r="AP1259" s="18"/>
      <c r="AQ1259" s="18"/>
      <c r="AR1259" s="18"/>
      <c r="AS1259" s="18"/>
      <c r="AT1259" s="18"/>
      <c r="AU1259" s="18"/>
      <c r="AV1259" s="18"/>
      <c r="AW1259" s="18"/>
      <c r="AX1259" s="18"/>
      <c r="AY1259" s="18"/>
      <c r="AZ1259" s="18"/>
      <c r="BA1259" s="18"/>
      <c r="BB1259" s="18"/>
      <c r="BC1259" s="18"/>
      <c r="BD1259" s="18"/>
      <c r="BE1259" s="18"/>
      <c r="BF1259" s="18"/>
      <c r="BG1259" s="18"/>
      <c r="BH1259" s="18"/>
      <c r="BI1259" s="18"/>
      <c r="BJ1259" s="18"/>
      <c r="BK1259" s="18"/>
      <c r="BL1259" s="18"/>
      <c r="BM1259" s="18"/>
      <c r="BN1259" s="18"/>
    </row>
    <row r="1260" spans="1:66">
      <c r="A1260" s="18"/>
      <c r="B1260" s="18"/>
      <c r="C1260" s="18"/>
      <c r="D1260" s="18"/>
      <c r="E1260" s="18"/>
      <c r="F1260" s="18"/>
      <c r="G1260" s="18"/>
      <c r="H1260" s="18"/>
      <c r="I1260" s="18"/>
      <c r="J1260" s="18"/>
      <c r="K1260" s="18"/>
      <c r="L1260" s="18"/>
      <c r="M1260" s="18"/>
      <c r="N1260" s="18"/>
      <c r="O1260" s="18"/>
      <c r="P1260" s="18"/>
      <c r="Q1260" s="18"/>
      <c r="R1260" s="18"/>
      <c r="S1260" s="18"/>
      <c r="T1260" s="18"/>
      <c r="U1260" s="18"/>
      <c r="V1260" s="18"/>
      <c r="W1260" s="18"/>
      <c r="X1260" s="18"/>
      <c r="Y1260" s="18"/>
      <c r="Z1260" s="18"/>
      <c r="AA1260" s="18"/>
      <c r="AB1260" s="18"/>
      <c r="AC1260" s="18"/>
      <c r="AD1260" s="18"/>
      <c r="AE1260" s="18"/>
      <c r="AF1260" s="18"/>
      <c r="AG1260" s="18"/>
      <c r="AH1260" s="18"/>
      <c r="AI1260" s="18"/>
      <c r="AJ1260" s="18"/>
      <c r="AK1260" s="18"/>
      <c r="AL1260" s="18"/>
      <c r="AM1260" s="18"/>
      <c r="AN1260" s="18"/>
      <c r="AO1260" s="18"/>
      <c r="AP1260" s="18"/>
      <c r="AQ1260" s="18"/>
      <c r="AR1260" s="18"/>
      <c r="AS1260" s="18"/>
      <c r="AT1260" s="18"/>
      <c r="AU1260" s="18"/>
      <c r="AV1260" s="18"/>
      <c r="AW1260" s="18"/>
      <c r="AX1260" s="18"/>
      <c r="AY1260" s="18"/>
      <c r="AZ1260" s="18"/>
      <c r="BA1260" s="18"/>
      <c r="BB1260" s="18"/>
      <c r="BC1260" s="18"/>
      <c r="BD1260" s="18"/>
      <c r="BE1260" s="18"/>
      <c r="BF1260" s="18"/>
      <c r="BG1260" s="18"/>
      <c r="BH1260" s="18"/>
      <c r="BI1260" s="18"/>
      <c r="BJ1260" s="18"/>
      <c r="BK1260" s="18"/>
      <c r="BL1260" s="18"/>
      <c r="BM1260" s="18"/>
      <c r="BN1260" s="18"/>
    </row>
    <row r="1261" spans="1:66">
      <c r="A1261" s="18"/>
      <c r="B1261" s="18"/>
      <c r="C1261" s="18"/>
      <c r="D1261" s="18"/>
      <c r="E1261" s="18"/>
      <c r="F1261" s="18"/>
      <c r="G1261" s="18"/>
      <c r="H1261" s="18"/>
      <c r="I1261" s="18"/>
      <c r="J1261" s="18"/>
      <c r="K1261" s="18"/>
      <c r="L1261" s="18"/>
      <c r="M1261" s="18"/>
      <c r="N1261" s="18"/>
      <c r="O1261" s="18"/>
      <c r="P1261" s="18"/>
      <c r="Q1261" s="18"/>
      <c r="R1261" s="18"/>
      <c r="S1261" s="18"/>
      <c r="T1261" s="18"/>
      <c r="U1261" s="18"/>
      <c r="V1261" s="18"/>
      <c r="W1261" s="18"/>
      <c r="X1261" s="18"/>
      <c r="Y1261" s="18"/>
      <c r="Z1261" s="18"/>
      <c r="AA1261" s="18"/>
      <c r="AB1261" s="18"/>
      <c r="AC1261" s="18"/>
      <c r="AD1261" s="18"/>
      <c r="AE1261" s="18"/>
      <c r="AF1261" s="18"/>
      <c r="AG1261" s="18"/>
      <c r="AH1261" s="18"/>
      <c r="AI1261" s="18"/>
      <c r="AJ1261" s="18"/>
      <c r="AK1261" s="18"/>
      <c r="AL1261" s="18"/>
      <c r="AM1261" s="18"/>
      <c r="AN1261" s="18"/>
      <c r="AO1261" s="18"/>
      <c r="AP1261" s="18"/>
      <c r="AQ1261" s="18"/>
      <c r="AR1261" s="18"/>
      <c r="AS1261" s="18"/>
      <c r="AT1261" s="18"/>
      <c r="AU1261" s="18"/>
      <c r="AV1261" s="18"/>
      <c r="AW1261" s="18"/>
      <c r="AX1261" s="18"/>
      <c r="AY1261" s="18"/>
      <c r="AZ1261" s="18"/>
      <c r="BA1261" s="18"/>
      <c r="BB1261" s="18"/>
      <c r="BC1261" s="18"/>
      <c r="BD1261" s="18"/>
      <c r="BE1261" s="18"/>
      <c r="BF1261" s="18"/>
      <c r="BG1261" s="18"/>
      <c r="BH1261" s="18"/>
      <c r="BI1261" s="18"/>
      <c r="BJ1261" s="18"/>
      <c r="BK1261" s="18"/>
      <c r="BL1261" s="18"/>
      <c r="BM1261" s="18"/>
      <c r="BN1261" s="18"/>
    </row>
    <row r="1262" spans="1:66">
      <c r="A1262" s="18"/>
      <c r="B1262" s="18"/>
      <c r="C1262" s="18"/>
      <c r="D1262" s="18"/>
      <c r="E1262" s="18"/>
      <c r="F1262" s="18"/>
      <c r="G1262" s="18"/>
      <c r="H1262" s="18"/>
      <c r="I1262" s="18"/>
      <c r="J1262" s="18"/>
      <c r="K1262" s="18"/>
      <c r="L1262" s="18"/>
      <c r="M1262" s="18"/>
      <c r="N1262" s="18"/>
      <c r="O1262" s="18"/>
      <c r="P1262" s="18"/>
      <c r="Q1262" s="18"/>
      <c r="R1262" s="18"/>
      <c r="S1262" s="18"/>
      <c r="T1262" s="18"/>
      <c r="U1262" s="18"/>
      <c r="V1262" s="18"/>
      <c r="W1262" s="18"/>
      <c r="X1262" s="18"/>
      <c r="Y1262" s="18"/>
      <c r="Z1262" s="18"/>
      <c r="AA1262" s="18"/>
      <c r="AB1262" s="18"/>
      <c r="AC1262" s="18"/>
      <c r="AD1262" s="18"/>
      <c r="AE1262" s="18"/>
      <c r="AF1262" s="18"/>
      <c r="AG1262" s="18"/>
      <c r="AH1262" s="18"/>
      <c r="AI1262" s="18"/>
      <c r="AJ1262" s="18"/>
      <c r="AK1262" s="18"/>
      <c r="AL1262" s="18"/>
      <c r="AM1262" s="18"/>
      <c r="AN1262" s="18"/>
      <c r="AO1262" s="18"/>
      <c r="AP1262" s="18"/>
      <c r="AQ1262" s="18"/>
      <c r="AR1262" s="18"/>
      <c r="AS1262" s="18"/>
      <c r="AT1262" s="18"/>
      <c r="AU1262" s="18"/>
      <c r="AV1262" s="18"/>
      <c r="AW1262" s="18"/>
      <c r="AX1262" s="18"/>
      <c r="AY1262" s="18"/>
      <c r="AZ1262" s="18"/>
      <c r="BA1262" s="18"/>
      <c r="BB1262" s="18"/>
      <c r="BC1262" s="18"/>
      <c r="BD1262" s="18"/>
      <c r="BE1262" s="18"/>
      <c r="BF1262" s="18"/>
      <c r="BG1262" s="18"/>
      <c r="BH1262" s="18"/>
      <c r="BI1262" s="18"/>
      <c r="BJ1262" s="18"/>
      <c r="BK1262" s="18"/>
      <c r="BL1262" s="18"/>
      <c r="BM1262" s="18"/>
      <c r="BN1262" s="18"/>
    </row>
    <row r="1263" spans="1:66">
      <c r="A1263" s="18"/>
      <c r="B1263" s="18"/>
      <c r="C1263" s="18"/>
      <c r="D1263" s="18"/>
      <c r="E1263" s="18"/>
      <c r="F1263" s="18"/>
      <c r="G1263" s="18"/>
      <c r="H1263" s="18"/>
      <c r="I1263" s="18"/>
      <c r="J1263" s="18"/>
      <c r="K1263" s="18"/>
      <c r="L1263" s="18"/>
      <c r="M1263" s="18"/>
      <c r="N1263" s="18"/>
      <c r="O1263" s="18"/>
      <c r="P1263" s="18"/>
      <c r="Q1263" s="18"/>
      <c r="R1263" s="18"/>
      <c r="S1263" s="18"/>
      <c r="T1263" s="18"/>
      <c r="U1263" s="18"/>
      <c r="V1263" s="18"/>
      <c r="W1263" s="18"/>
      <c r="X1263" s="18"/>
      <c r="Y1263" s="18"/>
      <c r="Z1263" s="18"/>
      <c r="AA1263" s="18"/>
      <c r="AB1263" s="18"/>
      <c r="AC1263" s="18"/>
      <c r="AD1263" s="18"/>
      <c r="AE1263" s="18"/>
      <c r="AF1263" s="18"/>
      <c r="AG1263" s="18"/>
      <c r="AH1263" s="18"/>
      <c r="AI1263" s="18"/>
      <c r="AJ1263" s="18"/>
      <c r="AK1263" s="18"/>
      <c r="AL1263" s="18"/>
      <c r="AM1263" s="18"/>
      <c r="AN1263" s="18"/>
      <c r="AO1263" s="18"/>
      <c r="AP1263" s="18"/>
      <c r="AQ1263" s="18"/>
      <c r="AR1263" s="18"/>
      <c r="AS1263" s="18"/>
      <c r="AT1263" s="18"/>
      <c r="AU1263" s="18"/>
      <c r="AV1263" s="18"/>
      <c r="AW1263" s="18"/>
      <c r="AX1263" s="18"/>
      <c r="AY1263" s="18"/>
      <c r="AZ1263" s="18"/>
      <c r="BA1263" s="18"/>
      <c r="BB1263" s="18"/>
      <c r="BC1263" s="18"/>
      <c r="BD1263" s="18"/>
      <c r="BE1263" s="18"/>
      <c r="BF1263" s="18"/>
      <c r="BG1263" s="18"/>
      <c r="BH1263" s="18"/>
      <c r="BI1263" s="18"/>
      <c r="BJ1263" s="18"/>
      <c r="BK1263" s="18"/>
      <c r="BL1263" s="18"/>
      <c r="BM1263" s="18"/>
      <c r="BN1263" s="18"/>
    </row>
    <row r="1264" spans="1:66">
      <c r="A1264" s="18"/>
      <c r="B1264" s="18"/>
      <c r="C1264" s="18"/>
      <c r="D1264" s="18"/>
      <c r="E1264" s="18"/>
      <c r="F1264" s="18"/>
      <c r="G1264" s="18"/>
      <c r="H1264" s="18"/>
      <c r="I1264" s="18"/>
      <c r="J1264" s="18"/>
      <c r="K1264" s="18"/>
      <c r="L1264" s="18"/>
      <c r="M1264" s="18"/>
      <c r="N1264" s="18"/>
      <c r="O1264" s="18"/>
      <c r="P1264" s="18"/>
      <c r="Q1264" s="18"/>
      <c r="R1264" s="18"/>
      <c r="S1264" s="18"/>
      <c r="T1264" s="18"/>
      <c r="U1264" s="18"/>
      <c r="V1264" s="18"/>
      <c r="W1264" s="18"/>
      <c r="X1264" s="18"/>
      <c r="Y1264" s="18"/>
      <c r="Z1264" s="18"/>
      <c r="AA1264" s="18"/>
      <c r="AB1264" s="18"/>
      <c r="AC1264" s="18"/>
      <c r="AD1264" s="18"/>
      <c r="AE1264" s="18"/>
      <c r="AF1264" s="18"/>
      <c r="AG1264" s="18"/>
      <c r="AH1264" s="18"/>
      <c r="AI1264" s="18"/>
      <c r="AJ1264" s="18"/>
      <c r="AK1264" s="18"/>
      <c r="AL1264" s="18"/>
      <c r="AM1264" s="18"/>
      <c r="AN1264" s="18"/>
      <c r="AO1264" s="18"/>
      <c r="AP1264" s="18"/>
      <c r="AQ1264" s="18"/>
      <c r="AR1264" s="18"/>
      <c r="AS1264" s="18"/>
      <c r="AT1264" s="18"/>
      <c r="AU1264" s="18"/>
      <c r="AV1264" s="18"/>
      <c r="AW1264" s="18"/>
      <c r="AX1264" s="18"/>
      <c r="AY1264" s="18"/>
      <c r="AZ1264" s="18"/>
      <c r="BA1264" s="18"/>
      <c r="BB1264" s="18"/>
      <c r="BC1264" s="18"/>
      <c r="BD1264" s="18"/>
      <c r="BE1264" s="18"/>
      <c r="BF1264" s="18"/>
      <c r="BG1264" s="18"/>
      <c r="BH1264" s="18"/>
      <c r="BI1264" s="18"/>
      <c r="BJ1264" s="18"/>
      <c r="BK1264" s="18"/>
      <c r="BL1264" s="18"/>
      <c r="BM1264" s="18"/>
      <c r="BN1264" s="18"/>
    </row>
    <row r="1265" spans="1:66">
      <c r="A1265" s="18"/>
      <c r="B1265" s="18"/>
      <c r="C1265" s="18"/>
      <c r="D1265" s="18"/>
      <c r="E1265" s="18"/>
      <c r="F1265" s="18"/>
      <c r="G1265" s="18"/>
      <c r="H1265" s="18"/>
      <c r="I1265" s="18"/>
      <c r="J1265" s="18"/>
      <c r="K1265" s="18"/>
      <c r="L1265" s="18"/>
      <c r="M1265" s="18"/>
      <c r="N1265" s="18"/>
      <c r="O1265" s="18"/>
      <c r="P1265" s="18"/>
      <c r="Q1265" s="18"/>
      <c r="R1265" s="18"/>
      <c r="S1265" s="18"/>
      <c r="T1265" s="18"/>
      <c r="U1265" s="18"/>
      <c r="V1265" s="18"/>
      <c r="W1265" s="18"/>
      <c r="X1265" s="18"/>
      <c r="Y1265" s="18"/>
      <c r="Z1265" s="18"/>
      <c r="AA1265" s="18"/>
      <c r="AB1265" s="18"/>
      <c r="AC1265" s="18"/>
      <c r="AD1265" s="18"/>
      <c r="AE1265" s="18"/>
      <c r="AF1265" s="18"/>
      <c r="AG1265" s="18"/>
      <c r="AH1265" s="18"/>
      <c r="AI1265" s="18"/>
      <c r="AJ1265" s="18"/>
      <c r="AK1265" s="18"/>
      <c r="AL1265" s="18"/>
      <c r="AM1265" s="18"/>
      <c r="AN1265" s="18"/>
      <c r="AO1265" s="18"/>
      <c r="AP1265" s="18"/>
      <c r="AQ1265" s="18"/>
      <c r="AR1265" s="18"/>
      <c r="AS1265" s="18"/>
      <c r="AT1265" s="18"/>
      <c r="AU1265" s="18"/>
      <c r="AV1265" s="18"/>
      <c r="AW1265" s="18"/>
      <c r="AX1265" s="18"/>
      <c r="AY1265" s="18"/>
      <c r="AZ1265" s="18"/>
      <c r="BA1265" s="18"/>
      <c r="BB1265" s="18"/>
      <c r="BC1265" s="18"/>
      <c r="BD1265" s="18"/>
      <c r="BE1265" s="18"/>
      <c r="BF1265" s="18"/>
      <c r="BG1265" s="18"/>
      <c r="BH1265" s="18"/>
      <c r="BI1265" s="18"/>
      <c r="BJ1265" s="18"/>
      <c r="BK1265" s="18"/>
      <c r="BL1265" s="18"/>
      <c r="BM1265" s="18"/>
      <c r="BN1265" s="18"/>
    </row>
    <row r="1266" spans="1:66">
      <c r="A1266" s="18"/>
      <c r="B1266" s="18"/>
      <c r="C1266" s="18"/>
      <c r="D1266" s="18"/>
      <c r="E1266" s="18"/>
      <c r="F1266" s="18"/>
      <c r="G1266" s="18"/>
      <c r="H1266" s="18"/>
      <c r="I1266" s="18"/>
      <c r="J1266" s="18"/>
      <c r="K1266" s="18"/>
      <c r="L1266" s="18"/>
      <c r="M1266" s="18"/>
      <c r="N1266" s="18"/>
      <c r="O1266" s="18"/>
      <c r="P1266" s="18"/>
      <c r="Q1266" s="18"/>
      <c r="R1266" s="18"/>
      <c r="S1266" s="18"/>
      <c r="T1266" s="18"/>
      <c r="U1266" s="18"/>
      <c r="V1266" s="18"/>
      <c r="W1266" s="18"/>
      <c r="X1266" s="18"/>
      <c r="Y1266" s="18"/>
      <c r="Z1266" s="18"/>
      <c r="AA1266" s="18"/>
      <c r="AB1266" s="18"/>
      <c r="AC1266" s="18"/>
      <c r="AD1266" s="18"/>
      <c r="AE1266" s="18"/>
      <c r="AF1266" s="18"/>
      <c r="AG1266" s="18"/>
      <c r="AH1266" s="18"/>
      <c r="AI1266" s="18"/>
      <c r="AJ1266" s="18"/>
      <c r="AK1266" s="18"/>
      <c r="AL1266" s="18"/>
      <c r="AM1266" s="18"/>
      <c r="AN1266" s="18"/>
      <c r="AO1266" s="18"/>
      <c r="AP1266" s="18"/>
      <c r="AQ1266" s="18"/>
      <c r="AR1266" s="18"/>
      <c r="AS1266" s="18"/>
      <c r="AT1266" s="18"/>
      <c r="AU1266" s="18"/>
      <c r="AV1266" s="18"/>
      <c r="AW1266" s="18"/>
      <c r="AX1266" s="18"/>
      <c r="AY1266" s="18"/>
      <c r="AZ1266" s="18"/>
      <c r="BA1266" s="18"/>
      <c r="BB1266" s="18"/>
      <c r="BC1266" s="18"/>
      <c r="BD1266" s="18"/>
      <c r="BE1266" s="18"/>
      <c r="BF1266" s="18"/>
      <c r="BG1266" s="18"/>
      <c r="BH1266" s="18"/>
      <c r="BI1266" s="18"/>
      <c r="BJ1266" s="18"/>
      <c r="BK1266" s="18"/>
      <c r="BL1266" s="18"/>
      <c r="BM1266" s="18"/>
      <c r="BN1266" s="18"/>
    </row>
    <row r="1267" spans="1:66">
      <c r="A1267" s="18"/>
      <c r="B1267" s="18"/>
      <c r="C1267" s="18"/>
      <c r="D1267" s="18"/>
      <c r="E1267" s="18"/>
      <c r="F1267" s="18"/>
      <c r="G1267" s="18"/>
      <c r="H1267" s="18"/>
      <c r="I1267" s="18"/>
      <c r="J1267" s="18"/>
      <c r="K1267" s="18"/>
      <c r="L1267" s="18"/>
      <c r="M1267" s="18"/>
      <c r="N1267" s="18"/>
      <c r="O1267" s="18"/>
      <c r="P1267" s="18"/>
      <c r="Q1267" s="18"/>
      <c r="R1267" s="18"/>
      <c r="S1267" s="18"/>
      <c r="T1267" s="18"/>
      <c r="U1267" s="18"/>
      <c r="V1267" s="18"/>
      <c r="W1267" s="18"/>
      <c r="X1267" s="18"/>
      <c r="Y1267" s="18"/>
      <c r="Z1267" s="18"/>
      <c r="AA1267" s="18"/>
      <c r="AB1267" s="18"/>
      <c r="AC1267" s="18"/>
      <c r="AD1267" s="18"/>
      <c r="AE1267" s="18"/>
      <c r="AF1267" s="18"/>
      <c r="AG1267" s="18"/>
      <c r="AH1267" s="18"/>
      <c r="AI1267" s="18"/>
      <c r="AJ1267" s="18"/>
      <c r="AK1267" s="18"/>
      <c r="AL1267" s="18"/>
      <c r="AM1267" s="18"/>
      <c r="AN1267" s="18"/>
      <c r="AO1267" s="18"/>
      <c r="AP1267" s="18"/>
      <c r="AQ1267" s="18"/>
      <c r="AR1267" s="18"/>
      <c r="AS1267" s="18"/>
      <c r="AT1267" s="18"/>
      <c r="AU1267" s="18"/>
      <c r="AV1267" s="18"/>
      <c r="AW1267" s="18"/>
      <c r="AX1267" s="18"/>
      <c r="AY1267" s="18"/>
      <c r="AZ1267" s="18"/>
      <c r="BA1267" s="18"/>
      <c r="BB1267" s="18"/>
      <c r="BC1267" s="18"/>
      <c r="BD1267" s="18"/>
      <c r="BE1267" s="18"/>
      <c r="BF1267" s="18"/>
      <c r="BG1267" s="18"/>
      <c r="BH1267" s="18"/>
      <c r="BI1267" s="18"/>
      <c r="BJ1267" s="18"/>
      <c r="BK1267" s="18"/>
      <c r="BL1267" s="18"/>
      <c r="BM1267" s="18"/>
      <c r="BN1267" s="18"/>
    </row>
    <row r="1268" spans="1:66">
      <c r="A1268" s="18"/>
      <c r="B1268" s="18"/>
      <c r="C1268" s="18"/>
      <c r="D1268" s="18"/>
      <c r="E1268" s="18"/>
      <c r="F1268" s="18"/>
      <c r="G1268" s="18"/>
      <c r="H1268" s="18"/>
      <c r="I1268" s="18"/>
      <c r="J1268" s="18"/>
      <c r="K1268" s="18"/>
      <c r="L1268" s="18"/>
      <c r="M1268" s="18"/>
      <c r="N1268" s="18"/>
      <c r="O1268" s="18"/>
      <c r="P1268" s="18"/>
      <c r="Q1268" s="18"/>
      <c r="R1268" s="18"/>
      <c r="S1268" s="18"/>
      <c r="T1268" s="18"/>
      <c r="U1268" s="18"/>
      <c r="V1268" s="18"/>
      <c r="W1268" s="18"/>
      <c r="X1268" s="18"/>
      <c r="Y1268" s="18"/>
      <c r="Z1268" s="18"/>
      <c r="AA1268" s="18"/>
      <c r="AB1268" s="18"/>
      <c r="AC1268" s="18"/>
      <c r="AD1268" s="18"/>
      <c r="AE1268" s="18"/>
      <c r="AF1268" s="18"/>
      <c r="AG1268" s="18"/>
      <c r="AH1268" s="18"/>
      <c r="AI1268" s="18"/>
      <c r="AJ1268" s="18"/>
      <c r="AK1268" s="18"/>
      <c r="AL1268" s="18"/>
      <c r="AM1268" s="18"/>
      <c r="AN1268" s="18"/>
      <c r="AO1268" s="18"/>
      <c r="AP1268" s="18"/>
      <c r="AQ1268" s="18"/>
      <c r="AR1268" s="18"/>
      <c r="AS1268" s="18"/>
      <c r="AT1268" s="18"/>
      <c r="AU1268" s="18"/>
      <c r="AV1268" s="18"/>
      <c r="AW1268" s="18"/>
      <c r="AX1268" s="18"/>
      <c r="AY1268" s="18"/>
      <c r="AZ1268" s="18"/>
      <c r="BA1268" s="18"/>
      <c r="BB1268" s="18"/>
      <c r="BC1268" s="18"/>
      <c r="BD1268" s="18"/>
      <c r="BE1268" s="18"/>
      <c r="BF1268" s="18"/>
      <c r="BG1268" s="18"/>
      <c r="BH1268" s="18"/>
      <c r="BI1268" s="18"/>
      <c r="BJ1268" s="18"/>
      <c r="BK1268" s="18"/>
      <c r="BL1268" s="18"/>
      <c r="BM1268" s="18"/>
      <c r="BN1268" s="18"/>
    </row>
    <row r="1269" spans="1:66">
      <c r="A1269" s="18"/>
      <c r="B1269" s="18"/>
      <c r="C1269" s="18"/>
      <c r="D1269" s="18"/>
      <c r="E1269" s="18"/>
      <c r="F1269" s="18"/>
      <c r="G1269" s="18"/>
      <c r="H1269" s="18"/>
      <c r="I1269" s="18"/>
      <c r="J1269" s="18"/>
      <c r="K1269" s="18"/>
      <c r="L1269" s="18"/>
      <c r="M1269" s="18"/>
      <c r="N1269" s="18"/>
      <c r="O1269" s="18"/>
      <c r="P1269" s="18"/>
      <c r="Q1269" s="18"/>
      <c r="R1269" s="18"/>
      <c r="S1269" s="18"/>
      <c r="T1269" s="18"/>
      <c r="U1269" s="18"/>
      <c r="V1269" s="18"/>
      <c r="W1269" s="18"/>
      <c r="X1269" s="18"/>
      <c r="Y1269" s="18"/>
      <c r="Z1269" s="18"/>
      <c r="AA1269" s="18"/>
      <c r="AB1269" s="18"/>
      <c r="AC1269" s="18"/>
      <c r="AD1269" s="18"/>
      <c r="AE1269" s="18"/>
      <c r="AF1269" s="18"/>
      <c r="AG1269" s="18"/>
      <c r="AH1269" s="18"/>
      <c r="AI1269" s="18"/>
      <c r="AJ1269" s="18"/>
      <c r="AK1269" s="18"/>
      <c r="AL1269" s="18"/>
      <c r="AM1269" s="18"/>
      <c r="AN1269" s="18"/>
      <c r="AO1269" s="18"/>
      <c r="AP1269" s="18"/>
      <c r="AQ1269" s="18"/>
      <c r="AR1269" s="18"/>
      <c r="AS1269" s="18"/>
      <c r="AT1269" s="18"/>
      <c r="AU1269" s="18"/>
      <c r="AV1269" s="18"/>
      <c r="AW1269" s="18"/>
      <c r="AX1269" s="18"/>
      <c r="AY1269" s="18"/>
      <c r="AZ1269" s="18"/>
      <c r="BA1269" s="18"/>
      <c r="BB1269" s="18"/>
      <c r="BC1269" s="18"/>
      <c r="BD1269" s="18"/>
      <c r="BE1269" s="18"/>
      <c r="BF1269" s="18"/>
      <c r="BG1269" s="18"/>
      <c r="BH1269" s="18"/>
      <c r="BI1269" s="18"/>
      <c r="BJ1269" s="18"/>
      <c r="BK1269" s="18"/>
      <c r="BL1269" s="18"/>
      <c r="BM1269" s="18"/>
      <c r="BN1269" s="18"/>
    </row>
    <row r="1270" spans="1:66">
      <c r="A1270" s="18"/>
      <c r="B1270" s="18"/>
      <c r="C1270" s="18"/>
      <c r="D1270" s="18"/>
      <c r="E1270" s="18"/>
      <c r="F1270" s="18"/>
      <c r="G1270" s="18"/>
      <c r="H1270" s="18"/>
      <c r="I1270" s="18"/>
      <c r="J1270" s="18"/>
      <c r="K1270" s="18"/>
      <c r="L1270" s="18"/>
      <c r="M1270" s="18"/>
      <c r="N1270" s="18"/>
      <c r="O1270" s="18"/>
      <c r="P1270" s="18"/>
      <c r="Q1270" s="18"/>
      <c r="R1270" s="18"/>
      <c r="S1270" s="18"/>
      <c r="T1270" s="18"/>
      <c r="U1270" s="18"/>
      <c r="V1270" s="18"/>
      <c r="W1270" s="18"/>
      <c r="X1270" s="18"/>
      <c r="Y1270" s="18"/>
      <c r="Z1270" s="18"/>
      <c r="AA1270" s="18"/>
      <c r="AB1270" s="18"/>
      <c r="AC1270" s="18"/>
      <c r="AD1270" s="18"/>
      <c r="AE1270" s="18"/>
      <c r="AF1270" s="18"/>
      <c r="AG1270" s="18"/>
      <c r="AH1270" s="18"/>
      <c r="AI1270" s="18"/>
      <c r="AJ1270" s="18"/>
      <c r="AK1270" s="18"/>
      <c r="AL1270" s="18"/>
      <c r="AM1270" s="18"/>
      <c r="AN1270" s="18"/>
      <c r="AO1270" s="18"/>
      <c r="AP1270" s="18"/>
      <c r="AQ1270" s="18"/>
      <c r="AR1270" s="18"/>
      <c r="AS1270" s="18"/>
      <c r="AT1270" s="18"/>
      <c r="AU1270" s="18"/>
      <c r="AV1270" s="18"/>
      <c r="AW1270" s="18"/>
      <c r="AX1270" s="18"/>
      <c r="AY1270" s="18"/>
      <c r="AZ1270" s="18"/>
      <c r="BA1270" s="18"/>
      <c r="BB1270" s="18"/>
      <c r="BC1270" s="18"/>
      <c r="BD1270" s="18"/>
      <c r="BE1270" s="18"/>
      <c r="BF1270" s="18"/>
      <c r="BG1270" s="18"/>
      <c r="BH1270" s="18"/>
      <c r="BI1270" s="18"/>
      <c r="BJ1270" s="18"/>
      <c r="BK1270" s="18"/>
      <c r="BL1270" s="18"/>
      <c r="BM1270" s="18"/>
      <c r="BN1270" s="18"/>
    </row>
    <row r="1271" spans="1:66">
      <c r="A1271" s="18"/>
      <c r="B1271" s="18"/>
      <c r="C1271" s="18"/>
      <c r="D1271" s="18"/>
      <c r="E1271" s="18"/>
      <c r="F1271" s="18"/>
      <c r="G1271" s="18"/>
      <c r="H1271" s="18"/>
      <c r="I1271" s="18"/>
      <c r="J1271" s="18"/>
      <c r="K1271" s="18"/>
      <c r="L1271" s="18"/>
      <c r="M1271" s="18"/>
      <c r="N1271" s="18"/>
      <c r="O1271" s="18"/>
      <c r="P1271" s="18"/>
      <c r="Q1271" s="18"/>
      <c r="R1271" s="18"/>
      <c r="S1271" s="18"/>
      <c r="T1271" s="18"/>
      <c r="U1271" s="18"/>
      <c r="V1271" s="18"/>
      <c r="W1271" s="18"/>
      <c r="X1271" s="18"/>
      <c r="Y1271" s="18"/>
      <c r="Z1271" s="18"/>
      <c r="AA1271" s="18"/>
      <c r="AB1271" s="18"/>
      <c r="AC1271" s="18"/>
      <c r="AD1271" s="18"/>
      <c r="AE1271" s="18"/>
      <c r="AF1271" s="18"/>
      <c r="AG1271" s="18"/>
      <c r="AH1271" s="18"/>
      <c r="AI1271" s="18"/>
      <c r="AJ1271" s="18"/>
      <c r="AK1271" s="18"/>
      <c r="AL1271" s="18"/>
      <c r="AM1271" s="18"/>
      <c r="AN1271" s="18"/>
      <c r="AO1271" s="18"/>
      <c r="AP1271" s="18"/>
      <c r="AQ1271" s="18"/>
      <c r="AR1271" s="18"/>
      <c r="AS1271" s="18"/>
      <c r="AT1271" s="18"/>
      <c r="AU1271" s="18"/>
      <c r="AV1271" s="18"/>
      <c r="AW1271" s="18"/>
      <c r="AX1271" s="18"/>
      <c r="AY1271" s="18"/>
      <c r="AZ1271" s="18"/>
      <c r="BA1271" s="18"/>
      <c r="BB1271" s="18"/>
      <c r="BC1271" s="18"/>
      <c r="BD1271" s="18"/>
      <c r="BE1271" s="18"/>
      <c r="BF1271" s="18"/>
      <c r="BG1271" s="18"/>
      <c r="BH1271" s="18"/>
      <c r="BI1271" s="18"/>
      <c r="BJ1271" s="18"/>
      <c r="BK1271" s="18"/>
      <c r="BL1271" s="18"/>
      <c r="BM1271" s="18"/>
      <c r="BN1271" s="18"/>
    </row>
    <row r="1272" spans="1:66">
      <c r="A1272" s="18"/>
      <c r="B1272" s="18"/>
      <c r="C1272" s="18"/>
      <c r="D1272" s="18"/>
      <c r="E1272" s="18"/>
      <c r="F1272" s="18"/>
      <c r="G1272" s="18"/>
      <c r="H1272" s="18"/>
      <c r="I1272" s="18"/>
      <c r="J1272" s="18"/>
      <c r="K1272" s="18"/>
      <c r="L1272" s="18"/>
      <c r="M1272" s="18"/>
      <c r="N1272" s="18"/>
      <c r="O1272" s="18"/>
      <c r="P1272" s="18"/>
      <c r="Q1272" s="18"/>
      <c r="R1272" s="18"/>
      <c r="S1272" s="18"/>
      <c r="T1272" s="18"/>
      <c r="U1272" s="18"/>
      <c r="V1272" s="18"/>
      <c r="W1272" s="18"/>
      <c r="X1272" s="18"/>
      <c r="Y1272" s="18"/>
      <c r="Z1272" s="18"/>
      <c r="AA1272" s="18"/>
      <c r="AB1272" s="18"/>
      <c r="AC1272" s="18"/>
      <c r="AD1272" s="18"/>
      <c r="AE1272" s="18"/>
      <c r="AF1272" s="18"/>
      <c r="AG1272" s="18"/>
      <c r="AH1272" s="18"/>
      <c r="AI1272" s="18"/>
      <c r="AJ1272" s="18"/>
      <c r="AK1272" s="18"/>
      <c r="AL1272" s="18"/>
      <c r="AM1272" s="18"/>
      <c r="AN1272" s="18"/>
      <c r="AO1272" s="18"/>
      <c r="AP1272" s="18"/>
      <c r="AQ1272" s="18"/>
      <c r="AR1272" s="18"/>
      <c r="AS1272" s="18"/>
      <c r="AT1272" s="18"/>
      <c r="AU1272" s="18"/>
      <c r="AV1272" s="18"/>
      <c r="AW1272" s="18"/>
      <c r="AX1272" s="18"/>
      <c r="AY1272" s="18"/>
      <c r="AZ1272" s="18"/>
      <c r="BA1272" s="18"/>
      <c r="BB1272" s="18"/>
      <c r="BC1272" s="18"/>
      <c r="BD1272" s="18"/>
      <c r="BE1272" s="18"/>
      <c r="BF1272" s="18"/>
      <c r="BG1272" s="18"/>
      <c r="BH1272" s="18"/>
      <c r="BI1272" s="18"/>
      <c r="BJ1272" s="18"/>
      <c r="BK1272" s="18"/>
      <c r="BL1272" s="18"/>
      <c r="BM1272" s="18"/>
      <c r="BN1272" s="18"/>
    </row>
    <row r="1273" spans="1:66">
      <c r="A1273" s="18"/>
      <c r="B1273" s="18"/>
      <c r="C1273" s="18"/>
      <c r="D1273" s="18"/>
      <c r="E1273" s="18"/>
      <c r="F1273" s="18"/>
      <c r="G1273" s="18"/>
      <c r="H1273" s="18"/>
      <c r="I1273" s="18"/>
      <c r="J1273" s="18"/>
      <c r="K1273" s="18"/>
      <c r="L1273" s="18"/>
      <c r="M1273" s="18"/>
      <c r="N1273" s="18"/>
      <c r="O1273" s="18"/>
      <c r="P1273" s="18"/>
      <c r="Q1273" s="18"/>
      <c r="R1273" s="18"/>
      <c r="S1273" s="18"/>
      <c r="T1273" s="18"/>
      <c r="U1273" s="18"/>
      <c r="V1273" s="18"/>
      <c r="W1273" s="18"/>
      <c r="X1273" s="18"/>
      <c r="Y1273" s="18"/>
      <c r="Z1273" s="18"/>
      <c r="AA1273" s="18"/>
      <c r="AB1273" s="18"/>
      <c r="AC1273" s="18"/>
      <c r="AD1273" s="18"/>
      <c r="AE1273" s="18"/>
      <c r="AF1273" s="18"/>
      <c r="AG1273" s="18"/>
      <c r="AH1273" s="18"/>
      <c r="AI1273" s="18"/>
      <c r="AJ1273" s="18"/>
      <c r="AK1273" s="18"/>
      <c r="AL1273" s="18"/>
      <c r="AM1273" s="18"/>
      <c r="AN1273" s="18"/>
      <c r="AO1273" s="18"/>
      <c r="AP1273" s="18"/>
      <c r="AQ1273" s="18"/>
      <c r="AR1273" s="18"/>
      <c r="AS1273" s="18"/>
      <c r="AT1273" s="18"/>
      <c r="AU1273" s="18"/>
      <c r="AV1273" s="18"/>
      <c r="AW1273" s="18"/>
      <c r="AX1273" s="18"/>
      <c r="AY1273" s="18"/>
      <c r="AZ1273" s="18"/>
      <c r="BA1273" s="18"/>
      <c r="BB1273" s="18"/>
      <c r="BC1273" s="18"/>
      <c r="BD1273" s="18"/>
      <c r="BE1273" s="18"/>
      <c r="BF1273" s="18"/>
      <c r="BG1273" s="18"/>
      <c r="BH1273" s="18"/>
      <c r="BI1273" s="18"/>
      <c r="BJ1273" s="18"/>
      <c r="BK1273" s="18"/>
      <c r="BL1273" s="18"/>
      <c r="BM1273" s="18"/>
      <c r="BN1273" s="18"/>
    </row>
    <row r="1274" spans="1:66">
      <c r="A1274" s="18"/>
      <c r="B1274" s="18"/>
      <c r="C1274" s="18"/>
      <c r="D1274" s="18"/>
      <c r="E1274" s="18"/>
      <c r="F1274" s="18"/>
      <c r="G1274" s="18"/>
      <c r="H1274" s="18"/>
      <c r="I1274" s="18"/>
      <c r="J1274" s="18"/>
      <c r="K1274" s="18"/>
      <c r="L1274" s="18"/>
      <c r="M1274" s="18"/>
      <c r="N1274" s="18"/>
      <c r="O1274" s="18"/>
      <c r="P1274" s="18"/>
      <c r="Q1274" s="18"/>
      <c r="R1274" s="18"/>
      <c r="S1274" s="18"/>
      <c r="T1274" s="18"/>
      <c r="U1274" s="18"/>
      <c r="V1274" s="18"/>
      <c r="W1274" s="18"/>
      <c r="X1274" s="18"/>
      <c r="Y1274" s="18"/>
      <c r="Z1274" s="18"/>
      <c r="AA1274" s="18"/>
      <c r="AB1274" s="18"/>
      <c r="AC1274" s="18"/>
      <c r="AD1274" s="18"/>
      <c r="AE1274" s="18"/>
      <c r="AF1274" s="18"/>
      <c r="AG1274" s="18"/>
      <c r="AH1274" s="18"/>
      <c r="AI1274" s="18"/>
      <c r="AJ1274" s="18"/>
      <c r="AK1274" s="18"/>
      <c r="AL1274" s="18"/>
      <c r="AM1274" s="18"/>
      <c r="AN1274" s="18"/>
      <c r="AO1274" s="18"/>
      <c r="AP1274" s="18"/>
      <c r="AQ1274" s="18"/>
      <c r="AR1274" s="18"/>
      <c r="AS1274" s="18"/>
      <c r="AT1274" s="18"/>
      <c r="AU1274" s="18"/>
      <c r="AV1274" s="18"/>
      <c r="AW1274" s="18"/>
      <c r="AX1274" s="18"/>
      <c r="AY1274" s="18"/>
      <c r="AZ1274" s="18"/>
      <c r="BA1274" s="18"/>
      <c r="BB1274" s="18"/>
      <c r="BC1274" s="18"/>
      <c r="BD1274" s="18"/>
      <c r="BE1274" s="18"/>
      <c r="BF1274" s="18"/>
      <c r="BG1274" s="18"/>
      <c r="BH1274" s="18"/>
      <c r="BI1274" s="18"/>
      <c r="BJ1274" s="18"/>
      <c r="BK1274" s="18"/>
      <c r="BL1274" s="18"/>
      <c r="BM1274" s="18"/>
      <c r="BN1274" s="18"/>
    </row>
    <row r="1275" spans="1:66">
      <c r="A1275" s="18"/>
      <c r="B1275" s="18"/>
      <c r="C1275" s="18"/>
      <c r="D1275" s="18"/>
      <c r="E1275" s="18"/>
      <c r="F1275" s="18"/>
      <c r="G1275" s="18"/>
      <c r="H1275" s="18"/>
      <c r="I1275" s="18"/>
      <c r="J1275" s="18"/>
      <c r="K1275" s="18"/>
      <c r="L1275" s="18"/>
      <c r="M1275" s="18"/>
      <c r="N1275" s="18"/>
      <c r="O1275" s="18"/>
      <c r="P1275" s="18"/>
      <c r="Q1275" s="18"/>
      <c r="R1275" s="18"/>
      <c r="S1275" s="18"/>
      <c r="T1275" s="18"/>
      <c r="U1275" s="18"/>
      <c r="V1275" s="18"/>
      <c r="W1275" s="18"/>
      <c r="X1275" s="18"/>
      <c r="Y1275" s="18"/>
      <c r="Z1275" s="18"/>
      <c r="AA1275" s="18"/>
      <c r="AB1275" s="18"/>
      <c r="AC1275" s="18"/>
      <c r="AD1275" s="18"/>
      <c r="AE1275" s="18"/>
      <c r="AF1275" s="18"/>
      <c r="AG1275" s="18"/>
      <c r="AH1275" s="18"/>
      <c r="AI1275" s="18"/>
      <c r="AJ1275" s="18"/>
      <c r="AK1275" s="18"/>
      <c r="AL1275" s="18"/>
      <c r="AM1275" s="18"/>
      <c r="AN1275" s="18"/>
      <c r="AO1275" s="18"/>
      <c r="AP1275" s="18"/>
      <c r="AQ1275" s="18"/>
      <c r="AR1275" s="18"/>
      <c r="AS1275" s="18"/>
      <c r="AT1275" s="18"/>
      <c r="AU1275" s="18"/>
      <c r="AV1275" s="18"/>
      <c r="AW1275" s="18"/>
      <c r="AX1275" s="18"/>
      <c r="AY1275" s="18"/>
      <c r="AZ1275" s="18"/>
      <c r="BA1275" s="18"/>
      <c r="BB1275" s="18"/>
      <c r="BC1275" s="18"/>
      <c r="BD1275" s="18"/>
      <c r="BE1275" s="18"/>
      <c r="BF1275" s="18"/>
      <c r="BG1275" s="18"/>
      <c r="BH1275" s="18"/>
      <c r="BI1275" s="18"/>
      <c r="BJ1275" s="18"/>
      <c r="BK1275" s="18"/>
      <c r="BL1275" s="18"/>
      <c r="BM1275" s="18"/>
      <c r="BN1275" s="18"/>
    </row>
    <row r="1276" spans="1:66">
      <c r="A1276" s="18"/>
      <c r="B1276" s="18"/>
      <c r="C1276" s="18"/>
      <c r="D1276" s="18"/>
      <c r="E1276" s="18"/>
      <c r="F1276" s="18"/>
      <c r="G1276" s="18"/>
      <c r="H1276" s="18"/>
      <c r="I1276" s="18"/>
      <c r="J1276" s="18"/>
      <c r="K1276" s="18"/>
      <c r="L1276" s="18"/>
      <c r="M1276" s="18"/>
      <c r="N1276" s="18"/>
      <c r="O1276" s="18"/>
      <c r="P1276" s="18"/>
      <c r="Q1276" s="18"/>
      <c r="R1276" s="18"/>
      <c r="S1276" s="18"/>
      <c r="T1276" s="18"/>
      <c r="U1276" s="18"/>
      <c r="V1276" s="18"/>
      <c r="W1276" s="18"/>
      <c r="X1276" s="18"/>
      <c r="Y1276" s="18"/>
      <c r="Z1276" s="18"/>
      <c r="AA1276" s="18"/>
      <c r="AB1276" s="18"/>
      <c r="AC1276" s="18"/>
      <c r="AD1276" s="18"/>
      <c r="AE1276" s="18"/>
      <c r="AF1276" s="18"/>
      <c r="AG1276" s="18"/>
      <c r="AH1276" s="18"/>
      <c r="AI1276" s="18"/>
      <c r="AJ1276" s="18"/>
      <c r="AK1276" s="18"/>
      <c r="AL1276" s="18"/>
      <c r="AM1276" s="18"/>
      <c r="AN1276" s="18"/>
      <c r="AO1276" s="18"/>
      <c r="AP1276" s="18"/>
      <c r="AQ1276" s="18"/>
      <c r="AR1276" s="18"/>
      <c r="AS1276" s="18"/>
      <c r="AT1276" s="18"/>
      <c r="AU1276" s="18"/>
      <c r="AV1276" s="18"/>
      <c r="AW1276" s="18"/>
      <c r="AX1276" s="18"/>
      <c r="AY1276" s="18"/>
      <c r="AZ1276" s="18"/>
      <c r="BA1276" s="18"/>
      <c r="BB1276" s="18"/>
      <c r="BC1276" s="18"/>
      <c r="BD1276" s="18"/>
      <c r="BE1276" s="18"/>
      <c r="BF1276" s="18"/>
      <c r="BG1276" s="18"/>
      <c r="BH1276" s="18"/>
      <c r="BI1276" s="18"/>
      <c r="BJ1276" s="18"/>
      <c r="BK1276" s="18"/>
      <c r="BL1276" s="18"/>
      <c r="BM1276" s="18"/>
      <c r="BN1276" s="18"/>
    </row>
    <row r="1277" spans="1:66">
      <c r="A1277" s="18"/>
      <c r="B1277" s="18"/>
      <c r="C1277" s="18"/>
      <c r="D1277" s="18"/>
      <c r="E1277" s="18"/>
      <c r="F1277" s="18"/>
      <c r="G1277" s="18"/>
      <c r="H1277" s="18"/>
      <c r="I1277" s="18"/>
      <c r="J1277" s="18"/>
      <c r="K1277" s="18"/>
      <c r="L1277" s="18"/>
      <c r="M1277" s="18"/>
      <c r="N1277" s="18"/>
      <c r="O1277" s="18"/>
      <c r="P1277" s="18"/>
      <c r="Q1277" s="18"/>
      <c r="R1277" s="18"/>
      <c r="S1277" s="18"/>
      <c r="T1277" s="18"/>
      <c r="U1277" s="18"/>
      <c r="V1277" s="18"/>
      <c r="W1277" s="18"/>
      <c r="X1277" s="18"/>
      <c r="Y1277" s="18"/>
      <c r="Z1277" s="18"/>
      <c r="AA1277" s="18"/>
      <c r="AB1277" s="18"/>
      <c r="AC1277" s="18"/>
      <c r="AD1277" s="18"/>
      <c r="AE1277" s="18"/>
      <c r="AF1277" s="18"/>
      <c r="AG1277" s="18"/>
      <c r="AH1277" s="18"/>
      <c r="AI1277" s="18"/>
      <c r="AJ1277" s="18"/>
      <c r="AK1277" s="18"/>
      <c r="AL1277" s="18"/>
      <c r="AM1277" s="18"/>
      <c r="AN1277" s="18"/>
      <c r="AO1277" s="18"/>
      <c r="AP1277" s="18"/>
      <c r="AQ1277" s="18"/>
      <c r="AR1277" s="18"/>
      <c r="AS1277" s="18"/>
      <c r="AT1277" s="18"/>
      <c r="AU1277" s="18"/>
      <c r="AV1277" s="18"/>
      <c r="AW1277" s="18"/>
      <c r="AX1277" s="18"/>
      <c r="AY1277" s="18"/>
      <c r="AZ1277" s="18"/>
      <c r="BA1277" s="18"/>
      <c r="BB1277" s="18"/>
      <c r="BC1277" s="18"/>
      <c r="BD1277" s="18"/>
      <c r="BE1277" s="18"/>
      <c r="BF1277" s="18"/>
      <c r="BG1277" s="18"/>
      <c r="BH1277" s="18"/>
      <c r="BI1277" s="18"/>
      <c r="BJ1277" s="18"/>
      <c r="BK1277" s="18"/>
      <c r="BL1277" s="18"/>
      <c r="BM1277" s="18"/>
      <c r="BN1277" s="18"/>
    </row>
    <row r="1278" spans="1:66">
      <c r="A1278" s="18"/>
      <c r="B1278" s="18"/>
      <c r="C1278" s="18"/>
      <c r="D1278" s="18"/>
      <c r="E1278" s="18"/>
      <c r="F1278" s="18"/>
      <c r="G1278" s="18"/>
      <c r="H1278" s="18"/>
      <c r="I1278" s="18"/>
      <c r="J1278" s="18"/>
      <c r="K1278" s="18"/>
      <c r="L1278" s="18"/>
      <c r="M1278" s="18"/>
      <c r="N1278" s="18"/>
      <c r="O1278" s="18"/>
      <c r="P1278" s="18"/>
      <c r="Q1278" s="18"/>
      <c r="R1278" s="18"/>
      <c r="S1278" s="18"/>
      <c r="T1278" s="18"/>
      <c r="U1278" s="18"/>
      <c r="V1278" s="18"/>
      <c r="W1278" s="18"/>
      <c r="X1278" s="18"/>
      <c r="Y1278" s="18"/>
      <c r="Z1278" s="18"/>
      <c r="AA1278" s="18"/>
      <c r="AB1278" s="18"/>
      <c r="AC1278" s="18"/>
      <c r="AD1278" s="18"/>
      <c r="AE1278" s="18"/>
      <c r="AF1278" s="18"/>
      <c r="AG1278" s="18"/>
      <c r="AH1278" s="18"/>
      <c r="AI1278" s="18"/>
      <c r="AJ1278" s="18"/>
      <c r="AK1278" s="18"/>
      <c r="AL1278" s="18"/>
      <c r="AM1278" s="18"/>
      <c r="AN1278" s="18"/>
      <c r="AO1278" s="18"/>
      <c r="AP1278" s="18"/>
      <c r="AQ1278" s="18"/>
      <c r="AR1278" s="18"/>
      <c r="AS1278" s="18"/>
      <c r="AT1278" s="18"/>
      <c r="AU1278" s="18"/>
      <c r="AV1278" s="18"/>
      <c r="AW1278" s="18"/>
      <c r="AX1278" s="18"/>
      <c r="AY1278" s="18"/>
      <c r="AZ1278" s="18"/>
      <c r="BA1278" s="18"/>
      <c r="BB1278" s="18"/>
      <c r="BC1278" s="18"/>
      <c r="BD1278" s="18"/>
      <c r="BE1278" s="18"/>
      <c r="BF1278" s="18"/>
      <c r="BG1278" s="18"/>
      <c r="BH1278" s="18"/>
      <c r="BI1278" s="18"/>
      <c r="BJ1278" s="18"/>
      <c r="BK1278" s="18"/>
      <c r="BL1278" s="18"/>
      <c r="BM1278" s="18"/>
      <c r="BN1278" s="18"/>
    </row>
    <row r="1279" spans="1:66">
      <c r="A1279" s="18"/>
      <c r="B1279" s="18"/>
      <c r="C1279" s="18"/>
      <c r="D1279" s="18"/>
      <c r="E1279" s="18"/>
      <c r="F1279" s="18"/>
      <c r="G1279" s="18"/>
      <c r="H1279" s="18"/>
      <c r="I1279" s="18"/>
      <c r="J1279" s="18"/>
      <c r="K1279" s="18"/>
      <c r="L1279" s="18"/>
      <c r="M1279" s="18"/>
      <c r="N1279" s="18"/>
      <c r="O1279" s="18"/>
      <c r="P1279" s="18"/>
      <c r="Q1279" s="18"/>
      <c r="R1279" s="18"/>
      <c r="S1279" s="18"/>
      <c r="T1279" s="18"/>
      <c r="U1279" s="18"/>
      <c r="V1279" s="18"/>
      <c r="W1279" s="18"/>
      <c r="X1279" s="18"/>
      <c r="Y1279" s="18"/>
      <c r="Z1279" s="18"/>
      <c r="AA1279" s="18"/>
      <c r="AB1279" s="18"/>
      <c r="AC1279" s="18"/>
      <c r="AD1279" s="18"/>
      <c r="AE1279" s="18"/>
      <c r="AF1279" s="18"/>
      <c r="AG1279" s="18"/>
      <c r="AH1279" s="18"/>
      <c r="AI1279" s="18"/>
      <c r="AJ1279" s="18"/>
      <c r="AK1279" s="18"/>
      <c r="AL1279" s="18"/>
      <c r="AM1279" s="18"/>
      <c r="AN1279" s="18"/>
      <c r="AO1279" s="18"/>
      <c r="AP1279" s="18"/>
      <c r="AQ1279" s="18"/>
      <c r="AR1279" s="18"/>
      <c r="AS1279" s="18"/>
      <c r="AT1279" s="18"/>
      <c r="AU1279" s="18"/>
      <c r="AV1279" s="18"/>
      <c r="AW1279" s="18"/>
      <c r="AX1279" s="18"/>
      <c r="AY1279" s="18"/>
      <c r="AZ1279" s="18"/>
      <c r="BA1279" s="18"/>
      <c r="BB1279" s="18"/>
      <c r="BC1279" s="18"/>
      <c r="BD1279" s="18"/>
      <c r="BE1279" s="18"/>
      <c r="BF1279" s="18"/>
      <c r="BG1279" s="18"/>
      <c r="BH1279" s="18"/>
      <c r="BI1279" s="18"/>
      <c r="BJ1279" s="18"/>
      <c r="BK1279" s="18"/>
      <c r="BL1279" s="18"/>
      <c r="BM1279" s="18"/>
      <c r="BN1279" s="18"/>
    </row>
    <row r="1280" spans="1:66">
      <c r="A1280" s="18"/>
      <c r="B1280" s="18"/>
      <c r="C1280" s="18"/>
      <c r="D1280" s="18"/>
      <c r="E1280" s="18"/>
      <c r="F1280" s="18"/>
      <c r="G1280" s="18"/>
      <c r="H1280" s="18"/>
      <c r="I1280" s="18"/>
      <c r="J1280" s="18"/>
      <c r="K1280" s="18"/>
      <c r="L1280" s="18"/>
      <c r="M1280" s="18"/>
      <c r="N1280" s="18"/>
      <c r="O1280" s="18"/>
      <c r="P1280" s="18"/>
      <c r="Q1280" s="18"/>
      <c r="R1280" s="18"/>
      <c r="S1280" s="18"/>
      <c r="T1280" s="18"/>
      <c r="U1280" s="18"/>
      <c r="V1280" s="18"/>
      <c r="W1280" s="18"/>
      <c r="X1280" s="18"/>
      <c r="Y1280" s="18"/>
      <c r="Z1280" s="18"/>
      <c r="AA1280" s="18"/>
      <c r="AB1280" s="18"/>
      <c r="AC1280" s="18"/>
      <c r="AD1280" s="18"/>
      <c r="AE1280" s="18"/>
      <c r="AF1280" s="18"/>
      <c r="AG1280" s="18"/>
      <c r="AH1280" s="18"/>
      <c r="AI1280" s="18"/>
      <c r="AJ1280" s="18"/>
      <c r="AK1280" s="18"/>
      <c r="AL1280" s="18"/>
      <c r="AM1280" s="18"/>
      <c r="AN1280" s="18"/>
      <c r="AO1280" s="18"/>
      <c r="AP1280" s="18"/>
      <c r="AQ1280" s="18"/>
      <c r="AR1280" s="18"/>
      <c r="AS1280" s="18"/>
      <c r="AT1280" s="18"/>
      <c r="AU1280" s="18"/>
      <c r="AV1280" s="18"/>
      <c r="AW1280" s="18"/>
      <c r="AX1280" s="18"/>
      <c r="AY1280" s="18"/>
      <c r="AZ1280" s="18"/>
      <c r="BA1280" s="18"/>
      <c r="BB1280" s="18"/>
      <c r="BC1280" s="18"/>
      <c r="BD1280" s="18"/>
      <c r="BE1280" s="18"/>
      <c r="BF1280" s="18"/>
      <c r="BG1280" s="18"/>
      <c r="BH1280" s="18"/>
      <c r="BI1280" s="18"/>
      <c r="BJ1280" s="18"/>
      <c r="BK1280" s="18"/>
      <c r="BL1280" s="18"/>
      <c r="BM1280" s="18"/>
      <c r="BN1280" s="18"/>
    </row>
    <row r="1281" spans="1:66">
      <c r="A1281" s="18"/>
      <c r="B1281" s="18"/>
      <c r="C1281" s="18"/>
      <c r="D1281" s="18"/>
      <c r="E1281" s="18"/>
      <c r="F1281" s="18"/>
      <c r="G1281" s="18"/>
      <c r="H1281" s="18"/>
      <c r="I1281" s="18"/>
      <c r="J1281" s="18"/>
      <c r="K1281" s="18"/>
      <c r="L1281" s="18"/>
      <c r="M1281" s="18"/>
      <c r="N1281" s="18"/>
      <c r="O1281" s="18"/>
      <c r="P1281" s="18"/>
      <c r="Q1281" s="18"/>
      <c r="R1281" s="18"/>
      <c r="S1281" s="18"/>
      <c r="T1281" s="18"/>
      <c r="U1281" s="18"/>
      <c r="V1281" s="18"/>
      <c r="W1281" s="18"/>
      <c r="X1281" s="18"/>
      <c r="Y1281" s="18"/>
      <c r="Z1281" s="18"/>
      <c r="AA1281" s="18"/>
      <c r="AB1281" s="18"/>
      <c r="AC1281" s="18"/>
      <c r="AD1281" s="18"/>
      <c r="AE1281" s="18"/>
      <c r="AF1281" s="18"/>
      <c r="AG1281" s="18"/>
      <c r="AH1281" s="18"/>
      <c r="AI1281" s="18"/>
      <c r="AJ1281" s="18"/>
      <c r="AK1281" s="18"/>
      <c r="AL1281" s="18"/>
      <c r="AM1281" s="18"/>
      <c r="AN1281" s="18"/>
      <c r="AO1281" s="18"/>
      <c r="AP1281" s="18"/>
      <c r="AQ1281" s="18"/>
      <c r="AR1281" s="18"/>
      <c r="AS1281" s="18"/>
      <c r="AT1281" s="18"/>
      <c r="AU1281" s="18"/>
      <c r="AV1281" s="18"/>
      <c r="AW1281" s="18"/>
      <c r="AX1281" s="18"/>
      <c r="AY1281" s="18"/>
      <c r="AZ1281" s="18"/>
      <c r="BA1281" s="18"/>
      <c r="BB1281" s="18"/>
      <c r="BC1281" s="18"/>
      <c r="BD1281" s="18"/>
      <c r="BE1281" s="18"/>
      <c r="BF1281" s="18"/>
      <c r="BG1281" s="18"/>
      <c r="BH1281" s="18"/>
      <c r="BI1281" s="18"/>
      <c r="BJ1281" s="18"/>
      <c r="BK1281" s="18"/>
      <c r="BL1281" s="18"/>
      <c r="BM1281" s="18"/>
      <c r="BN1281" s="18"/>
    </row>
    <row r="1282" spans="1:66">
      <c r="A1282" s="18"/>
      <c r="B1282" s="18"/>
      <c r="C1282" s="18"/>
      <c r="D1282" s="18"/>
      <c r="E1282" s="18"/>
      <c r="F1282" s="18"/>
      <c r="G1282" s="18"/>
      <c r="H1282" s="18"/>
      <c r="I1282" s="18"/>
      <c r="J1282" s="18"/>
      <c r="K1282" s="18"/>
      <c r="L1282" s="18"/>
      <c r="M1282" s="18"/>
      <c r="N1282" s="18"/>
      <c r="O1282" s="18"/>
      <c r="P1282" s="18"/>
      <c r="Q1282" s="18"/>
      <c r="R1282" s="18"/>
      <c r="S1282" s="18"/>
      <c r="T1282" s="18"/>
      <c r="U1282" s="18"/>
      <c r="V1282" s="18"/>
      <c r="W1282" s="18"/>
      <c r="X1282" s="18"/>
      <c r="Y1282" s="18"/>
      <c r="Z1282" s="18"/>
      <c r="AA1282" s="18"/>
      <c r="AB1282" s="18"/>
      <c r="AC1282" s="18"/>
      <c r="AD1282" s="18"/>
      <c r="AE1282" s="18"/>
      <c r="AF1282" s="18"/>
      <c r="AG1282" s="18"/>
      <c r="AH1282" s="18"/>
      <c r="AI1282" s="18"/>
      <c r="AJ1282" s="18"/>
      <c r="AK1282" s="18"/>
      <c r="AL1282" s="18"/>
      <c r="AM1282" s="18"/>
      <c r="AN1282" s="18"/>
      <c r="AO1282" s="18"/>
      <c r="AP1282" s="18"/>
      <c r="AQ1282" s="18"/>
      <c r="AR1282" s="18"/>
      <c r="AS1282" s="18"/>
      <c r="AT1282" s="18"/>
      <c r="AU1282" s="18"/>
      <c r="AV1282" s="18"/>
      <c r="AW1282" s="18"/>
      <c r="AX1282" s="18"/>
      <c r="AY1282" s="18"/>
      <c r="AZ1282" s="18"/>
      <c r="BA1282" s="18"/>
      <c r="BB1282" s="18"/>
      <c r="BC1282" s="18"/>
      <c r="BD1282" s="18"/>
      <c r="BE1282" s="18"/>
      <c r="BF1282" s="18"/>
      <c r="BG1282" s="18"/>
      <c r="BH1282" s="18"/>
      <c r="BI1282" s="18"/>
      <c r="BJ1282" s="18"/>
      <c r="BK1282" s="18"/>
      <c r="BL1282" s="18"/>
      <c r="BM1282" s="18"/>
      <c r="BN1282" s="18"/>
    </row>
    <row r="1283" spans="1:66">
      <c r="A1283" s="18"/>
      <c r="B1283" s="18"/>
      <c r="C1283" s="18"/>
      <c r="D1283" s="18"/>
      <c r="E1283" s="18"/>
      <c r="F1283" s="18"/>
      <c r="G1283" s="18"/>
      <c r="H1283" s="18"/>
      <c r="I1283" s="18"/>
      <c r="J1283" s="18"/>
      <c r="K1283" s="18"/>
      <c r="L1283" s="18"/>
      <c r="M1283" s="18"/>
      <c r="N1283" s="18"/>
      <c r="O1283" s="18"/>
      <c r="P1283" s="18"/>
      <c r="Q1283" s="18"/>
      <c r="R1283" s="18"/>
      <c r="S1283" s="18"/>
      <c r="T1283" s="18"/>
      <c r="U1283" s="18"/>
      <c r="V1283" s="18"/>
      <c r="W1283" s="18"/>
      <c r="X1283" s="18"/>
      <c r="Y1283" s="18"/>
      <c r="Z1283" s="18"/>
      <c r="AA1283" s="18"/>
      <c r="AB1283" s="18"/>
      <c r="AC1283" s="18"/>
      <c r="AD1283" s="18"/>
      <c r="AE1283" s="18"/>
      <c r="AF1283" s="18"/>
      <c r="AG1283" s="18"/>
      <c r="AH1283" s="18"/>
      <c r="AI1283" s="18"/>
      <c r="AJ1283" s="18"/>
      <c r="AK1283" s="18"/>
      <c r="AL1283" s="18"/>
      <c r="AM1283" s="18"/>
      <c r="AN1283" s="18"/>
      <c r="AO1283" s="18"/>
      <c r="AP1283" s="18"/>
      <c r="AQ1283" s="18"/>
      <c r="AR1283" s="18"/>
      <c r="AS1283" s="18"/>
      <c r="AT1283" s="18"/>
      <c r="AU1283" s="18"/>
      <c r="AV1283" s="18"/>
      <c r="AW1283" s="18"/>
      <c r="AX1283" s="18"/>
      <c r="AY1283" s="18"/>
      <c r="AZ1283" s="18"/>
      <c r="BA1283" s="18"/>
      <c r="BB1283" s="18"/>
      <c r="BC1283" s="18"/>
      <c r="BD1283" s="18"/>
      <c r="BE1283" s="18"/>
      <c r="BF1283" s="18"/>
      <c r="BG1283" s="18"/>
      <c r="BH1283" s="18"/>
      <c r="BI1283" s="18"/>
      <c r="BJ1283" s="18"/>
      <c r="BK1283" s="18"/>
      <c r="BL1283" s="18"/>
      <c r="BM1283" s="18"/>
      <c r="BN1283" s="18"/>
    </row>
    <row r="1284" spans="1:66">
      <c r="A1284" s="18"/>
      <c r="B1284" s="18"/>
      <c r="C1284" s="18"/>
      <c r="D1284" s="18"/>
      <c r="E1284" s="18"/>
      <c r="F1284" s="18"/>
      <c r="G1284" s="18"/>
      <c r="H1284" s="18"/>
      <c r="I1284" s="18"/>
      <c r="J1284" s="18"/>
      <c r="K1284" s="18"/>
      <c r="L1284" s="18"/>
      <c r="M1284" s="18"/>
      <c r="N1284" s="18"/>
      <c r="O1284" s="18"/>
      <c r="P1284" s="18"/>
      <c r="Q1284" s="18"/>
      <c r="R1284" s="18"/>
      <c r="S1284" s="18"/>
      <c r="T1284" s="18"/>
      <c r="U1284" s="18"/>
      <c r="V1284" s="18"/>
      <c r="W1284" s="18"/>
      <c r="X1284" s="18"/>
      <c r="Y1284" s="18"/>
      <c r="Z1284" s="18"/>
      <c r="AA1284" s="18"/>
      <c r="AB1284" s="18"/>
      <c r="AC1284" s="18"/>
      <c r="AD1284" s="18"/>
      <c r="AE1284" s="18"/>
      <c r="AF1284" s="18"/>
      <c r="AG1284" s="18"/>
      <c r="AH1284" s="18"/>
      <c r="AI1284" s="18"/>
      <c r="AJ1284" s="18"/>
      <c r="AK1284" s="18"/>
      <c r="AL1284" s="18"/>
      <c r="AM1284" s="18"/>
      <c r="AN1284" s="18"/>
      <c r="AO1284" s="18"/>
      <c r="AP1284" s="18"/>
      <c r="AQ1284" s="18"/>
      <c r="AR1284" s="18"/>
      <c r="AS1284" s="18"/>
      <c r="AT1284" s="18"/>
      <c r="AU1284" s="18"/>
      <c r="AV1284" s="18"/>
      <c r="AW1284" s="18"/>
      <c r="AX1284" s="18"/>
      <c r="AY1284" s="18"/>
      <c r="AZ1284" s="18"/>
      <c r="BA1284" s="18"/>
      <c r="BB1284" s="18"/>
      <c r="BC1284" s="18"/>
      <c r="BD1284" s="18"/>
      <c r="BE1284" s="18"/>
      <c r="BF1284" s="18"/>
      <c r="BG1284" s="18"/>
      <c r="BH1284" s="18"/>
      <c r="BI1284" s="18"/>
      <c r="BJ1284" s="18"/>
      <c r="BK1284" s="18"/>
      <c r="BL1284" s="18"/>
      <c r="BM1284" s="18"/>
      <c r="BN1284" s="18"/>
    </row>
    <row r="1285" spans="1:66">
      <c r="A1285" s="18"/>
      <c r="B1285" s="18"/>
      <c r="C1285" s="18"/>
      <c r="D1285" s="18"/>
      <c r="E1285" s="18"/>
      <c r="F1285" s="18"/>
      <c r="G1285" s="18"/>
      <c r="H1285" s="18"/>
      <c r="I1285" s="18"/>
      <c r="J1285" s="18"/>
      <c r="K1285" s="18"/>
      <c r="L1285" s="18"/>
      <c r="M1285" s="18"/>
      <c r="N1285" s="18"/>
      <c r="O1285" s="18"/>
      <c r="P1285" s="18"/>
      <c r="Q1285" s="18"/>
      <c r="R1285" s="18"/>
      <c r="S1285" s="18"/>
      <c r="T1285" s="18"/>
      <c r="U1285" s="18"/>
      <c r="V1285" s="18"/>
      <c r="W1285" s="18"/>
      <c r="X1285" s="18"/>
      <c r="Y1285" s="18"/>
      <c r="Z1285" s="18"/>
      <c r="AA1285" s="18"/>
      <c r="AB1285" s="18"/>
      <c r="AC1285" s="18"/>
      <c r="AD1285" s="18"/>
      <c r="AE1285" s="18"/>
      <c r="AF1285" s="18"/>
      <c r="AG1285" s="18"/>
      <c r="AH1285" s="18"/>
      <c r="AI1285" s="18"/>
      <c r="AJ1285" s="18"/>
      <c r="AK1285" s="18"/>
      <c r="AL1285" s="18"/>
      <c r="AM1285" s="18"/>
      <c r="AN1285" s="18"/>
      <c r="AO1285" s="18"/>
      <c r="AP1285" s="18"/>
      <c r="AQ1285" s="18"/>
      <c r="AR1285" s="18"/>
      <c r="AS1285" s="18"/>
      <c r="AT1285" s="18"/>
      <c r="AU1285" s="18"/>
      <c r="AV1285" s="18"/>
      <c r="AW1285" s="18"/>
      <c r="AX1285" s="18"/>
      <c r="AY1285" s="18"/>
      <c r="AZ1285" s="18"/>
      <c r="BA1285" s="18"/>
      <c r="BB1285" s="18"/>
      <c r="BC1285" s="18"/>
      <c r="BD1285" s="18"/>
      <c r="BE1285" s="18"/>
      <c r="BF1285" s="18"/>
      <c r="BG1285" s="18"/>
      <c r="BH1285" s="18"/>
      <c r="BI1285" s="18"/>
      <c r="BJ1285" s="18"/>
      <c r="BK1285" s="18"/>
      <c r="BL1285" s="18"/>
      <c r="BM1285" s="18"/>
      <c r="BN1285" s="18"/>
    </row>
    <row r="1286" spans="1:66">
      <c r="A1286" s="18"/>
      <c r="B1286" s="18"/>
      <c r="C1286" s="18"/>
      <c r="D1286" s="18"/>
      <c r="E1286" s="18"/>
      <c r="F1286" s="18"/>
      <c r="G1286" s="18"/>
      <c r="H1286" s="18"/>
      <c r="I1286" s="18"/>
      <c r="J1286" s="18"/>
      <c r="K1286" s="18"/>
      <c r="L1286" s="18"/>
      <c r="M1286" s="18"/>
      <c r="N1286" s="18"/>
      <c r="O1286" s="18"/>
      <c r="P1286" s="18"/>
      <c r="Q1286" s="18"/>
      <c r="R1286" s="18"/>
      <c r="S1286" s="18"/>
      <c r="T1286" s="18"/>
      <c r="U1286" s="18"/>
      <c r="V1286" s="18"/>
      <c r="W1286" s="18"/>
      <c r="X1286" s="18"/>
      <c r="Y1286" s="18"/>
      <c r="Z1286" s="18"/>
      <c r="AA1286" s="18"/>
      <c r="AB1286" s="18"/>
      <c r="AC1286" s="18"/>
      <c r="AD1286" s="18"/>
      <c r="AE1286" s="18"/>
      <c r="AF1286" s="18"/>
      <c r="AG1286" s="18"/>
      <c r="AH1286" s="18"/>
      <c r="AI1286" s="18"/>
      <c r="AJ1286" s="18"/>
      <c r="AK1286" s="18"/>
      <c r="AL1286" s="18"/>
      <c r="AM1286" s="18"/>
      <c r="AN1286" s="18"/>
      <c r="AO1286" s="18"/>
      <c r="AP1286" s="18"/>
      <c r="AQ1286" s="18"/>
      <c r="AR1286" s="18"/>
      <c r="AS1286" s="18"/>
      <c r="AT1286" s="18"/>
      <c r="AU1286" s="18"/>
      <c r="AV1286" s="18"/>
      <c r="AW1286" s="18"/>
      <c r="AX1286" s="18"/>
      <c r="AY1286" s="18"/>
      <c r="AZ1286" s="18"/>
      <c r="BA1286" s="18"/>
      <c r="BB1286" s="18"/>
      <c r="BC1286" s="18"/>
      <c r="BD1286" s="18"/>
      <c r="BE1286" s="18"/>
      <c r="BF1286" s="18"/>
      <c r="BG1286" s="18"/>
      <c r="BH1286" s="18"/>
      <c r="BI1286" s="18"/>
      <c r="BJ1286" s="18"/>
      <c r="BK1286" s="18"/>
      <c r="BL1286" s="18"/>
      <c r="BM1286" s="18"/>
      <c r="BN1286" s="18"/>
    </row>
    <row r="1287" spans="1:66">
      <c r="A1287" s="18"/>
      <c r="B1287" s="18"/>
      <c r="C1287" s="18"/>
      <c r="D1287" s="18"/>
      <c r="E1287" s="18"/>
      <c r="F1287" s="18"/>
      <c r="G1287" s="18"/>
      <c r="H1287" s="18"/>
      <c r="I1287" s="18"/>
      <c r="J1287" s="18"/>
      <c r="K1287" s="18"/>
      <c r="L1287" s="18"/>
      <c r="M1287" s="18"/>
      <c r="N1287" s="18"/>
      <c r="O1287" s="18"/>
      <c r="P1287" s="18"/>
      <c r="Q1287" s="18"/>
      <c r="R1287" s="18"/>
      <c r="S1287" s="18"/>
      <c r="T1287" s="18"/>
      <c r="U1287" s="18"/>
      <c r="V1287" s="18"/>
      <c r="W1287" s="18"/>
      <c r="X1287" s="18"/>
      <c r="Y1287" s="18"/>
      <c r="Z1287" s="18"/>
      <c r="AA1287" s="18"/>
      <c r="AB1287" s="18"/>
      <c r="AC1287" s="18"/>
      <c r="AD1287" s="18"/>
      <c r="AE1287" s="18"/>
      <c r="AF1287" s="18"/>
      <c r="AG1287" s="18"/>
      <c r="AH1287" s="18"/>
      <c r="AI1287" s="18"/>
      <c r="AJ1287" s="18"/>
      <c r="AK1287" s="18"/>
      <c r="AL1287" s="18"/>
      <c r="AM1287" s="18"/>
      <c r="AN1287" s="18"/>
      <c r="AO1287" s="18"/>
      <c r="AP1287" s="18"/>
      <c r="AQ1287" s="18"/>
      <c r="AR1287" s="18"/>
      <c r="AS1287" s="18"/>
      <c r="AT1287" s="18"/>
      <c r="AU1287" s="18"/>
      <c r="AV1287" s="18"/>
      <c r="AW1287" s="18"/>
      <c r="AX1287" s="18"/>
      <c r="AY1287" s="18"/>
      <c r="AZ1287" s="18"/>
      <c r="BA1287" s="18"/>
      <c r="BB1287" s="18"/>
      <c r="BC1287" s="18"/>
      <c r="BD1287" s="18"/>
      <c r="BE1287" s="18"/>
      <c r="BF1287" s="18"/>
      <c r="BG1287" s="18"/>
      <c r="BH1287" s="18"/>
      <c r="BI1287" s="18"/>
      <c r="BJ1287" s="18"/>
      <c r="BK1287" s="18"/>
      <c r="BL1287" s="18"/>
      <c r="BM1287" s="18"/>
      <c r="BN1287" s="18"/>
    </row>
    <row r="1288" spans="1:66">
      <c r="A1288" s="18"/>
      <c r="B1288" s="18"/>
      <c r="C1288" s="18"/>
      <c r="D1288" s="18"/>
      <c r="E1288" s="18"/>
      <c r="F1288" s="18"/>
      <c r="G1288" s="18"/>
      <c r="H1288" s="18"/>
      <c r="I1288" s="18"/>
      <c r="J1288" s="18"/>
      <c r="K1288" s="18"/>
      <c r="L1288" s="18"/>
      <c r="M1288" s="18"/>
      <c r="N1288" s="18"/>
      <c r="O1288" s="18"/>
      <c r="P1288" s="18"/>
      <c r="Q1288" s="18"/>
      <c r="R1288" s="18"/>
      <c r="S1288" s="18"/>
      <c r="T1288" s="18"/>
      <c r="U1288" s="18"/>
      <c r="V1288" s="18"/>
      <c r="W1288" s="18"/>
      <c r="X1288" s="18"/>
      <c r="Y1288" s="18"/>
      <c r="Z1288" s="18"/>
      <c r="AA1288" s="18"/>
      <c r="AB1288" s="18"/>
      <c r="AC1288" s="18"/>
      <c r="AD1288" s="18"/>
      <c r="AE1288" s="18"/>
      <c r="AF1288" s="18"/>
      <c r="AG1288" s="18"/>
      <c r="AH1288" s="18"/>
      <c r="AI1288" s="18"/>
      <c r="AJ1288" s="18"/>
      <c r="AK1288" s="18"/>
      <c r="AL1288" s="18"/>
      <c r="AM1288" s="18"/>
      <c r="AN1288" s="18"/>
      <c r="AO1288" s="18"/>
      <c r="AP1288" s="18"/>
      <c r="AQ1288" s="18"/>
      <c r="AR1288" s="18"/>
      <c r="AS1288" s="18"/>
      <c r="AT1288" s="18"/>
      <c r="AU1288" s="18"/>
      <c r="AV1288" s="18"/>
      <c r="AW1288" s="18"/>
      <c r="AX1288" s="18"/>
      <c r="AY1288" s="18"/>
      <c r="AZ1288" s="18"/>
      <c r="BA1288" s="18"/>
      <c r="BB1288" s="18"/>
      <c r="BC1288" s="18"/>
      <c r="BD1288" s="18"/>
      <c r="BE1288" s="18"/>
      <c r="BF1288" s="18"/>
      <c r="BG1288" s="18"/>
      <c r="BH1288" s="18"/>
      <c r="BI1288" s="18"/>
      <c r="BJ1288" s="18"/>
      <c r="BK1288" s="18"/>
      <c r="BL1288" s="18"/>
      <c r="BM1288" s="18"/>
      <c r="BN1288" s="18"/>
    </row>
    <row r="1289" spans="1:66">
      <c r="A1289" s="18"/>
      <c r="B1289" s="18"/>
      <c r="C1289" s="18"/>
      <c r="D1289" s="18"/>
      <c r="E1289" s="18"/>
      <c r="F1289" s="18"/>
      <c r="G1289" s="18"/>
      <c r="H1289" s="18"/>
      <c r="I1289" s="18"/>
      <c r="J1289" s="18"/>
      <c r="K1289" s="18"/>
      <c r="L1289" s="18"/>
      <c r="M1289" s="18"/>
      <c r="N1289" s="18"/>
      <c r="O1289" s="18"/>
      <c r="P1289" s="18"/>
      <c r="Q1289" s="18"/>
      <c r="R1289" s="18"/>
      <c r="S1289" s="18"/>
      <c r="T1289" s="18"/>
      <c r="U1289" s="18"/>
      <c r="V1289" s="18"/>
      <c r="W1289" s="18"/>
      <c r="X1289" s="18"/>
      <c r="Y1289" s="18"/>
      <c r="Z1289" s="18"/>
      <c r="AA1289" s="18"/>
      <c r="AB1289" s="18"/>
      <c r="AC1289" s="18"/>
      <c r="AD1289" s="18"/>
      <c r="AE1289" s="18"/>
      <c r="AF1289" s="18"/>
      <c r="AG1289" s="18"/>
      <c r="AH1289" s="18"/>
      <c r="AI1289" s="18"/>
      <c r="AJ1289" s="18"/>
      <c r="AK1289" s="18"/>
      <c r="AL1289" s="18"/>
      <c r="AM1289" s="18"/>
      <c r="AN1289" s="18"/>
      <c r="AO1289" s="18"/>
      <c r="AP1289" s="18"/>
      <c r="AQ1289" s="18"/>
      <c r="AR1289" s="18"/>
      <c r="AS1289" s="18"/>
      <c r="AT1289" s="18"/>
      <c r="AU1289" s="18"/>
      <c r="AV1289" s="18"/>
      <c r="AW1289" s="18"/>
      <c r="AX1289" s="18"/>
      <c r="AY1289" s="18"/>
      <c r="AZ1289" s="18"/>
      <c r="BA1289" s="18"/>
      <c r="BB1289" s="18"/>
      <c r="BC1289" s="18"/>
      <c r="BD1289" s="18"/>
      <c r="BE1289" s="18"/>
      <c r="BF1289" s="18"/>
      <c r="BG1289" s="18"/>
      <c r="BH1289" s="18"/>
      <c r="BI1289" s="18"/>
      <c r="BJ1289" s="18"/>
      <c r="BK1289" s="18"/>
      <c r="BL1289" s="18"/>
      <c r="BM1289" s="18"/>
      <c r="BN1289" s="18"/>
    </row>
    <row r="1290" spans="1:66">
      <c r="A1290" s="18"/>
      <c r="B1290" s="18"/>
      <c r="C1290" s="18"/>
      <c r="D1290" s="18"/>
      <c r="E1290" s="18"/>
      <c r="F1290" s="18"/>
      <c r="G1290" s="18"/>
      <c r="H1290" s="18"/>
      <c r="I1290" s="18"/>
      <c r="J1290" s="18"/>
      <c r="K1290" s="18"/>
      <c r="L1290" s="18"/>
      <c r="M1290" s="18"/>
      <c r="N1290" s="18"/>
      <c r="O1290" s="18"/>
      <c r="P1290" s="18"/>
      <c r="Q1290" s="18"/>
      <c r="R1290" s="18"/>
      <c r="S1290" s="18"/>
      <c r="T1290" s="18"/>
      <c r="U1290" s="18"/>
      <c r="V1290" s="18"/>
      <c r="W1290" s="18"/>
      <c r="X1290" s="18"/>
      <c r="Y1290" s="18"/>
      <c r="Z1290" s="18"/>
      <c r="AA1290" s="18"/>
      <c r="AB1290" s="18"/>
      <c r="AC1290" s="18"/>
      <c r="AD1290" s="18"/>
      <c r="AE1290" s="18"/>
      <c r="AF1290" s="18"/>
      <c r="AG1290" s="18"/>
      <c r="AH1290" s="18"/>
      <c r="AI1290" s="18"/>
      <c r="AJ1290" s="18"/>
      <c r="AK1290" s="18"/>
      <c r="AL1290" s="18"/>
      <c r="AM1290" s="18"/>
      <c r="AN1290" s="18"/>
      <c r="AO1290" s="18"/>
      <c r="AP1290" s="18"/>
      <c r="AQ1290" s="18"/>
      <c r="AR1290" s="18"/>
      <c r="AS1290" s="18"/>
      <c r="AT1290" s="18"/>
      <c r="AU1290" s="18"/>
      <c r="AV1290" s="18"/>
      <c r="AW1290" s="18"/>
      <c r="AX1290" s="18"/>
      <c r="AY1290" s="18"/>
      <c r="AZ1290" s="18"/>
      <c r="BA1290" s="18"/>
      <c r="BB1290" s="18"/>
      <c r="BC1290" s="18"/>
      <c r="BD1290" s="18"/>
      <c r="BE1290" s="18"/>
      <c r="BF1290" s="18"/>
      <c r="BG1290" s="18"/>
      <c r="BH1290" s="18"/>
      <c r="BI1290" s="18"/>
      <c r="BJ1290" s="18"/>
      <c r="BK1290" s="18"/>
      <c r="BL1290" s="18"/>
      <c r="BM1290" s="18"/>
      <c r="BN1290" s="18"/>
    </row>
    <row r="1291" spans="1:66">
      <c r="A1291" s="18"/>
      <c r="B1291" s="18"/>
      <c r="C1291" s="18"/>
      <c r="D1291" s="18"/>
      <c r="E1291" s="18"/>
      <c r="F1291" s="18"/>
      <c r="G1291" s="18"/>
      <c r="H1291" s="18"/>
      <c r="I1291" s="18"/>
      <c r="J1291" s="18"/>
      <c r="K1291" s="18"/>
      <c r="L1291" s="18"/>
      <c r="M1291" s="18"/>
      <c r="N1291" s="18"/>
      <c r="O1291" s="18"/>
      <c r="P1291" s="18"/>
      <c r="Q1291" s="18"/>
      <c r="R1291" s="18"/>
      <c r="S1291" s="18"/>
      <c r="T1291" s="18"/>
      <c r="U1291" s="18"/>
      <c r="V1291" s="18"/>
      <c r="W1291" s="18"/>
      <c r="X1291" s="18"/>
      <c r="Y1291" s="18"/>
      <c r="Z1291" s="18"/>
      <c r="AA1291" s="18"/>
      <c r="AB1291" s="18"/>
      <c r="AC1291" s="18"/>
      <c r="AD1291" s="18"/>
      <c r="AE1291" s="18"/>
      <c r="AF1291" s="18"/>
      <c r="AG1291" s="18"/>
      <c r="AH1291" s="18"/>
      <c r="AI1291" s="18"/>
      <c r="AJ1291" s="18"/>
      <c r="AK1291" s="18"/>
      <c r="AL1291" s="18"/>
      <c r="AM1291" s="18"/>
      <c r="AN1291" s="18"/>
      <c r="AO1291" s="18"/>
      <c r="AP1291" s="18"/>
      <c r="AQ1291" s="18"/>
      <c r="AR1291" s="18"/>
      <c r="AS1291" s="18"/>
      <c r="AT1291" s="18"/>
      <c r="AU1291" s="18"/>
      <c r="AV1291" s="18"/>
      <c r="AW1291" s="18"/>
      <c r="AX1291" s="18"/>
      <c r="AY1291" s="18"/>
      <c r="AZ1291" s="18"/>
      <c r="BA1291" s="18"/>
      <c r="BB1291" s="18"/>
      <c r="BC1291" s="18"/>
      <c r="BD1291" s="18"/>
      <c r="BE1291" s="18"/>
      <c r="BF1291" s="18"/>
      <c r="BG1291" s="18"/>
      <c r="BH1291" s="18"/>
      <c r="BI1291" s="18"/>
      <c r="BJ1291" s="18"/>
      <c r="BK1291" s="18"/>
      <c r="BL1291" s="18"/>
      <c r="BM1291" s="18"/>
      <c r="BN1291" s="18"/>
    </row>
    <row r="1292" spans="1:66">
      <c r="A1292" s="18"/>
      <c r="B1292" s="18"/>
      <c r="C1292" s="18"/>
      <c r="D1292" s="18"/>
      <c r="E1292" s="18"/>
      <c r="F1292" s="18"/>
      <c r="G1292" s="18"/>
      <c r="H1292" s="18"/>
      <c r="I1292" s="18"/>
      <c r="J1292" s="18"/>
      <c r="K1292" s="18"/>
      <c r="L1292" s="18"/>
      <c r="M1292" s="18"/>
      <c r="N1292" s="18"/>
      <c r="O1292" s="18"/>
      <c r="P1292" s="18"/>
      <c r="Q1292" s="18"/>
      <c r="R1292" s="18"/>
      <c r="S1292" s="18"/>
      <c r="T1292" s="18"/>
      <c r="U1292" s="18"/>
      <c r="V1292" s="18"/>
      <c r="W1292" s="18"/>
      <c r="X1292" s="18"/>
      <c r="Y1292" s="18"/>
      <c r="Z1292" s="18"/>
      <c r="AA1292" s="18"/>
      <c r="AB1292" s="18"/>
      <c r="AC1292" s="18"/>
      <c r="AD1292" s="18"/>
      <c r="AE1292" s="18"/>
      <c r="AF1292" s="18"/>
      <c r="AG1292" s="18"/>
      <c r="AH1292" s="18"/>
      <c r="AI1292" s="18"/>
      <c r="AJ1292" s="18"/>
      <c r="AK1292" s="18"/>
      <c r="AL1292" s="18"/>
      <c r="AM1292" s="18"/>
      <c r="AN1292" s="18"/>
      <c r="AO1292" s="18"/>
      <c r="AP1292" s="18"/>
      <c r="AQ1292" s="18"/>
      <c r="AR1292" s="18"/>
      <c r="AS1292" s="18"/>
      <c r="AT1292" s="18"/>
      <c r="AU1292" s="18"/>
      <c r="AV1292" s="18"/>
      <c r="AW1292" s="18"/>
      <c r="AX1292" s="18"/>
      <c r="AY1292" s="18"/>
      <c r="AZ1292" s="18"/>
      <c r="BA1292" s="18"/>
      <c r="BB1292" s="18"/>
      <c r="BC1292" s="18"/>
      <c r="BD1292" s="18"/>
      <c r="BE1292" s="18"/>
      <c r="BF1292" s="18"/>
      <c r="BG1292" s="18"/>
      <c r="BH1292" s="18"/>
      <c r="BI1292" s="18"/>
      <c r="BJ1292" s="18"/>
      <c r="BK1292" s="18"/>
      <c r="BL1292" s="18"/>
      <c r="BM1292" s="18"/>
      <c r="BN1292" s="18"/>
    </row>
    <row r="1293" spans="1:66">
      <c r="A1293" s="18"/>
      <c r="B1293" s="18"/>
      <c r="C1293" s="18"/>
      <c r="D1293" s="18"/>
      <c r="E1293" s="18"/>
      <c r="F1293" s="18"/>
      <c r="G1293" s="18"/>
      <c r="H1293" s="18"/>
      <c r="I1293" s="18"/>
      <c r="J1293" s="18"/>
      <c r="K1293" s="18"/>
      <c r="L1293" s="18"/>
      <c r="M1293" s="18"/>
      <c r="N1293" s="18"/>
      <c r="O1293" s="18"/>
      <c r="P1293" s="18"/>
      <c r="Q1293" s="18"/>
      <c r="R1293" s="18"/>
      <c r="S1293" s="18"/>
      <c r="T1293" s="18"/>
      <c r="U1293" s="18"/>
      <c r="V1293" s="18"/>
      <c r="W1293" s="18"/>
      <c r="X1293" s="18"/>
      <c r="Y1293" s="18"/>
      <c r="Z1293" s="18"/>
      <c r="AA1293" s="18"/>
      <c r="AB1293" s="18"/>
      <c r="AC1293" s="18"/>
      <c r="AD1293" s="18"/>
      <c r="AE1293" s="18"/>
      <c r="AF1293" s="18"/>
      <c r="AG1293" s="18"/>
      <c r="AH1293" s="18"/>
      <c r="AI1293" s="18"/>
      <c r="AJ1293" s="18"/>
      <c r="AK1293" s="18"/>
      <c r="AL1293" s="18"/>
      <c r="AM1293" s="18"/>
      <c r="AN1293" s="18"/>
      <c r="AO1293" s="18"/>
      <c r="AP1293" s="18"/>
      <c r="AQ1293" s="18"/>
      <c r="AR1293" s="18"/>
      <c r="AS1293" s="18"/>
      <c r="AT1293" s="18"/>
      <c r="AU1293" s="18"/>
      <c r="AV1293" s="18"/>
      <c r="AW1293" s="18"/>
      <c r="AX1293" s="18"/>
      <c r="AY1293" s="18"/>
      <c r="AZ1293" s="18"/>
      <c r="BA1293" s="18"/>
      <c r="BB1293" s="18"/>
      <c r="BC1293" s="18"/>
      <c r="BD1293" s="18"/>
      <c r="BE1293" s="18"/>
      <c r="BF1293" s="18"/>
      <c r="BG1293" s="18"/>
      <c r="BH1293" s="18"/>
      <c r="BI1293" s="18"/>
      <c r="BJ1293" s="18"/>
      <c r="BK1293" s="18"/>
      <c r="BL1293" s="18"/>
      <c r="BM1293" s="18"/>
      <c r="BN1293" s="18"/>
    </row>
    <row r="1294" spans="1:66">
      <c r="A1294" s="18"/>
      <c r="B1294" s="18"/>
      <c r="C1294" s="18"/>
      <c r="D1294" s="18"/>
      <c r="E1294" s="18"/>
      <c r="F1294" s="18"/>
      <c r="G1294" s="18"/>
      <c r="H1294" s="18"/>
      <c r="I1294" s="18"/>
      <c r="J1294" s="18"/>
      <c r="K1294" s="18"/>
      <c r="L1294" s="18"/>
      <c r="M1294" s="18"/>
      <c r="N1294" s="18"/>
      <c r="O1294" s="18"/>
      <c r="P1294" s="18"/>
      <c r="Q1294" s="18"/>
      <c r="R1294" s="18"/>
      <c r="S1294" s="18"/>
      <c r="T1294" s="18"/>
      <c r="U1294" s="18"/>
      <c r="V1294" s="18"/>
      <c r="W1294" s="18"/>
      <c r="X1294" s="18"/>
      <c r="Y1294" s="18"/>
      <c r="Z1294" s="18"/>
      <c r="AA1294" s="18"/>
      <c r="AB1294" s="18"/>
      <c r="AC1294" s="18"/>
      <c r="AD1294" s="18"/>
      <c r="AE1294" s="18"/>
      <c r="AF1294" s="18"/>
      <c r="AG1294" s="18"/>
      <c r="AH1294" s="18"/>
      <c r="AI1294" s="18"/>
      <c r="AJ1294" s="18"/>
      <c r="AK1294" s="18"/>
      <c r="AL1294" s="18"/>
      <c r="AM1294" s="18"/>
      <c r="AN1294" s="18"/>
      <c r="AO1294" s="18"/>
      <c r="AP1294" s="18"/>
      <c r="AQ1294" s="18"/>
      <c r="AR1294" s="18"/>
      <c r="AS1294" s="18"/>
      <c r="AT1294" s="18"/>
      <c r="AU1294" s="18"/>
      <c r="AV1294" s="18"/>
      <c r="AW1294" s="18"/>
      <c r="AX1294" s="18"/>
      <c r="AY1294" s="18"/>
      <c r="AZ1294" s="18"/>
      <c r="BA1294" s="18"/>
      <c r="BB1294" s="18"/>
      <c r="BC1294" s="18"/>
      <c r="BD1294" s="18"/>
      <c r="BE1294" s="18"/>
      <c r="BF1294" s="18"/>
      <c r="BG1294" s="18"/>
      <c r="BH1294" s="18"/>
      <c r="BI1294" s="18"/>
      <c r="BJ1294" s="18"/>
      <c r="BK1294" s="18"/>
      <c r="BL1294" s="18"/>
      <c r="BM1294" s="18"/>
      <c r="BN1294" s="18"/>
    </row>
    <row r="1295" spans="1:66">
      <c r="A1295" s="18"/>
      <c r="B1295" s="18"/>
      <c r="C1295" s="18"/>
      <c r="D1295" s="18"/>
      <c r="E1295" s="18"/>
      <c r="F1295" s="18"/>
      <c r="G1295" s="18"/>
      <c r="H1295" s="18"/>
      <c r="I1295" s="18"/>
      <c r="J1295" s="18"/>
      <c r="K1295" s="18"/>
      <c r="L1295" s="18"/>
      <c r="M1295" s="18"/>
      <c r="N1295" s="18"/>
      <c r="O1295" s="18"/>
      <c r="P1295" s="18"/>
      <c r="Q1295" s="18"/>
      <c r="R1295" s="18"/>
      <c r="S1295" s="18"/>
      <c r="T1295" s="18"/>
      <c r="U1295" s="18"/>
      <c r="V1295" s="18"/>
      <c r="W1295" s="18"/>
      <c r="X1295" s="18"/>
      <c r="Y1295" s="18"/>
      <c r="Z1295" s="18"/>
      <c r="AA1295" s="18"/>
      <c r="AB1295" s="18"/>
      <c r="AC1295" s="18"/>
      <c r="AD1295" s="18"/>
      <c r="AE1295" s="18"/>
      <c r="AF1295" s="18"/>
      <c r="AG1295" s="18"/>
      <c r="AH1295" s="18"/>
      <c r="AI1295" s="18"/>
      <c r="AJ1295" s="18"/>
      <c r="AK1295" s="18"/>
      <c r="AL1295" s="18"/>
      <c r="AM1295" s="18"/>
      <c r="AN1295" s="18"/>
      <c r="AO1295" s="18"/>
      <c r="AP1295" s="18"/>
      <c r="AQ1295" s="18"/>
      <c r="AR1295" s="18"/>
      <c r="AS1295" s="18"/>
      <c r="AT1295" s="18"/>
      <c r="AU1295" s="18"/>
      <c r="AV1295" s="18"/>
      <c r="AW1295" s="18"/>
      <c r="AX1295" s="18"/>
      <c r="AY1295" s="18"/>
      <c r="AZ1295" s="18"/>
      <c r="BA1295" s="18"/>
      <c r="BB1295" s="18"/>
      <c r="BC1295" s="18"/>
      <c r="BD1295" s="18"/>
      <c r="BE1295" s="18"/>
      <c r="BF1295" s="18"/>
      <c r="BG1295" s="18"/>
      <c r="BH1295" s="18"/>
      <c r="BI1295" s="18"/>
      <c r="BJ1295" s="18"/>
      <c r="BK1295" s="18"/>
      <c r="BL1295" s="18"/>
      <c r="BM1295" s="18"/>
      <c r="BN1295" s="18"/>
    </row>
    <row r="1296" spans="1:66">
      <c r="A1296" s="18"/>
      <c r="B1296" s="18"/>
      <c r="C1296" s="18"/>
      <c r="D1296" s="18"/>
      <c r="E1296" s="18"/>
      <c r="F1296" s="18"/>
      <c r="G1296" s="18"/>
      <c r="H1296" s="18"/>
      <c r="I1296" s="18"/>
      <c r="J1296" s="18"/>
      <c r="K1296" s="18"/>
      <c r="L1296" s="18"/>
      <c r="M1296" s="18"/>
      <c r="N1296" s="18"/>
      <c r="O1296" s="18"/>
      <c r="P1296" s="18"/>
      <c r="Q1296" s="18"/>
      <c r="R1296" s="18"/>
      <c r="S1296" s="18"/>
      <c r="T1296" s="18"/>
      <c r="U1296" s="18"/>
      <c r="V1296" s="18"/>
      <c r="W1296" s="18"/>
      <c r="X1296" s="18"/>
      <c r="Y1296" s="18"/>
      <c r="Z1296" s="18"/>
      <c r="AA1296" s="18"/>
      <c r="AB1296" s="18"/>
      <c r="AC1296" s="18"/>
      <c r="AD1296" s="18"/>
      <c r="AE1296" s="18"/>
      <c r="AF1296" s="18"/>
      <c r="AG1296" s="18"/>
      <c r="AH1296" s="18"/>
      <c r="AI1296" s="18"/>
      <c r="AJ1296" s="18"/>
      <c r="AK1296" s="18"/>
      <c r="AL1296" s="18"/>
      <c r="AM1296" s="18"/>
      <c r="AN1296" s="18"/>
      <c r="AO1296" s="18"/>
      <c r="AP1296" s="18"/>
      <c r="AQ1296" s="18"/>
      <c r="AR1296" s="18"/>
      <c r="AS1296" s="18"/>
      <c r="AT1296" s="18"/>
      <c r="AU1296" s="18"/>
      <c r="AV1296" s="18"/>
      <c r="AW1296" s="18"/>
      <c r="AX1296" s="18"/>
      <c r="AY1296" s="18"/>
      <c r="AZ1296" s="18"/>
      <c r="BA1296" s="18"/>
      <c r="BB1296" s="18"/>
      <c r="BC1296" s="18"/>
      <c r="BD1296" s="18"/>
      <c r="BE1296" s="18"/>
      <c r="BF1296" s="18"/>
      <c r="BG1296" s="18"/>
      <c r="BH1296" s="18"/>
      <c r="BI1296" s="18"/>
      <c r="BJ1296" s="18"/>
      <c r="BK1296" s="18"/>
      <c r="BL1296" s="18"/>
      <c r="BM1296" s="18"/>
      <c r="BN1296" s="18"/>
    </row>
    <row r="1297" spans="1:66">
      <c r="A1297" s="18"/>
      <c r="B1297" s="18"/>
      <c r="C1297" s="18"/>
      <c r="D1297" s="18"/>
      <c r="E1297" s="18"/>
      <c r="F1297" s="18"/>
      <c r="G1297" s="18"/>
      <c r="H1297" s="18"/>
      <c r="I1297" s="18"/>
      <c r="J1297" s="18"/>
      <c r="K1297" s="18"/>
      <c r="L1297" s="18"/>
      <c r="M1297" s="18"/>
      <c r="N1297" s="18"/>
      <c r="O1297" s="18"/>
      <c r="P1297" s="18"/>
      <c r="Q1297" s="18"/>
      <c r="R1297" s="18"/>
      <c r="S1297" s="18"/>
      <c r="T1297" s="18"/>
      <c r="U1297" s="18"/>
      <c r="V1297" s="18"/>
      <c r="W1297" s="18"/>
      <c r="X1297" s="18"/>
      <c r="Y1297" s="18"/>
      <c r="Z1297" s="18"/>
      <c r="AA1297" s="18"/>
      <c r="AB1297" s="18"/>
      <c r="AC1297" s="18"/>
      <c r="AD1297" s="18"/>
      <c r="AE1297" s="18"/>
      <c r="AF1297" s="18"/>
      <c r="AG1297" s="18"/>
      <c r="AH1297" s="18"/>
      <c r="AI1297" s="18"/>
      <c r="AJ1297" s="18"/>
      <c r="AK1297" s="18"/>
      <c r="AL1297" s="18"/>
      <c r="AM1297" s="18"/>
      <c r="AN1297" s="18"/>
      <c r="AO1297" s="18"/>
      <c r="AP1297" s="18"/>
      <c r="AQ1297" s="18"/>
      <c r="AR1297" s="18"/>
      <c r="AS1297" s="18"/>
      <c r="AT1297" s="18"/>
      <c r="AU1297" s="18"/>
      <c r="AV1297" s="18"/>
      <c r="AW1297" s="18"/>
      <c r="AX1297" s="18"/>
      <c r="AY1297" s="18"/>
      <c r="AZ1297" s="18"/>
      <c r="BA1297" s="18"/>
      <c r="BB1297" s="18"/>
      <c r="BC1297" s="18"/>
      <c r="BD1297" s="18"/>
      <c r="BE1297" s="18"/>
      <c r="BF1297" s="18"/>
      <c r="BG1297" s="18"/>
      <c r="BH1297" s="18"/>
      <c r="BI1297" s="18"/>
      <c r="BJ1297" s="18"/>
      <c r="BK1297" s="18"/>
      <c r="BL1297" s="18"/>
      <c r="BM1297" s="18"/>
      <c r="BN1297" s="18"/>
    </row>
    <row r="1298" spans="1:66">
      <c r="A1298" s="18"/>
      <c r="B1298" s="18"/>
      <c r="C1298" s="18"/>
      <c r="D1298" s="18"/>
      <c r="E1298" s="18"/>
      <c r="F1298" s="18"/>
      <c r="G1298" s="18"/>
      <c r="H1298" s="18"/>
      <c r="I1298" s="18"/>
      <c r="J1298" s="18"/>
      <c r="K1298" s="18"/>
      <c r="L1298" s="18"/>
      <c r="M1298" s="18"/>
      <c r="N1298" s="18"/>
      <c r="O1298" s="18"/>
      <c r="P1298" s="18"/>
      <c r="Q1298" s="18"/>
      <c r="R1298" s="18"/>
      <c r="S1298" s="18"/>
      <c r="T1298" s="18"/>
      <c r="U1298" s="18"/>
      <c r="V1298" s="18"/>
      <c r="W1298" s="18"/>
      <c r="X1298" s="18"/>
      <c r="Y1298" s="18"/>
      <c r="Z1298" s="18"/>
      <c r="AA1298" s="18"/>
      <c r="AB1298" s="18"/>
      <c r="AC1298" s="18"/>
      <c r="AD1298" s="18"/>
      <c r="AE1298" s="18"/>
      <c r="AF1298" s="18"/>
      <c r="AG1298" s="18"/>
      <c r="AH1298" s="18"/>
      <c r="AI1298" s="18"/>
      <c r="AJ1298" s="18"/>
      <c r="AK1298" s="18"/>
      <c r="AL1298" s="18"/>
      <c r="AM1298" s="18"/>
      <c r="AN1298" s="18"/>
      <c r="AO1298" s="18"/>
      <c r="AP1298" s="18"/>
      <c r="AQ1298" s="18"/>
      <c r="AR1298" s="18"/>
      <c r="AS1298" s="18"/>
      <c r="AT1298" s="18"/>
      <c r="AU1298" s="18"/>
      <c r="AV1298" s="18"/>
      <c r="AW1298" s="18"/>
      <c r="AX1298" s="18"/>
      <c r="AY1298" s="18"/>
      <c r="AZ1298" s="18"/>
      <c r="BA1298" s="18"/>
      <c r="BB1298" s="18"/>
      <c r="BC1298" s="18"/>
      <c r="BD1298" s="18"/>
      <c r="BE1298" s="18"/>
      <c r="BF1298" s="18"/>
      <c r="BG1298" s="18"/>
      <c r="BH1298" s="18"/>
      <c r="BI1298" s="18"/>
      <c r="BJ1298" s="18"/>
      <c r="BK1298" s="18"/>
      <c r="BL1298" s="18"/>
      <c r="BM1298" s="18"/>
      <c r="BN1298" s="18"/>
    </row>
    <row r="1299" spans="1:66">
      <c r="A1299" s="18"/>
      <c r="B1299" s="18"/>
      <c r="C1299" s="18"/>
      <c r="D1299" s="18"/>
      <c r="E1299" s="18"/>
      <c r="F1299" s="18"/>
      <c r="G1299" s="18"/>
      <c r="H1299" s="18"/>
      <c r="I1299" s="18"/>
      <c r="J1299" s="18"/>
      <c r="K1299" s="18"/>
      <c r="L1299" s="18"/>
      <c r="M1299" s="18"/>
      <c r="N1299" s="18"/>
      <c r="O1299" s="18"/>
      <c r="P1299" s="18"/>
      <c r="Q1299" s="18"/>
      <c r="R1299" s="18"/>
      <c r="S1299" s="18"/>
      <c r="T1299" s="18"/>
      <c r="U1299" s="18"/>
      <c r="V1299" s="18"/>
      <c r="W1299" s="18"/>
      <c r="X1299" s="18"/>
      <c r="Y1299" s="18"/>
      <c r="Z1299" s="18"/>
      <c r="AA1299" s="18"/>
      <c r="AB1299" s="18"/>
      <c r="AC1299" s="18"/>
      <c r="AD1299" s="18"/>
      <c r="AE1299" s="18"/>
      <c r="AF1299" s="18"/>
      <c r="AG1299" s="18"/>
      <c r="AH1299" s="18"/>
      <c r="AI1299" s="18"/>
      <c r="AJ1299" s="18"/>
      <c r="AK1299" s="18"/>
      <c r="AL1299" s="18"/>
      <c r="AM1299" s="18"/>
      <c r="AN1299" s="18"/>
      <c r="AO1299" s="18"/>
      <c r="AP1299" s="18"/>
      <c r="AQ1299" s="18"/>
      <c r="AR1299" s="18"/>
      <c r="AS1299" s="18"/>
      <c r="AT1299" s="18"/>
      <c r="AU1299" s="18"/>
      <c r="AV1299" s="18"/>
      <c r="AW1299" s="18"/>
      <c r="AX1299" s="18"/>
      <c r="AY1299" s="18"/>
      <c r="AZ1299" s="18"/>
      <c r="BA1299" s="18"/>
      <c r="BB1299" s="18"/>
      <c r="BC1299" s="18"/>
      <c r="BD1299" s="18"/>
      <c r="BE1299" s="18"/>
      <c r="BF1299" s="18"/>
      <c r="BG1299" s="18"/>
      <c r="BH1299" s="18"/>
      <c r="BI1299" s="18"/>
      <c r="BJ1299" s="18"/>
      <c r="BK1299" s="18"/>
      <c r="BL1299" s="18"/>
      <c r="BM1299" s="18"/>
      <c r="BN1299" s="18"/>
    </row>
    <row r="1300" spans="1:66">
      <c r="A1300" s="18"/>
      <c r="B1300" s="18"/>
      <c r="C1300" s="18"/>
      <c r="D1300" s="18"/>
      <c r="E1300" s="18"/>
      <c r="F1300" s="18"/>
      <c r="G1300" s="18"/>
      <c r="H1300" s="18"/>
      <c r="I1300" s="18"/>
      <c r="J1300" s="18"/>
      <c r="K1300" s="18"/>
      <c r="L1300" s="18"/>
      <c r="M1300" s="18"/>
      <c r="N1300" s="18"/>
      <c r="O1300" s="18"/>
      <c r="P1300" s="18"/>
      <c r="Q1300" s="18"/>
      <c r="R1300" s="18"/>
      <c r="S1300" s="18"/>
      <c r="T1300" s="18"/>
      <c r="U1300" s="18"/>
      <c r="V1300" s="18"/>
      <c r="W1300" s="18"/>
      <c r="X1300" s="18"/>
      <c r="Y1300" s="18"/>
      <c r="Z1300" s="18"/>
      <c r="AA1300" s="18"/>
      <c r="AB1300" s="18"/>
      <c r="AC1300" s="18"/>
      <c r="AD1300" s="18"/>
      <c r="AE1300" s="18"/>
      <c r="AF1300" s="18"/>
      <c r="AG1300" s="18"/>
      <c r="AH1300" s="18"/>
      <c r="AI1300" s="18"/>
      <c r="AJ1300" s="18"/>
      <c r="AK1300" s="18"/>
      <c r="AL1300" s="18"/>
      <c r="AM1300" s="18"/>
      <c r="AN1300" s="18"/>
      <c r="AO1300" s="18"/>
      <c r="AP1300" s="18"/>
      <c r="AQ1300" s="18"/>
      <c r="AR1300" s="18"/>
      <c r="AS1300" s="18"/>
      <c r="AT1300" s="18"/>
      <c r="AU1300" s="18"/>
      <c r="AV1300" s="18"/>
      <c r="AW1300" s="18"/>
      <c r="AX1300" s="18"/>
      <c r="AY1300" s="18"/>
      <c r="AZ1300" s="18"/>
      <c r="BA1300" s="18"/>
      <c r="BB1300" s="18"/>
      <c r="BC1300" s="18"/>
      <c r="BD1300" s="18"/>
      <c r="BE1300" s="18"/>
      <c r="BF1300" s="18"/>
      <c r="BG1300" s="18"/>
      <c r="BH1300" s="18"/>
      <c r="BI1300" s="18"/>
      <c r="BJ1300" s="18"/>
      <c r="BK1300" s="18"/>
      <c r="BL1300" s="18"/>
      <c r="BM1300" s="18"/>
      <c r="BN1300" s="18"/>
    </row>
    <row r="1301" spans="1:66">
      <c r="A1301" s="18"/>
      <c r="B1301" s="18"/>
      <c r="C1301" s="18"/>
      <c r="D1301" s="18"/>
      <c r="E1301" s="18"/>
      <c r="F1301" s="18"/>
      <c r="G1301" s="18"/>
      <c r="H1301" s="18"/>
      <c r="I1301" s="18"/>
      <c r="J1301" s="18"/>
      <c r="K1301" s="18"/>
      <c r="L1301" s="18"/>
      <c r="M1301" s="18"/>
      <c r="N1301" s="18"/>
      <c r="O1301" s="18"/>
      <c r="P1301" s="18"/>
      <c r="Q1301" s="18"/>
      <c r="R1301" s="18"/>
      <c r="S1301" s="18"/>
      <c r="T1301" s="18"/>
      <c r="U1301" s="18"/>
      <c r="V1301" s="18"/>
      <c r="W1301" s="18"/>
      <c r="X1301" s="18"/>
      <c r="Y1301" s="18"/>
      <c r="Z1301" s="18"/>
      <c r="AA1301" s="18"/>
      <c r="AB1301" s="18"/>
      <c r="AC1301" s="18"/>
      <c r="AD1301" s="18"/>
      <c r="AE1301" s="18"/>
      <c r="AF1301" s="18"/>
      <c r="AG1301" s="18"/>
      <c r="AH1301" s="18"/>
      <c r="AI1301" s="18"/>
      <c r="AJ1301" s="18"/>
      <c r="AK1301" s="18"/>
      <c r="AL1301" s="18"/>
      <c r="AM1301" s="18"/>
      <c r="AN1301" s="18"/>
      <c r="AO1301" s="18"/>
      <c r="AP1301" s="18"/>
      <c r="AQ1301" s="18"/>
      <c r="AR1301" s="18"/>
      <c r="AS1301" s="18"/>
      <c r="AT1301" s="18"/>
      <c r="AU1301" s="18"/>
      <c r="AV1301" s="18"/>
      <c r="AW1301" s="18"/>
      <c r="AX1301" s="18"/>
      <c r="AY1301" s="18"/>
      <c r="AZ1301" s="18"/>
      <c r="BA1301" s="18"/>
      <c r="BB1301" s="18"/>
      <c r="BC1301" s="18"/>
      <c r="BD1301" s="18"/>
      <c r="BE1301" s="18"/>
      <c r="BF1301" s="18"/>
      <c r="BG1301" s="18"/>
      <c r="BH1301" s="18"/>
      <c r="BI1301" s="18"/>
      <c r="BJ1301" s="18"/>
      <c r="BK1301" s="18"/>
      <c r="BL1301" s="18"/>
      <c r="BM1301" s="18"/>
      <c r="BN1301" s="18"/>
    </row>
    <row r="1302" spans="1:66">
      <c r="A1302" s="18"/>
      <c r="B1302" s="18"/>
      <c r="C1302" s="18"/>
      <c r="D1302" s="18"/>
      <c r="E1302" s="18"/>
      <c r="F1302" s="18"/>
      <c r="G1302" s="18"/>
      <c r="H1302" s="18"/>
      <c r="I1302" s="18"/>
      <c r="J1302" s="18"/>
      <c r="K1302" s="18"/>
      <c r="L1302" s="18"/>
      <c r="M1302" s="18"/>
      <c r="N1302" s="18"/>
      <c r="O1302" s="18"/>
      <c r="P1302" s="18"/>
      <c r="Q1302" s="18"/>
      <c r="R1302" s="18"/>
      <c r="S1302" s="18"/>
      <c r="T1302" s="18"/>
      <c r="U1302" s="18"/>
      <c r="V1302" s="18"/>
      <c r="W1302" s="18"/>
      <c r="X1302" s="18"/>
      <c r="Y1302" s="18"/>
      <c r="Z1302" s="18"/>
      <c r="AA1302" s="18"/>
      <c r="AB1302" s="18"/>
      <c r="AC1302" s="18"/>
      <c r="AD1302" s="18"/>
      <c r="AE1302" s="18"/>
      <c r="AF1302" s="18"/>
      <c r="AG1302" s="18"/>
      <c r="AH1302" s="18"/>
      <c r="AI1302" s="18"/>
      <c r="AJ1302" s="18"/>
      <c r="AK1302" s="18"/>
      <c r="AL1302" s="18"/>
      <c r="AM1302" s="18"/>
      <c r="AN1302" s="18"/>
      <c r="AO1302" s="18"/>
      <c r="AP1302" s="18"/>
      <c r="AQ1302" s="18"/>
      <c r="AR1302" s="18"/>
      <c r="AS1302" s="18"/>
      <c r="AT1302" s="18"/>
      <c r="AU1302" s="18"/>
      <c r="AV1302" s="18"/>
      <c r="AW1302" s="18"/>
      <c r="AX1302" s="18"/>
      <c r="AY1302" s="18"/>
      <c r="AZ1302" s="18"/>
      <c r="BA1302" s="18"/>
      <c r="BB1302" s="18"/>
      <c r="BC1302" s="18"/>
      <c r="BD1302" s="18"/>
      <c r="BE1302" s="18"/>
      <c r="BF1302" s="18"/>
      <c r="BG1302" s="18"/>
      <c r="BH1302" s="18"/>
      <c r="BI1302" s="18"/>
      <c r="BJ1302" s="18"/>
      <c r="BK1302" s="18"/>
      <c r="BL1302" s="18"/>
      <c r="BM1302" s="18"/>
      <c r="BN1302" s="18"/>
    </row>
    <row r="1303" spans="1:66">
      <c r="A1303" s="18"/>
      <c r="B1303" s="18"/>
      <c r="C1303" s="18"/>
      <c r="D1303" s="18"/>
      <c r="E1303" s="18"/>
      <c r="F1303" s="18"/>
      <c r="G1303" s="18"/>
      <c r="H1303" s="18"/>
      <c r="I1303" s="18"/>
      <c r="J1303" s="18"/>
      <c r="K1303" s="18"/>
      <c r="L1303" s="18"/>
      <c r="M1303" s="18"/>
      <c r="N1303" s="18"/>
      <c r="O1303" s="18"/>
      <c r="P1303" s="18"/>
      <c r="Q1303" s="18"/>
      <c r="R1303" s="18"/>
      <c r="S1303" s="18"/>
      <c r="T1303" s="18"/>
      <c r="U1303" s="18"/>
      <c r="V1303" s="18"/>
      <c r="W1303" s="18"/>
      <c r="X1303" s="18"/>
      <c r="Y1303" s="18"/>
      <c r="Z1303" s="18"/>
      <c r="AA1303" s="18"/>
      <c r="AB1303" s="18"/>
      <c r="AC1303" s="18"/>
      <c r="AD1303" s="18"/>
      <c r="AE1303" s="18"/>
      <c r="AF1303" s="18"/>
      <c r="AG1303" s="18"/>
      <c r="AH1303" s="18"/>
      <c r="AI1303" s="18"/>
      <c r="AJ1303" s="18"/>
      <c r="AK1303" s="18"/>
      <c r="AL1303" s="18"/>
      <c r="AM1303" s="18"/>
      <c r="AN1303" s="18"/>
      <c r="AO1303" s="18"/>
      <c r="AP1303" s="18"/>
      <c r="AQ1303" s="18"/>
      <c r="AR1303" s="18"/>
      <c r="AS1303" s="18"/>
      <c r="AT1303" s="18"/>
      <c r="AU1303" s="18"/>
      <c r="AV1303" s="18"/>
      <c r="AW1303" s="18"/>
      <c r="AX1303" s="18"/>
      <c r="AY1303" s="18"/>
      <c r="AZ1303" s="18"/>
      <c r="BA1303" s="18"/>
      <c r="BB1303" s="18"/>
      <c r="BC1303" s="18"/>
      <c r="BD1303" s="18"/>
      <c r="BE1303" s="18"/>
      <c r="BF1303" s="18"/>
      <c r="BG1303" s="18"/>
      <c r="BH1303" s="18"/>
      <c r="BI1303" s="18"/>
      <c r="BJ1303" s="18"/>
      <c r="BK1303" s="18"/>
      <c r="BL1303" s="18"/>
      <c r="BM1303" s="18"/>
      <c r="BN1303" s="18"/>
    </row>
    <row r="1304" spans="1:66">
      <c r="A1304" s="18"/>
      <c r="B1304" s="18"/>
      <c r="C1304" s="18"/>
      <c r="D1304" s="18"/>
      <c r="E1304" s="18"/>
      <c r="F1304" s="18"/>
      <c r="G1304" s="18"/>
      <c r="H1304" s="18"/>
      <c r="I1304" s="18"/>
      <c r="J1304" s="18"/>
      <c r="K1304" s="18"/>
      <c r="L1304" s="18"/>
      <c r="M1304" s="18"/>
      <c r="N1304" s="18"/>
      <c r="O1304" s="18"/>
      <c r="P1304" s="18"/>
      <c r="Q1304" s="18"/>
      <c r="R1304" s="18"/>
      <c r="S1304" s="18"/>
      <c r="T1304" s="18"/>
      <c r="U1304" s="18"/>
      <c r="V1304" s="18"/>
      <c r="W1304" s="18"/>
      <c r="X1304" s="18"/>
      <c r="Y1304" s="18"/>
      <c r="Z1304" s="18"/>
      <c r="AA1304" s="18"/>
      <c r="AB1304" s="18"/>
      <c r="AC1304" s="18"/>
      <c r="AD1304" s="18"/>
      <c r="AE1304" s="18"/>
      <c r="AF1304" s="18"/>
      <c r="AG1304" s="18"/>
      <c r="AH1304" s="18"/>
      <c r="AI1304" s="18"/>
      <c r="AJ1304" s="18"/>
      <c r="AK1304" s="18"/>
      <c r="AL1304" s="18"/>
      <c r="AM1304" s="18"/>
      <c r="AN1304" s="18"/>
      <c r="AO1304" s="18"/>
      <c r="AP1304" s="18"/>
      <c r="AQ1304" s="18"/>
      <c r="AR1304" s="18"/>
      <c r="AS1304" s="18"/>
      <c r="AT1304" s="18"/>
      <c r="AU1304" s="18"/>
      <c r="AV1304" s="18"/>
      <c r="AW1304" s="18"/>
      <c r="AX1304" s="18"/>
      <c r="AY1304" s="18"/>
      <c r="AZ1304" s="18"/>
      <c r="BA1304" s="18"/>
      <c r="BB1304" s="18"/>
      <c r="BC1304" s="18"/>
      <c r="BD1304" s="18"/>
      <c r="BE1304" s="18"/>
      <c r="BF1304" s="18"/>
      <c r="BG1304" s="18"/>
      <c r="BH1304" s="18"/>
      <c r="BI1304" s="18"/>
      <c r="BJ1304" s="18"/>
      <c r="BK1304" s="18"/>
      <c r="BL1304" s="18"/>
      <c r="BM1304" s="18"/>
      <c r="BN1304" s="18"/>
    </row>
    <row r="1305" spans="1:66">
      <c r="A1305" s="18"/>
      <c r="B1305" s="18"/>
      <c r="C1305" s="18"/>
      <c r="D1305" s="18"/>
      <c r="E1305" s="18"/>
      <c r="F1305" s="18"/>
      <c r="G1305" s="18"/>
      <c r="H1305" s="18"/>
      <c r="I1305" s="18"/>
      <c r="J1305" s="18"/>
      <c r="K1305" s="18"/>
      <c r="L1305" s="18"/>
      <c r="M1305" s="18"/>
      <c r="N1305" s="18"/>
      <c r="O1305" s="18"/>
      <c r="P1305" s="18"/>
      <c r="Q1305" s="18"/>
      <c r="R1305" s="18"/>
      <c r="S1305" s="18"/>
      <c r="T1305" s="18"/>
      <c r="U1305" s="18"/>
      <c r="V1305" s="18"/>
      <c r="W1305" s="18"/>
      <c r="X1305" s="18"/>
      <c r="Y1305" s="18"/>
      <c r="Z1305" s="18"/>
      <c r="AA1305" s="18"/>
      <c r="AB1305" s="18"/>
      <c r="AC1305" s="18"/>
      <c r="AD1305" s="18"/>
      <c r="AE1305" s="18"/>
      <c r="AF1305" s="18"/>
      <c r="AG1305" s="18"/>
      <c r="AH1305" s="18"/>
      <c r="AI1305" s="18"/>
      <c r="AJ1305" s="18"/>
      <c r="AK1305" s="18"/>
      <c r="AL1305" s="18"/>
      <c r="AM1305" s="18"/>
      <c r="AN1305" s="18"/>
      <c r="AO1305" s="18"/>
      <c r="AP1305" s="18"/>
      <c r="AQ1305" s="18"/>
      <c r="AR1305" s="18"/>
      <c r="AS1305" s="18"/>
      <c r="AT1305" s="18"/>
      <c r="AU1305" s="18"/>
      <c r="AV1305" s="18"/>
      <c r="AW1305" s="18"/>
      <c r="AX1305" s="18"/>
      <c r="AY1305" s="18"/>
      <c r="AZ1305" s="18"/>
      <c r="BA1305" s="18"/>
      <c r="BB1305" s="18"/>
      <c r="BC1305" s="18"/>
      <c r="BD1305" s="18"/>
      <c r="BE1305" s="18"/>
      <c r="BF1305" s="18"/>
      <c r="BG1305" s="18"/>
      <c r="BH1305" s="18"/>
      <c r="BI1305" s="18"/>
      <c r="BJ1305" s="18"/>
      <c r="BK1305" s="18"/>
      <c r="BL1305" s="18"/>
      <c r="BM1305" s="18"/>
      <c r="BN1305" s="18"/>
    </row>
    <row r="1306" spans="1:66">
      <c r="A1306" s="18"/>
      <c r="B1306" s="18"/>
      <c r="C1306" s="18"/>
      <c r="D1306" s="18"/>
      <c r="E1306" s="18"/>
      <c r="F1306" s="18"/>
      <c r="G1306" s="18"/>
      <c r="H1306" s="18"/>
      <c r="I1306" s="18"/>
      <c r="J1306" s="18"/>
      <c r="K1306" s="18"/>
      <c r="L1306" s="18"/>
      <c r="M1306" s="18"/>
      <c r="N1306" s="18"/>
      <c r="O1306" s="18"/>
      <c r="P1306" s="18"/>
      <c r="Q1306" s="18"/>
      <c r="R1306" s="18"/>
      <c r="S1306" s="18"/>
      <c r="T1306" s="18"/>
      <c r="U1306" s="18"/>
      <c r="V1306" s="18"/>
      <c r="W1306" s="18"/>
      <c r="X1306" s="18"/>
      <c r="Y1306" s="18"/>
      <c r="Z1306" s="18"/>
      <c r="AA1306" s="18"/>
      <c r="AB1306" s="18"/>
      <c r="AC1306" s="18"/>
      <c r="AD1306" s="18"/>
      <c r="AE1306" s="18"/>
      <c r="AF1306" s="18"/>
      <c r="AG1306" s="18"/>
      <c r="AH1306" s="18"/>
      <c r="AI1306" s="18"/>
      <c r="AJ1306" s="18"/>
      <c r="AK1306" s="18"/>
      <c r="AL1306" s="18"/>
      <c r="AM1306" s="18"/>
      <c r="AN1306" s="18"/>
      <c r="AO1306" s="18"/>
      <c r="AP1306" s="18"/>
      <c r="AQ1306" s="18"/>
      <c r="AR1306" s="18"/>
      <c r="AS1306" s="18"/>
      <c r="AT1306" s="18"/>
      <c r="AU1306" s="18"/>
      <c r="AV1306" s="18"/>
      <c r="AW1306" s="18"/>
      <c r="AX1306" s="18"/>
      <c r="AY1306" s="18"/>
      <c r="AZ1306" s="18"/>
      <c r="BA1306" s="18"/>
      <c r="BB1306" s="18"/>
      <c r="BC1306" s="18"/>
      <c r="BD1306" s="18"/>
      <c r="BE1306" s="18"/>
      <c r="BF1306" s="18"/>
      <c r="BG1306" s="18"/>
      <c r="BH1306" s="18"/>
      <c r="BI1306" s="18"/>
      <c r="BJ1306" s="18"/>
      <c r="BK1306" s="18"/>
      <c r="BL1306" s="18"/>
      <c r="BM1306" s="18"/>
      <c r="BN1306" s="18"/>
    </row>
    <row r="1307" spans="1:66">
      <c r="A1307" s="18"/>
      <c r="B1307" s="18"/>
      <c r="C1307" s="18"/>
      <c r="D1307" s="18"/>
      <c r="E1307" s="18"/>
      <c r="F1307" s="18"/>
      <c r="G1307" s="18"/>
      <c r="H1307" s="18"/>
      <c r="I1307" s="18"/>
      <c r="J1307" s="18"/>
      <c r="K1307" s="18"/>
      <c r="L1307" s="18"/>
      <c r="M1307" s="18"/>
      <c r="N1307" s="18"/>
      <c r="O1307" s="18"/>
      <c r="P1307" s="18"/>
      <c r="Q1307" s="18"/>
      <c r="R1307" s="18"/>
      <c r="S1307" s="18"/>
      <c r="T1307" s="18"/>
      <c r="U1307" s="18"/>
      <c r="V1307" s="18"/>
      <c r="W1307" s="18"/>
      <c r="X1307" s="18"/>
      <c r="Y1307" s="18"/>
      <c r="Z1307" s="18"/>
      <c r="AA1307" s="18"/>
      <c r="AB1307" s="18"/>
      <c r="AC1307" s="18"/>
      <c r="AD1307" s="18"/>
      <c r="AE1307" s="18"/>
      <c r="AF1307" s="18"/>
      <c r="AG1307" s="18"/>
      <c r="AH1307" s="18"/>
      <c r="AI1307" s="18"/>
      <c r="AJ1307" s="18"/>
      <c r="AK1307" s="18"/>
      <c r="AL1307" s="18"/>
      <c r="AM1307" s="18"/>
      <c r="AN1307" s="18"/>
      <c r="AO1307" s="18"/>
      <c r="AP1307" s="18"/>
      <c r="AQ1307" s="18"/>
      <c r="AR1307" s="18"/>
      <c r="AS1307" s="18"/>
      <c r="AT1307" s="18"/>
      <c r="AU1307" s="18"/>
      <c r="AV1307" s="18"/>
      <c r="AW1307" s="18"/>
      <c r="AX1307" s="18"/>
      <c r="AY1307" s="18"/>
      <c r="AZ1307" s="18"/>
      <c r="BA1307" s="18"/>
      <c r="BB1307" s="18"/>
      <c r="BC1307" s="18"/>
      <c r="BD1307" s="18"/>
      <c r="BE1307" s="18"/>
      <c r="BF1307" s="18"/>
      <c r="BG1307" s="18"/>
      <c r="BH1307" s="18"/>
      <c r="BI1307" s="18"/>
      <c r="BJ1307" s="18"/>
      <c r="BK1307" s="18"/>
      <c r="BL1307" s="18"/>
      <c r="BM1307" s="18"/>
      <c r="BN1307" s="18"/>
    </row>
    <row r="1308" spans="1:66">
      <c r="A1308" s="18"/>
      <c r="B1308" s="18"/>
      <c r="C1308" s="18"/>
      <c r="D1308" s="18"/>
      <c r="E1308" s="18"/>
      <c r="F1308" s="18"/>
      <c r="G1308" s="18"/>
      <c r="H1308" s="18"/>
      <c r="I1308" s="18"/>
      <c r="J1308" s="18"/>
      <c r="K1308" s="18"/>
      <c r="L1308" s="18"/>
      <c r="M1308" s="18"/>
      <c r="N1308" s="18"/>
      <c r="O1308" s="18"/>
      <c r="P1308" s="18"/>
      <c r="Q1308" s="18"/>
      <c r="R1308" s="18"/>
      <c r="S1308" s="18"/>
      <c r="T1308" s="18"/>
      <c r="U1308" s="18"/>
      <c r="V1308" s="18"/>
      <c r="W1308" s="18"/>
      <c r="X1308" s="18"/>
      <c r="Y1308" s="18"/>
      <c r="Z1308" s="18"/>
      <c r="AA1308" s="18"/>
      <c r="AB1308" s="18"/>
      <c r="AC1308" s="18"/>
      <c r="AD1308" s="18"/>
      <c r="AE1308" s="18"/>
      <c r="AF1308" s="18"/>
      <c r="AG1308" s="18"/>
      <c r="AH1308" s="18"/>
      <c r="AI1308" s="18"/>
      <c r="AJ1308" s="18"/>
      <c r="AK1308" s="18"/>
      <c r="AL1308" s="18"/>
      <c r="AM1308" s="18"/>
      <c r="AN1308" s="18"/>
      <c r="AO1308" s="18"/>
      <c r="AP1308" s="18"/>
      <c r="AQ1308" s="18"/>
      <c r="AR1308" s="18"/>
      <c r="AS1308" s="18"/>
      <c r="AT1308" s="18"/>
      <c r="AU1308" s="18"/>
      <c r="AV1308" s="18"/>
      <c r="AW1308" s="18"/>
      <c r="AX1308" s="18"/>
      <c r="AY1308" s="18"/>
      <c r="AZ1308" s="18"/>
      <c r="BA1308" s="18"/>
      <c r="BB1308" s="18"/>
      <c r="BC1308" s="18"/>
      <c r="BD1308" s="18"/>
      <c r="BE1308" s="18"/>
      <c r="BF1308" s="18"/>
      <c r="BG1308" s="18"/>
      <c r="BH1308" s="18"/>
      <c r="BI1308" s="18"/>
      <c r="BJ1308" s="18"/>
      <c r="BK1308" s="18"/>
      <c r="BL1308" s="18"/>
      <c r="BM1308" s="18"/>
      <c r="BN1308" s="18"/>
    </row>
    <row r="1309" spans="1:66">
      <c r="A1309" s="18"/>
      <c r="B1309" s="18"/>
      <c r="C1309" s="18"/>
      <c r="D1309" s="18"/>
      <c r="E1309" s="18"/>
      <c r="F1309" s="18"/>
      <c r="G1309" s="18"/>
      <c r="H1309" s="18"/>
      <c r="I1309" s="18"/>
      <c r="J1309" s="18"/>
      <c r="K1309" s="18"/>
      <c r="L1309" s="18"/>
      <c r="M1309" s="18"/>
      <c r="N1309" s="18"/>
      <c r="O1309" s="18"/>
      <c r="P1309" s="18"/>
      <c r="Q1309" s="18"/>
      <c r="R1309" s="18"/>
      <c r="S1309" s="18"/>
      <c r="T1309" s="18"/>
      <c r="U1309" s="18"/>
      <c r="V1309" s="18"/>
      <c r="W1309" s="18"/>
      <c r="X1309" s="18"/>
      <c r="Y1309" s="18"/>
      <c r="Z1309" s="18"/>
      <c r="AA1309" s="18"/>
      <c r="AB1309" s="18"/>
      <c r="AC1309" s="18"/>
      <c r="AD1309" s="18"/>
      <c r="AE1309" s="18"/>
      <c r="AF1309" s="18"/>
      <c r="AG1309" s="18"/>
      <c r="AH1309" s="18"/>
      <c r="AI1309" s="18"/>
      <c r="AJ1309" s="18"/>
      <c r="AK1309" s="18"/>
      <c r="AL1309" s="18"/>
      <c r="AM1309" s="18"/>
      <c r="AN1309" s="18"/>
      <c r="AO1309" s="18"/>
      <c r="AP1309" s="18"/>
      <c r="AQ1309" s="18"/>
      <c r="AR1309" s="18"/>
      <c r="AS1309" s="18"/>
      <c r="AT1309" s="18"/>
      <c r="AU1309" s="18"/>
      <c r="AV1309" s="18"/>
      <c r="AW1309" s="18"/>
      <c r="AX1309" s="18"/>
      <c r="AY1309" s="18"/>
      <c r="AZ1309" s="18"/>
      <c r="BA1309" s="18"/>
      <c r="BB1309" s="18"/>
      <c r="BC1309" s="18"/>
      <c r="BD1309" s="18"/>
      <c r="BE1309" s="18"/>
      <c r="BF1309" s="18"/>
      <c r="BG1309" s="18"/>
      <c r="BH1309" s="18"/>
      <c r="BI1309" s="18"/>
      <c r="BJ1309" s="18"/>
      <c r="BK1309" s="18"/>
      <c r="BL1309" s="18"/>
      <c r="BM1309" s="18"/>
      <c r="BN1309" s="18"/>
    </row>
    <row r="1310" spans="1:66">
      <c r="A1310" s="18"/>
      <c r="B1310" s="18"/>
      <c r="C1310" s="18"/>
      <c r="D1310" s="18"/>
      <c r="E1310" s="18"/>
      <c r="F1310" s="18"/>
      <c r="G1310" s="18"/>
      <c r="H1310" s="18"/>
      <c r="I1310" s="18"/>
      <c r="J1310" s="18"/>
      <c r="K1310" s="18"/>
      <c r="L1310" s="18"/>
      <c r="M1310" s="18"/>
      <c r="N1310" s="18"/>
      <c r="O1310" s="18"/>
      <c r="P1310" s="18"/>
      <c r="Q1310" s="18"/>
      <c r="R1310" s="18"/>
      <c r="S1310" s="18"/>
      <c r="T1310" s="18"/>
      <c r="U1310" s="18"/>
      <c r="V1310" s="18"/>
      <c r="W1310" s="18"/>
      <c r="X1310" s="18"/>
      <c r="Y1310" s="18"/>
      <c r="Z1310" s="18"/>
      <c r="AA1310" s="18"/>
      <c r="AB1310" s="18"/>
      <c r="AC1310" s="18"/>
      <c r="AD1310" s="18"/>
      <c r="AE1310" s="18"/>
      <c r="AF1310" s="18"/>
      <c r="AG1310" s="18"/>
      <c r="AH1310" s="18"/>
      <c r="AI1310" s="18"/>
      <c r="AJ1310" s="18"/>
      <c r="AK1310" s="18"/>
      <c r="AL1310" s="18"/>
      <c r="AM1310" s="18"/>
      <c r="AN1310" s="18"/>
      <c r="AO1310" s="18"/>
      <c r="AP1310" s="18"/>
      <c r="AQ1310" s="18"/>
      <c r="AR1310" s="18"/>
      <c r="AS1310" s="18"/>
      <c r="AT1310" s="18"/>
      <c r="AU1310" s="18"/>
      <c r="AV1310" s="18"/>
      <c r="AW1310" s="18"/>
      <c r="AX1310" s="18"/>
      <c r="AY1310" s="18"/>
      <c r="AZ1310" s="18"/>
      <c r="BA1310" s="18"/>
      <c r="BB1310" s="18"/>
      <c r="BC1310" s="18"/>
      <c r="BD1310" s="18"/>
      <c r="BE1310" s="18"/>
      <c r="BF1310" s="18"/>
      <c r="BG1310" s="18"/>
      <c r="BH1310" s="18"/>
      <c r="BI1310" s="18"/>
      <c r="BJ1310" s="18"/>
      <c r="BK1310" s="18"/>
      <c r="BL1310" s="18"/>
      <c r="BM1310" s="18"/>
      <c r="BN1310" s="18"/>
    </row>
    <row r="1311" spans="1:66">
      <c r="A1311" s="18"/>
      <c r="B1311" s="18"/>
      <c r="C1311" s="18"/>
      <c r="D1311" s="18"/>
      <c r="E1311" s="18"/>
      <c r="F1311" s="18"/>
      <c r="G1311" s="18"/>
      <c r="H1311" s="18"/>
      <c r="I1311" s="18"/>
      <c r="J1311" s="18"/>
      <c r="K1311" s="18"/>
      <c r="L1311" s="18"/>
      <c r="M1311" s="18"/>
      <c r="N1311" s="18"/>
      <c r="O1311" s="18"/>
      <c r="P1311" s="18"/>
      <c r="Q1311" s="18"/>
      <c r="R1311" s="18"/>
      <c r="S1311" s="18"/>
      <c r="T1311" s="18"/>
      <c r="U1311" s="18"/>
      <c r="V1311" s="18"/>
      <c r="W1311" s="18"/>
      <c r="X1311" s="18"/>
      <c r="Y1311" s="18"/>
      <c r="Z1311" s="18"/>
      <c r="AA1311" s="18"/>
      <c r="AB1311" s="18"/>
      <c r="AC1311" s="18"/>
      <c r="AD1311" s="18"/>
      <c r="AE1311" s="18"/>
      <c r="AF1311" s="18"/>
      <c r="AG1311" s="18"/>
      <c r="AH1311" s="18"/>
      <c r="AI1311" s="18"/>
      <c r="AJ1311" s="18"/>
      <c r="AK1311" s="18"/>
      <c r="AL1311" s="18"/>
      <c r="AM1311" s="18"/>
      <c r="AN1311" s="18"/>
      <c r="AO1311" s="18"/>
      <c r="AP1311" s="18"/>
      <c r="AQ1311" s="18"/>
      <c r="AR1311" s="18"/>
      <c r="AS1311" s="18"/>
      <c r="AT1311" s="18"/>
      <c r="AU1311" s="18"/>
      <c r="AV1311" s="18"/>
      <c r="AW1311" s="18"/>
      <c r="AX1311" s="18"/>
      <c r="AY1311" s="18"/>
      <c r="AZ1311" s="18"/>
      <c r="BA1311" s="18"/>
      <c r="BB1311" s="18"/>
      <c r="BC1311" s="18"/>
      <c r="BD1311" s="18"/>
      <c r="BE1311" s="18"/>
      <c r="BF1311" s="18"/>
      <c r="BG1311" s="18"/>
      <c r="BH1311" s="18"/>
      <c r="BI1311" s="18"/>
      <c r="BJ1311" s="18"/>
      <c r="BK1311" s="18"/>
      <c r="BL1311" s="18"/>
      <c r="BM1311" s="18"/>
      <c r="BN1311" s="18"/>
    </row>
    <row r="1312" spans="1:66">
      <c r="A1312" s="18"/>
      <c r="B1312" s="18"/>
      <c r="C1312" s="18"/>
      <c r="D1312" s="18"/>
      <c r="E1312" s="18"/>
      <c r="F1312" s="18"/>
      <c r="G1312" s="18"/>
      <c r="H1312" s="18"/>
      <c r="I1312" s="18"/>
      <c r="J1312" s="18"/>
      <c r="K1312" s="18"/>
      <c r="L1312" s="18"/>
      <c r="M1312" s="18"/>
      <c r="N1312" s="18"/>
      <c r="O1312" s="18"/>
      <c r="P1312" s="18"/>
      <c r="Q1312" s="18"/>
      <c r="R1312" s="18"/>
      <c r="S1312" s="18"/>
      <c r="T1312" s="18"/>
      <c r="U1312" s="18"/>
      <c r="V1312" s="18"/>
      <c r="W1312" s="18"/>
      <c r="X1312" s="18"/>
      <c r="Y1312" s="18"/>
      <c r="Z1312" s="18"/>
      <c r="AA1312" s="18"/>
      <c r="AB1312" s="18"/>
      <c r="AC1312" s="18"/>
      <c r="AD1312" s="18"/>
      <c r="AE1312" s="18"/>
      <c r="AF1312" s="18"/>
      <c r="AG1312" s="18"/>
      <c r="AH1312" s="18"/>
      <c r="AI1312" s="18"/>
      <c r="AJ1312" s="18"/>
      <c r="AK1312" s="18"/>
      <c r="AL1312" s="18"/>
      <c r="AM1312" s="18"/>
      <c r="AN1312" s="18"/>
      <c r="AO1312" s="18"/>
      <c r="AP1312" s="18"/>
      <c r="AQ1312" s="18"/>
      <c r="AR1312" s="18"/>
      <c r="AS1312" s="18"/>
      <c r="AT1312" s="18"/>
      <c r="AU1312" s="18"/>
      <c r="AV1312" s="18"/>
      <c r="AW1312" s="18"/>
      <c r="AX1312" s="18"/>
      <c r="AY1312" s="18"/>
      <c r="AZ1312" s="18"/>
      <c r="BA1312" s="18"/>
      <c r="BB1312" s="18"/>
      <c r="BC1312" s="18"/>
      <c r="BD1312" s="18"/>
      <c r="BE1312" s="18"/>
      <c r="BF1312" s="18"/>
      <c r="BG1312" s="18"/>
      <c r="BH1312" s="18"/>
      <c r="BI1312" s="18"/>
      <c r="BJ1312" s="18"/>
      <c r="BK1312" s="18"/>
      <c r="BL1312" s="18"/>
      <c r="BM1312" s="18"/>
      <c r="BN1312" s="18"/>
    </row>
    <row r="1313" spans="1:66">
      <c r="A1313" s="18"/>
      <c r="B1313" s="18"/>
      <c r="C1313" s="18"/>
      <c r="D1313" s="18"/>
      <c r="E1313" s="18"/>
      <c r="F1313" s="18"/>
      <c r="G1313" s="18"/>
      <c r="H1313" s="18"/>
      <c r="I1313" s="18"/>
      <c r="J1313" s="18"/>
      <c r="K1313" s="18"/>
      <c r="L1313" s="18"/>
      <c r="M1313" s="18"/>
      <c r="N1313" s="18"/>
      <c r="O1313" s="18"/>
      <c r="P1313" s="18"/>
      <c r="Q1313" s="18"/>
      <c r="R1313" s="18"/>
      <c r="S1313" s="18"/>
      <c r="T1313" s="18"/>
      <c r="U1313" s="18"/>
      <c r="V1313" s="18"/>
      <c r="W1313" s="18"/>
      <c r="X1313" s="18"/>
      <c r="Y1313" s="18"/>
      <c r="Z1313" s="18"/>
      <c r="AA1313" s="18"/>
      <c r="AB1313" s="18"/>
      <c r="AC1313" s="18"/>
      <c r="AD1313" s="18"/>
      <c r="AE1313" s="18"/>
      <c r="AF1313" s="18"/>
      <c r="AG1313" s="18"/>
      <c r="AH1313" s="18"/>
      <c r="AI1313" s="18"/>
      <c r="AJ1313" s="18"/>
      <c r="AK1313" s="18"/>
      <c r="AL1313" s="18"/>
      <c r="AM1313" s="18"/>
      <c r="AN1313" s="18"/>
      <c r="AO1313" s="18"/>
      <c r="AP1313" s="18"/>
      <c r="AQ1313" s="18"/>
      <c r="AR1313" s="18"/>
      <c r="AS1313" s="18"/>
      <c r="AT1313" s="18"/>
      <c r="AU1313" s="18"/>
      <c r="AV1313" s="18"/>
      <c r="AW1313" s="18"/>
      <c r="AX1313" s="18"/>
      <c r="AY1313" s="18"/>
      <c r="AZ1313" s="18"/>
      <c r="BA1313" s="18"/>
      <c r="BB1313" s="18"/>
      <c r="BC1313" s="18"/>
      <c r="BD1313" s="18"/>
      <c r="BE1313" s="18"/>
      <c r="BF1313" s="18"/>
      <c r="BG1313" s="18"/>
      <c r="BH1313" s="18"/>
      <c r="BI1313" s="18"/>
      <c r="BJ1313" s="18"/>
      <c r="BK1313" s="18"/>
      <c r="BL1313" s="18"/>
      <c r="BM1313" s="18"/>
      <c r="BN1313" s="18"/>
    </row>
    <row r="1314" spans="1:66">
      <c r="A1314" s="18"/>
      <c r="B1314" s="18"/>
      <c r="C1314" s="18"/>
      <c r="D1314" s="18"/>
      <c r="E1314" s="18"/>
      <c r="F1314" s="18"/>
      <c r="G1314" s="18"/>
      <c r="H1314" s="18"/>
      <c r="I1314" s="18"/>
      <c r="J1314" s="18"/>
      <c r="K1314" s="18"/>
      <c r="L1314" s="18"/>
      <c r="M1314" s="18"/>
      <c r="N1314" s="18"/>
      <c r="O1314" s="18"/>
      <c r="P1314" s="18"/>
      <c r="Q1314" s="18"/>
      <c r="R1314" s="18"/>
      <c r="S1314" s="18"/>
      <c r="T1314" s="18"/>
      <c r="U1314" s="18"/>
      <c r="V1314" s="18"/>
      <c r="W1314" s="18"/>
      <c r="X1314" s="18"/>
      <c r="Y1314" s="18"/>
      <c r="Z1314" s="18"/>
      <c r="AA1314" s="18"/>
      <c r="AB1314" s="18"/>
      <c r="AC1314" s="18"/>
      <c r="AD1314" s="18"/>
      <c r="AE1314" s="18"/>
      <c r="AF1314" s="18"/>
      <c r="AG1314" s="18"/>
      <c r="AH1314" s="18"/>
      <c r="AI1314" s="18"/>
      <c r="AJ1314" s="18"/>
      <c r="AK1314" s="18"/>
      <c r="AL1314" s="18"/>
      <c r="AM1314" s="18"/>
      <c r="AN1314" s="18"/>
      <c r="AO1314" s="18"/>
      <c r="AP1314" s="18"/>
      <c r="AQ1314" s="18"/>
      <c r="AR1314" s="18"/>
      <c r="AS1314" s="18"/>
      <c r="AT1314" s="18"/>
      <c r="AU1314" s="18"/>
      <c r="AV1314" s="18"/>
      <c r="AW1314" s="18"/>
      <c r="AX1314" s="18"/>
      <c r="AY1314" s="18"/>
      <c r="AZ1314" s="18"/>
      <c r="BA1314" s="18"/>
      <c r="BB1314" s="18"/>
      <c r="BC1314" s="18"/>
      <c r="BD1314" s="18"/>
      <c r="BE1314" s="18"/>
      <c r="BF1314" s="18"/>
      <c r="BG1314" s="18"/>
      <c r="BH1314" s="18"/>
      <c r="BI1314" s="18"/>
      <c r="BJ1314" s="18"/>
      <c r="BK1314" s="18"/>
      <c r="BL1314" s="18"/>
      <c r="BM1314" s="18"/>
      <c r="BN1314" s="18"/>
    </row>
    <row r="1315" spans="1:66">
      <c r="A1315" s="18"/>
      <c r="B1315" s="18"/>
      <c r="C1315" s="18"/>
      <c r="D1315" s="18"/>
      <c r="E1315" s="18"/>
      <c r="F1315" s="18"/>
      <c r="G1315" s="18"/>
      <c r="H1315" s="18"/>
      <c r="I1315" s="18"/>
      <c r="J1315" s="18"/>
      <c r="K1315" s="18"/>
      <c r="L1315" s="18"/>
      <c r="M1315" s="18"/>
      <c r="N1315" s="18"/>
      <c r="O1315" s="18"/>
      <c r="P1315" s="18"/>
      <c r="Q1315" s="18"/>
      <c r="R1315" s="18"/>
      <c r="S1315" s="18"/>
      <c r="T1315" s="18"/>
      <c r="U1315" s="18"/>
      <c r="V1315" s="18"/>
      <c r="W1315" s="18"/>
      <c r="X1315" s="18"/>
      <c r="Y1315" s="18"/>
      <c r="Z1315" s="18"/>
      <c r="AA1315" s="18"/>
      <c r="AB1315" s="18"/>
      <c r="AC1315" s="18"/>
      <c r="AD1315" s="18"/>
      <c r="AE1315" s="18"/>
      <c r="AF1315" s="18"/>
      <c r="AG1315" s="18"/>
      <c r="AH1315" s="18"/>
      <c r="AI1315" s="18"/>
      <c r="AJ1315" s="18"/>
      <c r="AK1315" s="18"/>
      <c r="AL1315" s="18"/>
      <c r="AM1315" s="18"/>
      <c r="AN1315" s="18"/>
      <c r="AO1315" s="18"/>
      <c r="AP1315" s="18"/>
      <c r="AQ1315" s="18"/>
      <c r="AR1315" s="18"/>
      <c r="AS1315" s="18"/>
      <c r="AT1315" s="18"/>
      <c r="AU1315" s="18"/>
      <c r="AV1315" s="18"/>
      <c r="AW1315" s="18"/>
      <c r="AX1315" s="18"/>
      <c r="AY1315" s="18"/>
      <c r="AZ1315" s="18"/>
      <c r="BA1315" s="18"/>
      <c r="BB1315" s="18"/>
      <c r="BC1315" s="18"/>
      <c r="BD1315" s="18"/>
      <c r="BE1315" s="18"/>
      <c r="BF1315" s="18"/>
      <c r="BG1315" s="18"/>
      <c r="BH1315" s="18"/>
      <c r="BI1315" s="18"/>
      <c r="BJ1315" s="18"/>
      <c r="BK1315" s="18"/>
      <c r="BL1315" s="18"/>
      <c r="BM1315" s="18"/>
      <c r="BN1315" s="18"/>
    </row>
    <row r="1316" spans="1:66">
      <c r="A1316" s="18"/>
      <c r="B1316" s="18"/>
      <c r="C1316" s="18"/>
      <c r="D1316" s="18"/>
      <c r="E1316" s="18"/>
      <c r="F1316" s="18"/>
      <c r="G1316" s="18"/>
      <c r="H1316" s="18"/>
      <c r="I1316" s="18"/>
      <c r="J1316" s="18"/>
      <c r="K1316" s="18"/>
      <c r="L1316" s="18"/>
      <c r="M1316" s="18"/>
      <c r="N1316" s="18"/>
      <c r="O1316" s="18"/>
      <c r="P1316" s="18"/>
      <c r="Q1316" s="18"/>
      <c r="R1316" s="18"/>
      <c r="S1316" s="18"/>
      <c r="T1316" s="18"/>
      <c r="U1316" s="18"/>
      <c r="V1316" s="18"/>
      <c r="W1316" s="18"/>
      <c r="X1316" s="18"/>
      <c r="Y1316" s="18"/>
      <c r="Z1316" s="18"/>
      <c r="AA1316" s="18"/>
      <c r="AB1316" s="18"/>
      <c r="AC1316" s="18"/>
      <c r="AD1316" s="18"/>
      <c r="AE1316" s="18"/>
      <c r="AF1316" s="18"/>
      <c r="AG1316" s="18"/>
      <c r="AH1316" s="18"/>
      <c r="AI1316" s="18"/>
      <c r="AJ1316" s="18"/>
      <c r="AK1316" s="18"/>
      <c r="AL1316" s="18"/>
      <c r="AM1316" s="18"/>
      <c r="AN1316" s="18"/>
      <c r="AO1316" s="18"/>
      <c r="AP1316" s="18"/>
      <c r="AQ1316" s="18"/>
      <c r="AR1316" s="18"/>
      <c r="AS1316" s="18"/>
      <c r="AT1316" s="18"/>
      <c r="AU1316" s="18"/>
      <c r="AV1316" s="18"/>
      <c r="AW1316" s="18"/>
      <c r="AX1316" s="18"/>
      <c r="AY1316" s="18"/>
      <c r="AZ1316" s="18"/>
      <c r="BA1316" s="18"/>
      <c r="BB1316" s="18"/>
      <c r="BC1316" s="18"/>
      <c r="BD1316" s="18"/>
      <c r="BE1316" s="18"/>
      <c r="BF1316" s="18"/>
      <c r="BG1316" s="18"/>
      <c r="BH1316" s="18"/>
      <c r="BI1316" s="18"/>
      <c r="BJ1316" s="18"/>
      <c r="BK1316" s="18"/>
      <c r="BL1316" s="18"/>
      <c r="BM1316" s="18"/>
      <c r="BN1316" s="18"/>
    </row>
    <row r="1317" spans="1:66">
      <c r="A1317" s="18"/>
      <c r="B1317" s="18"/>
      <c r="C1317" s="18"/>
      <c r="D1317" s="18"/>
      <c r="E1317" s="18"/>
      <c r="F1317" s="18"/>
      <c r="G1317" s="18"/>
      <c r="H1317" s="18"/>
      <c r="I1317" s="18"/>
      <c r="J1317" s="18"/>
      <c r="K1317" s="18"/>
      <c r="L1317" s="18"/>
      <c r="M1317" s="18"/>
      <c r="N1317" s="18"/>
      <c r="O1317" s="18"/>
      <c r="P1317" s="18"/>
      <c r="Q1317" s="18"/>
      <c r="R1317" s="18"/>
      <c r="S1317" s="18"/>
      <c r="T1317" s="18"/>
      <c r="U1317" s="18"/>
      <c r="V1317" s="18"/>
      <c r="W1317" s="18"/>
      <c r="X1317" s="18"/>
      <c r="Y1317" s="18"/>
      <c r="Z1317" s="18"/>
      <c r="AA1317" s="18"/>
      <c r="AB1317" s="18"/>
      <c r="AC1317" s="18"/>
      <c r="AD1317" s="18"/>
      <c r="AE1317" s="18"/>
      <c r="AF1317" s="18"/>
      <c r="AG1317" s="18"/>
      <c r="AH1317" s="18"/>
      <c r="AI1317" s="18"/>
      <c r="AJ1317" s="18"/>
      <c r="AK1317" s="18"/>
      <c r="AL1317" s="18"/>
      <c r="AM1317" s="18"/>
      <c r="AN1317" s="18"/>
      <c r="AO1317" s="18"/>
      <c r="AP1317" s="18"/>
      <c r="AQ1317" s="18"/>
      <c r="AR1317" s="18"/>
      <c r="AS1317" s="18"/>
      <c r="AT1317" s="18"/>
      <c r="AU1317" s="18"/>
      <c r="AV1317" s="18"/>
      <c r="AW1317" s="18"/>
      <c r="AX1317" s="18"/>
      <c r="AY1317" s="18"/>
      <c r="AZ1317" s="18"/>
      <c r="BA1317" s="18"/>
      <c r="BB1317" s="18"/>
      <c r="BC1317" s="18"/>
      <c r="BD1317" s="18"/>
      <c r="BE1317" s="18"/>
      <c r="BF1317" s="18"/>
      <c r="BG1317" s="18"/>
      <c r="BH1317" s="18"/>
      <c r="BI1317" s="18"/>
      <c r="BJ1317" s="18"/>
      <c r="BK1317" s="18"/>
      <c r="BL1317" s="18"/>
      <c r="BM1317" s="18"/>
      <c r="BN1317" s="18"/>
    </row>
    <row r="1318" spans="1:66">
      <c r="A1318" s="18"/>
      <c r="B1318" s="18"/>
      <c r="C1318" s="18"/>
      <c r="D1318" s="18"/>
      <c r="E1318" s="18"/>
      <c r="F1318" s="18"/>
      <c r="G1318" s="18"/>
      <c r="H1318" s="18"/>
      <c r="I1318" s="18"/>
      <c r="J1318" s="18"/>
      <c r="K1318" s="18"/>
      <c r="L1318" s="18"/>
      <c r="M1318" s="18"/>
      <c r="N1318" s="18"/>
      <c r="O1318" s="18"/>
      <c r="P1318" s="18"/>
      <c r="Q1318" s="18"/>
      <c r="R1318" s="18"/>
      <c r="S1318" s="18"/>
      <c r="T1318" s="18"/>
      <c r="U1318" s="18"/>
      <c r="V1318" s="18"/>
      <c r="W1318" s="18"/>
      <c r="X1318" s="18"/>
      <c r="Y1318" s="18"/>
      <c r="Z1318" s="18"/>
      <c r="AA1318" s="18"/>
      <c r="AB1318" s="18"/>
      <c r="AC1318" s="18"/>
      <c r="AD1318" s="18"/>
      <c r="AE1318" s="18"/>
      <c r="AF1318" s="18"/>
      <c r="AG1318" s="18"/>
      <c r="AH1318" s="18"/>
      <c r="AI1318" s="18"/>
      <c r="AJ1318" s="18"/>
      <c r="AK1318" s="18"/>
      <c r="AL1318" s="18"/>
      <c r="AM1318" s="18"/>
      <c r="AN1318" s="18"/>
      <c r="AO1318" s="18"/>
      <c r="AP1318" s="18"/>
      <c r="AQ1318" s="18"/>
      <c r="AR1318" s="18"/>
      <c r="AS1318" s="18"/>
      <c r="AT1318" s="18"/>
      <c r="AU1318" s="18"/>
      <c r="AV1318" s="18"/>
      <c r="AW1318" s="18"/>
      <c r="AX1318" s="18"/>
      <c r="AY1318" s="18"/>
      <c r="AZ1318" s="18"/>
      <c r="BA1318" s="18"/>
      <c r="BB1318" s="18"/>
      <c r="BC1318" s="18"/>
      <c r="BD1318" s="18"/>
      <c r="BE1318" s="18"/>
      <c r="BF1318" s="18"/>
      <c r="BG1318" s="18"/>
      <c r="BH1318" s="18"/>
      <c r="BI1318" s="18"/>
      <c r="BJ1318" s="18"/>
      <c r="BK1318" s="18"/>
      <c r="BL1318" s="18"/>
      <c r="BM1318" s="18"/>
      <c r="BN1318" s="18"/>
    </row>
    <row r="1319" spans="1:66">
      <c r="A1319" s="18"/>
      <c r="B1319" s="18"/>
      <c r="C1319" s="18"/>
      <c r="D1319" s="18"/>
      <c r="E1319" s="18"/>
      <c r="F1319" s="18"/>
      <c r="G1319" s="18"/>
      <c r="H1319" s="18"/>
      <c r="I1319" s="18"/>
      <c r="J1319" s="18"/>
      <c r="K1319" s="18"/>
      <c r="L1319" s="18"/>
      <c r="M1319" s="18"/>
      <c r="N1319" s="18"/>
      <c r="O1319" s="18"/>
      <c r="P1319" s="18"/>
      <c r="Q1319" s="18"/>
      <c r="R1319" s="18"/>
      <c r="S1319" s="18"/>
      <c r="T1319" s="18"/>
      <c r="U1319" s="18"/>
      <c r="V1319" s="18"/>
      <c r="W1319" s="18"/>
      <c r="X1319" s="18"/>
      <c r="Y1319" s="18"/>
      <c r="Z1319" s="18"/>
      <c r="AA1319" s="18"/>
      <c r="AB1319" s="18"/>
      <c r="AC1319" s="18"/>
      <c r="AD1319" s="18"/>
      <c r="AE1319" s="18"/>
      <c r="AF1319" s="18"/>
      <c r="AG1319" s="18"/>
      <c r="AH1319" s="18"/>
      <c r="AI1319" s="18"/>
      <c r="AJ1319" s="18"/>
      <c r="AK1319" s="18"/>
      <c r="AL1319" s="18"/>
      <c r="AM1319" s="18"/>
      <c r="AN1319" s="18"/>
      <c r="AO1319" s="18"/>
      <c r="AP1319" s="18"/>
      <c r="AQ1319" s="18"/>
      <c r="AR1319" s="18"/>
      <c r="AS1319" s="18"/>
      <c r="AT1319" s="18"/>
      <c r="AU1319" s="18"/>
      <c r="AV1319" s="18"/>
      <c r="AW1319" s="18"/>
      <c r="AX1319" s="18"/>
      <c r="AY1319" s="18"/>
      <c r="AZ1319" s="18"/>
      <c r="BA1319" s="18"/>
      <c r="BB1319" s="18"/>
      <c r="BC1319" s="18"/>
      <c r="BD1319" s="18"/>
      <c r="BE1319" s="18"/>
      <c r="BF1319" s="18"/>
      <c r="BG1319" s="18"/>
      <c r="BH1319" s="18"/>
      <c r="BI1319" s="18"/>
      <c r="BJ1319" s="18"/>
      <c r="BK1319" s="18"/>
      <c r="BL1319" s="18"/>
      <c r="BM1319" s="18"/>
      <c r="BN1319" s="18"/>
    </row>
    <row r="1320" spans="1:66">
      <c r="A1320" s="18"/>
      <c r="B1320" s="18"/>
      <c r="C1320" s="18"/>
      <c r="D1320" s="18"/>
      <c r="E1320" s="18"/>
      <c r="F1320" s="18"/>
      <c r="G1320" s="18"/>
      <c r="H1320" s="18"/>
      <c r="I1320" s="18"/>
      <c r="J1320" s="18"/>
      <c r="K1320" s="18"/>
      <c r="L1320" s="18"/>
      <c r="M1320" s="18"/>
      <c r="N1320" s="18"/>
      <c r="O1320" s="18"/>
      <c r="P1320" s="18"/>
      <c r="Q1320" s="18"/>
      <c r="R1320" s="18"/>
      <c r="S1320" s="18"/>
      <c r="T1320" s="18"/>
      <c r="U1320" s="18"/>
      <c r="V1320" s="18"/>
      <c r="W1320" s="18"/>
      <c r="X1320" s="18"/>
      <c r="Y1320" s="18"/>
      <c r="Z1320" s="18"/>
      <c r="AA1320" s="18"/>
      <c r="AB1320" s="18"/>
      <c r="AC1320" s="18"/>
      <c r="AD1320" s="18"/>
      <c r="AE1320" s="18"/>
      <c r="AF1320" s="18"/>
      <c r="AG1320" s="18"/>
      <c r="AH1320" s="18"/>
      <c r="AI1320" s="18"/>
      <c r="AJ1320" s="18"/>
      <c r="AK1320" s="18"/>
      <c r="AL1320" s="18"/>
      <c r="AM1320" s="18"/>
      <c r="AN1320" s="18"/>
      <c r="AO1320" s="18"/>
      <c r="AP1320" s="18"/>
      <c r="AQ1320" s="18"/>
      <c r="AR1320" s="18"/>
      <c r="AS1320" s="18"/>
      <c r="AT1320" s="18"/>
      <c r="AU1320" s="18"/>
      <c r="AV1320" s="18"/>
      <c r="AW1320" s="18"/>
      <c r="AX1320" s="18"/>
      <c r="AY1320" s="18"/>
      <c r="AZ1320" s="18"/>
      <c r="BA1320" s="18"/>
      <c r="BB1320" s="18"/>
      <c r="BC1320" s="18"/>
      <c r="BD1320" s="18"/>
      <c r="BE1320" s="18"/>
      <c r="BF1320" s="18"/>
      <c r="BG1320" s="18"/>
      <c r="BH1320" s="18"/>
      <c r="BI1320" s="18"/>
      <c r="BJ1320" s="18"/>
      <c r="BK1320" s="18"/>
      <c r="BL1320" s="18"/>
      <c r="BM1320" s="18"/>
      <c r="BN1320" s="18"/>
    </row>
    <row r="1321" spans="1:66">
      <c r="A1321" s="18"/>
      <c r="B1321" s="18"/>
      <c r="C1321" s="18"/>
      <c r="D1321" s="18"/>
      <c r="E1321" s="18"/>
      <c r="F1321" s="18"/>
      <c r="G1321" s="18"/>
      <c r="H1321" s="18"/>
      <c r="I1321" s="18"/>
      <c r="J1321" s="18"/>
      <c r="K1321" s="18"/>
      <c r="L1321" s="18"/>
      <c r="M1321" s="18"/>
      <c r="N1321" s="18"/>
      <c r="O1321" s="18"/>
      <c r="P1321" s="18"/>
      <c r="Q1321" s="18"/>
      <c r="R1321" s="18"/>
      <c r="S1321" s="18"/>
      <c r="T1321" s="18"/>
      <c r="U1321" s="18"/>
      <c r="V1321" s="18"/>
      <c r="W1321" s="18"/>
      <c r="X1321" s="18"/>
      <c r="Y1321" s="18"/>
      <c r="Z1321" s="18"/>
      <c r="AA1321" s="18"/>
      <c r="AB1321" s="18"/>
      <c r="AC1321" s="18"/>
      <c r="AD1321" s="18"/>
      <c r="AE1321" s="18"/>
      <c r="AF1321" s="18"/>
      <c r="AG1321" s="18"/>
      <c r="AH1321" s="18"/>
      <c r="AI1321" s="18"/>
      <c r="AJ1321" s="18"/>
      <c r="AK1321" s="18"/>
      <c r="AL1321" s="18"/>
      <c r="AM1321" s="18"/>
      <c r="AN1321" s="18"/>
      <c r="AO1321" s="18"/>
      <c r="AP1321" s="18"/>
      <c r="AQ1321" s="18"/>
      <c r="AR1321" s="18"/>
      <c r="AS1321" s="18"/>
      <c r="AT1321" s="18"/>
      <c r="AU1321" s="18"/>
      <c r="AV1321" s="18"/>
      <c r="AW1321" s="18"/>
      <c r="AX1321" s="18"/>
      <c r="AY1321" s="18"/>
      <c r="AZ1321" s="18"/>
      <c r="BA1321" s="18"/>
      <c r="BB1321" s="18"/>
      <c r="BC1321" s="18"/>
      <c r="BD1321" s="18"/>
      <c r="BE1321" s="18"/>
      <c r="BF1321" s="18"/>
      <c r="BG1321" s="18"/>
      <c r="BH1321" s="18"/>
      <c r="BI1321" s="18"/>
      <c r="BJ1321" s="18"/>
      <c r="BK1321" s="18"/>
      <c r="BL1321" s="18"/>
      <c r="BM1321" s="18"/>
      <c r="BN1321" s="18"/>
    </row>
    <row r="1322" spans="1:66">
      <c r="A1322" s="18"/>
      <c r="B1322" s="18"/>
      <c r="C1322" s="18"/>
      <c r="D1322" s="18"/>
      <c r="E1322" s="18"/>
      <c r="F1322" s="18"/>
      <c r="G1322" s="18"/>
      <c r="H1322" s="18"/>
      <c r="I1322" s="18"/>
      <c r="J1322" s="18"/>
      <c r="K1322" s="18"/>
      <c r="L1322" s="18"/>
      <c r="M1322" s="18"/>
      <c r="N1322" s="18"/>
      <c r="O1322" s="18"/>
      <c r="P1322" s="18"/>
      <c r="Q1322" s="18"/>
      <c r="R1322" s="18"/>
      <c r="S1322" s="18"/>
      <c r="T1322" s="18"/>
      <c r="U1322" s="18"/>
      <c r="V1322" s="18"/>
      <c r="W1322" s="18"/>
      <c r="X1322" s="18"/>
      <c r="Y1322" s="18"/>
      <c r="Z1322" s="18"/>
      <c r="AA1322" s="18"/>
      <c r="AB1322" s="18"/>
      <c r="AC1322" s="18"/>
      <c r="AD1322" s="18"/>
      <c r="AE1322" s="18"/>
      <c r="AF1322" s="18"/>
      <c r="AG1322" s="18"/>
      <c r="AH1322" s="18"/>
      <c r="AI1322" s="18"/>
      <c r="AJ1322" s="18"/>
      <c r="AK1322" s="18"/>
      <c r="AL1322" s="18"/>
      <c r="AM1322" s="18"/>
      <c r="AN1322" s="18"/>
      <c r="AO1322" s="18"/>
      <c r="AP1322" s="18"/>
      <c r="AQ1322" s="18"/>
      <c r="AR1322" s="18"/>
      <c r="AS1322" s="18"/>
      <c r="AT1322" s="18"/>
      <c r="AU1322" s="18"/>
      <c r="AV1322" s="18"/>
      <c r="AW1322" s="18"/>
      <c r="AX1322" s="18"/>
      <c r="AY1322" s="18"/>
      <c r="AZ1322" s="18"/>
      <c r="BA1322" s="18"/>
      <c r="BB1322" s="18"/>
      <c r="BC1322" s="18"/>
      <c r="BD1322" s="18"/>
      <c r="BE1322" s="18"/>
      <c r="BF1322" s="18"/>
      <c r="BG1322" s="18"/>
      <c r="BH1322" s="18"/>
      <c r="BI1322" s="18"/>
      <c r="BJ1322" s="18"/>
      <c r="BK1322" s="18"/>
      <c r="BL1322" s="18"/>
      <c r="BM1322" s="18"/>
      <c r="BN1322" s="18"/>
    </row>
    <row r="1323" spans="1:66">
      <c r="A1323" s="18"/>
      <c r="B1323" s="18"/>
      <c r="C1323" s="18"/>
      <c r="D1323" s="18"/>
      <c r="E1323" s="18"/>
      <c r="F1323" s="18"/>
      <c r="G1323" s="18"/>
      <c r="H1323" s="18"/>
      <c r="I1323" s="18"/>
      <c r="J1323" s="18"/>
      <c r="K1323" s="18"/>
      <c r="L1323" s="18"/>
      <c r="M1323" s="18"/>
      <c r="N1323" s="18"/>
      <c r="O1323" s="18"/>
      <c r="P1323" s="18"/>
      <c r="Q1323" s="18"/>
      <c r="R1323" s="18"/>
      <c r="S1323" s="18"/>
      <c r="T1323" s="18"/>
      <c r="U1323" s="18"/>
      <c r="V1323" s="18"/>
      <c r="W1323" s="18"/>
      <c r="X1323" s="18"/>
      <c r="Y1323" s="18"/>
      <c r="Z1323" s="18"/>
      <c r="AA1323" s="18"/>
      <c r="AB1323" s="18"/>
      <c r="AC1323" s="18"/>
      <c r="AD1323" s="18"/>
      <c r="AE1323" s="18"/>
      <c r="AF1323" s="18"/>
      <c r="AG1323" s="18"/>
      <c r="AH1323" s="18"/>
      <c r="AI1323" s="18"/>
      <c r="AJ1323" s="18"/>
      <c r="AK1323" s="18"/>
      <c r="AL1323" s="18"/>
      <c r="AM1323" s="18"/>
      <c r="AN1323" s="18"/>
      <c r="AO1323" s="18"/>
      <c r="AP1323" s="18"/>
      <c r="AQ1323" s="18"/>
      <c r="AR1323" s="18"/>
      <c r="AS1323" s="18"/>
      <c r="AT1323" s="18"/>
      <c r="AU1323" s="18"/>
      <c r="AV1323" s="18"/>
      <c r="AW1323" s="18"/>
      <c r="AX1323" s="18"/>
      <c r="AY1323" s="18"/>
      <c r="AZ1323" s="18"/>
      <c r="BA1323" s="18"/>
      <c r="BB1323" s="18"/>
      <c r="BC1323" s="18"/>
      <c r="BD1323" s="18"/>
      <c r="BE1323" s="18"/>
      <c r="BF1323" s="18"/>
      <c r="BG1323" s="18"/>
      <c r="BH1323" s="18"/>
      <c r="BI1323" s="18"/>
      <c r="BJ1323" s="18"/>
      <c r="BK1323" s="18"/>
      <c r="BL1323" s="18"/>
      <c r="BM1323" s="18"/>
      <c r="BN1323" s="18"/>
    </row>
    <row r="1324" spans="1:66">
      <c r="A1324" s="18"/>
      <c r="B1324" s="18"/>
      <c r="C1324" s="18"/>
      <c r="D1324" s="18"/>
      <c r="E1324" s="18"/>
      <c r="F1324" s="18"/>
      <c r="G1324" s="18"/>
      <c r="H1324" s="18"/>
      <c r="I1324" s="18"/>
      <c r="J1324" s="18"/>
      <c r="K1324" s="18"/>
      <c r="L1324" s="18"/>
      <c r="M1324" s="18"/>
      <c r="N1324" s="18"/>
      <c r="O1324" s="18"/>
      <c r="P1324" s="18"/>
      <c r="Q1324" s="18"/>
      <c r="R1324" s="18"/>
      <c r="S1324" s="18"/>
      <c r="T1324" s="18"/>
      <c r="U1324" s="18"/>
      <c r="V1324" s="18"/>
      <c r="W1324" s="18"/>
      <c r="X1324" s="18"/>
      <c r="Y1324" s="18"/>
      <c r="Z1324" s="18"/>
      <c r="AA1324" s="18"/>
      <c r="AB1324" s="18"/>
      <c r="AC1324" s="18"/>
      <c r="AD1324" s="18"/>
      <c r="AE1324" s="18"/>
      <c r="AF1324" s="18"/>
      <c r="AG1324" s="18"/>
      <c r="AH1324" s="18"/>
      <c r="AI1324" s="18"/>
      <c r="AJ1324" s="18"/>
      <c r="AK1324" s="18"/>
      <c r="AL1324" s="18"/>
      <c r="AM1324" s="18"/>
      <c r="AN1324" s="18"/>
      <c r="AO1324" s="18"/>
      <c r="AP1324" s="18"/>
      <c r="AQ1324" s="18"/>
      <c r="AR1324" s="18"/>
      <c r="AS1324" s="18"/>
      <c r="AT1324" s="18"/>
      <c r="AU1324" s="18"/>
      <c r="AV1324" s="18"/>
      <c r="AW1324" s="18"/>
      <c r="AX1324" s="18"/>
      <c r="AY1324" s="18"/>
      <c r="AZ1324" s="18"/>
      <c r="BA1324" s="18"/>
      <c r="BB1324" s="18"/>
      <c r="BC1324" s="18"/>
      <c r="BD1324" s="18"/>
      <c r="BE1324" s="18"/>
      <c r="BF1324" s="18"/>
      <c r="BG1324" s="18"/>
      <c r="BH1324" s="18"/>
      <c r="BI1324" s="18"/>
      <c r="BJ1324" s="18"/>
      <c r="BK1324" s="18"/>
      <c r="BL1324" s="18"/>
      <c r="BM1324" s="18"/>
      <c r="BN1324" s="18"/>
    </row>
    <row r="1325" spans="1:66">
      <c r="A1325" s="18"/>
      <c r="B1325" s="18"/>
      <c r="C1325" s="18"/>
      <c r="D1325" s="18"/>
      <c r="E1325" s="18"/>
      <c r="F1325" s="18"/>
      <c r="G1325" s="18"/>
      <c r="H1325" s="18"/>
      <c r="I1325" s="18"/>
      <c r="J1325" s="18"/>
      <c r="K1325" s="18"/>
      <c r="L1325" s="18"/>
      <c r="M1325" s="18"/>
      <c r="N1325" s="18"/>
      <c r="O1325" s="18"/>
      <c r="P1325" s="18"/>
      <c r="Q1325" s="18"/>
      <c r="R1325" s="18"/>
      <c r="S1325" s="18"/>
      <c r="T1325" s="18"/>
      <c r="U1325" s="18"/>
      <c r="V1325" s="18"/>
      <c r="W1325" s="18"/>
      <c r="X1325" s="18"/>
      <c r="Y1325" s="18"/>
      <c r="Z1325" s="18"/>
      <c r="AA1325" s="18"/>
      <c r="AB1325" s="18"/>
      <c r="AC1325" s="18"/>
      <c r="AD1325" s="18"/>
      <c r="AE1325" s="18"/>
      <c r="AF1325" s="18"/>
      <c r="AG1325" s="18"/>
      <c r="AH1325" s="18"/>
      <c r="AI1325" s="18"/>
      <c r="AJ1325" s="18"/>
      <c r="AK1325" s="18"/>
      <c r="AL1325" s="18"/>
      <c r="AM1325" s="18"/>
      <c r="AN1325" s="18"/>
      <c r="AO1325" s="18"/>
      <c r="AP1325" s="18"/>
      <c r="AQ1325" s="18"/>
      <c r="AR1325" s="18"/>
      <c r="AS1325" s="18"/>
      <c r="AT1325" s="18"/>
      <c r="AU1325" s="18"/>
      <c r="AV1325" s="18"/>
      <c r="AW1325" s="18"/>
      <c r="AX1325" s="18"/>
      <c r="AY1325" s="18"/>
      <c r="AZ1325" s="18"/>
      <c r="BA1325" s="18"/>
      <c r="BB1325" s="18"/>
      <c r="BC1325" s="18"/>
      <c r="BD1325" s="18"/>
      <c r="BE1325" s="18"/>
      <c r="BF1325" s="18"/>
      <c r="BG1325" s="18"/>
      <c r="BH1325" s="18"/>
      <c r="BI1325" s="18"/>
      <c r="BJ1325" s="18"/>
      <c r="BK1325" s="18"/>
      <c r="BL1325" s="18"/>
      <c r="BM1325" s="18"/>
      <c r="BN1325" s="18"/>
    </row>
    <row r="1326" spans="1:66">
      <c r="A1326" s="18"/>
      <c r="B1326" s="18"/>
      <c r="C1326" s="18"/>
      <c r="D1326" s="18"/>
      <c r="E1326" s="18"/>
      <c r="F1326" s="18"/>
      <c r="G1326" s="18"/>
      <c r="H1326" s="18"/>
      <c r="I1326" s="18"/>
      <c r="J1326" s="18"/>
      <c r="K1326" s="18"/>
      <c r="L1326" s="18"/>
      <c r="M1326" s="18"/>
      <c r="N1326" s="18"/>
      <c r="O1326" s="18"/>
      <c r="P1326" s="18"/>
      <c r="Q1326" s="18"/>
      <c r="R1326" s="18"/>
      <c r="S1326" s="18"/>
      <c r="T1326" s="18"/>
      <c r="U1326" s="18"/>
      <c r="V1326" s="18"/>
      <c r="W1326" s="18"/>
      <c r="X1326" s="18"/>
      <c r="Y1326" s="18"/>
      <c r="Z1326" s="18"/>
      <c r="AA1326" s="18"/>
      <c r="AB1326" s="18"/>
      <c r="AC1326" s="18"/>
      <c r="AD1326" s="18"/>
      <c r="AE1326" s="18"/>
      <c r="AF1326" s="18"/>
      <c r="AG1326" s="18"/>
      <c r="AH1326" s="18"/>
      <c r="AI1326" s="18"/>
      <c r="AJ1326" s="18"/>
      <c r="AK1326" s="18"/>
      <c r="AL1326" s="18"/>
      <c r="AM1326" s="18"/>
      <c r="AN1326" s="18"/>
      <c r="AO1326" s="18"/>
      <c r="AP1326" s="18"/>
      <c r="AQ1326" s="18"/>
      <c r="AR1326" s="18"/>
      <c r="AS1326" s="18"/>
      <c r="AT1326" s="18"/>
      <c r="AU1326" s="18"/>
      <c r="AV1326" s="18"/>
      <c r="AW1326" s="18"/>
      <c r="AX1326" s="18"/>
      <c r="AY1326" s="18"/>
      <c r="AZ1326" s="18"/>
      <c r="BA1326" s="18"/>
      <c r="BB1326" s="18"/>
      <c r="BC1326" s="18"/>
      <c r="BD1326" s="18"/>
      <c r="BE1326" s="18"/>
      <c r="BF1326" s="18"/>
      <c r="BG1326" s="18"/>
      <c r="BH1326" s="18"/>
      <c r="BI1326" s="18"/>
      <c r="BJ1326" s="18"/>
      <c r="BK1326" s="18"/>
      <c r="BL1326" s="18"/>
      <c r="BM1326" s="18"/>
      <c r="BN1326" s="18"/>
    </row>
    <row r="1327" spans="1:66">
      <c r="A1327" s="18"/>
      <c r="B1327" s="18"/>
      <c r="C1327" s="18"/>
      <c r="D1327" s="18"/>
      <c r="E1327" s="18"/>
      <c r="F1327" s="18"/>
      <c r="G1327" s="18"/>
      <c r="H1327" s="18"/>
      <c r="I1327" s="18"/>
      <c r="J1327" s="18"/>
      <c r="K1327" s="18"/>
      <c r="L1327" s="18"/>
      <c r="M1327" s="18"/>
      <c r="N1327" s="18"/>
      <c r="O1327" s="18"/>
      <c r="P1327" s="18"/>
      <c r="Q1327" s="18"/>
      <c r="R1327" s="18"/>
      <c r="S1327" s="18"/>
      <c r="T1327" s="18"/>
      <c r="U1327" s="18"/>
      <c r="V1327" s="18"/>
      <c r="W1327" s="18"/>
      <c r="X1327" s="18"/>
      <c r="Y1327" s="18"/>
      <c r="Z1327" s="18"/>
      <c r="AA1327" s="18"/>
      <c r="AB1327" s="18"/>
      <c r="AC1327" s="18"/>
      <c r="AD1327" s="18"/>
      <c r="AE1327" s="18"/>
      <c r="AF1327" s="18"/>
      <c r="AG1327" s="18"/>
      <c r="AH1327" s="18"/>
      <c r="AI1327" s="18"/>
      <c r="AJ1327" s="18"/>
      <c r="AK1327" s="18"/>
      <c r="AL1327" s="18"/>
      <c r="AM1327" s="18"/>
      <c r="AN1327" s="18"/>
      <c r="AO1327" s="18"/>
      <c r="AP1327" s="18"/>
      <c r="AQ1327" s="18"/>
      <c r="AR1327" s="18"/>
      <c r="AS1327" s="18"/>
      <c r="AT1327" s="18"/>
      <c r="AU1327" s="18"/>
      <c r="AV1327" s="18"/>
      <c r="AW1327" s="18"/>
      <c r="AX1327" s="18"/>
      <c r="AY1327" s="18"/>
      <c r="AZ1327" s="18"/>
      <c r="BA1327" s="18"/>
      <c r="BB1327" s="18"/>
      <c r="BC1327" s="18"/>
      <c r="BD1327" s="18"/>
      <c r="BE1327" s="18"/>
      <c r="BF1327" s="18"/>
      <c r="BG1327" s="18"/>
      <c r="BH1327" s="18"/>
      <c r="BI1327" s="18"/>
      <c r="BJ1327" s="18"/>
      <c r="BK1327" s="18"/>
      <c r="BL1327" s="18"/>
      <c r="BM1327" s="18"/>
      <c r="BN1327" s="18"/>
    </row>
    <row r="1328" spans="1:66">
      <c r="A1328" s="18"/>
      <c r="B1328" s="18"/>
      <c r="C1328" s="18"/>
      <c r="D1328" s="18"/>
      <c r="E1328" s="18"/>
      <c r="F1328" s="18"/>
      <c r="G1328" s="18"/>
      <c r="H1328" s="18"/>
      <c r="I1328" s="18"/>
      <c r="J1328" s="18"/>
      <c r="K1328" s="18"/>
      <c r="L1328" s="18"/>
      <c r="M1328" s="18"/>
      <c r="N1328" s="18"/>
      <c r="O1328" s="18"/>
      <c r="P1328" s="18"/>
      <c r="Q1328" s="18"/>
      <c r="R1328" s="18"/>
      <c r="S1328" s="18"/>
      <c r="T1328" s="18"/>
      <c r="U1328" s="18"/>
      <c r="V1328" s="18"/>
      <c r="W1328" s="18"/>
      <c r="X1328" s="18"/>
      <c r="Y1328" s="18"/>
      <c r="Z1328" s="18"/>
      <c r="AA1328" s="18"/>
      <c r="AB1328" s="18"/>
      <c r="AC1328" s="18"/>
      <c r="AD1328" s="18"/>
      <c r="AE1328" s="18"/>
      <c r="AF1328" s="18"/>
      <c r="AG1328" s="18"/>
      <c r="AH1328" s="18"/>
      <c r="AI1328" s="18"/>
      <c r="AJ1328" s="18"/>
      <c r="AK1328" s="18"/>
      <c r="AL1328" s="18"/>
      <c r="AM1328" s="18"/>
      <c r="AN1328" s="18"/>
      <c r="AO1328" s="18"/>
      <c r="AP1328" s="18"/>
      <c r="AQ1328" s="18"/>
      <c r="AR1328" s="18"/>
      <c r="AS1328" s="18"/>
      <c r="AT1328" s="18"/>
      <c r="AU1328" s="18"/>
      <c r="AV1328" s="18"/>
      <c r="AW1328" s="18"/>
      <c r="AX1328" s="18"/>
      <c r="AY1328" s="18"/>
      <c r="AZ1328" s="18"/>
      <c r="BA1328" s="18"/>
      <c r="BB1328" s="18"/>
      <c r="BC1328" s="18"/>
      <c r="BD1328" s="18"/>
      <c r="BE1328" s="18"/>
      <c r="BF1328" s="18"/>
      <c r="BG1328" s="18"/>
      <c r="BH1328" s="18"/>
      <c r="BI1328" s="18"/>
      <c r="BJ1328" s="18"/>
      <c r="BK1328" s="18"/>
      <c r="BL1328" s="18"/>
      <c r="BM1328" s="18"/>
      <c r="BN1328" s="18"/>
    </row>
    <row r="1329" spans="1:66">
      <c r="A1329" s="18"/>
      <c r="B1329" s="18"/>
      <c r="C1329" s="18"/>
      <c r="D1329" s="18"/>
      <c r="E1329" s="18"/>
      <c r="F1329" s="18"/>
      <c r="G1329" s="18"/>
      <c r="H1329" s="18"/>
      <c r="I1329" s="18"/>
      <c r="J1329" s="18"/>
      <c r="K1329" s="18"/>
      <c r="L1329" s="18"/>
      <c r="M1329" s="18"/>
      <c r="N1329" s="18"/>
      <c r="O1329" s="18"/>
      <c r="P1329" s="18"/>
      <c r="Q1329" s="18"/>
      <c r="R1329" s="18"/>
      <c r="S1329" s="18"/>
      <c r="T1329" s="18"/>
      <c r="U1329" s="18"/>
      <c r="V1329" s="18"/>
      <c r="W1329" s="18"/>
      <c r="X1329" s="18"/>
      <c r="Y1329" s="18"/>
      <c r="Z1329" s="18"/>
      <c r="AA1329" s="18"/>
      <c r="AB1329" s="18"/>
      <c r="AC1329" s="18"/>
      <c r="AD1329" s="18"/>
      <c r="AE1329" s="18"/>
      <c r="AF1329" s="18"/>
      <c r="AG1329" s="18"/>
      <c r="AH1329" s="18"/>
      <c r="AI1329" s="18"/>
      <c r="AJ1329" s="18"/>
      <c r="AK1329" s="18"/>
      <c r="AL1329" s="18"/>
      <c r="AM1329" s="18"/>
      <c r="AN1329" s="18"/>
      <c r="AO1329" s="18"/>
      <c r="AP1329" s="18"/>
      <c r="AQ1329" s="18"/>
      <c r="AR1329" s="18"/>
      <c r="AS1329" s="18"/>
      <c r="AT1329" s="18"/>
      <c r="AU1329" s="18"/>
      <c r="AV1329" s="18"/>
      <c r="AW1329" s="18"/>
      <c r="AX1329" s="18"/>
      <c r="AY1329" s="18"/>
      <c r="AZ1329" s="18"/>
      <c r="BA1329" s="18"/>
      <c r="BB1329" s="18"/>
      <c r="BC1329" s="18"/>
      <c r="BD1329" s="18"/>
      <c r="BE1329" s="18"/>
      <c r="BF1329" s="18"/>
      <c r="BG1329" s="18"/>
      <c r="BH1329" s="18"/>
      <c r="BI1329" s="18"/>
      <c r="BJ1329" s="18"/>
      <c r="BK1329" s="18"/>
      <c r="BL1329" s="18"/>
      <c r="BM1329" s="18"/>
      <c r="BN1329" s="18"/>
    </row>
    <row r="1330" spans="1:66">
      <c r="A1330" s="18"/>
      <c r="B1330" s="18"/>
      <c r="C1330" s="18"/>
      <c r="D1330" s="18"/>
      <c r="E1330" s="18"/>
      <c r="F1330" s="18"/>
      <c r="G1330" s="18"/>
      <c r="H1330" s="18"/>
      <c r="I1330" s="18"/>
      <c r="J1330" s="18"/>
      <c r="K1330" s="18"/>
      <c r="L1330" s="18"/>
      <c r="M1330" s="18"/>
      <c r="N1330" s="18"/>
      <c r="O1330" s="18"/>
      <c r="P1330" s="18"/>
      <c r="Q1330" s="18"/>
      <c r="R1330" s="18"/>
      <c r="S1330" s="18"/>
      <c r="T1330" s="18"/>
      <c r="U1330" s="18"/>
      <c r="V1330" s="18"/>
      <c r="W1330" s="18"/>
      <c r="X1330" s="18"/>
      <c r="Y1330" s="18"/>
      <c r="Z1330" s="18"/>
      <c r="AA1330" s="18"/>
      <c r="AB1330" s="18"/>
      <c r="AC1330" s="18"/>
      <c r="AD1330" s="18"/>
      <c r="AE1330" s="18"/>
      <c r="AF1330" s="18"/>
      <c r="AG1330" s="18"/>
      <c r="AH1330" s="18"/>
      <c r="AI1330" s="18"/>
      <c r="AJ1330" s="18"/>
      <c r="AK1330" s="18"/>
      <c r="AL1330" s="18"/>
      <c r="AM1330" s="18"/>
      <c r="AN1330" s="18"/>
      <c r="AO1330" s="18"/>
      <c r="AP1330" s="18"/>
      <c r="AQ1330" s="18"/>
      <c r="AR1330" s="18"/>
      <c r="AS1330" s="18"/>
      <c r="AT1330" s="18"/>
      <c r="AU1330" s="18"/>
      <c r="AV1330" s="18"/>
      <c r="AW1330" s="18"/>
      <c r="AX1330" s="18"/>
      <c r="AY1330" s="18"/>
      <c r="AZ1330" s="18"/>
      <c r="BA1330" s="18"/>
      <c r="BB1330" s="18"/>
      <c r="BC1330" s="18"/>
      <c r="BD1330" s="18"/>
      <c r="BE1330" s="18"/>
      <c r="BF1330" s="18"/>
      <c r="BG1330" s="18"/>
      <c r="BH1330" s="18"/>
      <c r="BI1330" s="18"/>
      <c r="BJ1330" s="18"/>
      <c r="BK1330" s="18"/>
      <c r="BL1330" s="18"/>
      <c r="BM1330" s="18"/>
      <c r="BN1330" s="18"/>
    </row>
    <row r="1331" spans="1:66">
      <c r="A1331" s="18"/>
      <c r="B1331" s="18"/>
      <c r="C1331" s="18"/>
      <c r="D1331" s="18"/>
      <c r="E1331" s="18"/>
      <c r="F1331" s="18"/>
      <c r="G1331" s="18"/>
      <c r="H1331" s="18"/>
      <c r="I1331" s="18"/>
      <c r="J1331" s="18"/>
      <c r="K1331" s="18"/>
      <c r="L1331" s="18"/>
      <c r="M1331" s="18"/>
      <c r="N1331" s="18"/>
      <c r="O1331" s="18"/>
      <c r="P1331" s="18"/>
      <c r="Q1331" s="18"/>
      <c r="R1331" s="18"/>
      <c r="S1331" s="18"/>
      <c r="T1331" s="18"/>
      <c r="U1331" s="18"/>
      <c r="V1331" s="18"/>
      <c r="W1331" s="18"/>
      <c r="X1331" s="18"/>
      <c r="Y1331" s="18"/>
      <c r="Z1331" s="18"/>
      <c r="AA1331" s="18"/>
      <c r="AB1331" s="18"/>
      <c r="AC1331" s="18"/>
      <c r="AD1331" s="18"/>
      <c r="AE1331" s="18"/>
      <c r="AF1331" s="18"/>
      <c r="AG1331" s="18"/>
      <c r="AH1331" s="18"/>
      <c r="AI1331" s="18"/>
      <c r="AJ1331" s="18"/>
      <c r="AK1331" s="18"/>
      <c r="AL1331" s="18"/>
      <c r="AM1331" s="18"/>
      <c r="AN1331" s="18"/>
      <c r="AO1331" s="18"/>
      <c r="AP1331" s="18"/>
      <c r="AQ1331" s="18"/>
      <c r="AR1331" s="18"/>
      <c r="AS1331" s="18"/>
      <c r="AT1331" s="18"/>
      <c r="AU1331" s="18"/>
      <c r="AV1331" s="18"/>
      <c r="AW1331" s="18"/>
      <c r="AX1331" s="18"/>
      <c r="AY1331" s="18"/>
      <c r="AZ1331" s="18"/>
      <c r="BA1331" s="18"/>
      <c r="BB1331" s="18"/>
      <c r="BC1331" s="18"/>
      <c r="BD1331" s="18"/>
      <c r="BE1331" s="18"/>
      <c r="BF1331" s="18"/>
      <c r="BG1331" s="18"/>
      <c r="BH1331" s="18"/>
      <c r="BI1331" s="18"/>
      <c r="BJ1331" s="18"/>
      <c r="BK1331" s="18"/>
      <c r="BL1331" s="18"/>
      <c r="BM1331" s="18"/>
      <c r="BN1331" s="18"/>
    </row>
    <row r="1332" spans="1:66">
      <c r="A1332" s="18"/>
      <c r="B1332" s="18"/>
      <c r="C1332" s="18"/>
      <c r="D1332" s="18"/>
      <c r="E1332" s="18"/>
      <c r="F1332" s="18"/>
      <c r="G1332" s="18"/>
      <c r="H1332" s="18"/>
      <c r="I1332" s="18"/>
      <c r="J1332" s="18"/>
      <c r="K1332" s="18"/>
      <c r="L1332" s="18"/>
      <c r="M1332" s="18"/>
      <c r="N1332" s="18"/>
      <c r="O1332" s="18"/>
      <c r="P1332" s="18"/>
      <c r="Q1332" s="18"/>
      <c r="R1332" s="18"/>
      <c r="S1332" s="18"/>
      <c r="T1332" s="18"/>
      <c r="U1332" s="18"/>
      <c r="V1332" s="18"/>
      <c r="W1332" s="18"/>
      <c r="X1332" s="18"/>
      <c r="Y1332" s="18"/>
      <c r="Z1332" s="18"/>
      <c r="AA1332" s="18"/>
      <c r="AB1332" s="18"/>
      <c r="AC1332" s="18"/>
      <c r="AD1332" s="18"/>
      <c r="AE1332" s="18"/>
      <c r="AF1332" s="18"/>
      <c r="AG1332" s="18"/>
      <c r="AH1332" s="18"/>
      <c r="AI1332" s="18"/>
      <c r="AJ1332" s="18"/>
      <c r="AK1332" s="18"/>
      <c r="AL1332" s="18"/>
      <c r="AM1332" s="18"/>
      <c r="AN1332" s="18"/>
      <c r="AO1332" s="18"/>
      <c r="AP1332" s="18"/>
      <c r="AQ1332" s="18"/>
      <c r="AR1332" s="18"/>
      <c r="AS1332" s="18"/>
      <c r="AT1332" s="18"/>
      <c r="AU1332" s="18"/>
      <c r="AV1332" s="18"/>
      <c r="AW1332" s="18"/>
      <c r="AX1332" s="18"/>
      <c r="AY1332" s="18"/>
      <c r="AZ1332" s="18"/>
      <c r="BA1332" s="18"/>
      <c r="BB1332" s="18"/>
      <c r="BC1332" s="18"/>
      <c r="BD1332" s="18"/>
      <c r="BE1332" s="18"/>
      <c r="BF1332" s="18"/>
      <c r="BG1332" s="18"/>
      <c r="BH1332" s="18"/>
      <c r="BI1332" s="18"/>
      <c r="BJ1332" s="18"/>
      <c r="BK1332" s="18"/>
      <c r="BL1332" s="18"/>
      <c r="BM1332" s="18"/>
      <c r="BN1332" s="18"/>
    </row>
    <row r="1333" spans="1:66">
      <c r="A1333" s="18"/>
      <c r="B1333" s="18"/>
      <c r="C1333" s="18"/>
      <c r="D1333" s="18"/>
      <c r="E1333" s="18"/>
      <c r="F1333" s="18"/>
      <c r="G1333" s="18"/>
      <c r="H1333" s="18"/>
      <c r="I1333" s="18"/>
      <c r="J1333" s="18"/>
      <c r="K1333" s="18"/>
      <c r="L1333" s="18"/>
      <c r="M1333" s="18"/>
      <c r="N1333" s="18"/>
      <c r="O1333" s="18"/>
      <c r="P1333" s="18"/>
      <c r="Q1333" s="18"/>
      <c r="R1333" s="18"/>
      <c r="S1333" s="18"/>
      <c r="T1333" s="18"/>
      <c r="U1333" s="18"/>
      <c r="V1333" s="18"/>
      <c r="W1333" s="18"/>
      <c r="X1333" s="18"/>
      <c r="Y1333" s="18"/>
      <c r="Z1333" s="18"/>
      <c r="AA1333" s="18"/>
      <c r="AB1333" s="18"/>
      <c r="AC1333" s="18"/>
      <c r="AD1333" s="18"/>
      <c r="AE1333" s="18"/>
      <c r="AF1333" s="18"/>
      <c r="AG1333" s="18"/>
      <c r="AH1333" s="18"/>
      <c r="AI1333" s="18"/>
      <c r="AJ1333" s="18"/>
      <c r="AK1333" s="18"/>
      <c r="AL1333" s="18"/>
      <c r="AM1333" s="18"/>
      <c r="AN1333" s="18"/>
      <c r="AO1333" s="18"/>
      <c r="AP1333" s="18"/>
      <c r="AQ1333" s="18"/>
      <c r="AR1333" s="18"/>
      <c r="AS1333" s="18"/>
      <c r="AT1333" s="18"/>
      <c r="AU1333" s="18"/>
      <c r="AV1333" s="18"/>
      <c r="AW1333" s="18"/>
      <c r="AX1333" s="18"/>
      <c r="AY1333" s="18"/>
      <c r="AZ1333" s="18"/>
      <c r="BA1333" s="18"/>
      <c r="BB1333" s="18"/>
      <c r="BC1333" s="18"/>
      <c r="BD1333" s="18"/>
      <c r="BE1333" s="18"/>
      <c r="BF1333" s="18"/>
      <c r="BG1333" s="18"/>
      <c r="BH1333" s="18"/>
      <c r="BI1333" s="18"/>
      <c r="BJ1333" s="18"/>
      <c r="BK1333" s="18"/>
      <c r="BL1333" s="18"/>
      <c r="BM1333" s="18"/>
      <c r="BN1333" s="18"/>
    </row>
    <row r="1334" spans="1:66">
      <c r="A1334" s="18"/>
      <c r="B1334" s="18"/>
      <c r="C1334" s="18"/>
      <c r="D1334" s="18"/>
      <c r="E1334" s="18"/>
      <c r="F1334" s="18"/>
      <c r="G1334" s="18"/>
      <c r="H1334" s="18"/>
      <c r="I1334" s="18"/>
      <c r="J1334" s="18"/>
      <c r="K1334" s="18"/>
      <c r="L1334" s="18"/>
      <c r="M1334" s="18"/>
      <c r="N1334" s="18"/>
      <c r="O1334" s="18"/>
      <c r="P1334" s="18"/>
      <c r="Q1334" s="18"/>
      <c r="R1334" s="18"/>
      <c r="S1334" s="18"/>
      <c r="T1334" s="18"/>
      <c r="U1334" s="18"/>
      <c r="V1334" s="18"/>
      <c r="W1334" s="18"/>
      <c r="X1334" s="18"/>
      <c r="Y1334" s="18"/>
      <c r="Z1334" s="18"/>
      <c r="AA1334" s="18"/>
      <c r="AB1334" s="18"/>
      <c r="AC1334" s="18"/>
      <c r="AD1334" s="18"/>
      <c r="AE1334" s="18"/>
      <c r="AF1334" s="18"/>
      <c r="AG1334" s="18"/>
      <c r="AH1334" s="18"/>
      <c r="AI1334" s="18"/>
      <c r="AJ1334" s="18"/>
      <c r="AK1334" s="18"/>
      <c r="AL1334" s="18"/>
      <c r="AM1334" s="18"/>
      <c r="AN1334" s="18"/>
      <c r="AO1334" s="18"/>
      <c r="AP1334" s="18"/>
      <c r="AQ1334" s="18"/>
      <c r="AR1334" s="18"/>
      <c r="AS1334" s="18"/>
      <c r="AT1334" s="18"/>
      <c r="AU1334" s="18"/>
      <c r="AV1334" s="18"/>
      <c r="AW1334" s="18"/>
      <c r="AX1334" s="18"/>
      <c r="AY1334" s="18"/>
      <c r="AZ1334" s="18"/>
      <c r="BA1334" s="18"/>
      <c r="BB1334" s="18"/>
      <c r="BC1334" s="18"/>
      <c r="BD1334" s="18"/>
      <c r="BE1334" s="18"/>
      <c r="BF1334" s="18"/>
      <c r="BG1334" s="18"/>
      <c r="BH1334" s="18"/>
      <c r="BI1334" s="18"/>
      <c r="BJ1334" s="18"/>
      <c r="BK1334" s="18"/>
      <c r="BL1334" s="18"/>
      <c r="BM1334" s="18"/>
      <c r="BN1334" s="18"/>
    </row>
    <row r="1335" spans="1:66">
      <c r="A1335" s="18"/>
      <c r="B1335" s="18"/>
      <c r="C1335" s="18"/>
      <c r="D1335" s="18"/>
      <c r="E1335" s="18"/>
      <c r="F1335" s="18"/>
      <c r="G1335" s="18"/>
      <c r="H1335" s="18"/>
      <c r="I1335" s="18"/>
      <c r="J1335" s="18"/>
      <c r="K1335" s="18"/>
      <c r="L1335" s="18"/>
      <c r="M1335" s="18"/>
      <c r="N1335" s="18"/>
      <c r="O1335" s="18"/>
      <c r="P1335" s="18"/>
      <c r="Q1335" s="18"/>
      <c r="R1335" s="18"/>
      <c r="S1335" s="18"/>
      <c r="T1335" s="18"/>
      <c r="U1335" s="18"/>
      <c r="V1335" s="18"/>
      <c r="W1335" s="18"/>
      <c r="X1335" s="18"/>
      <c r="Y1335" s="18"/>
      <c r="Z1335" s="18"/>
      <c r="AA1335" s="18"/>
      <c r="AB1335" s="18"/>
      <c r="AC1335" s="18"/>
      <c r="AD1335" s="18"/>
      <c r="AE1335" s="18"/>
      <c r="AF1335" s="18"/>
      <c r="AG1335" s="18"/>
      <c r="AH1335" s="18"/>
      <c r="AI1335" s="18"/>
      <c r="AJ1335" s="18"/>
      <c r="AK1335" s="18"/>
      <c r="AL1335" s="18"/>
      <c r="AM1335" s="18"/>
      <c r="AN1335" s="18"/>
      <c r="AO1335" s="18"/>
      <c r="AP1335" s="18"/>
      <c r="AQ1335" s="18"/>
      <c r="AR1335" s="18"/>
      <c r="AS1335" s="18"/>
      <c r="AT1335" s="18"/>
      <c r="AU1335" s="18"/>
      <c r="AV1335" s="18"/>
      <c r="AW1335" s="18"/>
      <c r="AX1335" s="18"/>
      <c r="AY1335" s="18"/>
      <c r="AZ1335" s="18"/>
      <c r="BA1335" s="18"/>
      <c r="BB1335" s="18"/>
      <c r="BC1335" s="18"/>
      <c r="BD1335" s="18"/>
      <c r="BE1335" s="18"/>
      <c r="BF1335" s="18"/>
      <c r="BG1335" s="18"/>
      <c r="BH1335" s="18"/>
      <c r="BI1335" s="18"/>
      <c r="BJ1335" s="18"/>
      <c r="BK1335" s="18"/>
      <c r="BL1335" s="18"/>
      <c r="BM1335" s="18"/>
      <c r="BN1335" s="18"/>
    </row>
    <row r="1336" spans="1:66">
      <c r="A1336" s="18"/>
      <c r="B1336" s="18"/>
      <c r="C1336" s="18"/>
      <c r="D1336" s="18"/>
      <c r="E1336" s="18"/>
      <c r="F1336" s="18"/>
      <c r="G1336" s="18"/>
      <c r="H1336" s="18"/>
      <c r="I1336" s="18"/>
      <c r="J1336" s="18"/>
      <c r="K1336" s="18"/>
      <c r="L1336" s="18"/>
      <c r="M1336" s="18"/>
      <c r="N1336" s="18"/>
      <c r="O1336" s="18"/>
      <c r="P1336" s="18"/>
      <c r="Q1336" s="18"/>
      <c r="R1336" s="18"/>
      <c r="S1336" s="18"/>
      <c r="T1336" s="18"/>
      <c r="U1336" s="18"/>
      <c r="V1336" s="18"/>
      <c r="W1336" s="18"/>
      <c r="X1336" s="18"/>
      <c r="Y1336" s="18"/>
      <c r="Z1336" s="18"/>
      <c r="AA1336" s="18"/>
      <c r="AB1336" s="18"/>
      <c r="AC1336" s="18"/>
      <c r="AD1336" s="18"/>
      <c r="AE1336" s="18"/>
      <c r="AF1336" s="18"/>
      <c r="AG1336" s="18"/>
      <c r="AH1336" s="18"/>
      <c r="AI1336" s="18"/>
      <c r="AJ1336" s="18"/>
      <c r="AK1336" s="18"/>
      <c r="AL1336" s="18"/>
      <c r="AM1336" s="18"/>
      <c r="AN1336" s="18"/>
      <c r="AO1336" s="18"/>
      <c r="AP1336" s="18"/>
      <c r="AQ1336" s="18"/>
      <c r="AR1336" s="18"/>
      <c r="AS1336" s="18"/>
      <c r="AT1336" s="18"/>
      <c r="AU1336" s="18"/>
      <c r="AV1336" s="18"/>
      <c r="AW1336" s="18"/>
      <c r="AX1336" s="18"/>
      <c r="AY1336" s="18"/>
      <c r="AZ1336" s="18"/>
      <c r="BA1336" s="18"/>
      <c r="BB1336" s="18"/>
      <c r="BC1336" s="18"/>
      <c r="BD1336" s="18"/>
      <c r="BE1336" s="18"/>
      <c r="BF1336" s="18"/>
      <c r="BG1336" s="18"/>
      <c r="BH1336" s="18"/>
      <c r="BI1336" s="18"/>
      <c r="BJ1336" s="18"/>
      <c r="BK1336" s="18"/>
      <c r="BL1336" s="18"/>
      <c r="BM1336" s="18"/>
      <c r="BN1336" s="18"/>
    </row>
    <row r="1337" spans="1:66">
      <c r="A1337" s="18"/>
      <c r="B1337" s="18"/>
      <c r="C1337" s="18"/>
      <c r="D1337" s="18"/>
      <c r="E1337" s="18"/>
      <c r="F1337" s="18"/>
      <c r="G1337" s="18"/>
      <c r="H1337" s="18"/>
      <c r="I1337" s="18"/>
      <c r="J1337" s="18"/>
      <c r="K1337" s="18"/>
      <c r="L1337" s="18"/>
      <c r="M1337" s="18"/>
      <c r="N1337" s="18"/>
      <c r="O1337" s="18"/>
      <c r="P1337" s="18"/>
      <c r="Q1337" s="18"/>
      <c r="R1337" s="18"/>
      <c r="S1337" s="18"/>
      <c r="T1337" s="18"/>
      <c r="U1337" s="18"/>
      <c r="V1337" s="18"/>
      <c r="W1337" s="18"/>
      <c r="X1337" s="18"/>
      <c r="Y1337" s="18"/>
      <c r="Z1337" s="18"/>
      <c r="AA1337" s="18"/>
      <c r="AB1337" s="18"/>
      <c r="AC1337" s="18"/>
      <c r="AD1337" s="18"/>
      <c r="AE1337" s="18"/>
      <c r="AF1337" s="18"/>
      <c r="AG1337" s="18"/>
      <c r="AH1337" s="18"/>
      <c r="AI1337" s="18"/>
      <c r="AJ1337" s="18"/>
      <c r="AK1337" s="18"/>
      <c r="AL1337" s="18"/>
      <c r="AM1337" s="18"/>
      <c r="AN1337" s="18"/>
      <c r="AO1337" s="18"/>
      <c r="AP1337" s="18"/>
      <c r="AQ1337" s="18"/>
      <c r="AR1337" s="18"/>
      <c r="AS1337" s="18"/>
      <c r="AT1337" s="18"/>
      <c r="AU1337" s="18"/>
      <c r="AV1337" s="18"/>
      <c r="AW1337" s="18"/>
      <c r="AX1337" s="18"/>
      <c r="AY1337" s="18"/>
      <c r="AZ1337" s="18"/>
      <c r="BA1337" s="18"/>
      <c r="BB1337" s="18"/>
      <c r="BC1337" s="18"/>
      <c r="BD1337" s="18"/>
      <c r="BE1337" s="18"/>
      <c r="BF1337" s="18"/>
      <c r="BG1337" s="18"/>
      <c r="BH1337" s="18"/>
      <c r="BI1337" s="18"/>
      <c r="BJ1337" s="18"/>
      <c r="BK1337" s="18"/>
      <c r="BL1337" s="18"/>
      <c r="BM1337" s="18"/>
      <c r="BN1337" s="18"/>
    </row>
    <row r="1338" spans="1:66">
      <c r="A1338" s="18"/>
      <c r="B1338" s="18"/>
      <c r="C1338" s="18"/>
      <c r="D1338" s="18"/>
      <c r="E1338" s="18"/>
      <c r="F1338" s="18"/>
      <c r="G1338" s="18"/>
      <c r="H1338" s="18"/>
      <c r="I1338" s="18"/>
      <c r="J1338" s="18"/>
      <c r="K1338" s="18"/>
      <c r="L1338" s="18"/>
      <c r="M1338" s="18"/>
      <c r="N1338" s="18"/>
      <c r="O1338" s="18"/>
      <c r="P1338" s="18"/>
      <c r="Q1338" s="18"/>
      <c r="R1338" s="18"/>
      <c r="S1338" s="18"/>
      <c r="T1338" s="18"/>
      <c r="U1338" s="18"/>
      <c r="V1338" s="18"/>
      <c r="W1338" s="18"/>
      <c r="X1338" s="18"/>
      <c r="Y1338" s="18"/>
      <c r="Z1338" s="18"/>
      <c r="AA1338" s="18"/>
      <c r="AB1338" s="18"/>
      <c r="AC1338" s="18"/>
      <c r="AD1338" s="18"/>
      <c r="AE1338" s="18"/>
      <c r="AF1338" s="18"/>
      <c r="AG1338" s="18"/>
      <c r="AH1338" s="18"/>
      <c r="AI1338" s="18"/>
      <c r="AJ1338" s="18"/>
      <c r="AK1338" s="18"/>
      <c r="AL1338" s="18"/>
      <c r="AM1338" s="18"/>
      <c r="AN1338" s="18"/>
      <c r="AO1338" s="18"/>
      <c r="AP1338" s="18"/>
      <c r="AQ1338" s="18"/>
      <c r="AR1338" s="18"/>
      <c r="AS1338" s="18"/>
      <c r="AT1338" s="18"/>
      <c r="AU1338" s="18"/>
      <c r="AV1338" s="18"/>
      <c r="AW1338" s="18"/>
      <c r="AX1338" s="18"/>
      <c r="AY1338" s="18"/>
      <c r="AZ1338" s="18"/>
      <c r="BA1338" s="18"/>
      <c r="BB1338" s="18"/>
      <c r="BC1338" s="18"/>
      <c r="BD1338" s="18"/>
      <c r="BE1338" s="18"/>
      <c r="BF1338" s="18"/>
      <c r="BG1338" s="18"/>
      <c r="BH1338" s="18"/>
      <c r="BI1338" s="18"/>
      <c r="BJ1338" s="18"/>
      <c r="BK1338" s="18"/>
      <c r="BL1338" s="18"/>
      <c r="BM1338" s="18"/>
      <c r="BN1338" s="18"/>
    </row>
    <row r="1339" spans="1:66">
      <c r="A1339" s="18"/>
      <c r="B1339" s="18"/>
      <c r="C1339" s="18"/>
      <c r="D1339" s="18"/>
      <c r="E1339" s="18"/>
      <c r="F1339" s="18"/>
      <c r="G1339" s="18"/>
      <c r="H1339" s="18"/>
      <c r="I1339" s="18"/>
      <c r="J1339" s="18"/>
      <c r="K1339" s="18"/>
      <c r="L1339" s="18"/>
      <c r="M1339" s="18"/>
      <c r="N1339" s="18"/>
      <c r="O1339" s="18"/>
      <c r="P1339" s="18"/>
      <c r="Q1339" s="18"/>
      <c r="R1339" s="18"/>
      <c r="S1339" s="18"/>
      <c r="T1339" s="18"/>
      <c r="U1339" s="18"/>
      <c r="V1339" s="18"/>
      <c r="W1339" s="18"/>
      <c r="X1339" s="18"/>
      <c r="Y1339" s="18"/>
      <c r="Z1339" s="18"/>
      <c r="AA1339" s="18"/>
      <c r="AB1339" s="18"/>
      <c r="AC1339" s="18"/>
      <c r="AD1339" s="18"/>
      <c r="AE1339" s="18"/>
      <c r="AF1339" s="18"/>
      <c r="AG1339" s="18"/>
      <c r="AH1339" s="18"/>
      <c r="AI1339" s="18"/>
      <c r="AJ1339" s="18"/>
      <c r="AK1339" s="18"/>
      <c r="AL1339" s="18"/>
      <c r="AM1339" s="18"/>
      <c r="AN1339" s="18"/>
      <c r="AO1339" s="18"/>
      <c r="AP1339" s="18"/>
      <c r="AQ1339" s="18"/>
      <c r="AR1339" s="18"/>
      <c r="AS1339" s="18"/>
      <c r="AT1339" s="18"/>
      <c r="AU1339" s="18"/>
      <c r="AV1339" s="18"/>
      <c r="AW1339" s="18"/>
      <c r="AX1339" s="18"/>
      <c r="AY1339" s="18"/>
      <c r="AZ1339" s="18"/>
      <c r="BA1339" s="18"/>
      <c r="BB1339" s="18"/>
      <c r="BC1339" s="18"/>
      <c r="BD1339" s="18"/>
      <c r="BE1339" s="18"/>
      <c r="BF1339" s="18"/>
      <c r="BG1339" s="18"/>
      <c r="BH1339" s="18"/>
      <c r="BI1339" s="18"/>
      <c r="BJ1339" s="18"/>
      <c r="BK1339" s="18"/>
      <c r="BL1339" s="18"/>
      <c r="BM1339" s="18"/>
      <c r="BN1339" s="18"/>
    </row>
    <row r="1340" spans="1:66">
      <c r="A1340" s="18"/>
      <c r="B1340" s="18"/>
      <c r="C1340" s="18"/>
      <c r="D1340" s="18"/>
      <c r="E1340" s="18"/>
      <c r="F1340" s="18"/>
      <c r="G1340" s="18"/>
      <c r="H1340" s="18"/>
      <c r="I1340" s="18"/>
      <c r="J1340" s="18"/>
      <c r="K1340" s="18"/>
      <c r="L1340" s="18"/>
      <c r="M1340" s="18"/>
      <c r="N1340" s="18"/>
      <c r="O1340" s="18"/>
      <c r="P1340" s="18"/>
      <c r="Q1340" s="18"/>
      <c r="R1340" s="18"/>
      <c r="S1340" s="18"/>
      <c r="T1340" s="18"/>
      <c r="U1340" s="18"/>
      <c r="V1340" s="18"/>
      <c r="W1340" s="18"/>
      <c r="X1340" s="18"/>
      <c r="Y1340" s="18"/>
      <c r="Z1340" s="18"/>
      <c r="AA1340" s="18"/>
      <c r="AB1340" s="18"/>
      <c r="AC1340" s="18"/>
      <c r="AD1340" s="18"/>
      <c r="AE1340" s="18"/>
      <c r="AF1340" s="18"/>
      <c r="AG1340" s="18"/>
      <c r="AH1340" s="18"/>
      <c r="AI1340" s="18"/>
      <c r="AJ1340" s="18"/>
      <c r="AK1340" s="18"/>
      <c r="AL1340" s="18"/>
      <c r="AM1340" s="18"/>
      <c r="AN1340" s="18"/>
      <c r="AO1340" s="18"/>
      <c r="AP1340" s="18"/>
      <c r="AQ1340" s="18"/>
      <c r="AR1340" s="18"/>
      <c r="AS1340" s="18"/>
      <c r="AT1340" s="18"/>
      <c r="AU1340" s="18"/>
      <c r="AV1340" s="18"/>
      <c r="AW1340" s="18"/>
      <c r="AX1340" s="18"/>
      <c r="AY1340" s="18"/>
      <c r="AZ1340" s="18"/>
      <c r="BA1340" s="18"/>
      <c r="BB1340" s="18"/>
      <c r="BC1340" s="18"/>
      <c r="BD1340" s="18"/>
      <c r="BE1340" s="18"/>
      <c r="BF1340" s="18"/>
      <c r="BG1340" s="18"/>
      <c r="BH1340" s="18"/>
      <c r="BI1340" s="18"/>
      <c r="BJ1340" s="18"/>
      <c r="BK1340" s="18"/>
      <c r="BL1340" s="18"/>
      <c r="BM1340" s="18"/>
      <c r="BN1340" s="18"/>
    </row>
    <row r="1341" spans="1:66">
      <c r="A1341" s="18"/>
      <c r="B1341" s="18"/>
      <c r="C1341" s="18"/>
      <c r="D1341" s="18"/>
      <c r="E1341" s="18"/>
      <c r="F1341" s="18"/>
      <c r="G1341" s="18"/>
      <c r="H1341" s="18"/>
      <c r="I1341" s="18"/>
      <c r="J1341" s="18"/>
      <c r="K1341" s="18"/>
      <c r="L1341" s="18"/>
      <c r="M1341" s="18"/>
      <c r="N1341" s="18"/>
      <c r="O1341" s="18"/>
      <c r="P1341" s="18"/>
      <c r="Q1341" s="18"/>
      <c r="R1341" s="18"/>
      <c r="S1341" s="18"/>
      <c r="T1341" s="18"/>
      <c r="U1341" s="18"/>
      <c r="V1341" s="18"/>
      <c r="W1341" s="18"/>
      <c r="X1341" s="18"/>
      <c r="Y1341" s="18"/>
      <c r="Z1341" s="18"/>
      <c r="AA1341" s="18"/>
      <c r="AB1341" s="18"/>
      <c r="AC1341" s="18"/>
      <c r="AD1341" s="18"/>
      <c r="AE1341" s="18"/>
      <c r="AF1341" s="18"/>
      <c r="AG1341" s="18"/>
      <c r="AH1341" s="18"/>
      <c r="AI1341" s="18"/>
      <c r="AJ1341" s="18"/>
      <c r="AK1341" s="18"/>
      <c r="AL1341" s="18"/>
      <c r="AM1341" s="18"/>
      <c r="AN1341" s="18"/>
      <c r="AO1341" s="18"/>
      <c r="AP1341" s="18"/>
      <c r="AQ1341" s="18"/>
      <c r="AR1341" s="18"/>
      <c r="AS1341" s="18"/>
      <c r="AT1341" s="18"/>
      <c r="AU1341" s="18"/>
      <c r="AV1341" s="18"/>
      <c r="AW1341" s="18"/>
      <c r="AX1341" s="18"/>
      <c r="AY1341" s="18"/>
      <c r="AZ1341" s="18"/>
      <c r="BA1341" s="18"/>
      <c r="BB1341" s="18"/>
      <c r="BC1341" s="18"/>
      <c r="BD1341" s="18"/>
      <c r="BE1341" s="18"/>
      <c r="BF1341" s="18"/>
      <c r="BG1341" s="18"/>
      <c r="BH1341" s="18"/>
      <c r="BI1341" s="18"/>
      <c r="BJ1341" s="18"/>
      <c r="BK1341" s="18"/>
      <c r="BL1341" s="18"/>
      <c r="BM1341" s="18"/>
      <c r="BN1341" s="18"/>
    </row>
    <row r="1342" spans="1:66">
      <c r="A1342" s="18"/>
      <c r="B1342" s="18"/>
      <c r="C1342" s="18"/>
      <c r="D1342" s="18"/>
      <c r="E1342" s="18"/>
      <c r="F1342" s="18"/>
      <c r="G1342" s="18"/>
      <c r="H1342" s="18"/>
      <c r="I1342" s="18"/>
      <c r="J1342" s="18"/>
      <c r="K1342" s="18"/>
      <c r="L1342" s="18"/>
      <c r="M1342" s="18"/>
      <c r="N1342" s="18"/>
      <c r="O1342" s="18"/>
      <c r="P1342" s="18"/>
      <c r="Q1342" s="18"/>
      <c r="R1342" s="18"/>
      <c r="S1342" s="18"/>
      <c r="T1342" s="18"/>
      <c r="U1342" s="18"/>
      <c r="V1342" s="18"/>
      <c r="W1342" s="18"/>
      <c r="X1342" s="18"/>
      <c r="Y1342" s="18"/>
      <c r="Z1342" s="18"/>
      <c r="AA1342" s="18"/>
      <c r="AB1342" s="18"/>
      <c r="AC1342" s="18"/>
      <c r="AD1342" s="18"/>
      <c r="AE1342" s="18"/>
      <c r="AF1342" s="18"/>
      <c r="AG1342" s="18"/>
      <c r="AH1342" s="18"/>
      <c r="AI1342" s="18"/>
      <c r="AJ1342" s="18"/>
      <c r="AK1342" s="18"/>
      <c r="AL1342" s="18"/>
      <c r="AM1342" s="18"/>
      <c r="AN1342" s="18"/>
      <c r="AO1342" s="18"/>
      <c r="AP1342" s="18"/>
      <c r="AQ1342" s="18"/>
      <c r="AR1342" s="18"/>
      <c r="AS1342" s="18"/>
      <c r="AT1342" s="18"/>
      <c r="AU1342" s="18"/>
      <c r="AV1342" s="18"/>
      <c r="AW1342" s="18"/>
      <c r="AX1342" s="18"/>
      <c r="AY1342" s="18"/>
      <c r="AZ1342" s="18"/>
      <c r="BA1342" s="18"/>
      <c r="BB1342" s="18"/>
      <c r="BC1342" s="18"/>
      <c r="BD1342" s="18"/>
      <c r="BE1342" s="18"/>
      <c r="BF1342" s="18"/>
      <c r="BG1342" s="18"/>
      <c r="BH1342" s="18"/>
      <c r="BI1342" s="18"/>
      <c r="BJ1342" s="18"/>
      <c r="BK1342" s="18"/>
      <c r="BL1342" s="18"/>
      <c r="BM1342" s="18"/>
      <c r="BN1342" s="18"/>
    </row>
    <row r="1343" spans="1:66">
      <c r="A1343" s="18"/>
      <c r="B1343" s="18"/>
      <c r="C1343" s="18"/>
      <c r="D1343" s="18"/>
      <c r="E1343" s="18"/>
      <c r="F1343" s="18"/>
      <c r="G1343" s="18"/>
      <c r="H1343" s="18"/>
      <c r="I1343" s="18"/>
      <c r="J1343" s="18"/>
      <c r="K1343" s="18"/>
      <c r="L1343" s="18"/>
      <c r="M1343" s="18"/>
      <c r="N1343" s="18"/>
      <c r="O1343" s="18"/>
      <c r="P1343" s="18"/>
      <c r="Q1343" s="18"/>
      <c r="R1343" s="18"/>
      <c r="S1343" s="18"/>
      <c r="T1343" s="18"/>
      <c r="U1343" s="18"/>
      <c r="V1343" s="18"/>
      <c r="W1343" s="18"/>
      <c r="X1343" s="18"/>
      <c r="Y1343" s="18"/>
      <c r="Z1343" s="18"/>
      <c r="AA1343" s="18"/>
      <c r="AB1343" s="18"/>
      <c r="AC1343" s="18"/>
      <c r="AD1343" s="18"/>
      <c r="AE1343" s="18"/>
      <c r="AF1343" s="18"/>
      <c r="AG1343" s="18"/>
      <c r="AH1343" s="18"/>
      <c r="AI1343" s="18"/>
      <c r="AJ1343" s="18"/>
      <c r="AK1343" s="18"/>
      <c r="AL1343" s="18"/>
      <c r="AM1343" s="18"/>
      <c r="AN1343" s="18"/>
      <c r="AO1343" s="18"/>
      <c r="AP1343" s="18"/>
      <c r="AQ1343" s="18"/>
      <c r="AR1343" s="18"/>
      <c r="AS1343" s="18"/>
      <c r="AT1343" s="18"/>
      <c r="AU1343" s="18"/>
      <c r="AV1343" s="18"/>
      <c r="AW1343" s="18"/>
      <c r="AX1343" s="18"/>
      <c r="AY1343" s="18"/>
      <c r="AZ1343" s="18"/>
      <c r="BA1343" s="18"/>
      <c r="BB1343" s="18"/>
      <c r="BC1343" s="18"/>
      <c r="BD1343" s="18"/>
      <c r="BE1343" s="18"/>
      <c r="BF1343" s="18"/>
      <c r="BG1343" s="18"/>
      <c r="BH1343" s="18"/>
      <c r="BI1343" s="18"/>
      <c r="BJ1343" s="18"/>
      <c r="BK1343" s="18"/>
      <c r="BL1343" s="18"/>
      <c r="BM1343" s="18"/>
      <c r="BN1343" s="18"/>
    </row>
    <row r="1344" spans="1:66">
      <c r="A1344" s="18"/>
      <c r="B1344" s="18"/>
      <c r="C1344" s="18"/>
      <c r="D1344" s="18"/>
      <c r="E1344" s="18"/>
      <c r="F1344" s="18"/>
      <c r="G1344" s="18"/>
      <c r="H1344" s="18"/>
      <c r="I1344" s="18"/>
      <c r="J1344" s="18"/>
      <c r="K1344" s="18"/>
      <c r="L1344" s="18"/>
      <c r="M1344" s="18"/>
      <c r="N1344" s="18"/>
      <c r="O1344" s="18"/>
      <c r="P1344" s="18"/>
      <c r="Q1344" s="18"/>
      <c r="R1344" s="18"/>
      <c r="S1344" s="18"/>
      <c r="T1344" s="18"/>
      <c r="U1344" s="18"/>
      <c r="V1344" s="18"/>
      <c r="W1344" s="18"/>
      <c r="X1344" s="18"/>
      <c r="Y1344" s="18"/>
      <c r="Z1344" s="18"/>
      <c r="AA1344" s="18"/>
      <c r="AB1344" s="18"/>
      <c r="AC1344" s="18"/>
      <c r="AD1344" s="18"/>
      <c r="AE1344" s="18"/>
      <c r="AF1344" s="18"/>
      <c r="AG1344" s="18"/>
      <c r="AH1344" s="18"/>
      <c r="AI1344" s="18"/>
      <c r="AJ1344" s="18"/>
      <c r="AK1344" s="18"/>
      <c r="AL1344" s="18"/>
      <c r="AM1344" s="18"/>
      <c r="AN1344" s="18"/>
      <c r="AO1344" s="18"/>
      <c r="AP1344" s="18"/>
      <c r="AQ1344" s="18"/>
      <c r="AR1344" s="18"/>
      <c r="AS1344" s="18"/>
      <c r="AT1344" s="18"/>
      <c r="AU1344" s="18"/>
      <c r="AV1344" s="18"/>
      <c r="AW1344" s="18"/>
      <c r="AX1344" s="18"/>
      <c r="AY1344" s="18"/>
      <c r="AZ1344" s="18"/>
      <c r="BA1344" s="18"/>
      <c r="BB1344" s="18"/>
      <c r="BC1344" s="18"/>
      <c r="BD1344" s="18"/>
      <c r="BE1344" s="18"/>
      <c r="BF1344" s="18"/>
      <c r="BG1344" s="18"/>
      <c r="BH1344" s="18"/>
      <c r="BI1344" s="18"/>
      <c r="BJ1344" s="18"/>
      <c r="BK1344" s="18"/>
      <c r="BL1344" s="18"/>
      <c r="BM1344" s="18"/>
      <c r="BN1344" s="18"/>
    </row>
    <row r="1345" spans="1:66">
      <c r="A1345" s="18"/>
      <c r="B1345" s="18"/>
      <c r="C1345" s="18"/>
      <c r="D1345" s="18"/>
      <c r="E1345" s="18"/>
      <c r="F1345" s="18"/>
      <c r="G1345" s="18"/>
      <c r="H1345" s="18"/>
      <c r="I1345" s="18"/>
      <c r="J1345" s="18"/>
      <c r="K1345" s="18"/>
      <c r="L1345" s="18"/>
      <c r="M1345" s="18"/>
      <c r="N1345" s="18"/>
      <c r="O1345" s="18"/>
      <c r="P1345" s="18"/>
      <c r="Q1345" s="18"/>
      <c r="R1345" s="18"/>
      <c r="S1345" s="18"/>
      <c r="T1345" s="18"/>
      <c r="U1345" s="18"/>
      <c r="V1345" s="18"/>
      <c r="W1345" s="18"/>
      <c r="X1345" s="18"/>
      <c r="Y1345" s="18"/>
      <c r="Z1345" s="18"/>
      <c r="AA1345" s="18"/>
      <c r="AB1345" s="18"/>
      <c r="AC1345" s="18"/>
      <c r="AD1345" s="18"/>
      <c r="AE1345" s="18"/>
      <c r="AF1345" s="18"/>
      <c r="AG1345" s="18"/>
      <c r="AH1345" s="18"/>
      <c r="AI1345" s="18"/>
      <c r="AJ1345" s="18"/>
      <c r="AK1345" s="18"/>
      <c r="AL1345" s="18"/>
      <c r="AM1345" s="18"/>
      <c r="AN1345" s="18"/>
      <c r="AO1345" s="18"/>
      <c r="AP1345" s="18"/>
      <c r="AQ1345" s="18"/>
      <c r="AR1345" s="18"/>
      <c r="AS1345" s="18"/>
      <c r="AT1345" s="18"/>
      <c r="AU1345" s="18"/>
      <c r="AV1345" s="18"/>
      <c r="AW1345" s="18"/>
      <c r="AX1345" s="18"/>
      <c r="AY1345" s="18"/>
      <c r="AZ1345" s="18"/>
      <c r="BA1345" s="18"/>
      <c r="BB1345" s="18"/>
      <c r="BC1345" s="18"/>
      <c r="BD1345" s="18"/>
      <c r="BE1345" s="18"/>
      <c r="BF1345" s="18"/>
      <c r="BG1345" s="18"/>
      <c r="BH1345" s="18"/>
      <c r="BI1345" s="18"/>
      <c r="BJ1345" s="18"/>
      <c r="BK1345" s="18"/>
      <c r="BL1345" s="18"/>
      <c r="BM1345" s="18"/>
      <c r="BN1345" s="18"/>
    </row>
    <row r="1346" spans="1:66">
      <c r="A1346" s="18"/>
      <c r="B1346" s="18"/>
      <c r="C1346" s="18"/>
      <c r="D1346" s="18"/>
      <c r="E1346" s="18"/>
      <c r="F1346" s="18"/>
      <c r="G1346" s="18"/>
      <c r="H1346" s="18"/>
      <c r="I1346" s="18"/>
      <c r="J1346" s="18"/>
      <c r="K1346" s="18"/>
      <c r="L1346" s="18"/>
      <c r="M1346" s="18"/>
      <c r="N1346" s="18"/>
      <c r="O1346" s="18"/>
      <c r="P1346" s="18"/>
      <c r="Q1346" s="18"/>
      <c r="R1346" s="18"/>
      <c r="S1346" s="18"/>
      <c r="T1346" s="18"/>
      <c r="U1346" s="18"/>
      <c r="V1346" s="18"/>
      <c r="W1346" s="18"/>
      <c r="X1346" s="18"/>
      <c r="Y1346" s="18"/>
      <c r="Z1346" s="18"/>
      <c r="AA1346" s="18"/>
      <c r="AB1346" s="18"/>
      <c r="AC1346" s="18"/>
      <c r="AD1346" s="18"/>
      <c r="AE1346" s="18"/>
      <c r="AF1346" s="18"/>
      <c r="AG1346" s="18"/>
      <c r="AH1346" s="18"/>
      <c r="AI1346" s="18"/>
      <c r="AJ1346" s="18"/>
      <c r="AK1346" s="18"/>
      <c r="AL1346" s="18"/>
      <c r="AM1346" s="18"/>
      <c r="AN1346" s="18"/>
      <c r="AO1346" s="18"/>
      <c r="AP1346" s="18"/>
      <c r="AQ1346" s="18"/>
      <c r="AR1346" s="18"/>
      <c r="AS1346" s="18"/>
      <c r="AT1346" s="18"/>
      <c r="AU1346" s="18"/>
      <c r="AV1346" s="18"/>
      <c r="AW1346" s="18"/>
      <c r="AX1346" s="18"/>
      <c r="AY1346" s="18"/>
      <c r="AZ1346" s="18"/>
      <c r="BA1346" s="18"/>
      <c r="BB1346" s="18"/>
      <c r="BC1346" s="18"/>
      <c r="BD1346" s="18"/>
      <c r="BE1346" s="18"/>
      <c r="BF1346" s="18"/>
      <c r="BG1346" s="18"/>
      <c r="BH1346" s="18"/>
      <c r="BI1346" s="18"/>
      <c r="BJ1346" s="18"/>
      <c r="BK1346" s="18"/>
      <c r="BL1346" s="18"/>
      <c r="BM1346" s="18"/>
      <c r="BN1346" s="18"/>
    </row>
    <row r="1347" spans="1:66">
      <c r="A1347" s="18"/>
      <c r="B1347" s="18"/>
      <c r="C1347" s="18"/>
      <c r="D1347" s="18"/>
      <c r="E1347" s="18"/>
      <c r="F1347" s="18"/>
      <c r="G1347" s="18"/>
      <c r="H1347" s="18"/>
      <c r="I1347" s="18"/>
      <c r="J1347" s="18"/>
      <c r="K1347" s="18"/>
      <c r="L1347" s="18"/>
      <c r="M1347" s="18"/>
      <c r="N1347" s="18"/>
      <c r="O1347" s="18"/>
      <c r="P1347" s="18"/>
      <c r="Q1347" s="18"/>
      <c r="R1347" s="18"/>
      <c r="S1347" s="18"/>
      <c r="T1347" s="18"/>
      <c r="U1347" s="18"/>
      <c r="V1347" s="18"/>
      <c r="W1347" s="18"/>
      <c r="X1347" s="18"/>
      <c r="Y1347" s="18"/>
      <c r="Z1347" s="18"/>
      <c r="AA1347" s="18"/>
      <c r="AB1347" s="18"/>
      <c r="AC1347" s="18"/>
      <c r="AD1347" s="18"/>
      <c r="AE1347" s="18"/>
      <c r="AF1347" s="18"/>
      <c r="AG1347" s="18"/>
      <c r="AH1347" s="18"/>
      <c r="AI1347" s="18"/>
      <c r="AJ1347" s="18"/>
      <c r="AK1347" s="18"/>
      <c r="AL1347" s="18"/>
      <c r="AM1347" s="18"/>
      <c r="AN1347" s="18"/>
      <c r="AO1347" s="18"/>
      <c r="AP1347" s="18"/>
      <c r="AQ1347" s="18"/>
      <c r="AR1347" s="18"/>
      <c r="AS1347" s="18"/>
      <c r="AT1347" s="18"/>
      <c r="AU1347" s="18"/>
      <c r="AV1347" s="18"/>
      <c r="AW1347" s="18"/>
      <c r="AX1347" s="18"/>
      <c r="AY1347" s="18"/>
      <c r="AZ1347" s="18"/>
      <c r="BA1347" s="18"/>
      <c r="BB1347" s="18"/>
      <c r="BC1347" s="18"/>
      <c r="BD1347" s="18"/>
      <c r="BE1347" s="18"/>
      <c r="BF1347" s="18"/>
      <c r="BG1347" s="18"/>
      <c r="BH1347" s="18"/>
      <c r="BI1347" s="18"/>
      <c r="BJ1347" s="18"/>
      <c r="BK1347" s="18"/>
      <c r="BL1347" s="18"/>
      <c r="BM1347" s="18"/>
      <c r="BN1347" s="18"/>
    </row>
    <row r="1348" spans="1:66">
      <c r="A1348" s="18"/>
      <c r="B1348" s="18"/>
      <c r="C1348" s="18"/>
      <c r="D1348" s="18"/>
      <c r="E1348" s="18"/>
      <c r="F1348" s="18"/>
      <c r="G1348" s="18"/>
      <c r="H1348" s="18"/>
      <c r="I1348" s="18"/>
      <c r="J1348" s="18"/>
      <c r="K1348" s="18"/>
      <c r="L1348" s="18"/>
      <c r="M1348" s="18"/>
      <c r="N1348" s="18"/>
      <c r="O1348" s="18"/>
      <c r="P1348" s="18"/>
      <c r="Q1348" s="18"/>
      <c r="R1348" s="18"/>
      <c r="S1348" s="18"/>
      <c r="T1348" s="18"/>
      <c r="U1348" s="18"/>
      <c r="V1348" s="18"/>
      <c r="W1348" s="18"/>
      <c r="X1348" s="18"/>
      <c r="Y1348" s="18"/>
      <c r="Z1348" s="18"/>
      <c r="AA1348" s="18"/>
      <c r="AB1348" s="18"/>
      <c r="AC1348" s="18"/>
      <c r="AD1348" s="18"/>
      <c r="AE1348" s="18"/>
      <c r="AF1348" s="18"/>
      <c r="AG1348" s="18"/>
      <c r="AH1348" s="18"/>
      <c r="AI1348" s="18"/>
      <c r="AJ1348" s="18"/>
      <c r="AK1348" s="18"/>
      <c r="AL1348" s="18"/>
      <c r="AM1348" s="18"/>
      <c r="AN1348" s="18"/>
      <c r="AO1348" s="18"/>
      <c r="AP1348" s="18"/>
      <c r="AQ1348" s="18"/>
      <c r="AR1348" s="18"/>
      <c r="AS1348" s="18"/>
      <c r="AT1348" s="18"/>
      <c r="AU1348" s="18"/>
      <c r="AV1348" s="18"/>
      <c r="AW1348" s="18"/>
      <c r="AX1348" s="18"/>
      <c r="AY1348" s="18"/>
      <c r="AZ1348" s="18"/>
      <c r="BA1348" s="18"/>
      <c r="BB1348" s="18"/>
      <c r="BC1348" s="18"/>
      <c r="BD1348" s="18"/>
      <c r="BE1348" s="18"/>
      <c r="BF1348" s="18"/>
      <c r="BG1348" s="18"/>
      <c r="BH1348" s="18"/>
      <c r="BI1348" s="18"/>
      <c r="BJ1348" s="18"/>
      <c r="BK1348" s="18"/>
      <c r="BL1348" s="18"/>
      <c r="BM1348" s="18"/>
      <c r="BN1348" s="18"/>
    </row>
    <row r="1349" spans="1:66">
      <c r="A1349" s="18"/>
      <c r="B1349" s="18"/>
      <c r="C1349" s="18"/>
      <c r="D1349" s="18"/>
      <c r="E1349" s="18"/>
      <c r="F1349" s="18"/>
      <c r="G1349" s="18"/>
      <c r="H1349" s="18"/>
      <c r="I1349" s="18"/>
      <c r="J1349" s="18"/>
      <c r="K1349" s="18"/>
      <c r="L1349" s="18"/>
      <c r="M1349" s="18"/>
      <c r="N1349" s="18"/>
      <c r="O1349" s="18"/>
      <c r="P1349" s="18"/>
      <c r="Q1349" s="18"/>
      <c r="R1349" s="18"/>
      <c r="S1349" s="18"/>
      <c r="T1349" s="18"/>
      <c r="U1349" s="18"/>
      <c r="V1349" s="18"/>
      <c r="W1349" s="18"/>
      <c r="X1349" s="18"/>
      <c r="Y1349" s="18"/>
      <c r="Z1349" s="18"/>
      <c r="AA1349" s="18"/>
      <c r="AB1349" s="18"/>
      <c r="AC1349" s="18"/>
      <c r="AD1349" s="18"/>
      <c r="AE1349" s="18"/>
      <c r="AF1349" s="18"/>
      <c r="AG1349" s="18"/>
      <c r="AH1349" s="18"/>
      <c r="AI1349" s="18"/>
      <c r="AJ1349" s="18"/>
      <c r="AK1349" s="18"/>
      <c r="AL1349" s="18"/>
      <c r="AM1349" s="18"/>
      <c r="AN1349" s="18"/>
      <c r="AO1349" s="18"/>
      <c r="AP1349" s="18"/>
      <c r="AQ1349" s="18"/>
      <c r="AR1349" s="18"/>
      <c r="AS1349" s="18"/>
      <c r="AT1349" s="18"/>
      <c r="AU1349" s="18"/>
      <c r="AV1349" s="18"/>
      <c r="AW1349" s="18"/>
      <c r="AX1349" s="18"/>
      <c r="AY1349" s="18"/>
      <c r="AZ1349" s="18"/>
      <c r="BA1349" s="18"/>
      <c r="BB1349" s="18"/>
      <c r="BC1349" s="18"/>
      <c r="BD1349" s="18"/>
      <c r="BE1349" s="18"/>
      <c r="BF1349" s="18"/>
      <c r="BG1349" s="18"/>
      <c r="BH1349" s="18"/>
      <c r="BI1349" s="18"/>
      <c r="BJ1349" s="18"/>
      <c r="BK1349" s="18"/>
      <c r="BL1349" s="18"/>
      <c r="BM1349" s="18"/>
      <c r="BN1349" s="18"/>
    </row>
    <row r="1350" spans="1:66">
      <c r="A1350" s="18"/>
      <c r="B1350" s="18"/>
      <c r="C1350" s="18"/>
      <c r="D1350" s="18"/>
      <c r="E1350" s="18"/>
      <c r="F1350" s="18"/>
      <c r="G1350" s="18"/>
      <c r="H1350" s="18"/>
      <c r="I1350" s="18"/>
      <c r="J1350" s="18"/>
      <c r="K1350" s="18"/>
      <c r="L1350" s="18"/>
      <c r="M1350" s="18"/>
      <c r="N1350" s="18"/>
      <c r="O1350" s="18"/>
      <c r="P1350" s="18"/>
      <c r="Q1350" s="18"/>
      <c r="R1350" s="18"/>
      <c r="S1350" s="18"/>
      <c r="T1350" s="18"/>
      <c r="U1350" s="18"/>
      <c r="V1350" s="18"/>
      <c r="W1350" s="18"/>
      <c r="X1350" s="18"/>
      <c r="Y1350" s="18"/>
      <c r="Z1350" s="18"/>
      <c r="AA1350" s="18"/>
      <c r="AB1350" s="18"/>
      <c r="AC1350" s="18"/>
      <c r="AD1350" s="18"/>
      <c r="AE1350" s="18"/>
      <c r="AF1350" s="18"/>
      <c r="AG1350" s="18"/>
      <c r="AH1350" s="18"/>
      <c r="AI1350" s="18"/>
      <c r="AJ1350" s="18"/>
      <c r="AK1350" s="18"/>
      <c r="AL1350" s="18"/>
      <c r="AM1350" s="18"/>
      <c r="AN1350" s="18"/>
      <c r="AO1350" s="18"/>
      <c r="AP1350" s="18"/>
      <c r="AQ1350" s="18"/>
      <c r="AR1350" s="18"/>
      <c r="AS1350" s="18"/>
      <c r="AT1350" s="18"/>
      <c r="AU1350" s="18"/>
      <c r="AV1350" s="18"/>
      <c r="AW1350" s="18"/>
      <c r="AX1350" s="18"/>
      <c r="AY1350" s="18"/>
      <c r="AZ1350" s="18"/>
      <c r="BA1350" s="18"/>
      <c r="BB1350" s="18"/>
      <c r="BC1350" s="18"/>
      <c r="BD1350" s="18"/>
      <c r="BE1350" s="18"/>
      <c r="BF1350" s="18"/>
      <c r="BG1350" s="18"/>
      <c r="BH1350" s="18"/>
      <c r="BI1350" s="18"/>
      <c r="BJ1350" s="18"/>
      <c r="BK1350" s="18"/>
      <c r="BL1350" s="18"/>
      <c r="BM1350" s="18"/>
      <c r="BN1350" s="18"/>
    </row>
    <row r="1351" spans="1:66">
      <c r="A1351" s="18"/>
      <c r="B1351" s="18"/>
      <c r="C1351" s="18"/>
      <c r="D1351" s="18"/>
      <c r="E1351" s="18"/>
      <c r="F1351" s="18"/>
      <c r="G1351" s="18"/>
      <c r="H1351" s="18"/>
      <c r="I1351" s="18"/>
      <c r="J1351" s="18"/>
      <c r="K1351" s="18"/>
      <c r="L1351" s="18"/>
      <c r="M1351" s="18"/>
      <c r="N1351" s="18"/>
      <c r="O1351" s="18"/>
      <c r="P1351" s="18"/>
      <c r="Q1351" s="18"/>
      <c r="R1351" s="18"/>
      <c r="S1351" s="18"/>
      <c r="T1351" s="18"/>
      <c r="U1351" s="18"/>
      <c r="V1351" s="18"/>
      <c r="W1351" s="18"/>
      <c r="X1351" s="18"/>
      <c r="Y1351" s="18"/>
      <c r="Z1351" s="18"/>
      <c r="AA1351" s="18"/>
      <c r="AB1351" s="18"/>
      <c r="AC1351" s="18"/>
      <c r="AD1351" s="18"/>
      <c r="AE1351" s="18"/>
      <c r="AF1351" s="18"/>
      <c r="AG1351" s="18"/>
      <c r="AH1351" s="18"/>
      <c r="AI1351" s="18"/>
      <c r="AJ1351" s="18"/>
      <c r="AK1351" s="18"/>
      <c r="AL1351" s="18"/>
      <c r="AM1351" s="18"/>
      <c r="AN1351" s="18"/>
      <c r="AO1351" s="18"/>
      <c r="AP1351" s="18"/>
      <c r="AQ1351" s="18"/>
      <c r="AR1351" s="18"/>
      <c r="AS1351" s="18"/>
      <c r="AT1351" s="18"/>
      <c r="AU1351" s="18"/>
      <c r="AV1351" s="18"/>
      <c r="AW1351" s="18"/>
      <c r="AX1351" s="18"/>
      <c r="AY1351" s="18"/>
      <c r="AZ1351" s="18"/>
      <c r="BA1351" s="18"/>
      <c r="BB1351" s="18"/>
      <c r="BC1351" s="18"/>
      <c r="BD1351" s="18"/>
      <c r="BE1351" s="18"/>
      <c r="BF1351" s="18"/>
      <c r="BG1351" s="18"/>
      <c r="BH1351" s="18"/>
      <c r="BI1351" s="18"/>
      <c r="BJ1351" s="18"/>
      <c r="BK1351" s="18"/>
      <c r="BL1351" s="18"/>
      <c r="BM1351" s="18"/>
      <c r="BN1351" s="18"/>
    </row>
    <row r="1352" spans="1:66">
      <c r="A1352" s="18"/>
      <c r="B1352" s="18"/>
      <c r="C1352" s="18"/>
      <c r="D1352" s="18"/>
      <c r="E1352" s="18"/>
      <c r="F1352" s="18"/>
      <c r="G1352" s="18"/>
      <c r="H1352" s="18"/>
      <c r="I1352" s="18"/>
      <c r="J1352" s="18"/>
      <c r="K1352" s="18"/>
      <c r="L1352" s="18"/>
      <c r="M1352" s="18"/>
      <c r="N1352" s="18"/>
      <c r="O1352" s="18"/>
      <c r="P1352" s="18"/>
      <c r="Q1352" s="18"/>
      <c r="R1352" s="18"/>
      <c r="S1352" s="18"/>
      <c r="T1352" s="18"/>
      <c r="U1352" s="18"/>
      <c r="V1352" s="18"/>
      <c r="W1352" s="18"/>
      <c r="X1352" s="18"/>
      <c r="Y1352" s="18"/>
      <c r="Z1352" s="18"/>
      <c r="AA1352" s="18"/>
      <c r="AB1352" s="18"/>
      <c r="AC1352" s="18"/>
      <c r="AD1352" s="18"/>
      <c r="AE1352" s="18"/>
      <c r="AF1352" s="18"/>
      <c r="AG1352" s="18"/>
      <c r="AH1352" s="18"/>
      <c r="AI1352" s="18"/>
      <c r="AJ1352" s="18"/>
      <c r="AK1352" s="18"/>
      <c r="AL1352" s="18"/>
      <c r="AM1352" s="18"/>
      <c r="AN1352" s="18"/>
      <c r="AO1352" s="18"/>
      <c r="AP1352" s="18"/>
      <c r="AQ1352" s="18"/>
      <c r="AR1352" s="18"/>
      <c r="AS1352" s="18"/>
      <c r="AT1352" s="18"/>
      <c r="AU1352" s="18"/>
      <c r="AV1352" s="18"/>
      <c r="AW1352" s="18"/>
      <c r="AX1352" s="18"/>
      <c r="AY1352" s="18"/>
      <c r="AZ1352" s="18"/>
      <c r="BA1352" s="18"/>
      <c r="BB1352" s="18"/>
      <c r="BC1352" s="18"/>
      <c r="BD1352" s="18"/>
      <c r="BE1352" s="18"/>
      <c r="BF1352" s="18"/>
      <c r="BG1352" s="18"/>
      <c r="BH1352" s="18"/>
      <c r="BI1352" s="18"/>
      <c r="BJ1352" s="18"/>
      <c r="BK1352" s="18"/>
      <c r="BL1352" s="18"/>
      <c r="BM1352" s="18"/>
      <c r="BN1352" s="18"/>
    </row>
    <row r="1353" spans="1:66">
      <c r="A1353" s="18"/>
      <c r="B1353" s="18"/>
      <c r="C1353" s="18"/>
      <c r="D1353" s="18"/>
      <c r="E1353" s="18"/>
      <c r="F1353" s="18"/>
      <c r="G1353" s="18"/>
      <c r="H1353" s="18"/>
      <c r="I1353" s="18"/>
      <c r="J1353" s="18"/>
      <c r="K1353" s="18"/>
      <c r="L1353" s="18"/>
      <c r="M1353" s="18"/>
      <c r="N1353" s="18"/>
      <c r="O1353" s="18"/>
      <c r="P1353" s="18"/>
      <c r="Q1353" s="18"/>
      <c r="R1353" s="18"/>
      <c r="S1353" s="18"/>
      <c r="T1353" s="18"/>
      <c r="U1353" s="18"/>
      <c r="V1353" s="18"/>
      <c r="W1353" s="18"/>
      <c r="X1353" s="18"/>
      <c r="Y1353" s="18"/>
      <c r="Z1353" s="18"/>
      <c r="AA1353" s="18"/>
      <c r="AB1353" s="18"/>
      <c r="AC1353" s="18"/>
      <c r="AD1353" s="18"/>
      <c r="AE1353" s="18"/>
      <c r="AF1353" s="18"/>
      <c r="AG1353" s="18"/>
      <c r="AH1353" s="18"/>
      <c r="AI1353" s="18"/>
      <c r="AJ1353" s="18"/>
      <c r="AK1353" s="18"/>
      <c r="AL1353" s="18"/>
      <c r="AM1353" s="18"/>
      <c r="AN1353" s="18"/>
      <c r="AO1353" s="18"/>
      <c r="AP1353" s="18"/>
      <c r="AQ1353" s="18"/>
      <c r="AR1353" s="18"/>
      <c r="AS1353" s="18"/>
      <c r="AT1353" s="18"/>
      <c r="AU1353" s="18"/>
      <c r="AV1353" s="18"/>
      <c r="AW1353" s="18"/>
      <c r="AX1353" s="18"/>
      <c r="AY1353" s="18"/>
      <c r="AZ1353" s="18"/>
      <c r="BA1353" s="18"/>
      <c r="BB1353" s="18"/>
      <c r="BC1353" s="18"/>
      <c r="BD1353" s="18"/>
      <c r="BE1353" s="18"/>
      <c r="BF1353" s="18"/>
      <c r="BG1353" s="18"/>
      <c r="BH1353" s="18"/>
      <c r="BI1353" s="18"/>
      <c r="BJ1353" s="18"/>
      <c r="BK1353" s="18"/>
      <c r="BL1353" s="18"/>
      <c r="BM1353" s="18"/>
      <c r="BN1353" s="18"/>
    </row>
    <row r="1354" spans="1:66">
      <c r="A1354" s="18"/>
      <c r="B1354" s="18"/>
      <c r="C1354" s="18"/>
      <c r="D1354" s="18"/>
      <c r="E1354" s="18"/>
      <c r="F1354" s="18"/>
      <c r="G1354" s="18"/>
      <c r="H1354" s="18"/>
      <c r="I1354" s="18"/>
      <c r="J1354" s="18"/>
      <c r="K1354" s="18"/>
      <c r="L1354" s="18"/>
      <c r="M1354" s="18"/>
      <c r="N1354" s="18"/>
      <c r="O1354" s="18"/>
      <c r="P1354" s="18"/>
      <c r="Q1354" s="18"/>
      <c r="R1354" s="18"/>
      <c r="S1354" s="18"/>
      <c r="T1354" s="18"/>
      <c r="U1354" s="18"/>
      <c r="V1354" s="18"/>
      <c r="W1354" s="18"/>
      <c r="X1354" s="18"/>
      <c r="Y1354" s="18"/>
      <c r="Z1354" s="18"/>
      <c r="AA1354" s="18"/>
      <c r="AB1354" s="18"/>
      <c r="AC1354" s="18"/>
      <c r="AD1354" s="18"/>
      <c r="AE1354" s="18"/>
      <c r="AF1354" s="18"/>
      <c r="AG1354" s="18"/>
      <c r="AH1354" s="18"/>
      <c r="AI1354" s="18"/>
      <c r="AJ1354" s="18"/>
      <c r="AK1354" s="18"/>
      <c r="AL1354" s="18"/>
      <c r="AM1354" s="18"/>
      <c r="AN1354" s="18"/>
      <c r="AO1354" s="18"/>
      <c r="AP1354" s="18"/>
      <c r="AQ1354" s="18"/>
      <c r="AR1354" s="18"/>
      <c r="AS1354" s="18"/>
      <c r="AT1354" s="18"/>
      <c r="AU1354" s="18"/>
      <c r="AV1354" s="18"/>
      <c r="AW1354" s="18"/>
      <c r="AX1354" s="18"/>
      <c r="AY1354" s="18"/>
      <c r="AZ1354" s="18"/>
      <c r="BA1354" s="18"/>
      <c r="BB1354" s="18"/>
      <c r="BC1354" s="18"/>
      <c r="BD1354" s="18"/>
      <c r="BE1354" s="18"/>
      <c r="BF1354" s="18"/>
      <c r="BG1354" s="18"/>
      <c r="BH1354" s="18"/>
      <c r="BI1354" s="18"/>
      <c r="BJ1354" s="18"/>
      <c r="BK1354" s="18"/>
      <c r="BL1354" s="18"/>
      <c r="BM1354" s="18"/>
      <c r="BN1354" s="18"/>
    </row>
    <row r="1355" spans="1:66">
      <c r="A1355" s="18"/>
      <c r="B1355" s="18"/>
      <c r="C1355" s="18"/>
      <c r="D1355" s="18"/>
      <c r="E1355" s="18"/>
      <c r="F1355" s="18"/>
      <c r="G1355" s="18"/>
      <c r="H1355" s="18"/>
      <c r="I1355" s="18"/>
      <c r="J1355" s="18"/>
      <c r="K1355" s="18"/>
      <c r="L1355" s="18"/>
      <c r="M1355" s="18"/>
      <c r="N1355" s="18"/>
      <c r="O1355" s="18"/>
      <c r="P1355" s="18"/>
      <c r="Q1355" s="18"/>
      <c r="R1355" s="18"/>
      <c r="S1355" s="18"/>
      <c r="T1355" s="18"/>
      <c r="U1355" s="18"/>
      <c r="V1355" s="18"/>
      <c r="W1355" s="18"/>
      <c r="X1355" s="18"/>
      <c r="Y1355" s="18"/>
      <c r="Z1355" s="18"/>
      <c r="AA1355" s="18"/>
      <c r="AB1355" s="18"/>
      <c r="AC1355" s="18"/>
      <c r="AD1355" s="18"/>
      <c r="AE1355" s="18"/>
      <c r="AF1355" s="18"/>
      <c r="AG1355" s="18"/>
      <c r="AH1355" s="18"/>
      <c r="AI1355" s="18"/>
      <c r="AJ1355" s="18"/>
      <c r="AK1355" s="18"/>
      <c r="AL1355" s="18"/>
      <c r="AM1355" s="18"/>
      <c r="AN1355" s="18"/>
      <c r="AO1355" s="18"/>
      <c r="AP1355" s="18"/>
      <c r="AQ1355" s="18"/>
      <c r="AR1355" s="18"/>
      <c r="AS1355" s="18"/>
      <c r="AT1355" s="18"/>
      <c r="AU1355" s="18"/>
      <c r="AV1355" s="18"/>
      <c r="AW1355" s="18"/>
      <c r="AX1355" s="18"/>
      <c r="AY1355" s="18"/>
      <c r="AZ1355" s="18"/>
      <c r="BA1355" s="18"/>
      <c r="BB1355" s="18"/>
      <c r="BC1355" s="18"/>
      <c r="BD1355" s="18"/>
      <c r="BE1355" s="18"/>
      <c r="BF1355" s="18"/>
      <c r="BG1355" s="18"/>
      <c r="BH1355" s="18"/>
      <c r="BI1355" s="18"/>
      <c r="BJ1355" s="18"/>
      <c r="BK1355" s="18"/>
      <c r="BL1355" s="18"/>
      <c r="BM1355" s="18"/>
      <c r="BN1355" s="18"/>
    </row>
    <row r="1356" spans="1:66">
      <c r="A1356" s="18"/>
      <c r="B1356" s="18"/>
      <c r="C1356" s="18"/>
      <c r="D1356" s="18"/>
      <c r="E1356" s="18"/>
      <c r="F1356" s="18"/>
      <c r="G1356" s="18"/>
      <c r="H1356" s="18"/>
      <c r="I1356" s="18"/>
      <c r="J1356" s="18"/>
      <c r="K1356" s="18"/>
      <c r="L1356" s="18"/>
      <c r="M1356" s="18"/>
      <c r="N1356" s="18"/>
      <c r="O1356" s="18"/>
      <c r="P1356" s="18"/>
      <c r="Q1356" s="18"/>
      <c r="R1356" s="18"/>
      <c r="S1356" s="18"/>
      <c r="T1356" s="18"/>
      <c r="U1356" s="18"/>
      <c r="V1356" s="18"/>
      <c r="W1356" s="18"/>
      <c r="X1356" s="18"/>
      <c r="Y1356" s="18"/>
      <c r="Z1356" s="18"/>
      <c r="AA1356" s="18"/>
      <c r="AB1356" s="18"/>
      <c r="AC1356" s="18"/>
      <c r="AD1356" s="18"/>
      <c r="AE1356" s="18"/>
      <c r="AF1356" s="18"/>
      <c r="AG1356" s="18"/>
      <c r="AH1356" s="18"/>
      <c r="AI1356" s="18"/>
      <c r="AJ1356" s="18"/>
      <c r="AK1356" s="18"/>
      <c r="AL1356" s="18"/>
      <c r="AM1356" s="18"/>
      <c r="AN1356" s="18"/>
      <c r="AO1356" s="18"/>
      <c r="AP1356" s="18"/>
      <c r="AQ1356" s="18"/>
      <c r="AR1356" s="18"/>
      <c r="AS1356" s="18"/>
      <c r="AT1356" s="18"/>
      <c r="AU1356" s="18"/>
      <c r="AV1356" s="18"/>
      <c r="AW1356" s="18"/>
      <c r="AX1356" s="18"/>
      <c r="AY1356" s="18"/>
      <c r="AZ1356" s="18"/>
      <c r="BA1356" s="18"/>
      <c r="BB1356" s="18"/>
      <c r="BC1356" s="18"/>
      <c r="BD1356" s="18"/>
      <c r="BE1356" s="18"/>
      <c r="BF1356" s="18"/>
      <c r="BG1356" s="18"/>
      <c r="BH1356" s="18"/>
      <c r="BI1356" s="18"/>
      <c r="BJ1356" s="18"/>
      <c r="BK1356" s="18"/>
      <c r="BL1356" s="18"/>
      <c r="BM1356" s="18"/>
      <c r="BN1356" s="18"/>
    </row>
    <row r="1357" spans="1:66">
      <c r="A1357" s="18"/>
      <c r="B1357" s="18"/>
      <c r="C1357" s="18"/>
      <c r="D1357" s="18"/>
      <c r="E1357" s="18"/>
      <c r="F1357" s="18"/>
      <c r="G1357" s="18"/>
      <c r="H1357" s="18"/>
      <c r="I1357" s="18"/>
      <c r="J1357" s="18"/>
      <c r="K1357" s="18"/>
      <c r="L1357" s="18"/>
      <c r="M1357" s="18"/>
      <c r="N1357" s="18"/>
      <c r="O1357" s="18"/>
      <c r="P1357" s="18"/>
      <c r="Q1357" s="18"/>
      <c r="R1357" s="18"/>
      <c r="S1357" s="18"/>
      <c r="T1357" s="18"/>
      <c r="U1357" s="18"/>
      <c r="V1357" s="18"/>
      <c r="W1357" s="18"/>
      <c r="X1357" s="18"/>
      <c r="Y1357" s="18"/>
      <c r="Z1357" s="18"/>
      <c r="AA1357" s="18"/>
      <c r="AB1357" s="18"/>
      <c r="AC1357" s="18"/>
      <c r="AD1357" s="18"/>
      <c r="AE1357" s="18"/>
      <c r="AF1357" s="18"/>
      <c r="AG1357" s="18"/>
      <c r="AH1357" s="18"/>
      <c r="AI1357" s="18"/>
      <c r="AJ1357" s="18"/>
      <c r="AK1357" s="18"/>
      <c r="AL1357" s="18"/>
      <c r="AM1357" s="18"/>
      <c r="AN1357" s="18"/>
      <c r="AO1357" s="18"/>
      <c r="AP1357" s="18"/>
      <c r="AQ1357" s="18"/>
      <c r="AR1357" s="18"/>
      <c r="AS1357" s="18"/>
      <c r="AT1357" s="18"/>
      <c r="AU1357" s="18"/>
      <c r="AV1357" s="18"/>
      <c r="AW1357" s="18"/>
      <c r="AX1357" s="18"/>
      <c r="AY1357" s="18"/>
      <c r="AZ1357" s="18"/>
      <c r="BA1357" s="18"/>
      <c r="BB1357" s="18"/>
      <c r="BC1357" s="18"/>
      <c r="BD1357" s="18"/>
      <c r="BE1357" s="18"/>
      <c r="BF1357" s="18"/>
      <c r="BG1357" s="18"/>
      <c r="BH1357" s="18"/>
      <c r="BI1357" s="18"/>
      <c r="BJ1357" s="18"/>
      <c r="BK1357" s="18"/>
      <c r="BL1357" s="18"/>
      <c r="BM1357" s="18"/>
      <c r="BN1357" s="18"/>
    </row>
    <row r="1358" spans="1:66">
      <c r="A1358" s="18"/>
      <c r="B1358" s="18"/>
      <c r="C1358" s="18"/>
      <c r="D1358" s="18"/>
      <c r="E1358" s="18"/>
      <c r="F1358" s="18"/>
      <c r="G1358" s="18"/>
      <c r="H1358" s="18"/>
      <c r="I1358" s="18"/>
      <c r="J1358" s="18"/>
      <c r="K1358" s="18"/>
      <c r="L1358" s="18"/>
      <c r="M1358" s="18"/>
      <c r="N1358" s="18"/>
      <c r="O1358" s="18"/>
      <c r="P1358" s="18"/>
      <c r="Q1358" s="18"/>
      <c r="R1358" s="18"/>
      <c r="S1358" s="18"/>
      <c r="T1358" s="18"/>
      <c r="U1358" s="18"/>
      <c r="V1358" s="18"/>
      <c r="W1358" s="18"/>
      <c r="X1358" s="18"/>
      <c r="Y1358" s="18"/>
      <c r="Z1358" s="18"/>
      <c r="AA1358" s="18"/>
      <c r="AB1358" s="18"/>
      <c r="AC1358" s="18"/>
      <c r="AD1358" s="18"/>
      <c r="AE1358" s="18"/>
      <c r="AF1358" s="18"/>
      <c r="AG1358" s="18"/>
      <c r="AH1358" s="18"/>
      <c r="AI1358" s="18"/>
      <c r="AJ1358" s="18"/>
      <c r="AK1358" s="18"/>
      <c r="AL1358" s="18"/>
      <c r="AM1358" s="18"/>
      <c r="AN1358" s="18"/>
      <c r="AO1358" s="18"/>
      <c r="AP1358" s="18"/>
      <c r="AQ1358" s="18"/>
      <c r="AR1358" s="18"/>
      <c r="AS1358" s="18"/>
      <c r="AT1358" s="18"/>
      <c r="AU1358" s="18"/>
      <c r="AV1358" s="18"/>
      <c r="AW1358" s="18"/>
      <c r="AX1358" s="18"/>
      <c r="AY1358" s="18"/>
      <c r="AZ1358" s="18"/>
      <c r="BA1358" s="18"/>
      <c r="BB1358" s="18"/>
      <c r="BC1358" s="18"/>
      <c r="BD1358" s="18"/>
      <c r="BE1358" s="18"/>
      <c r="BF1358" s="18"/>
      <c r="BG1358" s="18"/>
      <c r="BH1358" s="18"/>
      <c r="BI1358" s="18"/>
      <c r="BJ1358" s="18"/>
      <c r="BK1358" s="18"/>
      <c r="BL1358" s="18"/>
      <c r="BM1358" s="18"/>
      <c r="BN1358" s="18"/>
    </row>
    <row r="1359" spans="1:66">
      <c r="A1359" s="18"/>
      <c r="B1359" s="18"/>
      <c r="C1359" s="18"/>
      <c r="D1359" s="18"/>
      <c r="E1359" s="18"/>
      <c r="F1359" s="18"/>
      <c r="G1359" s="18"/>
      <c r="H1359" s="18"/>
      <c r="I1359" s="18"/>
      <c r="J1359" s="18"/>
      <c r="K1359" s="18"/>
      <c r="L1359" s="18"/>
      <c r="M1359" s="18"/>
      <c r="N1359" s="18"/>
      <c r="O1359" s="18"/>
      <c r="P1359" s="18"/>
      <c r="Q1359" s="18"/>
      <c r="R1359" s="18"/>
      <c r="S1359" s="18"/>
      <c r="T1359" s="18"/>
      <c r="U1359" s="18"/>
      <c r="V1359" s="18"/>
      <c r="W1359" s="18"/>
      <c r="X1359" s="18"/>
      <c r="Y1359" s="18"/>
      <c r="Z1359" s="18"/>
      <c r="AA1359" s="18"/>
      <c r="AB1359" s="18"/>
      <c r="AC1359" s="18"/>
      <c r="AD1359" s="18"/>
      <c r="AE1359" s="18"/>
      <c r="AF1359" s="18"/>
      <c r="AG1359" s="18"/>
      <c r="AH1359" s="18"/>
      <c r="AI1359" s="18"/>
      <c r="AJ1359" s="18"/>
      <c r="AK1359" s="18"/>
      <c r="AL1359" s="18"/>
      <c r="AM1359" s="18"/>
      <c r="AN1359" s="18"/>
      <c r="AO1359" s="18"/>
      <c r="AP1359" s="18"/>
      <c r="AQ1359" s="18"/>
      <c r="AR1359" s="18"/>
      <c r="AS1359" s="18"/>
      <c r="AT1359" s="18"/>
      <c r="AU1359" s="18"/>
      <c r="AV1359" s="18"/>
      <c r="AW1359" s="18"/>
      <c r="AX1359" s="18"/>
      <c r="AY1359" s="18"/>
      <c r="AZ1359" s="18"/>
      <c r="BA1359" s="18"/>
      <c r="BB1359" s="18"/>
      <c r="BC1359" s="18"/>
      <c r="BD1359" s="18"/>
      <c r="BE1359" s="18"/>
      <c r="BF1359" s="18"/>
      <c r="BG1359" s="18"/>
      <c r="BH1359" s="18"/>
      <c r="BI1359" s="18"/>
      <c r="BJ1359" s="18"/>
      <c r="BK1359" s="18"/>
      <c r="BL1359" s="18"/>
      <c r="BM1359" s="18"/>
      <c r="BN1359" s="18"/>
    </row>
    <row r="1360" spans="1:66">
      <c r="A1360" s="18"/>
      <c r="B1360" s="18"/>
      <c r="C1360" s="18"/>
      <c r="D1360" s="18"/>
      <c r="E1360" s="18"/>
      <c r="F1360" s="18"/>
      <c r="G1360" s="18"/>
      <c r="H1360" s="18"/>
      <c r="I1360" s="18"/>
      <c r="J1360" s="18"/>
      <c r="K1360" s="18"/>
      <c r="L1360" s="18"/>
      <c r="M1360" s="18"/>
      <c r="N1360" s="18"/>
      <c r="O1360" s="18"/>
      <c r="P1360" s="18"/>
      <c r="Q1360" s="18"/>
      <c r="R1360" s="18"/>
      <c r="S1360" s="18"/>
      <c r="T1360" s="18"/>
      <c r="U1360" s="18"/>
      <c r="V1360" s="18"/>
      <c r="W1360" s="18"/>
      <c r="X1360" s="18"/>
      <c r="Y1360" s="18"/>
      <c r="Z1360" s="18"/>
      <c r="AA1360" s="18"/>
      <c r="AB1360" s="18"/>
      <c r="AC1360" s="18"/>
      <c r="AD1360" s="18"/>
      <c r="AE1360" s="18"/>
      <c r="AF1360" s="18"/>
      <c r="AG1360" s="18"/>
      <c r="AH1360" s="18"/>
      <c r="AI1360" s="18"/>
      <c r="AJ1360" s="18"/>
      <c r="AK1360" s="18"/>
      <c r="AL1360" s="18"/>
      <c r="AM1360" s="18"/>
      <c r="AN1360" s="18"/>
      <c r="AO1360" s="18"/>
      <c r="AP1360" s="18"/>
      <c r="AQ1360" s="18"/>
      <c r="AR1360" s="18"/>
      <c r="AS1360" s="18"/>
      <c r="AT1360" s="18"/>
      <c r="AU1360" s="18"/>
      <c r="AV1360" s="18"/>
      <c r="AW1360" s="18"/>
      <c r="AX1360" s="18"/>
      <c r="AY1360" s="18"/>
      <c r="AZ1360" s="18"/>
      <c r="BA1360" s="18"/>
      <c r="BB1360" s="18"/>
      <c r="BC1360" s="18"/>
      <c r="BD1360" s="18"/>
      <c r="BE1360" s="18"/>
      <c r="BF1360" s="18"/>
      <c r="BG1360" s="18"/>
      <c r="BH1360" s="18"/>
      <c r="BI1360" s="18"/>
      <c r="BJ1360" s="18"/>
      <c r="BK1360" s="18"/>
      <c r="BL1360" s="18"/>
      <c r="BM1360" s="18"/>
      <c r="BN1360" s="18"/>
    </row>
    <row r="1361" spans="1:66">
      <c r="A1361" s="18"/>
      <c r="B1361" s="18"/>
      <c r="C1361" s="18"/>
      <c r="D1361" s="18"/>
      <c r="E1361" s="18"/>
      <c r="F1361" s="18"/>
      <c r="G1361" s="18"/>
      <c r="H1361" s="18"/>
      <c r="I1361" s="18"/>
      <c r="J1361" s="18"/>
      <c r="K1361" s="18"/>
      <c r="L1361" s="18"/>
      <c r="M1361" s="18"/>
      <c r="N1361" s="18"/>
      <c r="O1361" s="18"/>
      <c r="P1361" s="18"/>
      <c r="Q1361" s="18"/>
      <c r="R1361" s="18"/>
      <c r="S1361" s="18"/>
      <c r="T1361" s="18"/>
      <c r="U1361" s="18"/>
      <c r="V1361" s="18"/>
      <c r="W1361" s="18"/>
      <c r="X1361" s="18"/>
      <c r="Y1361" s="18"/>
      <c r="Z1361" s="18"/>
      <c r="AA1361" s="18"/>
      <c r="AB1361" s="18"/>
      <c r="AC1361" s="18"/>
      <c r="AD1361" s="18"/>
      <c r="AE1361" s="18"/>
      <c r="AF1361" s="18"/>
      <c r="AG1361" s="18"/>
      <c r="AH1361" s="18"/>
      <c r="AI1361" s="18"/>
      <c r="AJ1361" s="18"/>
      <c r="AK1361" s="18"/>
      <c r="AL1361" s="18"/>
      <c r="AM1361" s="18"/>
      <c r="AN1361" s="18"/>
      <c r="AO1361" s="18"/>
      <c r="AP1361" s="18"/>
      <c r="AQ1361" s="18"/>
      <c r="AR1361" s="18"/>
      <c r="AS1361" s="18"/>
      <c r="AT1361" s="18"/>
      <c r="AU1361" s="18"/>
      <c r="AV1361" s="18"/>
      <c r="AW1361" s="18"/>
      <c r="AX1361" s="18"/>
      <c r="AY1361" s="18"/>
      <c r="AZ1361" s="18"/>
      <c r="BA1361" s="18"/>
      <c r="BB1361" s="18"/>
      <c r="BC1361" s="18"/>
      <c r="BD1361" s="18"/>
      <c r="BE1361" s="18"/>
      <c r="BF1361" s="18"/>
      <c r="BG1361" s="18"/>
      <c r="BH1361" s="18"/>
      <c r="BI1361" s="18"/>
      <c r="BJ1361" s="18"/>
      <c r="BK1361" s="18"/>
      <c r="BL1361" s="18"/>
      <c r="BM1361" s="18"/>
      <c r="BN1361" s="18"/>
    </row>
    <row r="1362" spans="1:66">
      <c r="A1362" s="18"/>
      <c r="B1362" s="18"/>
      <c r="C1362" s="18"/>
      <c r="D1362" s="18"/>
      <c r="E1362" s="18"/>
      <c r="F1362" s="18"/>
      <c r="G1362" s="18"/>
      <c r="H1362" s="18"/>
      <c r="I1362" s="18"/>
      <c r="J1362" s="18"/>
      <c r="K1362" s="18"/>
      <c r="L1362" s="18"/>
      <c r="M1362" s="18"/>
      <c r="N1362" s="18"/>
      <c r="O1362" s="18"/>
      <c r="P1362" s="18"/>
      <c r="Q1362" s="18"/>
      <c r="R1362" s="18"/>
      <c r="S1362" s="18"/>
      <c r="T1362" s="18"/>
      <c r="U1362" s="18"/>
      <c r="V1362" s="18"/>
      <c r="W1362" s="18"/>
      <c r="X1362" s="18"/>
      <c r="Y1362" s="18"/>
      <c r="Z1362" s="18"/>
      <c r="AA1362" s="18"/>
      <c r="AB1362" s="18"/>
      <c r="AC1362" s="18"/>
      <c r="AD1362" s="18"/>
      <c r="AE1362" s="18"/>
      <c r="AF1362" s="18"/>
      <c r="AG1362" s="18"/>
      <c r="AH1362" s="18"/>
      <c r="AI1362" s="18"/>
      <c r="AJ1362" s="18"/>
      <c r="AK1362" s="18"/>
      <c r="AL1362" s="18"/>
      <c r="AM1362" s="18"/>
      <c r="AN1362" s="18"/>
      <c r="AO1362" s="18"/>
      <c r="AP1362" s="18"/>
      <c r="AQ1362" s="18"/>
      <c r="AR1362" s="18"/>
      <c r="AS1362" s="18"/>
      <c r="AT1362" s="18"/>
      <c r="AU1362" s="18"/>
      <c r="AV1362" s="18"/>
      <c r="AW1362" s="18"/>
      <c r="AX1362" s="18"/>
      <c r="AY1362" s="18"/>
      <c r="AZ1362" s="18"/>
      <c r="BA1362" s="18"/>
      <c r="BB1362" s="18"/>
      <c r="BC1362" s="18"/>
      <c r="BD1362" s="18"/>
      <c r="BE1362" s="18"/>
      <c r="BF1362" s="18"/>
      <c r="BG1362" s="18"/>
      <c r="BH1362" s="18"/>
      <c r="BI1362" s="18"/>
      <c r="BJ1362" s="18"/>
      <c r="BK1362" s="18"/>
      <c r="BL1362" s="18"/>
      <c r="BM1362" s="18"/>
      <c r="BN1362" s="18"/>
    </row>
    <row r="1363" spans="1:66">
      <c r="A1363" s="18"/>
      <c r="B1363" s="18"/>
      <c r="C1363" s="18"/>
      <c r="D1363" s="18"/>
      <c r="E1363" s="18"/>
      <c r="F1363" s="18"/>
      <c r="G1363" s="18"/>
      <c r="H1363" s="18"/>
      <c r="I1363" s="18"/>
      <c r="J1363" s="18"/>
      <c r="K1363" s="18"/>
      <c r="L1363" s="18"/>
      <c r="M1363" s="18"/>
      <c r="N1363" s="18"/>
      <c r="O1363" s="18"/>
      <c r="P1363" s="18"/>
      <c r="Q1363" s="18"/>
      <c r="R1363" s="18"/>
      <c r="S1363" s="18"/>
      <c r="T1363" s="18"/>
      <c r="U1363" s="18"/>
      <c r="V1363" s="18"/>
      <c r="W1363" s="18"/>
      <c r="X1363" s="18"/>
      <c r="Y1363" s="18"/>
      <c r="Z1363" s="18"/>
      <c r="AA1363" s="18"/>
      <c r="AB1363" s="18"/>
      <c r="AC1363" s="18"/>
      <c r="AD1363" s="18"/>
      <c r="AE1363" s="18"/>
      <c r="AF1363" s="18"/>
      <c r="AG1363" s="18"/>
      <c r="AH1363" s="18"/>
      <c r="AI1363" s="18"/>
      <c r="AJ1363" s="18"/>
      <c r="AK1363" s="18"/>
      <c r="AL1363" s="18"/>
      <c r="AM1363" s="18"/>
      <c r="AN1363" s="18"/>
      <c r="AO1363" s="18"/>
      <c r="AP1363" s="18"/>
      <c r="AQ1363" s="18"/>
      <c r="AR1363" s="18"/>
      <c r="AS1363" s="18"/>
      <c r="AT1363" s="18"/>
      <c r="AU1363" s="18"/>
      <c r="AV1363" s="18"/>
      <c r="AW1363" s="18"/>
      <c r="AX1363" s="18"/>
      <c r="AY1363" s="18"/>
      <c r="AZ1363" s="18"/>
      <c r="BA1363" s="18"/>
      <c r="BB1363" s="18"/>
      <c r="BC1363" s="18"/>
      <c r="BD1363" s="18"/>
      <c r="BE1363" s="18"/>
      <c r="BF1363" s="18"/>
      <c r="BG1363" s="18"/>
      <c r="BH1363" s="18"/>
      <c r="BI1363" s="18"/>
      <c r="BJ1363" s="18"/>
      <c r="BK1363" s="18"/>
      <c r="BL1363" s="18"/>
      <c r="BM1363" s="18"/>
      <c r="BN1363" s="18"/>
    </row>
    <row r="1364" spans="1:66">
      <c r="A1364" s="18"/>
      <c r="B1364" s="18"/>
      <c r="C1364" s="18"/>
      <c r="D1364" s="18"/>
      <c r="E1364" s="18"/>
      <c r="F1364" s="18"/>
      <c r="G1364" s="18"/>
      <c r="H1364" s="18"/>
      <c r="I1364" s="18"/>
      <c r="J1364" s="18"/>
      <c r="K1364" s="18"/>
      <c r="L1364" s="18"/>
      <c r="M1364" s="18"/>
      <c r="N1364" s="18"/>
      <c r="O1364" s="18"/>
      <c r="P1364" s="18"/>
      <c r="Q1364" s="18"/>
      <c r="R1364" s="18"/>
      <c r="S1364" s="18"/>
      <c r="T1364" s="18"/>
      <c r="U1364" s="18"/>
      <c r="V1364" s="18"/>
      <c r="W1364" s="18"/>
      <c r="X1364" s="18"/>
      <c r="Y1364" s="18"/>
      <c r="Z1364" s="18"/>
      <c r="AA1364" s="18"/>
      <c r="AB1364" s="18"/>
      <c r="AC1364" s="18"/>
      <c r="AD1364" s="18"/>
      <c r="AE1364" s="18"/>
      <c r="AF1364" s="18"/>
      <c r="AG1364" s="18"/>
      <c r="AH1364" s="18"/>
      <c r="AI1364" s="18"/>
      <c r="AJ1364" s="18"/>
      <c r="AK1364" s="18"/>
      <c r="AL1364" s="18"/>
      <c r="AM1364" s="18"/>
      <c r="AN1364" s="18"/>
      <c r="AO1364" s="18"/>
      <c r="AP1364" s="18"/>
      <c r="AQ1364" s="18"/>
      <c r="AR1364" s="18"/>
      <c r="AS1364" s="18"/>
      <c r="AT1364" s="18"/>
      <c r="AU1364" s="18"/>
      <c r="AV1364" s="18"/>
      <c r="AW1364" s="18"/>
      <c r="AX1364" s="18"/>
      <c r="AY1364" s="18"/>
      <c r="AZ1364" s="18"/>
      <c r="BA1364" s="18"/>
      <c r="BB1364" s="18"/>
      <c r="BC1364" s="18"/>
      <c r="BD1364" s="18"/>
      <c r="BE1364" s="18"/>
      <c r="BF1364" s="18"/>
      <c r="BG1364" s="18"/>
      <c r="BH1364" s="18"/>
      <c r="BI1364" s="18"/>
      <c r="BJ1364" s="18"/>
      <c r="BK1364" s="18"/>
      <c r="BL1364" s="18"/>
      <c r="BM1364" s="18"/>
      <c r="BN1364" s="18"/>
    </row>
    <row r="1365" spans="1:66">
      <c r="A1365" s="18"/>
      <c r="B1365" s="18"/>
      <c r="C1365" s="18"/>
      <c r="D1365" s="18"/>
      <c r="E1365" s="18"/>
      <c r="F1365" s="18"/>
      <c r="G1365" s="18"/>
      <c r="H1365" s="18"/>
      <c r="I1365" s="18"/>
      <c r="J1365" s="18"/>
      <c r="K1365" s="18"/>
      <c r="L1365" s="18"/>
      <c r="M1365" s="18"/>
      <c r="N1365" s="18"/>
      <c r="O1365" s="18"/>
      <c r="P1365" s="18"/>
      <c r="Q1365" s="18"/>
      <c r="R1365" s="18"/>
      <c r="S1365" s="18"/>
      <c r="T1365" s="18"/>
      <c r="U1365" s="18"/>
      <c r="V1365" s="18"/>
      <c r="W1365" s="18"/>
      <c r="X1365" s="18"/>
      <c r="Y1365" s="18"/>
      <c r="Z1365" s="18"/>
      <c r="AA1365" s="18"/>
      <c r="AB1365" s="18"/>
      <c r="AC1365" s="18"/>
      <c r="AD1365" s="18"/>
      <c r="AE1365" s="18"/>
      <c r="AF1365" s="18"/>
      <c r="AG1365" s="18"/>
      <c r="AH1365" s="18"/>
      <c r="AI1365" s="18"/>
      <c r="AJ1365" s="18"/>
      <c r="AK1365" s="18"/>
      <c r="AL1365" s="18"/>
      <c r="AM1365" s="18"/>
      <c r="AN1365" s="18"/>
      <c r="AO1365" s="18"/>
      <c r="AP1365" s="18"/>
      <c r="AQ1365" s="18"/>
      <c r="AR1365" s="18"/>
      <c r="AS1365" s="18"/>
      <c r="AT1365" s="18"/>
      <c r="AU1365" s="18"/>
      <c r="AV1365" s="18"/>
      <c r="AW1365" s="18"/>
      <c r="AX1365" s="18"/>
      <c r="AY1365" s="18"/>
      <c r="AZ1365" s="18"/>
      <c r="BA1365" s="18"/>
      <c r="BB1365" s="18"/>
      <c r="BC1365" s="18"/>
      <c r="BD1365" s="18"/>
      <c r="BE1365" s="18"/>
      <c r="BF1365" s="18"/>
      <c r="BG1365" s="18"/>
      <c r="BH1365" s="18"/>
      <c r="BI1365" s="18"/>
      <c r="BJ1365" s="18"/>
      <c r="BK1365" s="18"/>
      <c r="BL1365" s="18"/>
      <c r="BM1365" s="18"/>
      <c r="BN1365" s="18"/>
    </row>
    <row r="1366" spans="1:66">
      <c r="A1366" s="18"/>
      <c r="B1366" s="18"/>
      <c r="C1366" s="18"/>
      <c r="D1366" s="18"/>
      <c r="E1366" s="18"/>
      <c r="F1366" s="18"/>
      <c r="G1366" s="18"/>
      <c r="H1366" s="18"/>
      <c r="I1366" s="18"/>
      <c r="J1366" s="18"/>
      <c r="K1366" s="18"/>
      <c r="L1366" s="18"/>
      <c r="M1366" s="18"/>
      <c r="N1366" s="18"/>
      <c r="O1366" s="18"/>
      <c r="P1366" s="18"/>
      <c r="Q1366" s="18"/>
      <c r="R1366" s="18"/>
      <c r="S1366" s="18"/>
      <c r="T1366" s="18"/>
      <c r="U1366" s="18"/>
      <c r="V1366" s="18"/>
      <c r="W1366" s="18"/>
      <c r="X1366" s="18"/>
      <c r="Y1366" s="18"/>
      <c r="Z1366" s="18"/>
      <c r="AA1366" s="18"/>
      <c r="AB1366" s="18"/>
      <c r="AC1366" s="18"/>
      <c r="AD1366" s="18"/>
      <c r="AE1366" s="18"/>
      <c r="AF1366" s="18"/>
      <c r="AG1366" s="18"/>
      <c r="AH1366" s="18"/>
      <c r="AI1366" s="18"/>
      <c r="AJ1366" s="18"/>
      <c r="AK1366" s="18"/>
      <c r="AL1366" s="18"/>
      <c r="AM1366" s="18"/>
      <c r="AN1366" s="18"/>
      <c r="AO1366" s="18"/>
      <c r="AP1366" s="18"/>
      <c r="AQ1366" s="18"/>
      <c r="AR1366" s="18"/>
      <c r="AS1366" s="18"/>
      <c r="AT1366" s="18"/>
      <c r="AU1366" s="18"/>
      <c r="AV1366" s="18"/>
      <c r="AW1366" s="18"/>
      <c r="AX1366" s="18"/>
      <c r="AY1366" s="18"/>
      <c r="AZ1366" s="18"/>
      <c r="BA1366" s="18"/>
      <c r="BB1366" s="18"/>
      <c r="BC1366" s="18"/>
      <c r="BD1366" s="18"/>
      <c r="BE1366" s="18"/>
      <c r="BF1366" s="18"/>
      <c r="BG1366" s="18"/>
      <c r="BH1366" s="18"/>
      <c r="BI1366" s="18"/>
      <c r="BJ1366" s="18"/>
      <c r="BK1366" s="18"/>
      <c r="BL1366" s="18"/>
      <c r="BM1366" s="18"/>
      <c r="BN1366" s="18"/>
    </row>
    <row r="1367" spans="1:66">
      <c r="A1367" s="18"/>
      <c r="B1367" s="18"/>
      <c r="C1367" s="18"/>
      <c r="D1367" s="18"/>
      <c r="E1367" s="18"/>
      <c r="F1367" s="18"/>
      <c r="G1367" s="18"/>
      <c r="H1367" s="18"/>
      <c r="I1367" s="18"/>
      <c r="J1367" s="18"/>
      <c r="K1367" s="18"/>
      <c r="L1367" s="18"/>
      <c r="M1367" s="18"/>
      <c r="N1367" s="18"/>
      <c r="O1367" s="18"/>
      <c r="P1367" s="18"/>
      <c r="Q1367" s="18"/>
      <c r="R1367" s="18"/>
      <c r="S1367" s="18"/>
      <c r="T1367" s="18"/>
      <c r="U1367" s="18"/>
      <c r="V1367" s="18"/>
      <c r="W1367" s="18"/>
      <c r="X1367" s="18"/>
      <c r="Y1367" s="18"/>
      <c r="Z1367" s="18"/>
      <c r="AA1367" s="18"/>
      <c r="AB1367" s="18"/>
      <c r="AC1367" s="18"/>
      <c r="AD1367" s="18"/>
      <c r="AE1367" s="18"/>
      <c r="AF1367" s="18"/>
      <c r="AG1367" s="18"/>
      <c r="AH1367" s="18"/>
      <c r="AI1367" s="18"/>
      <c r="AJ1367" s="18"/>
      <c r="AK1367" s="18"/>
      <c r="AL1367" s="18"/>
      <c r="AM1367" s="18"/>
      <c r="AN1367" s="18"/>
      <c r="AO1367" s="18"/>
      <c r="AP1367" s="18"/>
      <c r="AQ1367" s="18"/>
      <c r="AR1367" s="18"/>
      <c r="AS1367" s="18"/>
      <c r="AT1367" s="18"/>
      <c r="AU1367" s="18"/>
      <c r="AV1367" s="18"/>
      <c r="AW1367" s="18"/>
      <c r="AX1367" s="18"/>
      <c r="AY1367" s="18"/>
      <c r="AZ1367" s="18"/>
      <c r="BA1367" s="18"/>
      <c r="BB1367" s="18"/>
      <c r="BC1367" s="18"/>
      <c r="BD1367" s="18"/>
      <c r="BE1367" s="18"/>
      <c r="BF1367" s="18"/>
      <c r="BG1367" s="18"/>
      <c r="BH1367" s="18"/>
      <c r="BI1367" s="18"/>
      <c r="BJ1367" s="18"/>
      <c r="BK1367" s="18"/>
      <c r="BL1367" s="18"/>
      <c r="BM1367" s="18"/>
      <c r="BN1367" s="18"/>
    </row>
    <row r="1368" spans="1:66">
      <c r="A1368" s="18"/>
      <c r="B1368" s="18"/>
      <c r="C1368" s="18"/>
      <c r="D1368" s="18"/>
      <c r="E1368" s="18"/>
      <c r="F1368" s="18"/>
      <c r="G1368" s="18"/>
      <c r="H1368" s="18"/>
      <c r="I1368" s="18"/>
      <c r="J1368" s="18"/>
      <c r="K1368" s="18"/>
      <c r="L1368" s="18"/>
      <c r="M1368" s="18"/>
      <c r="N1368" s="18"/>
      <c r="O1368" s="18"/>
      <c r="P1368" s="18"/>
      <c r="Q1368" s="18"/>
      <c r="R1368" s="18"/>
      <c r="S1368" s="18"/>
      <c r="T1368" s="18"/>
      <c r="U1368" s="18"/>
      <c r="V1368" s="18"/>
      <c r="W1368" s="18"/>
      <c r="X1368" s="18"/>
      <c r="Y1368" s="18"/>
      <c r="Z1368" s="18"/>
      <c r="AA1368" s="18"/>
      <c r="AB1368" s="18"/>
      <c r="AC1368" s="18"/>
      <c r="AD1368" s="18"/>
      <c r="AE1368" s="18"/>
      <c r="AF1368" s="18"/>
      <c r="AG1368" s="18"/>
      <c r="AH1368" s="18"/>
      <c r="AI1368" s="18"/>
      <c r="AJ1368" s="18"/>
      <c r="AK1368" s="18"/>
      <c r="AL1368" s="18"/>
      <c r="AM1368" s="18"/>
      <c r="AN1368" s="18"/>
      <c r="AO1368" s="18"/>
      <c r="AP1368" s="18"/>
      <c r="AQ1368" s="18"/>
      <c r="AR1368" s="18"/>
      <c r="AS1368" s="18"/>
      <c r="AT1368" s="18"/>
      <c r="AU1368" s="18"/>
      <c r="AV1368" s="18"/>
      <c r="AW1368" s="18"/>
      <c r="AX1368" s="18"/>
      <c r="AY1368" s="18"/>
      <c r="AZ1368" s="18"/>
      <c r="BA1368" s="18"/>
      <c r="BB1368" s="18"/>
      <c r="BC1368" s="18"/>
      <c r="BD1368" s="18"/>
      <c r="BE1368" s="18"/>
      <c r="BF1368" s="18"/>
      <c r="BG1368" s="18"/>
      <c r="BH1368" s="18"/>
      <c r="BI1368" s="18"/>
      <c r="BJ1368" s="18"/>
      <c r="BK1368" s="18"/>
      <c r="BL1368" s="18"/>
      <c r="BM1368" s="18"/>
      <c r="BN1368" s="18"/>
    </row>
    <row r="1369" spans="1:66">
      <c r="A1369" s="18"/>
      <c r="B1369" s="18"/>
      <c r="C1369" s="18"/>
      <c r="D1369" s="18"/>
      <c r="E1369" s="18"/>
      <c r="F1369" s="18"/>
      <c r="G1369" s="18"/>
      <c r="H1369" s="18"/>
      <c r="I1369" s="18"/>
      <c r="J1369" s="18"/>
      <c r="K1369" s="18"/>
      <c r="L1369" s="18"/>
      <c r="M1369" s="18"/>
      <c r="N1369" s="18"/>
      <c r="O1369" s="18"/>
      <c r="P1369" s="18"/>
      <c r="Q1369" s="18"/>
      <c r="R1369" s="18"/>
      <c r="S1369" s="18"/>
      <c r="T1369" s="18"/>
      <c r="U1369" s="18"/>
      <c r="V1369" s="18"/>
      <c r="W1369" s="18"/>
      <c r="X1369" s="18"/>
      <c r="Y1369" s="18"/>
      <c r="Z1369" s="18"/>
      <c r="AA1369" s="18"/>
      <c r="AB1369" s="18"/>
      <c r="AC1369" s="18"/>
      <c r="AD1369" s="18"/>
      <c r="AE1369" s="18"/>
      <c r="AF1369" s="18"/>
      <c r="AG1369" s="18"/>
      <c r="AH1369" s="18"/>
      <c r="AI1369" s="18"/>
      <c r="AJ1369" s="18"/>
      <c r="AK1369" s="18"/>
      <c r="AL1369" s="18"/>
      <c r="AM1369" s="18"/>
      <c r="AN1369" s="18"/>
      <c r="AO1369" s="18"/>
      <c r="AP1369" s="18"/>
      <c r="AQ1369" s="18"/>
      <c r="AR1369" s="18"/>
      <c r="AS1369" s="18"/>
      <c r="AT1369" s="18"/>
      <c r="AU1369" s="18"/>
      <c r="AV1369" s="18"/>
      <c r="AW1369" s="18"/>
      <c r="AX1369" s="18"/>
      <c r="AY1369" s="18"/>
      <c r="AZ1369" s="18"/>
      <c r="BA1369" s="18"/>
      <c r="BB1369" s="18"/>
      <c r="BC1369" s="18"/>
      <c r="BD1369" s="18"/>
      <c r="BE1369" s="18"/>
      <c r="BF1369" s="18"/>
      <c r="BG1369" s="18"/>
      <c r="BH1369" s="18"/>
      <c r="BI1369" s="18"/>
      <c r="BJ1369" s="18"/>
      <c r="BK1369" s="18"/>
      <c r="BL1369" s="18"/>
      <c r="BM1369" s="18"/>
      <c r="BN1369" s="18"/>
    </row>
    <row r="1370" spans="1:66">
      <c r="A1370" s="18"/>
      <c r="B1370" s="18"/>
      <c r="C1370" s="18"/>
      <c r="D1370" s="18"/>
      <c r="E1370" s="18"/>
      <c r="F1370" s="18"/>
      <c r="G1370" s="18"/>
      <c r="H1370" s="18"/>
      <c r="I1370" s="18"/>
      <c r="J1370" s="18"/>
      <c r="K1370" s="18"/>
      <c r="L1370" s="18"/>
      <c r="M1370" s="18"/>
      <c r="N1370" s="18"/>
      <c r="O1370" s="18"/>
      <c r="P1370" s="18"/>
      <c r="Q1370" s="18"/>
      <c r="R1370" s="18"/>
      <c r="S1370" s="18"/>
      <c r="T1370" s="18"/>
      <c r="U1370" s="18"/>
      <c r="V1370" s="18"/>
      <c r="W1370" s="18"/>
      <c r="X1370" s="18"/>
      <c r="Y1370" s="18"/>
      <c r="Z1370" s="18"/>
      <c r="AA1370" s="18"/>
      <c r="AB1370" s="18"/>
      <c r="AC1370" s="18"/>
      <c r="AD1370" s="18"/>
      <c r="AE1370" s="18"/>
      <c r="AF1370" s="18"/>
      <c r="AG1370" s="18"/>
      <c r="AH1370" s="18"/>
      <c r="AI1370" s="18"/>
      <c r="AJ1370" s="18"/>
      <c r="AK1370" s="18"/>
      <c r="AL1370" s="18"/>
      <c r="AM1370" s="18"/>
      <c r="AN1370" s="18"/>
      <c r="AO1370" s="18"/>
      <c r="AP1370" s="18"/>
      <c r="AQ1370" s="18"/>
      <c r="AR1370" s="18"/>
      <c r="AS1370" s="18"/>
      <c r="AT1370" s="18"/>
      <c r="AU1370" s="18"/>
      <c r="AV1370" s="18"/>
      <c r="AW1370" s="18"/>
      <c r="AX1370" s="18"/>
      <c r="AY1370" s="18"/>
      <c r="AZ1370" s="18"/>
      <c r="BA1370" s="18"/>
      <c r="BB1370" s="18"/>
      <c r="BC1370" s="18"/>
      <c r="BD1370" s="18"/>
      <c r="BE1370" s="18"/>
      <c r="BF1370" s="18"/>
      <c r="BG1370" s="18"/>
      <c r="BH1370" s="18"/>
      <c r="BI1370" s="18"/>
      <c r="BJ1370" s="18"/>
      <c r="BK1370" s="18"/>
      <c r="BL1370" s="18"/>
      <c r="BM1370" s="18"/>
      <c r="BN1370" s="18"/>
    </row>
    <row r="1371" spans="1:66">
      <c r="A1371" s="18"/>
      <c r="B1371" s="18"/>
      <c r="C1371" s="18"/>
      <c r="D1371" s="18"/>
      <c r="E1371" s="18"/>
      <c r="F1371" s="18"/>
      <c r="G1371" s="18"/>
      <c r="H1371" s="18"/>
      <c r="I1371" s="18"/>
      <c r="J1371" s="18"/>
      <c r="K1371" s="18"/>
      <c r="L1371" s="18"/>
      <c r="M1371" s="18"/>
      <c r="N1371" s="18"/>
      <c r="O1371" s="18"/>
      <c r="P1371" s="18"/>
      <c r="Q1371" s="18"/>
      <c r="R1371" s="18"/>
      <c r="S1371" s="18"/>
      <c r="T1371" s="18"/>
      <c r="U1371" s="18"/>
      <c r="V1371" s="18"/>
      <c r="W1371" s="18"/>
      <c r="X1371" s="18"/>
      <c r="Y1371" s="18"/>
      <c r="Z1371" s="18"/>
      <c r="AA1371" s="18"/>
      <c r="AB1371" s="18"/>
      <c r="AC1371" s="18"/>
      <c r="AD1371" s="18"/>
      <c r="AE1371" s="18"/>
      <c r="AF1371" s="18"/>
      <c r="AG1371" s="18"/>
      <c r="AH1371" s="18"/>
      <c r="AI1371" s="18"/>
      <c r="AJ1371" s="18"/>
      <c r="AK1371" s="18"/>
      <c r="AL1371" s="18"/>
      <c r="AM1371" s="18"/>
      <c r="AN1371" s="18"/>
      <c r="AO1371" s="18"/>
      <c r="AP1371" s="18"/>
      <c r="AQ1371" s="18"/>
      <c r="AR1371" s="18"/>
      <c r="AS1371" s="18"/>
      <c r="AT1371" s="18"/>
      <c r="AU1371" s="18"/>
      <c r="AV1371" s="18"/>
      <c r="AW1371" s="18"/>
      <c r="AX1371" s="18"/>
      <c r="AY1371" s="18"/>
      <c r="AZ1371" s="18"/>
      <c r="BA1371" s="18"/>
      <c r="BB1371" s="18"/>
      <c r="BC1371" s="18"/>
      <c r="BD1371" s="18"/>
      <c r="BE1371" s="18"/>
      <c r="BF1371" s="18"/>
      <c r="BG1371" s="18"/>
      <c r="BH1371" s="18"/>
      <c r="BI1371" s="18"/>
      <c r="BJ1371" s="18"/>
      <c r="BK1371" s="18"/>
      <c r="BL1371" s="18"/>
      <c r="BM1371" s="18"/>
      <c r="BN1371" s="18"/>
    </row>
    <row r="1372" spans="1:66">
      <c r="A1372" s="18"/>
      <c r="B1372" s="18"/>
      <c r="C1372" s="18"/>
      <c r="D1372" s="18"/>
      <c r="E1372" s="18"/>
      <c r="F1372" s="18"/>
      <c r="G1372" s="18"/>
      <c r="H1372" s="18"/>
      <c r="I1372" s="18"/>
      <c r="J1372" s="18"/>
      <c r="K1372" s="18"/>
      <c r="L1372" s="18"/>
      <c r="M1372" s="18"/>
      <c r="N1372" s="18"/>
      <c r="O1372" s="18"/>
      <c r="P1372" s="18"/>
      <c r="Q1372" s="18"/>
      <c r="R1372" s="18"/>
      <c r="S1372" s="18"/>
      <c r="T1372" s="18"/>
      <c r="U1372" s="18"/>
      <c r="V1372" s="18"/>
      <c r="W1372" s="18"/>
      <c r="X1372" s="18"/>
      <c r="Y1372" s="18"/>
      <c r="Z1372" s="18"/>
      <c r="AA1372" s="18"/>
      <c r="AB1372" s="18"/>
      <c r="AC1372" s="18"/>
      <c r="AD1372" s="18"/>
      <c r="AE1372" s="18"/>
      <c r="AF1372" s="18"/>
      <c r="AG1372" s="18"/>
      <c r="AH1372" s="18"/>
      <c r="AI1372" s="18"/>
      <c r="AJ1372" s="18"/>
      <c r="AK1372" s="18"/>
      <c r="AL1372" s="18"/>
      <c r="AM1372" s="18"/>
      <c r="AN1372" s="18"/>
      <c r="AO1372" s="18"/>
      <c r="AP1372" s="18"/>
      <c r="AQ1372" s="18"/>
      <c r="AR1372" s="18"/>
      <c r="AS1372" s="18"/>
      <c r="AT1372" s="18"/>
      <c r="AU1372" s="18"/>
      <c r="AV1372" s="18"/>
      <c r="AW1372" s="18"/>
      <c r="AX1372" s="18"/>
      <c r="AY1372" s="18"/>
      <c r="AZ1372" s="18"/>
      <c r="BA1372" s="18"/>
      <c r="BB1372" s="18"/>
      <c r="BC1372" s="18"/>
      <c r="BD1372" s="18"/>
      <c r="BE1372" s="18"/>
      <c r="BF1372" s="18"/>
      <c r="BG1372" s="18"/>
      <c r="BH1372" s="18"/>
      <c r="BI1372" s="18"/>
      <c r="BJ1372" s="18"/>
      <c r="BK1372" s="18"/>
      <c r="BL1372" s="18"/>
      <c r="BM1372" s="18"/>
      <c r="BN1372" s="18"/>
    </row>
    <row r="1373" spans="1:66">
      <c r="A1373" s="18"/>
      <c r="B1373" s="18"/>
      <c r="C1373" s="18"/>
      <c r="D1373" s="18"/>
      <c r="E1373" s="18"/>
      <c r="F1373" s="18"/>
      <c r="G1373" s="18"/>
      <c r="H1373" s="18"/>
      <c r="I1373" s="18"/>
      <c r="J1373" s="18"/>
      <c r="K1373" s="18"/>
      <c r="L1373" s="18"/>
      <c r="M1373" s="18"/>
      <c r="N1373" s="18"/>
      <c r="O1373" s="18"/>
      <c r="P1373" s="18"/>
      <c r="Q1373" s="18"/>
      <c r="R1373" s="18"/>
      <c r="S1373" s="18"/>
      <c r="T1373" s="18"/>
      <c r="U1373" s="18"/>
      <c r="V1373" s="18"/>
      <c r="W1373" s="18"/>
      <c r="X1373" s="18"/>
      <c r="Y1373" s="18"/>
      <c r="Z1373" s="18"/>
      <c r="AA1373" s="18"/>
      <c r="AB1373" s="18"/>
      <c r="AC1373" s="18"/>
      <c r="AD1373" s="18"/>
      <c r="AE1373" s="18"/>
      <c r="AF1373" s="18"/>
      <c r="AG1373" s="18"/>
      <c r="AH1373" s="18"/>
      <c r="AI1373" s="18"/>
      <c r="AJ1373" s="18"/>
      <c r="AK1373" s="18"/>
      <c r="AL1373" s="18"/>
      <c r="AM1373" s="18"/>
      <c r="AN1373" s="18"/>
      <c r="AO1373" s="18"/>
      <c r="AP1373" s="18"/>
      <c r="AQ1373" s="18"/>
      <c r="AR1373" s="18"/>
      <c r="AS1373" s="18"/>
      <c r="AT1373" s="18"/>
      <c r="AU1373" s="18"/>
      <c r="AV1373" s="18"/>
      <c r="AW1373" s="18"/>
      <c r="AX1373" s="18"/>
      <c r="AY1373" s="18"/>
      <c r="AZ1373" s="18"/>
      <c r="BA1373" s="18"/>
      <c r="BB1373" s="18"/>
      <c r="BC1373" s="18"/>
      <c r="BD1373" s="18"/>
      <c r="BE1373" s="18"/>
      <c r="BF1373" s="18"/>
      <c r="BG1373" s="18"/>
      <c r="BH1373" s="18"/>
      <c r="BI1373" s="18"/>
      <c r="BJ1373" s="18"/>
      <c r="BK1373" s="18"/>
      <c r="BL1373" s="18"/>
      <c r="BM1373" s="18"/>
      <c r="BN1373" s="18"/>
    </row>
    <row r="1374" spans="1:66">
      <c r="A1374" s="18"/>
      <c r="B1374" s="18"/>
      <c r="C1374" s="18"/>
      <c r="D1374" s="18"/>
      <c r="E1374" s="18"/>
      <c r="F1374" s="18"/>
      <c r="G1374" s="18"/>
      <c r="H1374" s="18"/>
      <c r="I1374" s="18"/>
      <c r="J1374" s="18"/>
      <c r="K1374" s="18"/>
      <c r="L1374" s="18"/>
      <c r="M1374" s="18"/>
      <c r="N1374" s="18"/>
      <c r="O1374" s="18"/>
      <c r="P1374" s="18"/>
      <c r="Q1374" s="18"/>
      <c r="R1374" s="18"/>
      <c r="S1374" s="18"/>
      <c r="T1374" s="18"/>
      <c r="U1374" s="18"/>
      <c r="V1374" s="18"/>
      <c r="W1374" s="18"/>
      <c r="X1374" s="18"/>
      <c r="Y1374" s="18"/>
      <c r="Z1374" s="18"/>
      <c r="AA1374" s="18"/>
      <c r="AB1374" s="18"/>
      <c r="AC1374" s="18"/>
      <c r="AD1374" s="18"/>
      <c r="AE1374" s="18"/>
      <c r="AF1374" s="18"/>
      <c r="AG1374" s="18"/>
      <c r="AH1374" s="18"/>
      <c r="AI1374" s="18"/>
      <c r="AJ1374" s="18"/>
      <c r="AK1374" s="18"/>
      <c r="AL1374" s="18"/>
      <c r="AM1374" s="18"/>
      <c r="AN1374" s="18"/>
      <c r="AO1374" s="18"/>
      <c r="AP1374" s="18"/>
      <c r="AQ1374" s="18"/>
      <c r="AR1374" s="18"/>
      <c r="AS1374" s="18"/>
      <c r="AT1374" s="18"/>
      <c r="AU1374" s="18"/>
      <c r="AV1374" s="18"/>
      <c r="AW1374" s="18"/>
      <c r="AX1374" s="18"/>
      <c r="AY1374" s="18"/>
      <c r="AZ1374" s="18"/>
      <c r="BA1374" s="18"/>
      <c r="BB1374" s="18"/>
      <c r="BC1374" s="18"/>
      <c r="BD1374" s="18"/>
      <c r="BE1374" s="18"/>
      <c r="BF1374" s="18"/>
      <c r="BG1374" s="18"/>
      <c r="BH1374" s="18"/>
      <c r="BI1374" s="18"/>
      <c r="BJ1374" s="18"/>
      <c r="BK1374" s="18"/>
      <c r="BL1374" s="18"/>
      <c r="BM1374" s="18"/>
      <c r="BN1374" s="18"/>
    </row>
    <row r="1375" spans="1:66">
      <c r="A1375" s="18"/>
      <c r="B1375" s="18"/>
      <c r="C1375" s="18"/>
      <c r="D1375" s="18"/>
      <c r="E1375" s="18"/>
      <c r="F1375" s="18"/>
      <c r="G1375" s="18"/>
      <c r="H1375" s="18"/>
      <c r="I1375" s="18"/>
      <c r="J1375" s="18"/>
      <c r="K1375" s="18"/>
      <c r="L1375" s="18"/>
      <c r="M1375" s="18"/>
      <c r="N1375" s="18"/>
      <c r="O1375" s="18"/>
      <c r="P1375" s="18"/>
      <c r="Q1375" s="18"/>
      <c r="R1375" s="18"/>
      <c r="S1375" s="18"/>
      <c r="T1375" s="18"/>
      <c r="U1375" s="18"/>
      <c r="V1375" s="18"/>
      <c r="W1375" s="18"/>
      <c r="X1375" s="18"/>
      <c r="Y1375" s="18"/>
      <c r="Z1375" s="18"/>
      <c r="AA1375" s="18"/>
      <c r="AB1375" s="18"/>
      <c r="AC1375" s="18"/>
      <c r="AD1375" s="18"/>
      <c r="AE1375" s="18"/>
      <c r="AF1375" s="18"/>
      <c r="AG1375" s="18"/>
      <c r="AH1375" s="18"/>
      <c r="AI1375" s="18"/>
      <c r="AJ1375" s="18"/>
      <c r="AK1375" s="18"/>
      <c r="AL1375" s="18"/>
      <c r="AM1375" s="18"/>
      <c r="AN1375" s="18"/>
      <c r="AO1375" s="18"/>
      <c r="AP1375" s="18"/>
      <c r="AQ1375" s="18"/>
      <c r="AR1375" s="18"/>
      <c r="AS1375" s="18"/>
      <c r="AT1375" s="18"/>
      <c r="AU1375" s="18"/>
      <c r="AV1375" s="18"/>
      <c r="AW1375" s="18"/>
      <c r="AX1375" s="18"/>
      <c r="AY1375" s="18"/>
      <c r="AZ1375" s="18"/>
      <c r="BA1375" s="18"/>
      <c r="BB1375" s="18"/>
      <c r="BC1375" s="18"/>
      <c r="BD1375" s="18"/>
      <c r="BE1375" s="18"/>
      <c r="BF1375" s="18"/>
      <c r="BG1375" s="18"/>
      <c r="BH1375" s="18"/>
      <c r="BI1375" s="18"/>
      <c r="BJ1375" s="18"/>
      <c r="BK1375" s="18"/>
      <c r="BL1375" s="18"/>
      <c r="BM1375" s="18"/>
      <c r="BN1375" s="18"/>
    </row>
    <row r="1376" spans="1:66">
      <c r="A1376" s="18"/>
      <c r="B1376" s="18"/>
      <c r="C1376" s="18"/>
      <c r="D1376" s="18"/>
      <c r="E1376" s="18"/>
      <c r="F1376" s="18"/>
      <c r="G1376" s="18"/>
      <c r="H1376" s="18"/>
      <c r="I1376" s="18"/>
      <c r="J1376" s="18"/>
      <c r="K1376" s="18"/>
      <c r="L1376" s="18"/>
      <c r="M1376" s="18"/>
      <c r="N1376" s="18"/>
      <c r="O1376" s="18"/>
      <c r="P1376" s="18"/>
      <c r="Q1376" s="18"/>
      <c r="R1376" s="18"/>
      <c r="S1376" s="18"/>
      <c r="T1376" s="18"/>
      <c r="U1376" s="18"/>
      <c r="V1376" s="18"/>
      <c r="W1376" s="18"/>
      <c r="X1376" s="18"/>
      <c r="Y1376" s="18"/>
      <c r="Z1376" s="18"/>
      <c r="AA1376" s="18"/>
      <c r="AB1376" s="18"/>
      <c r="AC1376" s="18"/>
      <c r="AD1376" s="18"/>
      <c r="AE1376" s="18"/>
      <c r="AF1376" s="18"/>
      <c r="AG1376" s="18"/>
      <c r="AH1376" s="18"/>
      <c r="AI1376" s="18"/>
      <c r="AJ1376" s="18"/>
      <c r="AK1376" s="18"/>
      <c r="AL1376" s="18"/>
      <c r="AM1376" s="18"/>
      <c r="AN1376" s="18"/>
      <c r="AO1376" s="18"/>
      <c r="AP1376" s="18"/>
      <c r="AQ1376" s="18"/>
      <c r="AR1376" s="18"/>
      <c r="AS1376" s="18"/>
      <c r="AT1376" s="18"/>
      <c r="AU1376" s="18"/>
      <c r="AV1376" s="18"/>
      <c r="AW1376" s="18"/>
      <c r="AX1376" s="18"/>
      <c r="AY1376" s="18"/>
      <c r="AZ1376" s="18"/>
      <c r="BA1376" s="18"/>
      <c r="BB1376" s="18"/>
      <c r="BC1376" s="18"/>
      <c r="BD1376" s="18"/>
      <c r="BE1376" s="18"/>
      <c r="BF1376" s="18"/>
      <c r="BG1376" s="18"/>
      <c r="BH1376" s="18"/>
      <c r="BI1376" s="18"/>
      <c r="BJ1376" s="18"/>
      <c r="BK1376" s="18"/>
      <c r="BL1376" s="18"/>
      <c r="BM1376" s="18"/>
      <c r="BN1376" s="18"/>
    </row>
    <row r="1377" spans="1:66">
      <c r="A1377" s="18"/>
      <c r="B1377" s="18"/>
      <c r="C1377" s="18"/>
      <c r="D1377" s="18"/>
      <c r="E1377" s="18"/>
      <c r="F1377" s="18"/>
      <c r="G1377" s="18"/>
      <c r="H1377" s="18"/>
      <c r="I1377" s="18"/>
      <c r="J1377" s="18"/>
      <c r="K1377" s="18"/>
      <c r="L1377" s="18"/>
      <c r="M1377" s="18"/>
      <c r="N1377" s="18"/>
      <c r="O1377" s="18"/>
      <c r="P1377" s="18"/>
      <c r="Q1377" s="18"/>
      <c r="R1377" s="18"/>
      <c r="S1377" s="18"/>
      <c r="T1377" s="18"/>
      <c r="U1377" s="18"/>
      <c r="V1377" s="18"/>
      <c r="W1377" s="18"/>
      <c r="X1377" s="18"/>
      <c r="Y1377" s="18"/>
      <c r="Z1377" s="18"/>
      <c r="AA1377" s="18"/>
      <c r="AB1377" s="18"/>
      <c r="AC1377" s="18"/>
      <c r="AD1377" s="18"/>
      <c r="AE1377" s="18"/>
      <c r="AF1377" s="18"/>
      <c r="AG1377" s="18"/>
      <c r="AH1377" s="18"/>
      <c r="AI1377" s="18"/>
      <c r="AJ1377" s="18"/>
      <c r="AK1377" s="18"/>
      <c r="AL1377" s="18"/>
      <c r="AM1377" s="18"/>
      <c r="AN1377" s="18"/>
      <c r="AO1377" s="18"/>
      <c r="AP1377" s="18"/>
      <c r="AQ1377" s="18"/>
      <c r="AR1377" s="18"/>
      <c r="AS1377" s="18"/>
      <c r="AT1377" s="18"/>
      <c r="AU1377" s="18"/>
      <c r="AV1377" s="18"/>
      <c r="AW1377" s="18"/>
      <c r="AX1377" s="18"/>
      <c r="AY1377" s="18"/>
      <c r="AZ1377" s="18"/>
      <c r="BA1377" s="18"/>
      <c r="BB1377" s="18"/>
      <c r="BC1377" s="18"/>
      <c r="BD1377" s="18"/>
      <c r="BE1377" s="18"/>
      <c r="BF1377" s="18"/>
      <c r="BG1377" s="18"/>
      <c r="BH1377" s="18"/>
      <c r="BI1377" s="18"/>
      <c r="BJ1377" s="18"/>
      <c r="BK1377" s="18"/>
      <c r="BL1377" s="18"/>
      <c r="BM1377" s="18"/>
      <c r="BN1377" s="18"/>
    </row>
    <row r="1378" spans="1:66">
      <c r="A1378" s="18"/>
      <c r="B1378" s="18"/>
      <c r="C1378" s="18"/>
      <c r="D1378" s="18"/>
      <c r="E1378" s="18"/>
      <c r="F1378" s="18"/>
      <c r="G1378" s="18"/>
      <c r="H1378" s="18"/>
      <c r="I1378" s="18"/>
      <c r="J1378" s="18"/>
      <c r="K1378" s="18"/>
      <c r="L1378" s="18"/>
      <c r="M1378" s="18"/>
      <c r="N1378" s="18"/>
      <c r="O1378" s="18"/>
      <c r="P1378" s="18"/>
      <c r="Q1378" s="18"/>
      <c r="R1378" s="18"/>
      <c r="S1378" s="18"/>
      <c r="T1378" s="18"/>
      <c r="U1378" s="18"/>
      <c r="V1378" s="18"/>
      <c r="W1378" s="18"/>
      <c r="X1378" s="18"/>
      <c r="Y1378" s="18"/>
      <c r="Z1378" s="18"/>
      <c r="AA1378" s="18"/>
      <c r="AB1378" s="18"/>
      <c r="AC1378" s="18"/>
      <c r="AD1378" s="18"/>
      <c r="AE1378" s="18"/>
      <c r="AF1378" s="18"/>
      <c r="AG1378" s="18"/>
      <c r="AH1378" s="18"/>
      <c r="AI1378" s="18"/>
      <c r="AJ1378" s="18"/>
      <c r="AK1378" s="18"/>
      <c r="AL1378" s="18"/>
      <c r="AM1378" s="18"/>
      <c r="AN1378" s="18"/>
      <c r="AO1378" s="18"/>
      <c r="AP1378" s="18"/>
      <c r="AQ1378" s="18"/>
      <c r="AR1378" s="18"/>
      <c r="AS1378" s="18"/>
      <c r="AT1378" s="18"/>
      <c r="AU1378" s="18"/>
      <c r="AV1378" s="18"/>
      <c r="AW1378" s="18"/>
      <c r="AX1378" s="18"/>
      <c r="AY1378" s="18"/>
      <c r="AZ1378" s="18"/>
      <c r="BA1378" s="18"/>
      <c r="BB1378" s="18"/>
      <c r="BC1378" s="18"/>
      <c r="BD1378" s="18"/>
      <c r="BE1378" s="18"/>
      <c r="BF1378" s="18"/>
      <c r="BG1378" s="18"/>
      <c r="BH1378" s="18"/>
      <c r="BI1378" s="18"/>
      <c r="BJ1378" s="18"/>
      <c r="BK1378" s="18"/>
      <c r="BL1378" s="18"/>
      <c r="BM1378" s="18"/>
      <c r="BN1378" s="18"/>
    </row>
    <row r="1379" spans="1:66">
      <c r="A1379" s="18"/>
      <c r="B1379" s="18"/>
      <c r="C1379" s="18"/>
      <c r="D1379" s="18"/>
      <c r="E1379" s="18"/>
      <c r="F1379" s="18"/>
      <c r="G1379" s="18"/>
      <c r="H1379" s="18"/>
      <c r="I1379" s="18"/>
      <c r="J1379" s="18"/>
      <c r="K1379" s="18"/>
      <c r="L1379" s="18"/>
      <c r="M1379" s="18"/>
      <c r="N1379" s="18"/>
      <c r="O1379" s="18"/>
      <c r="P1379" s="18"/>
      <c r="Q1379" s="18"/>
      <c r="R1379" s="18"/>
      <c r="S1379" s="18"/>
      <c r="T1379" s="18"/>
      <c r="U1379" s="18"/>
      <c r="V1379" s="18"/>
      <c r="W1379" s="18"/>
      <c r="X1379" s="18"/>
      <c r="Y1379" s="18"/>
      <c r="Z1379" s="18"/>
      <c r="AA1379" s="18"/>
      <c r="AB1379" s="18"/>
      <c r="AC1379" s="18"/>
      <c r="AD1379" s="18"/>
      <c r="AE1379" s="18"/>
      <c r="AF1379" s="18"/>
      <c r="AG1379" s="18"/>
      <c r="AH1379" s="18"/>
      <c r="AI1379" s="18"/>
      <c r="AJ1379" s="18"/>
      <c r="AK1379" s="18"/>
      <c r="AL1379" s="18"/>
      <c r="AM1379" s="18"/>
      <c r="AN1379" s="18"/>
      <c r="AO1379" s="18"/>
      <c r="AP1379" s="18"/>
      <c r="AQ1379" s="18"/>
      <c r="AR1379" s="18"/>
      <c r="AS1379" s="18"/>
      <c r="AT1379" s="18"/>
      <c r="AU1379" s="18"/>
      <c r="AV1379" s="18"/>
      <c r="AW1379" s="18"/>
      <c r="AX1379" s="18"/>
      <c r="AY1379" s="18"/>
      <c r="AZ1379" s="18"/>
      <c r="BA1379" s="18"/>
      <c r="BB1379" s="18"/>
      <c r="BC1379" s="18"/>
      <c r="BD1379" s="18"/>
      <c r="BE1379" s="18"/>
      <c r="BF1379" s="18"/>
      <c r="BG1379" s="18"/>
      <c r="BH1379" s="18"/>
      <c r="BI1379" s="18"/>
      <c r="BJ1379" s="18"/>
      <c r="BK1379" s="18"/>
      <c r="BL1379" s="18"/>
      <c r="BM1379" s="18"/>
      <c r="BN1379" s="18"/>
    </row>
    <row r="1380" spans="1:66">
      <c r="A1380" s="18"/>
      <c r="B1380" s="18"/>
      <c r="C1380" s="18"/>
      <c r="D1380" s="18"/>
      <c r="E1380" s="18"/>
      <c r="F1380" s="18"/>
      <c r="G1380" s="18"/>
      <c r="H1380" s="18"/>
      <c r="I1380" s="18"/>
      <c r="J1380" s="18"/>
      <c r="K1380" s="18"/>
      <c r="L1380" s="18"/>
      <c r="M1380" s="18"/>
      <c r="N1380" s="18"/>
      <c r="O1380" s="18"/>
      <c r="P1380" s="18"/>
      <c r="Q1380" s="18"/>
      <c r="R1380" s="18"/>
      <c r="S1380" s="18"/>
      <c r="T1380" s="18"/>
      <c r="U1380" s="18"/>
      <c r="V1380" s="18"/>
      <c r="W1380" s="18"/>
      <c r="X1380" s="18"/>
      <c r="Y1380" s="18"/>
      <c r="Z1380" s="18"/>
      <c r="AA1380" s="18"/>
      <c r="AB1380" s="18"/>
      <c r="AC1380" s="18"/>
      <c r="AD1380" s="18"/>
      <c r="AE1380" s="18"/>
      <c r="AF1380" s="18"/>
      <c r="AG1380" s="18"/>
      <c r="AH1380" s="18"/>
      <c r="AI1380" s="18"/>
      <c r="AJ1380" s="18"/>
      <c r="AK1380" s="18"/>
      <c r="AL1380" s="18"/>
      <c r="AM1380" s="18"/>
      <c r="AN1380" s="18"/>
      <c r="AO1380" s="18"/>
      <c r="AP1380" s="18"/>
      <c r="AQ1380" s="18"/>
      <c r="AR1380" s="18"/>
      <c r="AS1380" s="18"/>
      <c r="AT1380" s="18"/>
      <c r="AU1380" s="18"/>
      <c r="AV1380" s="18"/>
      <c r="AW1380" s="18"/>
      <c r="AX1380" s="18"/>
      <c r="AY1380" s="18"/>
      <c r="AZ1380" s="18"/>
      <c r="BA1380" s="18"/>
      <c r="BB1380" s="18"/>
      <c r="BC1380" s="18"/>
      <c r="BD1380" s="18"/>
      <c r="BE1380" s="18"/>
      <c r="BF1380" s="18"/>
      <c r="BG1380" s="18"/>
      <c r="BH1380" s="18"/>
      <c r="BI1380" s="18"/>
      <c r="BJ1380" s="18"/>
      <c r="BK1380" s="18"/>
      <c r="BL1380" s="18"/>
      <c r="BM1380" s="18"/>
      <c r="BN1380" s="18"/>
    </row>
    <row r="1381" spans="1:66">
      <c r="A1381" s="18"/>
      <c r="B1381" s="18"/>
      <c r="C1381" s="18"/>
      <c r="D1381" s="18"/>
      <c r="E1381" s="18"/>
      <c r="F1381" s="18"/>
      <c r="G1381" s="18"/>
      <c r="H1381" s="18"/>
      <c r="I1381" s="18"/>
      <c r="J1381" s="18"/>
      <c r="K1381" s="18"/>
      <c r="L1381" s="18"/>
      <c r="M1381" s="18"/>
      <c r="N1381" s="18"/>
      <c r="O1381" s="18"/>
      <c r="P1381" s="18"/>
      <c r="Q1381" s="18"/>
      <c r="R1381" s="18"/>
      <c r="S1381" s="18"/>
      <c r="T1381" s="18"/>
      <c r="U1381" s="18"/>
      <c r="V1381" s="18"/>
      <c r="W1381" s="18"/>
      <c r="X1381" s="18"/>
      <c r="Y1381" s="18"/>
      <c r="Z1381" s="18"/>
      <c r="AA1381" s="18"/>
      <c r="AB1381" s="18"/>
      <c r="AC1381" s="18"/>
      <c r="AD1381" s="18"/>
      <c r="AE1381" s="18"/>
      <c r="AF1381" s="18"/>
      <c r="AG1381" s="18"/>
      <c r="AH1381" s="18"/>
      <c r="AI1381" s="18"/>
      <c r="AJ1381" s="18"/>
      <c r="AK1381" s="18"/>
      <c r="AL1381" s="18"/>
      <c r="AM1381" s="18"/>
      <c r="AN1381" s="18"/>
      <c r="AO1381" s="18"/>
      <c r="AP1381" s="18"/>
      <c r="AQ1381" s="18"/>
      <c r="AR1381" s="18"/>
      <c r="AS1381" s="18"/>
      <c r="AT1381" s="18"/>
      <c r="AU1381" s="18"/>
      <c r="AV1381" s="18"/>
      <c r="AW1381" s="18"/>
      <c r="AX1381" s="18"/>
      <c r="AY1381" s="18"/>
      <c r="AZ1381" s="18"/>
      <c r="BA1381" s="18"/>
      <c r="BB1381" s="18"/>
      <c r="BC1381" s="18"/>
      <c r="BD1381" s="18"/>
      <c r="BE1381" s="18"/>
      <c r="BF1381" s="18"/>
      <c r="BG1381" s="18"/>
      <c r="BH1381" s="18"/>
      <c r="BI1381" s="18"/>
      <c r="BJ1381" s="18"/>
      <c r="BK1381" s="18"/>
      <c r="BL1381" s="18"/>
      <c r="BM1381" s="18"/>
      <c r="BN1381" s="18"/>
    </row>
    <row r="1382" spans="1:66">
      <c r="A1382" s="18"/>
      <c r="B1382" s="18"/>
      <c r="C1382" s="18"/>
      <c r="D1382" s="18"/>
      <c r="E1382" s="18"/>
      <c r="F1382" s="18"/>
      <c r="G1382" s="18"/>
      <c r="H1382" s="18"/>
      <c r="I1382" s="18"/>
      <c r="J1382" s="18"/>
      <c r="K1382" s="18"/>
      <c r="L1382" s="18"/>
      <c r="M1382" s="18"/>
      <c r="N1382" s="18"/>
      <c r="O1382" s="18"/>
      <c r="P1382" s="18"/>
      <c r="Q1382" s="18"/>
      <c r="R1382" s="18"/>
      <c r="S1382" s="18"/>
      <c r="T1382" s="18"/>
      <c r="U1382" s="18"/>
      <c r="V1382" s="18"/>
      <c r="W1382" s="18"/>
      <c r="X1382" s="18"/>
      <c r="Y1382" s="18"/>
      <c r="Z1382" s="18"/>
      <c r="AA1382" s="18"/>
      <c r="AB1382" s="18"/>
      <c r="AC1382" s="18"/>
      <c r="AD1382" s="18"/>
      <c r="AE1382" s="18"/>
      <c r="AF1382" s="18"/>
      <c r="AG1382" s="18"/>
      <c r="AH1382" s="18"/>
      <c r="AI1382" s="18"/>
      <c r="AJ1382" s="18"/>
      <c r="AK1382" s="18"/>
      <c r="AL1382" s="18"/>
      <c r="AM1382" s="18"/>
      <c r="AN1382" s="18"/>
      <c r="AO1382" s="18"/>
      <c r="AP1382" s="18"/>
      <c r="AQ1382" s="18"/>
      <c r="AR1382" s="18"/>
      <c r="AS1382" s="18"/>
      <c r="AT1382" s="18"/>
      <c r="AU1382" s="18"/>
      <c r="AV1382" s="18"/>
      <c r="AW1382" s="18"/>
      <c r="AX1382" s="18"/>
      <c r="AY1382" s="18"/>
      <c r="AZ1382" s="18"/>
      <c r="BA1382" s="18"/>
      <c r="BB1382" s="18"/>
      <c r="BC1382" s="18"/>
      <c r="BD1382" s="18"/>
      <c r="BE1382" s="18"/>
      <c r="BF1382" s="18"/>
      <c r="BG1382" s="18"/>
      <c r="BH1382" s="18"/>
      <c r="BI1382" s="18"/>
      <c r="BJ1382" s="18"/>
      <c r="BK1382" s="18"/>
      <c r="BL1382" s="18"/>
      <c r="BM1382" s="18"/>
      <c r="BN1382" s="18"/>
    </row>
    <row r="1383" spans="1:66">
      <c r="A1383" s="18"/>
      <c r="B1383" s="18"/>
      <c r="C1383" s="18"/>
      <c r="D1383" s="18"/>
      <c r="E1383" s="18"/>
      <c r="F1383" s="18"/>
      <c r="G1383" s="18"/>
      <c r="H1383" s="18"/>
      <c r="I1383" s="18"/>
      <c r="J1383" s="18"/>
      <c r="K1383" s="18"/>
      <c r="L1383" s="18"/>
      <c r="M1383" s="18"/>
      <c r="N1383" s="18"/>
      <c r="O1383" s="18"/>
      <c r="P1383" s="18"/>
      <c r="Q1383" s="18"/>
      <c r="R1383" s="18"/>
      <c r="S1383" s="18"/>
      <c r="T1383" s="18"/>
      <c r="U1383" s="18"/>
      <c r="V1383" s="18"/>
      <c r="W1383" s="18"/>
      <c r="X1383" s="18"/>
      <c r="Y1383" s="18"/>
      <c r="Z1383" s="18"/>
      <c r="AA1383" s="18"/>
      <c r="AB1383" s="18"/>
      <c r="AC1383" s="18"/>
      <c r="AD1383" s="18"/>
      <c r="AE1383" s="18"/>
      <c r="AF1383" s="18"/>
      <c r="AG1383" s="18"/>
      <c r="AH1383" s="18"/>
      <c r="AI1383" s="18"/>
      <c r="AJ1383" s="18"/>
      <c r="AK1383" s="18"/>
      <c r="AL1383" s="18"/>
      <c r="AM1383" s="18"/>
      <c r="AN1383" s="18"/>
      <c r="AO1383" s="18"/>
      <c r="AP1383" s="18"/>
      <c r="AQ1383" s="18"/>
      <c r="AR1383" s="18"/>
      <c r="AS1383" s="18"/>
      <c r="AT1383" s="18"/>
      <c r="AU1383" s="18"/>
      <c r="AV1383" s="18"/>
      <c r="AW1383" s="18"/>
      <c r="AX1383" s="18"/>
      <c r="AY1383" s="18"/>
      <c r="AZ1383" s="18"/>
      <c r="BA1383" s="18"/>
      <c r="BB1383" s="18"/>
      <c r="BC1383" s="18"/>
      <c r="BD1383" s="18"/>
      <c r="BE1383" s="18"/>
      <c r="BF1383" s="18"/>
      <c r="BG1383" s="18"/>
      <c r="BH1383" s="18"/>
      <c r="BI1383" s="18"/>
      <c r="BJ1383" s="18"/>
      <c r="BK1383" s="18"/>
      <c r="BL1383" s="18"/>
      <c r="BM1383" s="18"/>
      <c r="BN1383" s="18"/>
    </row>
    <row r="1384" spans="1:66">
      <c r="A1384" s="18"/>
      <c r="B1384" s="18"/>
      <c r="C1384" s="18"/>
      <c r="D1384" s="18"/>
      <c r="E1384" s="18"/>
      <c r="F1384" s="18"/>
      <c r="G1384" s="18"/>
      <c r="H1384" s="18"/>
      <c r="I1384" s="18"/>
      <c r="J1384" s="18"/>
      <c r="K1384" s="18"/>
      <c r="L1384" s="18"/>
      <c r="M1384" s="18"/>
      <c r="N1384" s="18"/>
      <c r="O1384" s="18"/>
      <c r="P1384" s="18"/>
      <c r="Q1384" s="18"/>
      <c r="R1384" s="18"/>
      <c r="S1384" s="18"/>
      <c r="T1384" s="18"/>
      <c r="U1384" s="18"/>
      <c r="V1384" s="18"/>
      <c r="W1384" s="18"/>
      <c r="X1384" s="18"/>
      <c r="Y1384" s="18"/>
      <c r="Z1384" s="18"/>
      <c r="AA1384" s="18"/>
      <c r="AB1384" s="18"/>
      <c r="AC1384" s="18"/>
      <c r="AD1384" s="18"/>
      <c r="AE1384" s="18"/>
      <c r="AF1384" s="18"/>
      <c r="AG1384" s="18"/>
      <c r="AH1384" s="18"/>
      <c r="AI1384" s="18"/>
      <c r="AJ1384" s="18"/>
      <c r="AK1384" s="18"/>
      <c r="AL1384" s="18"/>
      <c r="AM1384" s="18"/>
      <c r="AN1384" s="18"/>
      <c r="AO1384" s="18"/>
      <c r="AP1384" s="18"/>
      <c r="AQ1384" s="18"/>
      <c r="AR1384" s="18"/>
      <c r="AS1384" s="18"/>
      <c r="AT1384" s="18"/>
      <c r="AU1384" s="18"/>
      <c r="AV1384" s="18"/>
      <c r="AW1384" s="18"/>
      <c r="AX1384" s="18"/>
      <c r="AY1384" s="18"/>
      <c r="AZ1384" s="18"/>
      <c r="BA1384" s="18"/>
      <c r="BB1384" s="18"/>
      <c r="BC1384" s="18"/>
      <c r="BD1384" s="18"/>
      <c r="BE1384" s="18"/>
      <c r="BF1384" s="18"/>
      <c r="BG1384" s="18"/>
      <c r="BH1384" s="18"/>
      <c r="BI1384" s="18"/>
      <c r="BJ1384" s="18"/>
      <c r="BK1384" s="18"/>
      <c r="BL1384" s="18"/>
      <c r="BM1384" s="18"/>
      <c r="BN1384" s="18"/>
    </row>
    <row r="1385" spans="1:66">
      <c r="A1385" s="18"/>
      <c r="B1385" s="18"/>
      <c r="C1385" s="18"/>
      <c r="D1385" s="18"/>
      <c r="E1385" s="18"/>
      <c r="F1385" s="18"/>
      <c r="G1385" s="18"/>
      <c r="H1385" s="18"/>
      <c r="I1385" s="18"/>
      <c r="J1385" s="18"/>
      <c r="K1385" s="18"/>
      <c r="L1385" s="18"/>
      <c r="M1385" s="18"/>
      <c r="N1385" s="18"/>
      <c r="O1385" s="18"/>
      <c r="P1385" s="18"/>
      <c r="Q1385" s="18"/>
      <c r="R1385" s="18"/>
      <c r="S1385" s="18"/>
      <c r="T1385" s="18"/>
      <c r="U1385" s="18"/>
      <c r="V1385" s="18"/>
      <c r="W1385" s="18"/>
      <c r="X1385" s="18"/>
      <c r="Y1385" s="18"/>
      <c r="Z1385" s="18"/>
      <c r="AA1385" s="18"/>
      <c r="AB1385" s="18"/>
      <c r="AC1385" s="18"/>
      <c r="AD1385" s="18"/>
      <c r="AE1385" s="18"/>
      <c r="AF1385" s="18"/>
      <c r="AG1385" s="18"/>
      <c r="AH1385" s="18"/>
      <c r="AI1385" s="18"/>
      <c r="AJ1385" s="18"/>
      <c r="AK1385" s="18"/>
      <c r="AL1385" s="18"/>
      <c r="AM1385" s="18"/>
      <c r="AN1385" s="18"/>
      <c r="AO1385" s="18"/>
      <c r="AP1385" s="18"/>
      <c r="AQ1385" s="18"/>
      <c r="AR1385" s="18"/>
      <c r="AS1385" s="18"/>
      <c r="AT1385" s="18"/>
      <c r="AU1385" s="18"/>
      <c r="AV1385" s="18"/>
      <c r="AW1385" s="18"/>
      <c r="AX1385" s="18"/>
      <c r="AY1385" s="18"/>
      <c r="AZ1385" s="18"/>
      <c r="BA1385" s="18"/>
      <c r="BB1385" s="18"/>
      <c r="BC1385" s="18"/>
      <c r="BD1385" s="18"/>
      <c r="BE1385" s="18"/>
      <c r="BF1385" s="18"/>
      <c r="BG1385" s="18"/>
      <c r="BH1385" s="18"/>
      <c r="BI1385" s="18"/>
      <c r="BJ1385" s="18"/>
      <c r="BK1385" s="18"/>
      <c r="BL1385" s="18"/>
      <c r="BM1385" s="18"/>
      <c r="BN1385" s="18"/>
    </row>
    <row r="1386" spans="1:66">
      <c r="A1386" s="18"/>
      <c r="B1386" s="18"/>
      <c r="C1386" s="18"/>
      <c r="D1386" s="18"/>
      <c r="E1386" s="18"/>
      <c r="F1386" s="18"/>
      <c r="G1386" s="18"/>
      <c r="H1386" s="18"/>
      <c r="I1386" s="18"/>
      <c r="J1386" s="18"/>
      <c r="K1386" s="18"/>
      <c r="L1386" s="18"/>
      <c r="M1386" s="18"/>
      <c r="N1386" s="18"/>
      <c r="O1386" s="18"/>
      <c r="P1386" s="18"/>
      <c r="Q1386" s="18"/>
      <c r="R1386" s="18"/>
      <c r="S1386" s="18"/>
      <c r="T1386" s="18"/>
      <c r="U1386" s="18"/>
      <c r="V1386" s="18"/>
      <c r="W1386" s="18"/>
      <c r="X1386" s="18"/>
      <c r="Y1386" s="18"/>
      <c r="Z1386" s="18"/>
      <c r="AA1386" s="18"/>
      <c r="AB1386" s="18"/>
      <c r="AC1386" s="18"/>
      <c r="AD1386" s="18"/>
      <c r="AE1386" s="18"/>
      <c r="AF1386" s="18"/>
      <c r="AG1386" s="18"/>
      <c r="AH1386" s="18"/>
      <c r="AI1386" s="18"/>
      <c r="AJ1386" s="18"/>
      <c r="AK1386" s="18"/>
      <c r="AL1386" s="18"/>
      <c r="AM1386" s="18"/>
      <c r="AN1386" s="18"/>
      <c r="AO1386" s="18"/>
      <c r="AP1386" s="18"/>
      <c r="AQ1386" s="18"/>
      <c r="AR1386" s="18"/>
      <c r="AS1386" s="18"/>
      <c r="AT1386" s="18"/>
      <c r="AU1386" s="18"/>
      <c r="AV1386" s="18"/>
      <c r="AW1386" s="18"/>
      <c r="AX1386" s="18"/>
      <c r="AY1386" s="18"/>
      <c r="AZ1386" s="18"/>
      <c r="BA1386" s="18"/>
      <c r="BB1386" s="18"/>
      <c r="BC1386" s="18"/>
      <c r="BD1386" s="18"/>
      <c r="BE1386" s="18"/>
      <c r="BF1386" s="18"/>
      <c r="BG1386" s="18"/>
      <c r="BH1386" s="18"/>
      <c r="BI1386" s="18"/>
      <c r="BJ1386" s="18"/>
      <c r="BK1386" s="18"/>
      <c r="BL1386" s="18"/>
      <c r="BM1386" s="18"/>
      <c r="BN1386" s="18"/>
    </row>
    <row r="1387" spans="1:66">
      <c r="A1387" s="18"/>
      <c r="B1387" s="18"/>
      <c r="C1387" s="18"/>
      <c r="D1387" s="18"/>
      <c r="E1387" s="18"/>
      <c r="F1387" s="18"/>
      <c r="G1387" s="18"/>
      <c r="H1387" s="18"/>
      <c r="I1387" s="18"/>
      <c r="J1387" s="18"/>
      <c r="K1387" s="18"/>
      <c r="L1387" s="18"/>
      <c r="M1387" s="18"/>
      <c r="N1387" s="18"/>
      <c r="O1387" s="18"/>
      <c r="P1387" s="18"/>
      <c r="Q1387" s="18"/>
      <c r="R1387" s="18"/>
      <c r="S1387" s="18"/>
      <c r="T1387" s="18"/>
      <c r="U1387" s="18"/>
      <c r="V1387" s="18"/>
      <c r="W1387" s="18"/>
      <c r="X1387" s="18"/>
      <c r="Y1387" s="18"/>
      <c r="Z1387" s="18"/>
      <c r="AA1387" s="18"/>
      <c r="AB1387" s="18"/>
      <c r="AC1387" s="18"/>
      <c r="AD1387" s="18"/>
      <c r="AE1387" s="18"/>
      <c r="AF1387" s="18"/>
      <c r="AG1387" s="18"/>
      <c r="AH1387" s="18"/>
      <c r="AI1387" s="18"/>
      <c r="AJ1387" s="18"/>
      <c r="AK1387" s="18"/>
      <c r="AL1387" s="18"/>
      <c r="AM1387" s="18"/>
      <c r="AN1387" s="18"/>
      <c r="AO1387" s="18"/>
      <c r="AP1387" s="18"/>
      <c r="AQ1387" s="18"/>
      <c r="AR1387" s="18"/>
      <c r="AS1387" s="18"/>
      <c r="AT1387" s="18"/>
      <c r="AU1387" s="18"/>
      <c r="AV1387" s="18"/>
      <c r="AW1387" s="18"/>
      <c r="AX1387" s="18"/>
      <c r="AY1387" s="18"/>
      <c r="AZ1387" s="18"/>
      <c r="BA1387" s="18"/>
      <c r="BB1387" s="18"/>
      <c r="BC1387" s="18"/>
      <c r="BD1387" s="18"/>
      <c r="BE1387" s="18"/>
      <c r="BF1387" s="18"/>
      <c r="BG1387" s="18"/>
      <c r="BH1387" s="18"/>
      <c r="BI1387" s="18"/>
      <c r="BJ1387" s="18"/>
      <c r="BK1387" s="18"/>
      <c r="BL1387" s="18"/>
      <c r="BM1387" s="18"/>
      <c r="BN1387" s="18"/>
    </row>
    <row r="1388" spans="1:66">
      <c r="A1388" s="18"/>
      <c r="B1388" s="18"/>
      <c r="C1388" s="18"/>
      <c r="D1388" s="18"/>
      <c r="E1388" s="18"/>
      <c r="F1388" s="18"/>
      <c r="G1388" s="18"/>
      <c r="H1388" s="18"/>
      <c r="I1388" s="18"/>
      <c r="J1388" s="18"/>
      <c r="K1388" s="18"/>
      <c r="L1388" s="18"/>
      <c r="M1388" s="18"/>
      <c r="N1388" s="18"/>
      <c r="O1388" s="18"/>
      <c r="P1388" s="18"/>
      <c r="Q1388" s="18"/>
      <c r="R1388" s="18"/>
      <c r="S1388" s="18"/>
      <c r="T1388" s="18"/>
      <c r="U1388" s="18"/>
      <c r="V1388" s="18"/>
      <c r="W1388" s="18"/>
      <c r="X1388" s="18"/>
      <c r="Y1388" s="18"/>
      <c r="Z1388" s="18"/>
      <c r="AA1388" s="18"/>
      <c r="AB1388" s="18"/>
      <c r="AC1388" s="18"/>
      <c r="AD1388" s="18"/>
      <c r="AE1388" s="18"/>
      <c r="AF1388" s="18"/>
      <c r="AG1388" s="18"/>
      <c r="AH1388" s="18"/>
      <c r="AI1388" s="18"/>
      <c r="AJ1388" s="18"/>
      <c r="AK1388" s="18"/>
      <c r="AL1388" s="18"/>
      <c r="AM1388" s="18"/>
      <c r="AN1388" s="18"/>
      <c r="AO1388" s="18"/>
      <c r="AP1388" s="18"/>
      <c r="AQ1388" s="18"/>
      <c r="AR1388" s="18"/>
      <c r="AS1388" s="18"/>
      <c r="AT1388" s="18"/>
      <c r="AU1388" s="18"/>
      <c r="AV1388" s="18"/>
      <c r="AW1388" s="18"/>
      <c r="AX1388" s="18"/>
      <c r="AY1388" s="18"/>
      <c r="AZ1388" s="18"/>
      <c r="BA1388" s="18"/>
      <c r="BB1388" s="18"/>
      <c r="BC1388" s="18"/>
      <c r="BD1388" s="18"/>
      <c r="BE1388" s="18"/>
      <c r="BF1388" s="18"/>
      <c r="BG1388" s="18"/>
      <c r="BH1388" s="18"/>
      <c r="BI1388" s="18"/>
      <c r="BJ1388" s="18"/>
      <c r="BK1388" s="18"/>
      <c r="BL1388" s="18"/>
      <c r="BM1388" s="18"/>
      <c r="BN1388" s="18"/>
    </row>
    <row r="1389" spans="1:66">
      <c r="A1389" s="18"/>
      <c r="B1389" s="18"/>
      <c r="C1389" s="18"/>
      <c r="D1389" s="18"/>
      <c r="E1389" s="18"/>
      <c r="F1389" s="18"/>
      <c r="G1389" s="18"/>
      <c r="H1389" s="18"/>
      <c r="I1389" s="18"/>
      <c r="J1389" s="18"/>
      <c r="K1389" s="18"/>
      <c r="L1389" s="18"/>
      <c r="M1389" s="18"/>
      <c r="N1389" s="18"/>
      <c r="O1389" s="18"/>
      <c r="P1389" s="18"/>
      <c r="Q1389" s="18"/>
      <c r="R1389" s="18"/>
      <c r="S1389" s="18"/>
      <c r="T1389" s="18"/>
      <c r="U1389" s="18"/>
      <c r="V1389" s="18"/>
      <c r="W1389" s="18"/>
      <c r="X1389" s="18"/>
      <c r="Y1389" s="18"/>
      <c r="Z1389" s="18"/>
      <c r="AA1389" s="18"/>
      <c r="AB1389" s="18"/>
      <c r="AC1389" s="18"/>
      <c r="AD1389" s="18"/>
      <c r="AE1389" s="18"/>
      <c r="AF1389" s="18"/>
      <c r="AG1389" s="18"/>
      <c r="AH1389" s="18"/>
      <c r="AI1389" s="18"/>
      <c r="AJ1389" s="18"/>
      <c r="AK1389" s="18"/>
      <c r="AL1389" s="18"/>
      <c r="AM1389" s="18"/>
      <c r="AN1389" s="18"/>
      <c r="AO1389" s="18"/>
      <c r="AP1389" s="18"/>
      <c r="AQ1389" s="18"/>
      <c r="AR1389" s="18"/>
      <c r="AS1389" s="18"/>
      <c r="AT1389" s="18"/>
      <c r="AU1389" s="18"/>
      <c r="AV1389" s="18"/>
      <c r="AW1389" s="18"/>
      <c r="AX1389" s="18"/>
      <c r="AY1389" s="18"/>
      <c r="AZ1389" s="18"/>
      <c r="BA1389" s="18"/>
      <c r="BB1389" s="18"/>
      <c r="BC1389" s="18"/>
      <c r="BD1389" s="18"/>
      <c r="BE1389" s="18"/>
      <c r="BF1389" s="18"/>
      <c r="BG1389" s="18"/>
      <c r="BH1389" s="18"/>
      <c r="BI1389" s="18"/>
      <c r="BJ1389" s="18"/>
      <c r="BK1389" s="18"/>
      <c r="BL1389" s="18"/>
      <c r="BM1389" s="18"/>
      <c r="BN1389" s="18"/>
    </row>
    <row r="1390" spans="1:66">
      <c r="A1390" s="18"/>
      <c r="B1390" s="18"/>
      <c r="C1390" s="18"/>
      <c r="D1390" s="18"/>
      <c r="E1390" s="18"/>
      <c r="F1390" s="18"/>
      <c r="G1390" s="18"/>
      <c r="H1390" s="18"/>
      <c r="I1390" s="18"/>
      <c r="J1390" s="18"/>
      <c r="K1390" s="18"/>
      <c r="L1390" s="18"/>
      <c r="M1390" s="18"/>
      <c r="N1390" s="18"/>
      <c r="O1390" s="18"/>
      <c r="P1390" s="18"/>
      <c r="Q1390" s="18"/>
      <c r="R1390" s="18"/>
      <c r="S1390" s="18"/>
      <c r="T1390" s="18"/>
      <c r="U1390" s="18"/>
      <c r="V1390" s="18"/>
      <c r="W1390" s="18"/>
      <c r="X1390" s="18"/>
      <c r="Y1390" s="18"/>
      <c r="Z1390" s="18"/>
      <c r="AA1390" s="18"/>
      <c r="AB1390" s="18"/>
      <c r="AC1390" s="18"/>
      <c r="AD1390" s="18"/>
      <c r="AE1390" s="18"/>
      <c r="AF1390" s="18"/>
      <c r="AG1390" s="18"/>
      <c r="AH1390" s="18"/>
      <c r="AI1390" s="18"/>
      <c r="AJ1390" s="18"/>
      <c r="AK1390" s="18"/>
      <c r="AL1390" s="18"/>
      <c r="AM1390" s="18"/>
      <c r="AN1390" s="18"/>
      <c r="AO1390" s="18"/>
      <c r="AP1390" s="18"/>
      <c r="AQ1390" s="18"/>
      <c r="AR1390" s="18"/>
      <c r="AS1390" s="18"/>
      <c r="AT1390" s="18"/>
      <c r="AU1390" s="18"/>
      <c r="AV1390" s="18"/>
      <c r="AW1390" s="18"/>
      <c r="AX1390" s="18"/>
      <c r="AY1390" s="18"/>
      <c r="AZ1390" s="18"/>
      <c r="BA1390" s="18"/>
      <c r="BB1390" s="18"/>
      <c r="BC1390" s="18"/>
      <c r="BD1390" s="18"/>
      <c r="BE1390" s="18"/>
      <c r="BF1390" s="18"/>
      <c r="BG1390" s="18"/>
      <c r="BH1390" s="18"/>
      <c r="BI1390" s="18"/>
      <c r="BJ1390" s="18"/>
      <c r="BK1390" s="18"/>
      <c r="BL1390" s="18"/>
      <c r="BM1390" s="18"/>
      <c r="BN1390" s="18"/>
    </row>
    <row r="1391" spans="1:66">
      <c r="A1391" s="18"/>
      <c r="B1391" s="18"/>
      <c r="C1391" s="18"/>
      <c r="D1391" s="18"/>
      <c r="E1391" s="18"/>
      <c r="F1391" s="18"/>
      <c r="G1391" s="18"/>
      <c r="H1391" s="18"/>
      <c r="I1391" s="18"/>
      <c r="J1391" s="18"/>
      <c r="K1391" s="18"/>
      <c r="L1391" s="18"/>
      <c r="M1391" s="18"/>
      <c r="N1391" s="18"/>
      <c r="O1391" s="18"/>
      <c r="P1391" s="18"/>
      <c r="Q1391" s="18"/>
      <c r="R1391" s="18"/>
      <c r="S1391" s="18"/>
      <c r="T1391" s="18"/>
      <c r="U1391" s="18"/>
      <c r="V1391" s="18"/>
      <c r="W1391" s="18"/>
      <c r="X1391" s="18"/>
      <c r="Y1391" s="18"/>
      <c r="Z1391" s="18"/>
      <c r="AA1391" s="18"/>
      <c r="AB1391" s="18"/>
      <c r="AC1391" s="18"/>
      <c r="AD1391" s="18"/>
      <c r="AE1391" s="18"/>
      <c r="AF1391" s="18"/>
      <c r="AG1391" s="18"/>
      <c r="AH1391" s="18"/>
      <c r="AI1391" s="18"/>
      <c r="AJ1391" s="18"/>
      <c r="AK1391" s="18"/>
      <c r="AL1391" s="18"/>
      <c r="AM1391" s="18"/>
      <c r="AN1391" s="18"/>
      <c r="AO1391" s="18"/>
      <c r="AP1391" s="18"/>
      <c r="AQ1391" s="18"/>
      <c r="AR1391" s="18"/>
      <c r="AS1391" s="18"/>
      <c r="AT1391" s="18"/>
      <c r="AU1391" s="18"/>
      <c r="AV1391" s="18"/>
      <c r="AW1391" s="18"/>
      <c r="AX1391" s="18"/>
      <c r="AY1391" s="18"/>
      <c r="AZ1391" s="18"/>
      <c r="BA1391" s="18"/>
      <c r="BB1391" s="18"/>
      <c r="BC1391" s="18"/>
      <c r="BD1391" s="18"/>
      <c r="BE1391" s="18"/>
      <c r="BF1391" s="18"/>
      <c r="BG1391" s="18"/>
      <c r="BH1391" s="18"/>
      <c r="BI1391" s="18"/>
      <c r="BJ1391" s="18"/>
      <c r="BK1391" s="18"/>
      <c r="BL1391" s="18"/>
      <c r="BM1391" s="18"/>
      <c r="BN1391" s="18"/>
    </row>
    <row r="1392" spans="1:66">
      <c r="A1392" s="18"/>
      <c r="B1392" s="18"/>
      <c r="C1392" s="18"/>
      <c r="D1392" s="18"/>
      <c r="E1392" s="18"/>
      <c r="F1392" s="18"/>
      <c r="G1392" s="18"/>
      <c r="H1392" s="18"/>
      <c r="I1392" s="18"/>
      <c r="J1392" s="18"/>
      <c r="K1392" s="18"/>
      <c r="L1392" s="18"/>
      <c r="M1392" s="18"/>
      <c r="N1392" s="18"/>
      <c r="O1392" s="18"/>
      <c r="P1392" s="18"/>
      <c r="Q1392" s="18"/>
      <c r="R1392" s="18"/>
      <c r="S1392" s="18"/>
      <c r="T1392" s="18"/>
      <c r="U1392" s="18"/>
      <c r="V1392" s="18"/>
      <c r="W1392" s="18"/>
      <c r="X1392" s="18"/>
      <c r="Y1392" s="18"/>
      <c r="Z1392" s="18"/>
      <c r="AA1392" s="18"/>
      <c r="AB1392" s="18"/>
      <c r="AC1392" s="18"/>
      <c r="AD1392" s="18"/>
      <c r="AE1392" s="18"/>
      <c r="AF1392" s="18"/>
      <c r="AG1392" s="18"/>
      <c r="AH1392" s="18"/>
      <c r="AI1392" s="18"/>
      <c r="AJ1392" s="18"/>
      <c r="AK1392" s="18"/>
      <c r="AL1392" s="18"/>
      <c r="AM1392" s="18"/>
      <c r="AN1392" s="18"/>
      <c r="AO1392" s="18"/>
      <c r="AP1392" s="18"/>
      <c r="AQ1392" s="18"/>
      <c r="AR1392" s="18"/>
      <c r="AS1392" s="18"/>
      <c r="AT1392" s="18"/>
      <c r="AU1392" s="18"/>
      <c r="AV1392" s="18"/>
      <c r="AW1392" s="18"/>
      <c r="AX1392" s="18"/>
      <c r="AY1392" s="18"/>
      <c r="AZ1392" s="18"/>
      <c r="BA1392" s="18"/>
      <c r="BB1392" s="18"/>
      <c r="BC1392" s="18"/>
      <c r="BD1392" s="18"/>
      <c r="BE1392" s="18"/>
      <c r="BF1392" s="18"/>
      <c r="BG1392" s="18"/>
      <c r="BH1392" s="18"/>
      <c r="BI1392" s="18"/>
      <c r="BJ1392" s="18"/>
      <c r="BK1392" s="18"/>
      <c r="BL1392" s="18"/>
      <c r="BM1392" s="18"/>
      <c r="BN1392" s="18"/>
    </row>
    <row r="1393" spans="1:66">
      <c r="A1393" s="18"/>
      <c r="B1393" s="18"/>
      <c r="C1393" s="18"/>
      <c r="D1393" s="18"/>
      <c r="E1393" s="18"/>
      <c r="F1393" s="18"/>
      <c r="G1393" s="18"/>
      <c r="H1393" s="18"/>
      <c r="I1393" s="18"/>
      <c r="J1393" s="18"/>
      <c r="K1393" s="18"/>
      <c r="L1393" s="18"/>
      <c r="M1393" s="18"/>
      <c r="N1393" s="18"/>
      <c r="O1393" s="18"/>
      <c r="P1393" s="18"/>
      <c r="Q1393" s="18"/>
      <c r="R1393" s="18"/>
      <c r="S1393" s="18"/>
      <c r="T1393" s="18"/>
      <c r="U1393" s="18"/>
      <c r="V1393" s="18"/>
      <c r="W1393" s="18"/>
      <c r="X1393" s="18"/>
      <c r="Y1393" s="18"/>
      <c r="Z1393" s="18"/>
      <c r="AA1393" s="18"/>
      <c r="AB1393" s="18"/>
      <c r="AC1393" s="18"/>
      <c r="AD1393" s="18"/>
      <c r="AE1393" s="18"/>
      <c r="AF1393" s="18"/>
      <c r="AG1393" s="18"/>
      <c r="AH1393" s="18"/>
      <c r="AI1393" s="18"/>
      <c r="AJ1393" s="18"/>
      <c r="AK1393" s="18"/>
      <c r="AL1393" s="18"/>
      <c r="AM1393" s="18"/>
      <c r="AN1393" s="18"/>
      <c r="AO1393" s="18"/>
      <c r="AP1393" s="18"/>
      <c r="AQ1393" s="18"/>
      <c r="AR1393" s="18"/>
      <c r="AS1393" s="18"/>
      <c r="AT1393" s="18"/>
      <c r="AU1393" s="18"/>
      <c r="AV1393" s="18"/>
      <c r="AW1393" s="18"/>
      <c r="AX1393" s="18"/>
      <c r="AY1393" s="18"/>
      <c r="AZ1393" s="18"/>
      <c r="BA1393" s="18"/>
      <c r="BB1393" s="18"/>
      <c r="BC1393" s="18"/>
      <c r="BD1393" s="18"/>
      <c r="BE1393" s="18"/>
      <c r="BF1393" s="18"/>
      <c r="BG1393" s="18"/>
      <c r="BH1393" s="18"/>
      <c r="BI1393" s="18"/>
      <c r="BJ1393" s="18"/>
      <c r="BK1393" s="18"/>
      <c r="BL1393" s="18"/>
      <c r="BM1393" s="18"/>
      <c r="BN1393" s="18"/>
    </row>
    <row r="1394" spans="1:66">
      <c r="A1394" s="18"/>
      <c r="B1394" s="18"/>
      <c r="C1394" s="18"/>
      <c r="D1394" s="18"/>
      <c r="E1394" s="18"/>
      <c r="F1394" s="18"/>
      <c r="G1394" s="18"/>
      <c r="H1394" s="18"/>
      <c r="I1394" s="18"/>
      <c r="J1394" s="18"/>
      <c r="K1394" s="18"/>
      <c r="L1394" s="18"/>
      <c r="M1394" s="18"/>
      <c r="N1394" s="18"/>
      <c r="O1394" s="18"/>
      <c r="P1394" s="18"/>
      <c r="Q1394" s="18"/>
      <c r="R1394" s="18"/>
      <c r="S1394" s="18"/>
      <c r="T1394" s="18"/>
      <c r="U1394" s="18"/>
      <c r="V1394" s="18"/>
      <c r="W1394" s="18"/>
      <c r="X1394" s="18"/>
      <c r="Y1394" s="18"/>
      <c r="Z1394" s="18"/>
      <c r="AA1394" s="18"/>
      <c r="AB1394" s="18"/>
      <c r="AC1394" s="18"/>
      <c r="AD1394" s="18"/>
      <c r="AE1394" s="18"/>
      <c r="AF1394" s="18"/>
      <c r="AG1394" s="18"/>
      <c r="AH1394" s="18"/>
      <c r="AI1394" s="18"/>
      <c r="AJ1394" s="18"/>
      <c r="AK1394" s="18"/>
      <c r="AL1394" s="18"/>
      <c r="AM1394" s="18"/>
      <c r="AN1394" s="18"/>
      <c r="AO1394" s="18"/>
      <c r="AP1394" s="18"/>
      <c r="AQ1394" s="18"/>
      <c r="AR1394" s="18"/>
      <c r="AS1394" s="18"/>
      <c r="AT1394" s="18"/>
      <c r="AU1394" s="18"/>
      <c r="AV1394" s="18"/>
      <c r="AW1394" s="18"/>
      <c r="AX1394" s="18"/>
      <c r="AY1394" s="18"/>
      <c r="AZ1394" s="18"/>
      <c r="BA1394" s="18"/>
      <c r="BB1394" s="18"/>
      <c r="BC1394" s="18"/>
      <c r="BD1394" s="18"/>
      <c r="BE1394" s="18"/>
      <c r="BF1394" s="18"/>
      <c r="BG1394" s="18"/>
      <c r="BH1394" s="18"/>
      <c r="BI1394" s="18"/>
      <c r="BJ1394" s="18"/>
      <c r="BK1394" s="18"/>
      <c r="BL1394" s="18"/>
      <c r="BM1394" s="18"/>
      <c r="BN1394" s="18"/>
    </row>
    <row r="1395" spans="1:66">
      <c r="A1395" s="18"/>
      <c r="B1395" s="18"/>
      <c r="C1395" s="18"/>
      <c r="D1395" s="18"/>
      <c r="E1395" s="18"/>
      <c r="F1395" s="18"/>
      <c r="G1395" s="18"/>
      <c r="H1395" s="18"/>
      <c r="I1395" s="18"/>
      <c r="J1395" s="18"/>
      <c r="K1395" s="18"/>
      <c r="L1395" s="18"/>
      <c r="M1395" s="18"/>
      <c r="N1395" s="18"/>
      <c r="O1395" s="18"/>
      <c r="P1395" s="18"/>
      <c r="Q1395" s="18"/>
      <c r="R1395" s="18"/>
      <c r="S1395" s="18"/>
      <c r="T1395" s="18"/>
      <c r="U1395" s="18"/>
      <c r="V1395" s="18"/>
      <c r="W1395" s="18"/>
      <c r="X1395" s="18"/>
      <c r="Y1395" s="18"/>
      <c r="Z1395" s="18"/>
      <c r="AA1395" s="18"/>
      <c r="AB1395" s="18"/>
      <c r="AC1395" s="18"/>
      <c r="AD1395" s="18"/>
      <c r="AE1395" s="18"/>
      <c r="AF1395" s="18"/>
      <c r="AG1395" s="18"/>
      <c r="AH1395" s="18"/>
      <c r="AI1395" s="18"/>
      <c r="AJ1395" s="18"/>
      <c r="AK1395" s="18"/>
      <c r="AL1395" s="18"/>
      <c r="AM1395" s="18"/>
      <c r="AN1395" s="18"/>
      <c r="AO1395" s="18"/>
      <c r="AP1395" s="18"/>
      <c r="AQ1395" s="18"/>
      <c r="AR1395" s="18"/>
      <c r="AS1395" s="18"/>
      <c r="AT1395" s="18"/>
      <c r="AU1395" s="18"/>
      <c r="AV1395" s="18"/>
      <c r="AW1395" s="18"/>
      <c r="AX1395" s="18"/>
      <c r="AY1395" s="18"/>
      <c r="AZ1395" s="18"/>
      <c r="BA1395" s="18"/>
      <c r="BB1395" s="18"/>
      <c r="BC1395" s="18"/>
      <c r="BD1395" s="18"/>
      <c r="BE1395" s="18"/>
      <c r="BF1395" s="18"/>
      <c r="BG1395" s="18"/>
      <c r="BH1395" s="18"/>
      <c r="BI1395" s="18"/>
      <c r="BJ1395" s="18"/>
      <c r="BK1395" s="18"/>
      <c r="BL1395" s="18"/>
      <c r="BM1395" s="18"/>
      <c r="BN1395" s="18"/>
    </row>
    <row r="1396" spans="1:66">
      <c r="A1396" s="18"/>
      <c r="B1396" s="18"/>
      <c r="C1396" s="18"/>
      <c r="D1396" s="18"/>
      <c r="E1396" s="18"/>
      <c r="F1396" s="18"/>
      <c r="G1396" s="18"/>
      <c r="H1396" s="18"/>
      <c r="I1396" s="18"/>
      <c r="J1396" s="18"/>
      <c r="K1396" s="18"/>
      <c r="L1396" s="18"/>
      <c r="M1396" s="18"/>
      <c r="N1396" s="18"/>
      <c r="O1396" s="18"/>
      <c r="P1396" s="18"/>
      <c r="Q1396" s="18"/>
      <c r="R1396" s="18"/>
      <c r="S1396" s="18"/>
      <c r="T1396" s="18"/>
      <c r="U1396" s="18"/>
      <c r="V1396" s="18"/>
      <c r="W1396" s="18"/>
      <c r="X1396" s="18"/>
      <c r="Y1396" s="18"/>
      <c r="Z1396" s="18"/>
      <c r="AA1396" s="18"/>
      <c r="AB1396" s="18"/>
      <c r="AC1396" s="18"/>
      <c r="AD1396" s="18"/>
      <c r="AE1396" s="18"/>
      <c r="AF1396" s="18"/>
      <c r="AG1396" s="18"/>
      <c r="AH1396" s="18"/>
      <c r="AI1396" s="18"/>
      <c r="AJ1396" s="18"/>
      <c r="AK1396" s="18"/>
      <c r="AL1396" s="18"/>
      <c r="AM1396" s="18"/>
      <c r="AN1396" s="18"/>
      <c r="AO1396" s="18"/>
      <c r="AP1396" s="18"/>
      <c r="AQ1396" s="18"/>
      <c r="AR1396" s="18"/>
      <c r="AS1396" s="18"/>
      <c r="AT1396" s="18"/>
      <c r="AU1396" s="18"/>
      <c r="AV1396" s="18"/>
      <c r="AW1396" s="18"/>
      <c r="AX1396" s="18"/>
      <c r="AY1396" s="18"/>
      <c r="AZ1396" s="18"/>
      <c r="BA1396" s="18"/>
      <c r="BB1396" s="18"/>
      <c r="BC1396" s="18"/>
      <c r="BD1396" s="18"/>
      <c r="BE1396" s="18"/>
      <c r="BF1396" s="18"/>
      <c r="BG1396" s="18"/>
      <c r="BH1396" s="18"/>
      <c r="BI1396" s="18"/>
      <c r="BJ1396" s="18"/>
      <c r="BK1396" s="18"/>
      <c r="BL1396" s="18"/>
      <c r="BM1396" s="18"/>
      <c r="BN1396" s="18"/>
    </row>
    <row r="1397" spans="1:66">
      <c r="A1397" s="18"/>
      <c r="B1397" s="18"/>
      <c r="C1397" s="18"/>
      <c r="D1397" s="18"/>
      <c r="E1397" s="18"/>
      <c r="F1397" s="18"/>
      <c r="G1397" s="18"/>
      <c r="H1397" s="18"/>
      <c r="I1397" s="18"/>
      <c r="J1397" s="18"/>
      <c r="K1397" s="18"/>
      <c r="L1397" s="18"/>
      <c r="M1397" s="18"/>
      <c r="N1397" s="18"/>
      <c r="O1397" s="18"/>
      <c r="P1397" s="18"/>
      <c r="Q1397" s="18"/>
      <c r="R1397" s="18"/>
      <c r="S1397" s="18"/>
      <c r="T1397" s="18"/>
      <c r="U1397" s="18"/>
      <c r="V1397" s="18"/>
      <c r="W1397" s="18"/>
      <c r="X1397" s="18"/>
      <c r="Y1397" s="18"/>
      <c r="Z1397" s="18"/>
      <c r="AA1397" s="18"/>
      <c r="AB1397" s="18"/>
      <c r="AC1397" s="18"/>
      <c r="AD1397" s="18"/>
      <c r="AE1397" s="18"/>
      <c r="AF1397" s="18"/>
      <c r="AG1397" s="18"/>
      <c r="AH1397" s="18"/>
      <c r="AI1397" s="18"/>
      <c r="AJ1397" s="18"/>
      <c r="AK1397" s="18"/>
      <c r="AL1397" s="18"/>
      <c r="AM1397" s="18"/>
      <c r="AN1397" s="18"/>
      <c r="AO1397" s="18"/>
      <c r="AP1397" s="18"/>
      <c r="AQ1397" s="18"/>
      <c r="AR1397" s="18"/>
      <c r="AS1397" s="18"/>
      <c r="AT1397" s="18"/>
      <c r="AU1397" s="18"/>
      <c r="AV1397" s="18"/>
      <c r="AW1397" s="18"/>
      <c r="AX1397" s="18"/>
      <c r="AY1397" s="18"/>
      <c r="AZ1397" s="18"/>
      <c r="BA1397" s="18"/>
      <c r="BB1397" s="18"/>
      <c r="BC1397" s="18"/>
      <c r="BD1397" s="18"/>
      <c r="BE1397" s="18"/>
      <c r="BF1397" s="18"/>
      <c r="BG1397" s="18"/>
      <c r="BH1397" s="18"/>
      <c r="BI1397" s="18"/>
      <c r="BJ1397" s="18"/>
      <c r="BK1397" s="18"/>
      <c r="BL1397" s="18"/>
      <c r="BM1397" s="18"/>
      <c r="BN1397" s="18"/>
    </row>
    <row r="1398" spans="1:66">
      <c r="A1398" s="18"/>
      <c r="B1398" s="18"/>
      <c r="C1398" s="18"/>
      <c r="D1398" s="18"/>
      <c r="E1398" s="18"/>
      <c r="F1398" s="18"/>
      <c r="G1398" s="18"/>
      <c r="H1398" s="18"/>
      <c r="I1398" s="18"/>
      <c r="J1398" s="18"/>
      <c r="K1398" s="18"/>
      <c r="L1398" s="18"/>
      <c r="M1398" s="18"/>
      <c r="N1398" s="18"/>
      <c r="O1398" s="18"/>
      <c r="P1398" s="18"/>
      <c r="Q1398" s="18"/>
      <c r="R1398" s="18"/>
      <c r="S1398" s="18"/>
      <c r="T1398" s="18"/>
      <c r="U1398" s="18"/>
      <c r="V1398" s="18"/>
      <c r="W1398" s="18"/>
      <c r="X1398" s="18"/>
      <c r="Y1398" s="18"/>
      <c r="Z1398" s="18"/>
      <c r="AA1398" s="18"/>
      <c r="AB1398" s="18"/>
      <c r="AC1398" s="18"/>
      <c r="AD1398" s="18"/>
      <c r="AE1398" s="18"/>
      <c r="AF1398" s="18"/>
      <c r="AG1398" s="18"/>
      <c r="AH1398" s="18"/>
      <c r="AI1398" s="18"/>
      <c r="AJ1398" s="18"/>
      <c r="AK1398" s="18"/>
      <c r="AL1398" s="18"/>
      <c r="AM1398" s="18"/>
      <c r="AN1398" s="18"/>
      <c r="AO1398" s="18"/>
      <c r="AP1398" s="18"/>
      <c r="AQ1398" s="18"/>
      <c r="AR1398" s="18"/>
      <c r="AS1398" s="18"/>
      <c r="AT1398" s="18"/>
      <c r="AU1398" s="18"/>
      <c r="AV1398" s="18"/>
      <c r="AW1398" s="18"/>
      <c r="AX1398" s="18"/>
      <c r="AY1398" s="18"/>
      <c r="AZ1398" s="18"/>
      <c r="BA1398" s="18"/>
      <c r="BB1398" s="18"/>
      <c r="BC1398" s="18"/>
      <c r="BD1398" s="18"/>
      <c r="BE1398" s="18"/>
      <c r="BF1398" s="18"/>
      <c r="BG1398" s="18"/>
      <c r="BH1398" s="18"/>
      <c r="BI1398" s="18"/>
      <c r="BJ1398" s="18"/>
      <c r="BK1398" s="18"/>
      <c r="BL1398" s="18"/>
      <c r="BM1398" s="18"/>
      <c r="BN1398" s="18"/>
    </row>
    <row r="1399" spans="1:66">
      <c r="A1399" s="18"/>
      <c r="B1399" s="18"/>
      <c r="C1399" s="18"/>
      <c r="D1399" s="18"/>
      <c r="E1399" s="18"/>
      <c r="F1399" s="18"/>
      <c r="G1399" s="18"/>
      <c r="H1399" s="18"/>
      <c r="I1399" s="18"/>
      <c r="J1399" s="18"/>
      <c r="K1399" s="18"/>
      <c r="L1399" s="18"/>
      <c r="M1399" s="18"/>
      <c r="N1399" s="18"/>
      <c r="O1399" s="18"/>
      <c r="P1399" s="18"/>
      <c r="Q1399" s="18"/>
      <c r="R1399" s="18"/>
      <c r="S1399" s="18"/>
      <c r="T1399" s="18"/>
      <c r="U1399" s="18"/>
      <c r="V1399" s="18"/>
      <c r="W1399" s="18"/>
      <c r="X1399" s="18"/>
      <c r="Y1399" s="18"/>
      <c r="Z1399" s="18"/>
      <c r="AA1399" s="18"/>
      <c r="AB1399" s="18"/>
      <c r="AC1399" s="18"/>
      <c r="AD1399" s="18"/>
      <c r="AE1399" s="18"/>
      <c r="AF1399" s="18"/>
      <c r="AG1399" s="18"/>
      <c r="AH1399" s="18"/>
      <c r="AI1399" s="18"/>
      <c r="AJ1399" s="18"/>
      <c r="AK1399" s="18"/>
      <c r="AL1399" s="18"/>
      <c r="AM1399" s="18"/>
      <c r="AN1399" s="18"/>
      <c r="AO1399" s="18"/>
      <c r="AP1399" s="18"/>
      <c r="AQ1399" s="18"/>
      <c r="AR1399" s="18"/>
      <c r="AS1399" s="18"/>
      <c r="AT1399" s="18"/>
      <c r="AU1399" s="18"/>
      <c r="AV1399" s="18"/>
      <c r="AW1399" s="18"/>
      <c r="AX1399" s="18"/>
      <c r="AY1399" s="18"/>
      <c r="AZ1399" s="18"/>
      <c r="BA1399" s="18"/>
      <c r="BB1399" s="18"/>
      <c r="BC1399" s="18"/>
      <c r="BD1399" s="18"/>
      <c r="BE1399" s="18"/>
      <c r="BF1399" s="18"/>
      <c r="BG1399" s="18"/>
      <c r="BH1399" s="18"/>
      <c r="BI1399" s="18"/>
      <c r="BJ1399" s="18"/>
      <c r="BK1399" s="18"/>
      <c r="BL1399" s="18"/>
      <c r="BM1399" s="18"/>
      <c r="BN1399" s="18"/>
    </row>
    <row r="1400" spans="1:66">
      <c r="A1400" s="18"/>
      <c r="B1400" s="18"/>
      <c r="C1400" s="18"/>
      <c r="D1400" s="18"/>
      <c r="E1400" s="18"/>
      <c r="F1400" s="18"/>
      <c r="G1400" s="18"/>
      <c r="H1400" s="18"/>
      <c r="I1400" s="18"/>
      <c r="J1400" s="18"/>
      <c r="K1400" s="18"/>
      <c r="L1400" s="18"/>
      <c r="M1400" s="18"/>
      <c r="N1400" s="18"/>
      <c r="O1400" s="18"/>
      <c r="P1400" s="18"/>
      <c r="Q1400" s="18"/>
      <c r="R1400" s="18"/>
      <c r="S1400" s="18"/>
      <c r="T1400" s="18"/>
      <c r="U1400" s="18"/>
      <c r="V1400" s="18"/>
      <c r="W1400" s="18"/>
      <c r="X1400" s="18"/>
      <c r="Y1400" s="18"/>
      <c r="Z1400" s="18"/>
      <c r="AA1400" s="18"/>
      <c r="AB1400" s="18"/>
      <c r="AC1400" s="18"/>
      <c r="AD1400" s="18"/>
      <c r="AE1400" s="18"/>
      <c r="AF1400" s="18"/>
      <c r="AG1400" s="18"/>
      <c r="AH1400" s="18"/>
      <c r="AI1400" s="18"/>
      <c r="AJ1400" s="18"/>
      <c r="AK1400" s="18"/>
      <c r="AL1400" s="18"/>
      <c r="AM1400" s="18"/>
      <c r="AN1400" s="18"/>
      <c r="AO1400" s="18"/>
      <c r="AP1400" s="18"/>
      <c r="AQ1400" s="18"/>
      <c r="AR1400" s="18"/>
      <c r="AS1400" s="18"/>
      <c r="AT1400" s="18"/>
      <c r="AU1400" s="18"/>
      <c r="AV1400" s="18"/>
      <c r="AW1400" s="18"/>
      <c r="AX1400" s="18"/>
      <c r="AY1400" s="18"/>
      <c r="AZ1400" s="18"/>
      <c r="BA1400" s="18"/>
      <c r="BB1400" s="18"/>
      <c r="BC1400" s="18"/>
      <c r="BD1400" s="18"/>
      <c r="BE1400" s="18"/>
      <c r="BF1400" s="18"/>
      <c r="BG1400" s="18"/>
      <c r="BH1400" s="18"/>
      <c r="BI1400" s="18"/>
      <c r="BJ1400" s="18"/>
      <c r="BK1400" s="18"/>
      <c r="BL1400" s="18"/>
      <c r="BM1400" s="18"/>
      <c r="BN1400" s="18"/>
    </row>
    <row r="1401" spans="1:66">
      <c r="A1401" s="18"/>
      <c r="B1401" s="18"/>
      <c r="C1401" s="18"/>
      <c r="D1401" s="18"/>
      <c r="E1401" s="18"/>
      <c r="F1401" s="18"/>
      <c r="G1401" s="18"/>
      <c r="H1401" s="18"/>
      <c r="I1401" s="18"/>
      <c r="J1401" s="18"/>
      <c r="K1401" s="18"/>
      <c r="L1401" s="18"/>
      <c r="M1401" s="18"/>
      <c r="N1401" s="18"/>
      <c r="O1401" s="18"/>
      <c r="P1401" s="18"/>
      <c r="Q1401" s="18"/>
      <c r="R1401" s="18"/>
      <c r="S1401" s="18"/>
      <c r="T1401" s="18"/>
      <c r="U1401" s="18"/>
      <c r="V1401" s="18"/>
      <c r="W1401" s="18"/>
      <c r="X1401" s="18"/>
      <c r="Y1401" s="18"/>
      <c r="Z1401" s="18"/>
      <c r="AA1401" s="18"/>
      <c r="AB1401" s="18"/>
      <c r="AC1401" s="18"/>
      <c r="AD1401" s="18"/>
      <c r="AE1401" s="18"/>
      <c r="AF1401" s="18"/>
      <c r="AG1401" s="18"/>
      <c r="AH1401" s="18"/>
      <c r="AI1401" s="18"/>
      <c r="AJ1401" s="18"/>
      <c r="AK1401" s="18"/>
      <c r="AL1401" s="18"/>
      <c r="AM1401" s="18"/>
      <c r="AN1401" s="18"/>
      <c r="AO1401" s="18"/>
      <c r="AP1401" s="18"/>
      <c r="AQ1401" s="18"/>
      <c r="AR1401" s="18"/>
      <c r="AS1401" s="18"/>
      <c r="AT1401" s="18"/>
      <c r="AU1401" s="18"/>
      <c r="AV1401" s="18"/>
      <c r="AW1401" s="18"/>
      <c r="AX1401" s="18"/>
      <c r="AY1401" s="18"/>
      <c r="AZ1401" s="18"/>
      <c r="BA1401" s="18"/>
      <c r="BB1401" s="18"/>
      <c r="BC1401" s="18"/>
      <c r="BD1401" s="18"/>
      <c r="BE1401" s="18"/>
      <c r="BF1401" s="18"/>
      <c r="BG1401" s="18"/>
      <c r="BH1401" s="18"/>
      <c r="BI1401" s="18"/>
      <c r="BJ1401" s="18"/>
      <c r="BK1401" s="18"/>
      <c r="BL1401" s="18"/>
      <c r="BM1401" s="18"/>
      <c r="BN1401" s="18"/>
    </row>
    <row r="1402" spans="1:66">
      <c r="A1402" s="18"/>
      <c r="B1402" s="18"/>
      <c r="C1402" s="18"/>
      <c r="D1402" s="18"/>
      <c r="E1402" s="18"/>
      <c r="F1402" s="18"/>
      <c r="G1402" s="18"/>
      <c r="H1402" s="18"/>
      <c r="I1402" s="18"/>
      <c r="J1402" s="18"/>
      <c r="K1402" s="18"/>
      <c r="L1402" s="18"/>
      <c r="M1402" s="18"/>
      <c r="N1402" s="18"/>
      <c r="O1402" s="18"/>
      <c r="P1402" s="18"/>
      <c r="Q1402" s="18"/>
      <c r="R1402" s="18"/>
      <c r="S1402" s="18"/>
      <c r="T1402" s="18"/>
      <c r="U1402" s="18"/>
      <c r="V1402" s="18"/>
      <c r="W1402" s="18"/>
      <c r="X1402" s="18"/>
      <c r="Y1402" s="18"/>
      <c r="Z1402" s="18"/>
      <c r="AA1402" s="18"/>
      <c r="AB1402" s="18"/>
      <c r="AC1402" s="18"/>
      <c r="AD1402" s="18"/>
      <c r="AE1402" s="18"/>
      <c r="AF1402" s="18"/>
      <c r="AG1402" s="18"/>
      <c r="AH1402" s="18"/>
      <c r="AI1402" s="18"/>
      <c r="AJ1402" s="18"/>
      <c r="AK1402" s="18"/>
      <c r="AL1402" s="18"/>
      <c r="AM1402" s="18"/>
      <c r="AN1402" s="18"/>
      <c r="AO1402" s="18"/>
      <c r="AP1402" s="18"/>
      <c r="AQ1402" s="18"/>
      <c r="AR1402" s="18"/>
      <c r="AS1402" s="18"/>
      <c r="AT1402" s="18"/>
      <c r="AU1402" s="18"/>
      <c r="AV1402" s="18"/>
      <c r="AW1402" s="18"/>
      <c r="AX1402" s="18"/>
      <c r="AY1402" s="18"/>
      <c r="AZ1402" s="18"/>
      <c r="BA1402" s="18"/>
      <c r="BB1402" s="18"/>
      <c r="BC1402" s="18"/>
      <c r="BD1402" s="18"/>
      <c r="BE1402" s="18"/>
      <c r="BF1402" s="18"/>
      <c r="BG1402" s="18"/>
      <c r="BH1402" s="18"/>
      <c r="BI1402" s="18"/>
      <c r="BJ1402" s="18"/>
      <c r="BK1402" s="18"/>
      <c r="BL1402" s="18"/>
      <c r="BM1402" s="18"/>
      <c r="BN1402" s="18"/>
    </row>
    <row r="1403" spans="1:66">
      <c r="A1403" s="18"/>
      <c r="B1403" s="18"/>
      <c r="C1403" s="18"/>
      <c r="D1403" s="18"/>
      <c r="E1403" s="18"/>
      <c r="F1403" s="18"/>
      <c r="G1403" s="18"/>
      <c r="H1403" s="18"/>
      <c r="I1403" s="18"/>
      <c r="J1403" s="18"/>
      <c r="K1403" s="18"/>
      <c r="L1403" s="18"/>
      <c r="M1403" s="18"/>
      <c r="N1403" s="18"/>
      <c r="O1403" s="18"/>
      <c r="P1403" s="18"/>
      <c r="Q1403" s="18"/>
      <c r="R1403" s="18"/>
      <c r="S1403" s="18"/>
      <c r="T1403" s="18"/>
      <c r="U1403" s="18"/>
      <c r="V1403" s="18"/>
      <c r="W1403" s="18"/>
      <c r="X1403" s="18"/>
      <c r="Y1403" s="18"/>
      <c r="Z1403" s="18"/>
      <c r="AA1403" s="18"/>
      <c r="AB1403" s="18"/>
      <c r="AC1403" s="18"/>
      <c r="AD1403" s="18"/>
      <c r="AE1403" s="18"/>
      <c r="AF1403" s="18"/>
      <c r="AG1403" s="18"/>
      <c r="AH1403" s="18"/>
      <c r="AI1403" s="18"/>
      <c r="AJ1403" s="18"/>
      <c r="AK1403" s="18"/>
      <c r="AL1403" s="18"/>
      <c r="AM1403" s="18"/>
      <c r="AN1403" s="18"/>
      <c r="AO1403" s="18"/>
      <c r="AP1403" s="18"/>
      <c r="AQ1403" s="18"/>
      <c r="AR1403" s="18"/>
      <c r="AS1403" s="18"/>
      <c r="AT1403" s="18"/>
      <c r="AU1403" s="18"/>
      <c r="AV1403" s="18"/>
      <c r="AW1403" s="18"/>
      <c r="AX1403" s="18"/>
      <c r="AY1403" s="18"/>
      <c r="AZ1403" s="18"/>
      <c r="BA1403" s="18"/>
      <c r="BB1403" s="18"/>
      <c r="BC1403" s="18"/>
      <c r="BD1403" s="18"/>
      <c r="BE1403" s="18"/>
      <c r="BF1403" s="18"/>
      <c r="BG1403" s="18"/>
      <c r="BH1403" s="18"/>
      <c r="BI1403" s="18"/>
      <c r="BJ1403" s="18"/>
      <c r="BK1403" s="18"/>
      <c r="BL1403" s="18"/>
      <c r="BM1403" s="18"/>
      <c r="BN1403" s="18"/>
    </row>
    <row r="1404" spans="1:66">
      <c r="A1404" s="18"/>
      <c r="B1404" s="18"/>
      <c r="C1404" s="18"/>
      <c r="D1404" s="18"/>
      <c r="E1404" s="18"/>
      <c r="F1404" s="18"/>
      <c r="G1404" s="18"/>
      <c r="H1404" s="18"/>
      <c r="I1404" s="18"/>
      <c r="J1404" s="18"/>
      <c r="K1404" s="18"/>
      <c r="L1404" s="18"/>
      <c r="M1404" s="18"/>
      <c r="N1404" s="18"/>
      <c r="O1404" s="18"/>
      <c r="P1404" s="18"/>
      <c r="Q1404" s="18"/>
      <c r="R1404" s="18"/>
      <c r="S1404" s="18"/>
      <c r="T1404" s="18"/>
      <c r="U1404" s="18"/>
      <c r="V1404" s="18"/>
      <c r="W1404" s="18"/>
      <c r="X1404" s="18"/>
      <c r="Y1404" s="18"/>
      <c r="Z1404" s="18"/>
      <c r="AA1404" s="18"/>
      <c r="AB1404" s="18"/>
      <c r="AC1404" s="18"/>
      <c r="AD1404" s="18"/>
      <c r="AE1404" s="18"/>
      <c r="AF1404" s="18"/>
      <c r="AG1404" s="18"/>
      <c r="AH1404" s="18"/>
      <c r="AI1404" s="18"/>
      <c r="AJ1404" s="18"/>
      <c r="AK1404" s="18"/>
      <c r="AL1404" s="18"/>
      <c r="AM1404" s="18"/>
      <c r="AN1404" s="18"/>
      <c r="AO1404" s="18"/>
      <c r="AP1404" s="18"/>
      <c r="AQ1404" s="18"/>
      <c r="AR1404" s="18"/>
      <c r="AS1404" s="18"/>
      <c r="AT1404" s="18"/>
      <c r="AU1404" s="18"/>
      <c r="AV1404" s="18"/>
      <c r="AW1404" s="18"/>
      <c r="AX1404" s="18"/>
      <c r="AY1404" s="18"/>
      <c r="AZ1404" s="18"/>
      <c r="BA1404" s="18"/>
      <c r="BB1404" s="18"/>
      <c r="BC1404" s="18"/>
      <c r="BD1404" s="18"/>
      <c r="BE1404" s="18"/>
      <c r="BF1404" s="18"/>
      <c r="BG1404" s="18"/>
      <c r="BH1404" s="18"/>
      <c r="BI1404" s="18"/>
      <c r="BJ1404" s="18"/>
      <c r="BK1404" s="18"/>
      <c r="BL1404" s="18"/>
      <c r="BM1404" s="18"/>
      <c r="BN1404" s="18"/>
    </row>
    <row r="1405" spans="1:66">
      <c r="A1405" s="18"/>
      <c r="B1405" s="18"/>
      <c r="C1405" s="18"/>
      <c r="D1405" s="18"/>
      <c r="E1405" s="18"/>
      <c r="F1405" s="18"/>
      <c r="G1405" s="18"/>
      <c r="H1405" s="18"/>
      <c r="I1405" s="18"/>
      <c r="J1405" s="18"/>
      <c r="K1405" s="18"/>
      <c r="L1405" s="18"/>
      <c r="M1405" s="18"/>
      <c r="N1405" s="18"/>
      <c r="O1405" s="18"/>
      <c r="P1405" s="18"/>
      <c r="Q1405" s="18"/>
      <c r="R1405" s="18"/>
      <c r="S1405" s="18"/>
      <c r="T1405" s="18"/>
      <c r="U1405" s="18"/>
      <c r="V1405" s="18"/>
      <c r="W1405" s="18"/>
      <c r="X1405" s="18"/>
      <c r="Y1405" s="18"/>
      <c r="Z1405" s="18"/>
      <c r="AA1405" s="18"/>
      <c r="AB1405" s="18"/>
      <c r="AC1405" s="18"/>
      <c r="AD1405" s="18"/>
      <c r="AE1405" s="18"/>
      <c r="AF1405" s="18"/>
      <c r="AG1405" s="18"/>
      <c r="AH1405" s="18"/>
      <c r="AI1405" s="18"/>
      <c r="AJ1405" s="18"/>
      <c r="AK1405" s="18"/>
      <c r="AL1405" s="18"/>
      <c r="AM1405" s="18"/>
      <c r="AN1405" s="18"/>
      <c r="AO1405" s="18"/>
      <c r="AP1405" s="18"/>
      <c r="AQ1405" s="18"/>
      <c r="AR1405" s="18"/>
      <c r="AS1405" s="18"/>
      <c r="AT1405" s="18"/>
      <c r="AU1405" s="18"/>
      <c r="AV1405" s="18"/>
      <c r="AW1405" s="18"/>
      <c r="AX1405" s="18"/>
      <c r="AY1405" s="18"/>
      <c r="AZ1405" s="18"/>
      <c r="BA1405" s="18"/>
      <c r="BB1405" s="18"/>
      <c r="BC1405" s="18"/>
      <c r="BD1405" s="18"/>
      <c r="BE1405" s="18"/>
      <c r="BF1405" s="18"/>
      <c r="BG1405" s="18"/>
      <c r="BH1405" s="18"/>
      <c r="BI1405" s="18"/>
      <c r="BJ1405" s="18"/>
      <c r="BK1405" s="18"/>
      <c r="BL1405" s="18"/>
      <c r="BM1405" s="18"/>
      <c r="BN1405" s="18"/>
    </row>
    <row r="1406" spans="1:66">
      <c r="A1406" s="18"/>
      <c r="B1406" s="18"/>
      <c r="C1406" s="18"/>
      <c r="D1406" s="18"/>
      <c r="E1406" s="18"/>
      <c r="F1406" s="18"/>
      <c r="G1406" s="18"/>
      <c r="H1406" s="18"/>
      <c r="I1406" s="18"/>
      <c r="J1406" s="18"/>
      <c r="K1406" s="18"/>
      <c r="L1406" s="18"/>
      <c r="M1406" s="18"/>
      <c r="N1406" s="18"/>
      <c r="O1406" s="18"/>
      <c r="P1406" s="18"/>
      <c r="Q1406" s="18"/>
      <c r="R1406" s="18"/>
      <c r="S1406" s="18"/>
      <c r="T1406" s="18"/>
      <c r="U1406" s="18"/>
      <c r="V1406" s="18"/>
      <c r="W1406" s="18"/>
      <c r="X1406" s="18"/>
      <c r="Y1406" s="18"/>
      <c r="Z1406" s="18"/>
      <c r="AA1406" s="18"/>
      <c r="AB1406" s="18"/>
      <c r="AC1406" s="18"/>
      <c r="AD1406" s="18"/>
      <c r="AE1406" s="18"/>
      <c r="AF1406" s="18"/>
      <c r="AG1406" s="18"/>
      <c r="AH1406" s="18"/>
      <c r="AI1406" s="18"/>
      <c r="AJ1406" s="18"/>
      <c r="AK1406" s="18"/>
      <c r="AL1406" s="18"/>
      <c r="AM1406" s="18"/>
      <c r="AN1406" s="18"/>
      <c r="AO1406" s="18"/>
      <c r="AP1406" s="18"/>
      <c r="AQ1406" s="18"/>
      <c r="AR1406" s="18"/>
      <c r="AS1406" s="18"/>
      <c r="AT1406" s="18"/>
      <c r="AU1406" s="18"/>
      <c r="AV1406" s="18"/>
      <c r="AW1406" s="18"/>
      <c r="AX1406" s="18"/>
      <c r="AY1406" s="18"/>
      <c r="AZ1406" s="18"/>
      <c r="BA1406" s="18"/>
      <c r="BB1406" s="18"/>
      <c r="BC1406" s="18"/>
      <c r="BD1406" s="18"/>
      <c r="BE1406" s="18"/>
      <c r="BF1406" s="18"/>
      <c r="BG1406" s="18"/>
      <c r="BH1406" s="18"/>
      <c r="BI1406" s="18"/>
      <c r="BJ1406" s="18"/>
      <c r="BK1406" s="18"/>
      <c r="BL1406" s="18"/>
      <c r="BM1406" s="18"/>
      <c r="BN1406" s="18"/>
    </row>
    <row r="1407" spans="1:66">
      <c r="A1407" s="18"/>
      <c r="B1407" s="18"/>
      <c r="C1407" s="18"/>
      <c r="D1407" s="18"/>
      <c r="E1407" s="18"/>
      <c r="F1407" s="18"/>
      <c r="G1407" s="18"/>
      <c r="H1407" s="18"/>
      <c r="I1407" s="18"/>
      <c r="J1407" s="18"/>
      <c r="K1407" s="18"/>
      <c r="L1407" s="18"/>
      <c r="M1407" s="18"/>
      <c r="N1407" s="18"/>
      <c r="O1407" s="18"/>
      <c r="P1407" s="18"/>
      <c r="Q1407" s="18"/>
      <c r="R1407" s="18"/>
      <c r="S1407" s="18"/>
      <c r="T1407" s="18"/>
      <c r="U1407" s="18"/>
      <c r="V1407" s="18"/>
      <c r="W1407" s="18"/>
      <c r="X1407" s="18"/>
      <c r="Y1407" s="18"/>
      <c r="Z1407" s="18"/>
      <c r="AA1407" s="18"/>
      <c r="AB1407" s="18"/>
      <c r="AC1407" s="18"/>
      <c r="AD1407" s="18"/>
      <c r="AE1407" s="18"/>
      <c r="AF1407" s="18"/>
      <c r="AG1407" s="18"/>
      <c r="AH1407" s="18"/>
      <c r="AI1407" s="18"/>
      <c r="AJ1407" s="18"/>
      <c r="AK1407" s="18"/>
      <c r="AL1407" s="18"/>
      <c r="AM1407" s="18"/>
      <c r="AN1407" s="18"/>
      <c r="AO1407" s="18"/>
      <c r="AP1407" s="18"/>
      <c r="AQ1407" s="18"/>
      <c r="AR1407" s="18"/>
      <c r="AS1407" s="18"/>
      <c r="AT1407" s="18"/>
      <c r="AU1407" s="18"/>
      <c r="AV1407" s="18"/>
      <c r="AW1407" s="18"/>
      <c r="AX1407" s="18"/>
      <c r="AY1407" s="18"/>
      <c r="AZ1407" s="18"/>
      <c r="BA1407" s="18"/>
      <c r="BB1407" s="18"/>
      <c r="BC1407" s="18"/>
      <c r="BD1407" s="18"/>
      <c r="BE1407" s="18"/>
      <c r="BF1407" s="18"/>
      <c r="BG1407" s="18"/>
      <c r="BH1407" s="18"/>
      <c r="BI1407" s="18"/>
      <c r="BJ1407" s="18"/>
      <c r="BK1407" s="18"/>
      <c r="BL1407" s="18"/>
      <c r="BM1407" s="18"/>
      <c r="BN1407" s="18"/>
    </row>
    <row r="1408" spans="1:66">
      <c r="A1408" s="18"/>
      <c r="B1408" s="18"/>
      <c r="C1408" s="18"/>
      <c r="D1408" s="18"/>
      <c r="E1408" s="18"/>
      <c r="F1408" s="18"/>
      <c r="G1408" s="18"/>
      <c r="H1408" s="18"/>
      <c r="I1408" s="18"/>
      <c r="J1408" s="18"/>
      <c r="K1408" s="18"/>
      <c r="L1408" s="18"/>
      <c r="M1408" s="18"/>
      <c r="N1408" s="18"/>
      <c r="O1408" s="18"/>
      <c r="P1408" s="18"/>
      <c r="Q1408" s="18"/>
      <c r="R1408" s="18"/>
      <c r="S1408" s="18"/>
      <c r="T1408" s="18"/>
      <c r="U1408" s="18"/>
      <c r="V1408" s="18"/>
      <c r="W1408" s="18"/>
      <c r="X1408" s="18"/>
      <c r="Y1408" s="18"/>
      <c r="Z1408" s="18"/>
      <c r="AA1408" s="18"/>
      <c r="AB1408" s="18"/>
      <c r="AC1408" s="18"/>
      <c r="AD1408" s="18"/>
      <c r="AE1408" s="18"/>
      <c r="AF1408" s="18"/>
      <c r="AG1408" s="18"/>
      <c r="AH1408" s="18"/>
      <c r="AI1408" s="18"/>
      <c r="AJ1408" s="18"/>
      <c r="AK1408" s="18"/>
      <c r="AL1408" s="18"/>
      <c r="AM1408" s="18"/>
      <c r="AN1408" s="18"/>
      <c r="AO1408" s="18"/>
      <c r="AP1408" s="18"/>
      <c r="AQ1408" s="18"/>
      <c r="AR1408" s="18"/>
      <c r="AS1408" s="18"/>
      <c r="AT1408" s="18"/>
      <c r="AU1408" s="18"/>
      <c r="AV1408" s="18"/>
      <c r="AW1408" s="18"/>
      <c r="AX1408" s="18"/>
      <c r="AY1408" s="18"/>
      <c r="AZ1408" s="18"/>
      <c r="BA1408" s="18"/>
      <c r="BB1408" s="18"/>
      <c r="BC1408" s="18"/>
      <c r="BD1408" s="18"/>
      <c r="BE1408" s="18"/>
      <c r="BF1408" s="18"/>
      <c r="BG1408" s="18"/>
      <c r="BH1408" s="18"/>
      <c r="BI1408" s="18"/>
      <c r="BJ1408" s="18"/>
      <c r="BK1408" s="18"/>
      <c r="BL1408" s="18"/>
      <c r="BM1408" s="18"/>
      <c r="BN1408" s="18"/>
    </row>
    <row r="1409" spans="1:66">
      <c r="A1409" s="18"/>
      <c r="B1409" s="18"/>
      <c r="C1409" s="18"/>
      <c r="D1409" s="18"/>
      <c r="E1409" s="18"/>
      <c r="F1409" s="18"/>
      <c r="G1409" s="18"/>
      <c r="H1409" s="18"/>
      <c r="I1409" s="18"/>
      <c r="J1409" s="18"/>
      <c r="K1409" s="18"/>
      <c r="L1409" s="18"/>
      <c r="M1409" s="18"/>
      <c r="N1409" s="18"/>
      <c r="O1409" s="18"/>
      <c r="P1409" s="18"/>
      <c r="Q1409" s="18"/>
      <c r="R1409" s="18"/>
      <c r="S1409" s="18"/>
      <c r="T1409" s="18"/>
      <c r="U1409" s="18"/>
      <c r="V1409" s="18"/>
      <c r="W1409" s="18"/>
      <c r="X1409" s="18"/>
      <c r="Y1409" s="18"/>
      <c r="Z1409" s="18"/>
      <c r="AA1409" s="18"/>
      <c r="AB1409" s="18"/>
      <c r="AC1409" s="18"/>
      <c r="AD1409" s="18"/>
      <c r="AE1409" s="18"/>
      <c r="AF1409" s="18"/>
      <c r="AG1409" s="18"/>
      <c r="AH1409" s="18"/>
      <c r="AI1409" s="18"/>
      <c r="AJ1409" s="18"/>
      <c r="AK1409" s="18"/>
      <c r="AL1409" s="18"/>
      <c r="AM1409" s="18"/>
      <c r="AN1409" s="18"/>
      <c r="AO1409" s="18"/>
      <c r="AP1409" s="18"/>
      <c r="AQ1409" s="18"/>
      <c r="AR1409" s="18"/>
      <c r="AS1409" s="18"/>
      <c r="AT1409" s="18"/>
      <c r="AU1409" s="18"/>
      <c r="AV1409" s="18"/>
      <c r="AW1409" s="18"/>
      <c r="AX1409" s="18"/>
      <c r="AY1409" s="18"/>
      <c r="AZ1409" s="18"/>
      <c r="BA1409" s="18"/>
      <c r="BB1409" s="18"/>
      <c r="BC1409" s="18"/>
      <c r="BD1409" s="18"/>
      <c r="BE1409" s="18"/>
      <c r="BF1409" s="18"/>
      <c r="BG1409" s="18"/>
      <c r="BH1409" s="18"/>
      <c r="BI1409" s="18"/>
      <c r="BJ1409" s="18"/>
      <c r="BK1409" s="18"/>
      <c r="BL1409" s="18"/>
      <c r="BM1409" s="18"/>
      <c r="BN1409" s="18"/>
    </row>
    <row r="1410" spans="1:66">
      <c r="A1410" s="18"/>
      <c r="B1410" s="18"/>
      <c r="C1410" s="18"/>
      <c r="D1410" s="18"/>
      <c r="E1410" s="18"/>
      <c r="F1410" s="18"/>
      <c r="G1410" s="18"/>
      <c r="H1410" s="18"/>
      <c r="I1410" s="18"/>
      <c r="J1410" s="18"/>
      <c r="K1410" s="18"/>
      <c r="L1410" s="18"/>
      <c r="M1410" s="18"/>
      <c r="N1410" s="18"/>
      <c r="O1410" s="18"/>
      <c r="P1410" s="18"/>
      <c r="Q1410" s="18"/>
      <c r="R1410" s="18"/>
      <c r="S1410" s="18"/>
      <c r="T1410" s="18"/>
      <c r="U1410" s="18"/>
      <c r="V1410" s="18"/>
      <c r="W1410" s="18"/>
      <c r="X1410" s="18"/>
      <c r="Y1410" s="18"/>
      <c r="Z1410" s="18"/>
      <c r="AA1410" s="18"/>
      <c r="AB1410" s="18"/>
      <c r="AC1410" s="18"/>
      <c r="AD1410" s="18"/>
      <c r="AE1410" s="18"/>
      <c r="AF1410" s="18"/>
      <c r="AG1410" s="18"/>
      <c r="AH1410" s="18"/>
      <c r="AI1410" s="18"/>
      <c r="AJ1410" s="18"/>
      <c r="AK1410" s="18"/>
      <c r="AL1410" s="18"/>
      <c r="AM1410" s="18"/>
      <c r="AN1410" s="18"/>
      <c r="AO1410" s="18"/>
      <c r="AP1410" s="18"/>
      <c r="AQ1410" s="18"/>
      <c r="AR1410" s="18"/>
      <c r="AS1410" s="18"/>
      <c r="AT1410" s="18"/>
      <c r="AU1410" s="18"/>
      <c r="AV1410" s="18"/>
      <c r="AW1410" s="18"/>
      <c r="AX1410" s="18"/>
      <c r="AY1410" s="18"/>
      <c r="AZ1410" s="18"/>
      <c r="BA1410" s="18"/>
      <c r="BB1410" s="18"/>
      <c r="BC1410" s="18"/>
      <c r="BD1410" s="18"/>
      <c r="BE1410" s="18"/>
      <c r="BF1410" s="18"/>
      <c r="BG1410" s="18"/>
      <c r="BH1410" s="18"/>
      <c r="BI1410" s="18"/>
      <c r="BJ1410" s="18"/>
      <c r="BK1410" s="18"/>
      <c r="BL1410" s="18"/>
      <c r="BM1410" s="18"/>
      <c r="BN1410" s="18"/>
    </row>
    <row r="1411" spans="1:66">
      <c r="A1411" s="18"/>
      <c r="B1411" s="18"/>
      <c r="C1411" s="18"/>
      <c r="D1411" s="18"/>
      <c r="E1411" s="18"/>
      <c r="F1411" s="18"/>
      <c r="G1411" s="18"/>
      <c r="H1411" s="18"/>
      <c r="I1411" s="18"/>
      <c r="J1411" s="18"/>
      <c r="K1411" s="18"/>
      <c r="L1411" s="18"/>
      <c r="M1411" s="18"/>
      <c r="N1411" s="18"/>
      <c r="O1411" s="18"/>
      <c r="P1411" s="18"/>
      <c r="Q1411" s="18"/>
      <c r="R1411" s="18"/>
      <c r="S1411" s="18"/>
      <c r="T1411" s="18"/>
      <c r="U1411" s="18"/>
      <c r="V1411" s="18"/>
      <c r="W1411" s="18"/>
      <c r="X1411" s="18"/>
      <c r="Y1411" s="18"/>
      <c r="Z1411" s="18"/>
      <c r="AA1411" s="18"/>
      <c r="AB1411" s="18"/>
      <c r="AC1411" s="18"/>
      <c r="AD1411" s="18"/>
      <c r="AE1411" s="18"/>
      <c r="AF1411" s="18"/>
      <c r="AG1411" s="18"/>
      <c r="AH1411" s="18"/>
      <c r="AI1411" s="18"/>
      <c r="AJ1411" s="18"/>
      <c r="AK1411" s="18"/>
      <c r="AL1411" s="18"/>
      <c r="AM1411" s="18"/>
      <c r="AN1411" s="18"/>
      <c r="AO1411" s="18"/>
      <c r="AP1411" s="18"/>
      <c r="AQ1411" s="18"/>
      <c r="AR1411" s="18"/>
      <c r="AS1411" s="18"/>
      <c r="AT1411" s="18"/>
      <c r="AU1411" s="18"/>
      <c r="AV1411" s="18"/>
      <c r="AW1411" s="18"/>
      <c r="AX1411" s="18"/>
      <c r="AY1411" s="18"/>
      <c r="AZ1411" s="18"/>
      <c r="BA1411" s="18"/>
      <c r="BB1411" s="18"/>
      <c r="BC1411" s="18"/>
      <c r="BD1411" s="18"/>
      <c r="BE1411" s="18"/>
      <c r="BF1411" s="18"/>
      <c r="BG1411" s="18"/>
      <c r="BH1411" s="18"/>
      <c r="BI1411" s="18"/>
      <c r="BJ1411" s="18"/>
      <c r="BK1411" s="18"/>
      <c r="BL1411" s="18"/>
      <c r="BM1411" s="18"/>
      <c r="BN1411" s="18"/>
    </row>
    <row r="1412" spans="1:66">
      <c r="A1412" s="18"/>
      <c r="B1412" s="18"/>
      <c r="C1412" s="18"/>
      <c r="D1412" s="18"/>
      <c r="E1412" s="18"/>
      <c r="F1412" s="18"/>
      <c r="G1412" s="18"/>
      <c r="H1412" s="18"/>
      <c r="I1412" s="18"/>
      <c r="J1412" s="18"/>
      <c r="K1412" s="18"/>
      <c r="L1412" s="18"/>
      <c r="M1412" s="18"/>
      <c r="N1412" s="18"/>
      <c r="O1412" s="18"/>
      <c r="P1412" s="18"/>
      <c r="Q1412" s="18"/>
      <c r="R1412" s="18"/>
      <c r="S1412" s="18"/>
      <c r="T1412" s="18"/>
      <c r="U1412" s="18"/>
      <c r="V1412" s="18"/>
      <c r="W1412" s="18"/>
      <c r="X1412" s="18"/>
      <c r="Y1412" s="18"/>
      <c r="Z1412" s="18"/>
      <c r="AA1412" s="18"/>
      <c r="AB1412" s="18"/>
      <c r="AC1412" s="18"/>
      <c r="AD1412" s="18"/>
      <c r="AE1412" s="18"/>
      <c r="AF1412" s="18"/>
      <c r="AG1412" s="18"/>
      <c r="AH1412" s="18"/>
      <c r="AI1412" s="18"/>
      <c r="AJ1412" s="18"/>
      <c r="AK1412" s="18"/>
      <c r="AL1412" s="18"/>
      <c r="AM1412" s="18"/>
      <c r="AN1412" s="18"/>
      <c r="AO1412" s="18"/>
      <c r="AP1412" s="18"/>
      <c r="AQ1412" s="18"/>
      <c r="AR1412" s="18"/>
      <c r="AS1412" s="18"/>
      <c r="AT1412" s="18"/>
      <c r="AU1412" s="18"/>
      <c r="AV1412" s="18"/>
      <c r="AW1412" s="18"/>
      <c r="AX1412" s="18"/>
      <c r="AY1412" s="18"/>
      <c r="AZ1412" s="18"/>
      <c r="BA1412" s="18"/>
      <c r="BB1412" s="18"/>
      <c r="BC1412" s="18"/>
      <c r="BD1412" s="18"/>
      <c r="BE1412" s="18"/>
      <c r="BF1412" s="18"/>
      <c r="BG1412" s="18"/>
      <c r="BH1412" s="18"/>
      <c r="BI1412" s="18"/>
      <c r="BJ1412" s="18"/>
      <c r="BK1412" s="18"/>
      <c r="BL1412" s="18"/>
      <c r="BM1412" s="18"/>
      <c r="BN1412" s="18"/>
    </row>
    <row r="1413" spans="1:66">
      <c r="A1413" s="18"/>
      <c r="B1413" s="18"/>
      <c r="C1413" s="18"/>
      <c r="D1413" s="18"/>
      <c r="E1413" s="18"/>
      <c r="F1413" s="18"/>
      <c r="G1413" s="18"/>
      <c r="H1413" s="18"/>
      <c r="I1413" s="18"/>
      <c r="J1413" s="18"/>
      <c r="K1413" s="18"/>
      <c r="L1413" s="18"/>
      <c r="M1413" s="18"/>
      <c r="N1413" s="18"/>
      <c r="O1413" s="18"/>
      <c r="P1413" s="18"/>
      <c r="Q1413" s="18"/>
      <c r="R1413" s="18"/>
      <c r="S1413" s="18"/>
      <c r="T1413" s="18"/>
      <c r="U1413" s="18"/>
      <c r="V1413" s="18"/>
      <c r="W1413" s="18"/>
      <c r="X1413" s="18"/>
      <c r="Y1413" s="18"/>
      <c r="Z1413" s="18"/>
      <c r="AA1413" s="18"/>
      <c r="AB1413" s="18"/>
      <c r="AC1413" s="18"/>
      <c r="AD1413" s="18"/>
      <c r="AE1413" s="18"/>
      <c r="AF1413" s="18"/>
      <c r="AG1413" s="18"/>
      <c r="AH1413" s="18"/>
      <c r="AI1413" s="18"/>
      <c r="AJ1413" s="18"/>
      <c r="AK1413" s="18"/>
      <c r="AL1413" s="18"/>
      <c r="AM1413" s="18"/>
      <c r="AN1413" s="18"/>
      <c r="AO1413" s="18"/>
      <c r="AP1413" s="18"/>
      <c r="AQ1413" s="18"/>
      <c r="AR1413" s="18"/>
      <c r="AS1413" s="18"/>
      <c r="AT1413" s="18"/>
      <c r="AU1413" s="18"/>
      <c r="AV1413" s="18"/>
      <c r="AW1413" s="18"/>
      <c r="AX1413" s="18"/>
      <c r="AY1413" s="18"/>
      <c r="AZ1413" s="18"/>
      <c r="BA1413" s="18"/>
      <c r="BB1413" s="18"/>
      <c r="BC1413" s="18"/>
      <c r="BD1413" s="18"/>
      <c r="BE1413" s="18"/>
      <c r="BF1413" s="18"/>
      <c r="BG1413" s="18"/>
      <c r="BH1413" s="18"/>
      <c r="BI1413" s="18"/>
      <c r="BJ1413" s="18"/>
      <c r="BK1413" s="18"/>
      <c r="BL1413" s="18"/>
      <c r="BM1413" s="18"/>
      <c r="BN1413" s="18"/>
    </row>
    <row r="1414" spans="1:66">
      <c r="A1414" s="18"/>
      <c r="B1414" s="18"/>
      <c r="C1414" s="18"/>
      <c r="D1414" s="18"/>
      <c r="E1414" s="18"/>
      <c r="F1414" s="18"/>
      <c r="G1414" s="18"/>
      <c r="H1414" s="18"/>
      <c r="I1414" s="18"/>
      <c r="J1414" s="18"/>
      <c r="K1414" s="18"/>
      <c r="L1414" s="18"/>
      <c r="M1414" s="18"/>
      <c r="N1414" s="18"/>
      <c r="O1414" s="18"/>
      <c r="P1414" s="18"/>
      <c r="Q1414" s="18"/>
      <c r="R1414" s="18"/>
      <c r="S1414" s="18"/>
      <c r="T1414" s="18"/>
      <c r="U1414" s="18"/>
      <c r="V1414" s="18"/>
      <c r="W1414" s="18"/>
      <c r="X1414" s="18"/>
      <c r="Y1414" s="18"/>
      <c r="Z1414" s="18"/>
      <c r="AA1414" s="18"/>
      <c r="AB1414" s="18"/>
      <c r="AC1414" s="18"/>
      <c r="AD1414" s="18"/>
      <c r="AE1414" s="18"/>
      <c r="AF1414" s="18"/>
      <c r="AG1414" s="18"/>
      <c r="AH1414" s="18"/>
      <c r="AI1414" s="18"/>
      <c r="AJ1414" s="18"/>
      <c r="AK1414" s="18"/>
      <c r="AL1414" s="18"/>
      <c r="AM1414" s="18"/>
      <c r="AN1414" s="18"/>
      <c r="AO1414" s="18"/>
      <c r="AP1414" s="18"/>
      <c r="AQ1414" s="18"/>
      <c r="AR1414" s="18"/>
      <c r="AS1414" s="18"/>
      <c r="AT1414" s="18"/>
      <c r="AU1414" s="18"/>
      <c r="AV1414" s="18"/>
      <c r="AW1414" s="18"/>
      <c r="AX1414" s="18"/>
      <c r="AY1414" s="18"/>
      <c r="AZ1414" s="18"/>
      <c r="BA1414" s="18"/>
      <c r="BB1414" s="18"/>
      <c r="BC1414" s="18"/>
      <c r="BD1414" s="18"/>
      <c r="BE1414" s="18"/>
      <c r="BF1414" s="18"/>
      <c r="BG1414" s="18"/>
      <c r="BH1414" s="18"/>
      <c r="BI1414" s="18"/>
      <c r="BJ1414" s="18"/>
      <c r="BK1414" s="18"/>
      <c r="BL1414" s="18"/>
      <c r="BM1414" s="18"/>
      <c r="BN1414" s="18"/>
    </row>
    <row r="1415" spans="1:66">
      <c r="A1415" s="18"/>
      <c r="B1415" s="18"/>
      <c r="C1415" s="18"/>
      <c r="D1415" s="18"/>
      <c r="E1415" s="18"/>
      <c r="F1415" s="18"/>
      <c r="G1415" s="18"/>
      <c r="H1415" s="18"/>
      <c r="I1415" s="18"/>
      <c r="J1415" s="18"/>
      <c r="K1415" s="18"/>
      <c r="L1415" s="18"/>
      <c r="M1415" s="18"/>
      <c r="N1415" s="18"/>
      <c r="O1415" s="18"/>
      <c r="P1415" s="18"/>
      <c r="Q1415" s="18"/>
      <c r="R1415" s="18"/>
      <c r="S1415" s="18"/>
      <c r="T1415" s="18"/>
      <c r="U1415" s="18"/>
      <c r="V1415" s="18"/>
      <c r="W1415" s="18"/>
      <c r="X1415" s="18"/>
      <c r="Y1415" s="18"/>
      <c r="Z1415" s="18"/>
      <c r="AA1415" s="18"/>
      <c r="AB1415" s="18"/>
      <c r="AC1415" s="18"/>
      <c r="AD1415" s="18"/>
      <c r="AE1415" s="18"/>
      <c r="AF1415" s="18"/>
      <c r="AG1415" s="18"/>
      <c r="AH1415" s="18"/>
      <c r="AI1415" s="18"/>
      <c r="AJ1415" s="18"/>
      <c r="AK1415" s="18"/>
      <c r="AL1415" s="18"/>
      <c r="AM1415" s="18"/>
      <c r="AN1415" s="18"/>
      <c r="AO1415" s="18"/>
      <c r="AP1415" s="18"/>
      <c r="AQ1415" s="18"/>
      <c r="AR1415" s="18"/>
      <c r="AS1415" s="18"/>
      <c r="AT1415" s="18"/>
      <c r="AU1415" s="18"/>
      <c r="AV1415" s="18"/>
      <c r="AW1415" s="18"/>
      <c r="AX1415" s="18"/>
      <c r="AY1415" s="18"/>
      <c r="AZ1415" s="18"/>
      <c r="BA1415" s="18"/>
      <c r="BB1415" s="18"/>
      <c r="BC1415" s="18"/>
      <c r="BD1415" s="18"/>
      <c r="BE1415" s="18"/>
      <c r="BF1415" s="18"/>
      <c r="BG1415" s="18"/>
      <c r="BH1415" s="18"/>
      <c r="BI1415" s="18"/>
      <c r="BJ1415" s="18"/>
      <c r="BK1415" s="18"/>
      <c r="BL1415" s="18"/>
      <c r="BM1415" s="18"/>
      <c r="BN1415" s="18"/>
    </row>
    <row r="1416" spans="1:66">
      <c r="A1416" s="18"/>
      <c r="B1416" s="18"/>
      <c r="C1416" s="18"/>
      <c r="D1416" s="18"/>
      <c r="E1416" s="18"/>
      <c r="F1416" s="18"/>
      <c r="G1416" s="18"/>
      <c r="H1416" s="18"/>
      <c r="I1416" s="18"/>
      <c r="J1416" s="18"/>
      <c r="K1416" s="18"/>
      <c r="L1416" s="18"/>
      <c r="M1416" s="18"/>
      <c r="N1416" s="18"/>
      <c r="O1416" s="18"/>
      <c r="P1416" s="18"/>
      <c r="Q1416" s="18"/>
      <c r="R1416" s="18"/>
      <c r="S1416" s="18"/>
      <c r="T1416" s="18"/>
      <c r="U1416" s="18"/>
      <c r="V1416" s="18"/>
      <c r="W1416" s="18"/>
      <c r="X1416" s="18"/>
      <c r="Y1416" s="18"/>
      <c r="Z1416" s="18"/>
      <c r="AA1416" s="18"/>
      <c r="AB1416" s="18"/>
      <c r="AC1416" s="18"/>
      <c r="AD1416" s="18"/>
      <c r="AE1416" s="18"/>
      <c r="AF1416" s="18"/>
      <c r="AG1416" s="18"/>
      <c r="AH1416" s="18"/>
      <c r="AI1416" s="18"/>
      <c r="AJ1416" s="18"/>
      <c r="AK1416" s="18"/>
      <c r="AL1416" s="18"/>
      <c r="AM1416" s="18"/>
      <c r="AN1416" s="18"/>
      <c r="AO1416" s="18"/>
      <c r="AP1416" s="18"/>
      <c r="AQ1416" s="18"/>
      <c r="AR1416" s="18"/>
      <c r="AS1416" s="18"/>
      <c r="AT1416" s="18"/>
      <c r="AU1416" s="18"/>
      <c r="AV1416" s="18"/>
      <c r="AW1416" s="18"/>
      <c r="AX1416" s="18"/>
      <c r="AY1416" s="18"/>
      <c r="AZ1416" s="18"/>
      <c r="BA1416" s="18"/>
      <c r="BB1416" s="18"/>
      <c r="BC1416" s="18"/>
      <c r="BD1416" s="18"/>
      <c r="BE1416" s="18"/>
      <c r="BF1416" s="18"/>
      <c r="BG1416" s="18"/>
      <c r="BH1416" s="18"/>
      <c r="BI1416" s="18"/>
      <c r="BJ1416" s="18"/>
      <c r="BK1416" s="18"/>
      <c r="BL1416" s="18"/>
      <c r="BM1416" s="18"/>
      <c r="BN1416" s="18"/>
    </row>
    <row r="1417" spans="1:66">
      <c r="A1417" s="18"/>
      <c r="B1417" s="18"/>
      <c r="C1417" s="18"/>
      <c r="D1417" s="18"/>
      <c r="E1417" s="18"/>
      <c r="F1417" s="18"/>
      <c r="G1417" s="18"/>
      <c r="H1417" s="18"/>
      <c r="I1417" s="18"/>
      <c r="J1417" s="18"/>
      <c r="K1417" s="18"/>
      <c r="L1417" s="18"/>
      <c r="M1417" s="18"/>
      <c r="N1417" s="18"/>
      <c r="O1417" s="18"/>
      <c r="P1417" s="18"/>
      <c r="Q1417" s="18"/>
      <c r="R1417" s="18"/>
      <c r="S1417" s="18"/>
      <c r="T1417" s="18"/>
      <c r="U1417" s="18"/>
      <c r="V1417" s="18"/>
      <c r="W1417" s="18"/>
      <c r="X1417" s="18"/>
      <c r="Y1417" s="18"/>
      <c r="Z1417" s="18"/>
      <c r="AA1417" s="18"/>
      <c r="AB1417" s="18"/>
      <c r="AC1417" s="18"/>
      <c r="AD1417" s="18"/>
      <c r="AE1417" s="18"/>
      <c r="AF1417" s="18"/>
      <c r="AG1417" s="18"/>
      <c r="AH1417" s="18"/>
      <c r="AI1417" s="18"/>
      <c r="AJ1417" s="18"/>
      <c r="AK1417" s="18"/>
      <c r="AL1417" s="18"/>
      <c r="AM1417" s="18"/>
      <c r="AN1417" s="18"/>
      <c r="AO1417" s="18"/>
      <c r="AP1417" s="18"/>
      <c r="AQ1417" s="18"/>
      <c r="AR1417" s="18"/>
      <c r="AS1417" s="18"/>
      <c r="AT1417" s="18"/>
      <c r="AU1417" s="18"/>
      <c r="AV1417" s="18"/>
      <c r="AW1417" s="18"/>
      <c r="AX1417" s="18"/>
      <c r="AY1417" s="18"/>
      <c r="AZ1417" s="18"/>
      <c r="BA1417" s="18"/>
      <c r="BB1417" s="18"/>
      <c r="BC1417" s="18"/>
      <c r="BD1417" s="18"/>
      <c r="BE1417" s="18"/>
      <c r="BF1417" s="18"/>
      <c r="BG1417" s="18"/>
      <c r="BH1417" s="18"/>
      <c r="BI1417" s="18"/>
      <c r="BJ1417" s="18"/>
      <c r="BK1417" s="18"/>
      <c r="BL1417" s="18"/>
      <c r="BM1417" s="18"/>
      <c r="BN1417" s="18"/>
    </row>
    <row r="1418" spans="1:66">
      <c r="A1418" s="18"/>
      <c r="B1418" s="18"/>
      <c r="C1418" s="18"/>
      <c r="D1418" s="18"/>
      <c r="E1418" s="18"/>
      <c r="F1418" s="18"/>
      <c r="G1418" s="18"/>
      <c r="H1418" s="18"/>
      <c r="I1418" s="18"/>
      <c r="J1418" s="18"/>
      <c r="K1418" s="18"/>
      <c r="L1418" s="18"/>
      <c r="M1418" s="18"/>
      <c r="N1418" s="18"/>
      <c r="O1418" s="18"/>
      <c r="P1418" s="18"/>
      <c r="Q1418" s="18"/>
      <c r="R1418" s="18"/>
      <c r="S1418" s="18"/>
      <c r="T1418" s="18"/>
      <c r="U1418" s="18"/>
      <c r="V1418" s="18"/>
      <c r="W1418" s="18"/>
      <c r="X1418" s="18"/>
      <c r="Y1418" s="18"/>
      <c r="Z1418" s="18"/>
      <c r="AA1418" s="18"/>
      <c r="AB1418" s="18"/>
      <c r="AC1418" s="18"/>
      <c r="AD1418" s="18"/>
      <c r="AE1418" s="18"/>
      <c r="AF1418" s="18"/>
      <c r="AG1418" s="18"/>
      <c r="AH1418" s="18"/>
      <c r="AI1418" s="18"/>
      <c r="AJ1418" s="18"/>
      <c r="AK1418" s="18"/>
      <c r="AL1418" s="18"/>
      <c r="AM1418" s="18"/>
      <c r="AN1418" s="18"/>
      <c r="AO1418" s="18"/>
      <c r="AP1418" s="18"/>
      <c r="AQ1418" s="18"/>
      <c r="AR1418" s="18"/>
      <c r="AS1418" s="18"/>
      <c r="AT1418" s="18"/>
      <c r="AU1418" s="18"/>
      <c r="AV1418" s="18"/>
      <c r="AW1418" s="18"/>
      <c r="AX1418" s="18"/>
      <c r="AY1418" s="18"/>
      <c r="AZ1418" s="18"/>
      <c r="BA1418" s="18"/>
      <c r="BB1418" s="18"/>
      <c r="BC1418" s="18"/>
      <c r="BD1418" s="18"/>
      <c r="BE1418" s="18"/>
      <c r="BF1418" s="18"/>
      <c r="BG1418" s="18"/>
      <c r="BH1418" s="18"/>
      <c r="BI1418" s="18"/>
      <c r="BJ1418" s="18"/>
      <c r="BK1418" s="18"/>
      <c r="BL1418" s="18"/>
      <c r="BM1418" s="18"/>
      <c r="BN1418" s="18"/>
    </row>
    <row r="1419" spans="1:66">
      <c r="A1419" s="18"/>
      <c r="B1419" s="18"/>
      <c r="C1419" s="18"/>
      <c r="D1419" s="18"/>
      <c r="E1419" s="18"/>
      <c r="F1419" s="18"/>
      <c r="G1419" s="18"/>
      <c r="H1419" s="18"/>
      <c r="I1419" s="18"/>
      <c r="J1419" s="18"/>
      <c r="K1419" s="18"/>
      <c r="L1419" s="18"/>
      <c r="M1419" s="18"/>
      <c r="N1419" s="18"/>
      <c r="O1419" s="18"/>
      <c r="P1419" s="18"/>
      <c r="Q1419" s="18"/>
      <c r="R1419" s="18"/>
      <c r="S1419" s="18"/>
      <c r="T1419" s="18"/>
      <c r="U1419" s="18"/>
      <c r="V1419" s="18"/>
      <c r="W1419" s="18"/>
      <c r="X1419" s="18"/>
      <c r="Y1419" s="18"/>
      <c r="Z1419" s="18"/>
      <c r="AA1419" s="18"/>
      <c r="AB1419" s="18"/>
      <c r="AC1419" s="18"/>
      <c r="AD1419" s="18"/>
      <c r="AE1419" s="18"/>
      <c r="AF1419" s="18"/>
      <c r="AG1419" s="18"/>
      <c r="AH1419" s="18"/>
      <c r="AI1419" s="18"/>
      <c r="AJ1419" s="18"/>
      <c r="AK1419" s="18"/>
      <c r="AL1419" s="18"/>
      <c r="AM1419" s="18"/>
      <c r="AN1419" s="18"/>
      <c r="AO1419" s="18"/>
      <c r="AP1419" s="18"/>
      <c r="AQ1419" s="18"/>
      <c r="AR1419" s="18"/>
      <c r="AS1419" s="18"/>
      <c r="AT1419" s="18"/>
      <c r="AU1419" s="18"/>
      <c r="AV1419" s="18"/>
      <c r="AW1419" s="18"/>
      <c r="AX1419" s="18"/>
      <c r="AY1419" s="18"/>
      <c r="AZ1419" s="18"/>
      <c r="BA1419" s="18"/>
      <c r="BB1419" s="18"/>
      <c r="BC1419" s="18"/>
      <c r="BD1419" s="18"/>
      <c r="BE1419" s="18"/>
      <c r="BF1419" s="18"/>
      <c r="BG1419" s="18"/>
      <c r="BH1419" s="18"/>
      <c r="BI1419" s="18"/>
      <c r="BJ1419" s="18"/>
      <c r="BK1419" s="18"/>
      <c r="BL1419" s="18"/>
      <c r="BM1419" s="18"/>
      <c r="BN1419" s="18"/>
    </row>
    <row r="1420" spans="1:66">
      <c r="A1420" s="18"/>
      <c r="B1420" s="18"/>
      <c r="C1420" s="18"/>
      <c r="D1420" s="18"/>
      <c r="E1420" s="18"/>
      <c r="F1420" s="18"/>
      <c r="G1420" s="18"/>
      <c r="H1420" s="18"/>
      <c r="I1420" s="18"/>
      <c r="J1420" s="18"/>
      <c r="K1420" s="18"/>
      <c r="L1420" s="18"/>
      <c r="M1420" s="18"/>
      <c r="N1420" s="18"/>
      <c r="O1420" s="18"/>
      <c r="P1420" s="18"/>
      <c r="Q1420" s="18"/>
      <c r="R1420" s="18"/>
      <c r="S1420" s="18"/>
      <c r="T1420" s="18"/>
      <c r="U1420" s="18"/>
      <c r="V1420" s="18"/>
      <c r="W1420" s="18"/>
      <c r="X1420" s="18"/>
      <c r="Y1420" s="18"/>
      <c r="Z1420" s="18"/>
      <c r="AA1420" s="18"/>
      <c r="AB1420" s="18"/>
      <c r="AC1420" s="18"/>
      <c r="AD1420" s="18"/>
      <c r="AE1420" s="18"/>
      <c r="AF1420" s="18"/>
      <c r="AG1420" s="18"/>
      <c r="AH1420" s="18"/>
      <c r="AI1420" s="18"/>
      <c r="AJ1420" s="18"/>
      <c r="AK1420" s="18"/>
      <c r="AL1420" s="18"/>
      <c r="AM1420" s="18"/>
      <c r="AN1420" s="18"/>
      <c r="AO1420" s="18"/>
      <c r="AP1420" s="18"/>
      <c r="AQ1420" s="18"/>
      <c r="AR1420" s="18"/>
      <c r="AS1420" s="18"/>
      <c r="AT1420" s="18"/>
      <c r="AU1420" s="18"/>
      <c r="AV1420" s="18"/>
      <c r="AW1420" s="18"/>
      <c r="AX1420" s="18"/>
      <c r="AY1420" s="18"/>
      <c r="AZ1420" s="18"/>
      <c r="BA1420" s="18"/>
      <c r="BB1420" s="18"/>
      <c r="BC1420" s="18"/>
      <c r="BD1420" s="18"/>
      <c r="BE1420" s="18"/>
      <c r="BF1420" s="18"/>
      <c r="BG1420" s="18"/>
      <c r="BH1420" s="18"/>
      <c r="BI1420" s="18"/>
      <c r="BJ1420" s="18"/>
      <c r="BK1420" s="18"/>
      <c r="BL1420" s="18"/>
      <c r="BM1420" s="18"/>
      <c r="BN1420" s="18"/>
    </row>
    <row r="1421" spans="1:66">
      <c r="A1421" s="18"/>
      <c r="B1421" s="18"/>
      <c r="C1421" s="18"/>
      <c r="D1421" s="18"/>
      <c r="E1421" s="18"/>
      <c r="F1421" s="18"/>
      <c r="G1421" s="18"/>
      <c r="H1421" s="18"/>
      <c r="I1421" s="18"/>
      <c r="J1421" s="18"/>
      <c r="K1421" s="18"/>
      <c r="L1421" s="18"/>
      <c r="M1421" s="18"/>
      <c r="N1421" s="18"/>
      <c r="O1421" s="18"/>
      <c r="P1421" s="18"/>
      <c r="Q1421" s="18"/>
      <c r="R1421" s="18"/>
      <c r="S1421" s="18"/>
      <c r="T1421" s="18"/>
      <c r="U1421" s="18"/>
      <c r="V1421" s="18"/>
      <c r="W1421" s="18"/>
      <c r="X1421" s="18"/>
      <c r="Y1421" s="18"/>
      <c r="Z1421" s="18"/>
      <c r="AA1421" s="18"/>
      <c r="AB1421" s="18"/>
      <c r="AC1421" s="18"/>
      <c r="AD1421" s="18"/>
      <c r="AE1421" s="18"/>
      <c r="AF1421" s="18"/>
      <c r="AG1421" s="18"/>
      <c r="AH1421" s="18"/>
      <c r="AI1421" s="18"/>
      <c r="AJ1421" s="18"/>
      <c r="AK1421" s="18"/>
      <c r="AL1421" s="18"/>
      <c r="AM1421" s="18"/>
      <c r="AN1421" s="18"/>
      <c r="AO1421" s="18"/>
      <c r="AP1421" s="18"/>
      <c r="AQ1421" s="18"/>
      <c r="AR1421" s="18"/>
      <c r="AS1421" s="18"/>
      <c r="AT1421" s="18"/>
      <c r="AU1421" s="18"/>
      <c r="AV1421" s="18"/>
      <c r="AW1421" s="18"/>
      <c r="AX1421" s="18"/>
      <c r="AY1421" s="18"/>
      <c r="AZ1421" s="18"/>
      <c r="BA1421" s="18"/>
      <c r="BB1421" s="18"/>
      <c r="BC1421" s="18"/>
      <c r="BD1421" s="18"/>
      <c r="BE1421" s="18"/>
      <c r="BF1421" s="18"/>
      <c r="BG1421" s="18"/>
      <c r="BH1421" s="18"/>
      <c r="BI1421" s="18"/>
      <c r="BJ1421" s="18"/>
      <c r="BK1421" s="18"/>
      <c r="BL1421" s="18"/>
      <c r="BM1421" s="18"/>
      <c r="BN1421" s="18"/>
    </row>
    <row r="1422" spans="1:66">
      <c r="A1422" s="18"/>
      <c r="B1422" s="18"/>
      <c r="C1422" s="18"/>
      <c r="D1422" s="18"/>
      <c r="E1422" s="18"/>
      <c r="F1422" s="18"/>
      <c r="G1422" s="18"/>
      <c r="H1422" s="18"/>
      <c r="I1422" s="18"/>
      <c r="J1422" s="18"/>
      <c r="K1422" s="18"/>
      <c r="L1422" s="18"/>
      <c r="M1422" s="18"/>
      <c r="N1422" s="18"/>
      <c r="O1422" s="18"/>
      <c r="P1422" s="18"/>
      <c r="Q1422" s="18"/>
      <c r="R1422" s="18"/>
      <c r="S1422" s="18"/>
      <c r="T1422" s="18"/>
      <c r="U1422" s="18"/>
      <c r="V1422" s="18"/>
      <c r="W1422" s="18"/>
      <c r="X1422" s="18"/>
      <c r="Y1422" s="18"/>
      <c r="Z1422" s="18"/>
      <c r="AA1422" s="18"/>
      <c r="AB1422" s="18"/>
      <c r="AC1422" s="18"/>
      <c r="AD1422" s="18"/>
      <c r="AE1422" s="18"/>
      <c r="AF1422" s="18"/>
      <c r="AG1422" s="18"/>
      <c r="AH1422" s="18"/>
      <c r="AI1422" s="18"/>
      <c r="AJ1422" s="18"/>
      <c r="AK1422" s="18"/>
      <c r="AL1422" s="18"/>
      <c r="AM1422" s="18"/>
      <c r="AN1422" s="18"/>
      <c r="AO1422" s="18"/>
      <c r="AP1422" s="18"/>
      <c r="AQ1422" s="18"/>
      <c r="AR1422" s="18"/>
      <c r="AS1422" s="18"/>
      <c r="AT1422" s="18"/>
      <c r="AU1422" s="18"/>
      <c r="AV1422" s="18"/>
      <c r="AW1422" s="18"/>
      <c r="AX1422" s="18"/>
      <c r="AY1422" s="18"/>
      <c r="AZ1422" s="18"/>
      <c r="BA1422" s="18"/>
      <c r="BB1422" s="18"/>
      <c r="BC1422" s="18"/>
      <c r="BD1422" s="18"/>
      <c r="BE1422" s="18"/>
      <c r="BF1422" s="18"/>
      <c r="BG1422" s="18"/>
      <c r="BH1422" s="18"/>
      <c r="BI1422" s="18"/>
      <c r="BJ1422" s="18"/>
      <c r="BK1422" s="18"/>
      <c r="BL1422" s="18"/>
      <c r="BM1422" s="18"/>
      <c r="BN1422" s="18"/>
    </row>
    <row r="1423" spans="1:66">
      <c r="A1423" s="18"/>
      <c r="B1423" s="18"/>
      <c r="C1423" s="18"/>
      <c r="D1423" s="18"/>
      <c r="E1423" s="18"/>
      <c r="F1423" s="18"/>
      <c r="G1423" s="18"/>
      <c r="H1423" s="18"/>
      <c r="I1423" s="18"/>
      <c r="J1423" s="18"/>
      <c r="K1423" s="18"/>
      <c r="L1423" s="18"/>
      <c r="M1423" s="18"/>
      <c r="N1423" s="18"/>
      <c r="O1423" s="18"/>
      <c r="P1423" s="18"/>
      <c r="Q1423" s="18"/>
      <c r="R1423" s="18"/>
      <c r="S1423" s="18"/>
      <c r="T1423" s="18"/>
      <c r="U1423" s="18"/>
      <c r="V1423" s="18"/>
      <c r="W1423" s="18"/>
      <c r="X1423" s="18"/>
      <c r="Y1423" s="18"/>
      <c r="Z1423" s="18"/>
      <c r="AA1423" s="18"/>
      <c r="AB1423" s="18"/>
      <c r="AC1423" s="18"/>
      <c r="AD1423" s="18"/>
      <c r="AE1423" s="18"/>
      <c r="AF1423" s="18"/>
      <c r="AG1423" s="18"/>
      <c r="AH1423" s="18"/>
      <c r="AI1423" s="18"/>
      <c r="AJ1423" s="18"/>
      <c r="AK1423" s="18"/>
      <c r="AL1423" s="18"/>
      <c r="AM1423" s="18"/>
      <c r="AN1423" s="18"/>
      <c r="AO1423" s="18"/>
      <c r="AP1423" s="18"/>
      <c r="AQ1423" s="18"/>
      <c r="AR1423" s="18"/>
      <c r="AS1423" s="18"/>
      <c r="AT1423" s="18"/>
      <c r="AU1423" s="18"/>
      <c r="AV1423" s="18"/>
      <c r="AW1423" s="18"/>
      <c r="AX1423" s="18"/>
      <c r="AY1423" s="18"/>
      <c r="AZ1423" s="18"/>
      <c r="BA1423" s="18"/>
      <c r="BB1423" s="18"/>
      <c r="BC1423" s="18"/>
      <c r="BD1423" s="18"/>
      <c r="BE1423" s="18"/>
      <c r="BF1423" s="18"/>
      <c r="BG1423" s="18"/>
      <c r="BH1423" s="18"/>
      <c r="BI1423" s="18"/>
      <c r="BJ1423" s="18"/>
      <c r="BK1423" s="18"/>
      <c r="BL1423" s="18"/>
      <c r="BM1423" s="18"/>
      <c r="BN1423" s="18"/>
    </row>
    <row r="1424" spans="1:66">
      <c r="A1424" s="18"/>
      <c r="B1424" s="18"/>
      <c r="C1424" s="18"/>
      <c r="D1424" s="18"/>
      <c r="E1424" s="18"/>
      <c r="F1424" s="18"/>
      <c r="G1424" s="18"/>
      <c r="H1424" s="18"/>
      <c r="I1424" s="18"/>
      <c r="J1424" s="18"/>
      <c r="K1424" s="18"/>
      <c r="L1424" s="18"/>
      <c r="M1424" s="18"/>
      <c r="N1424" s="18"/>
      <c r="O1424" s="18"/>
      <c r="P1424" s="18"/>
      <c r="Q1424" s="18"/>
      <c r="R1424" s="18"/>
      <c r="S1424" s="18"/>
      <c r="T1424" s="18"/>
      <c r="U1424" s="18"/>
      <c r="V1424" s="18"/>
      <c r="W1424" s="18"/>
      <c r="X1424" s="18"/>
      <c r="Y1424" s="18"/>
      <c r="Z1424" s="18"/>
      <c r="AA1424" s="18"/>
      <c r="AB1424" s="18"/>
      <c r="AC1424" s="18"/>
      <c r="AD1424" s="18"/>
      <c r="AE1424" s="18"/>
      <c r="AF1424" s="18"/>
      <c r="AG1424" s="18"/>
      <c r="AH1424" s="18"/>
      <c r="AI1424" s="18"/>
      <c r="AJ1424" s="18"/>
      <c r="AK1424" s="18"/>
      <c r="AL1424" s="18"/>
      <c r="AM1424" s="18"/>
      <c r="AN1424" s="18"/>
      <c r="AO1424" s="18"/>
      <c r="AP1424" s="18"/>
      <c r="AQ1424" s="18"/>
      <c r="AR1424" s="18"/>
      <c r="AS1424" s="18"/>
      <c r="AT1424" s="18"/>
      <c r="AU1424" s="18"/>
      <c r="AV1424" s="18"/>
      <c r="AW1424" s="18"/>
      <c r="AX1424" s="18"/>
      <c r="AY1424" s="18"/>
      <c r="AZ1424" s="18"/>
      <c r="BA1424" s="18"/>
      <c r="BB1424" s="18"/>
      <c r="BC1424" s="18"/>
      <c r="BD1424" s="18"/>
      <c r="BE1424" s="18"/>
      <c r="BF1424" s="18"/>
      <c r="BG1424" s="18"/>
      <c r="BH1424" s="18"/>
      <c r="BI1424" s="18"/>
      <c r="BJ1424" s="18"/>
      <c r="BK1424" s="18"/>
      <c r="BL1424" s="18"/>
      <c r="BM1424" s="18"/>
      <c r="BN1424" s="18"/>
    </row>
    <row r="1425" spans="1:66">
      <c r="A1425" s="18"/>
      <c r="B1425" s="18"/>
      <c r="C1425" s="18"/>
      <c r="D1425" s="18"/>
      <c r="E1425" s="18"/>
      <c r="F1425" s="18"/>
      <c r="G1425" s="18"/>
      <c r="H1425" s="18"/>
      <c r="I1425" s="18"/>
      <c r="J1425" s="18"/>
      <c r="K1425" s="18"/>
      <c r="L1425" s="18"/>
      <c r="M1425" s="18"/>
      <c r="N1425" s="18"/>
      <c r="O1425" s="18"/>
      <c r="P1425" s="18"/>
      <c r="Q1425" s="18"/>
      <c r="R1425" s="18"/>
      <c r="S1425" s="18"/>
      <c r="T1425" s="18"/>
      <c r="U1425" s="18"/>
      <c r="V1425" s="18"/>
      <c r="W1425" s="18"/>
      <c r="X1425" s="18"/>
      <c r="Y1425" s="18"/>
      <c r="Z1425" s="18"/>
      <c r="AA1425" s="18"/>
      <c r="AB1425" s="18"/>
      <c r="AC1425" s="18"/>
      <c r="AD1425" s="18"/>
      <c r="AE1425" s="18"/>
      <c r="AF1425" s="18"/>
      <c r="AG1425" s="18"/>
      <c r="AH1425" s="18"/>
      <c r="AI1425" s="18"/>
      <c r="AJ1425" s="18"/>
      <c r="AK1425" s="18"/>
      <c r="AL1425" s="18"/>
      <c r="AM1425" s="18"/>
      <c r="AN1425" s="18"/>
      <c r="AO1425" s="18"/>
      <c r="AP1425" s="18"/>
      <c r="AQ1425" s="18"/>
      <c r="AR1425" s="18"/>
      <c r="AS1425" s="18"/>
      <c r="AT1425" s="18"/>
      <c r="AU1425" s="18"/>
      <c r="AV1425" s="18"/>
      <c r="AW1425" s="18"/>
      <c r="AX1425" s="18"/>
      <c r="AY1425" s="18"/>
      <c r="AZ1425" s="18"/>
      <c r="BA1425" s="18"/>
      <c r="BB1425" s="18"/>
      <c r="BC1425" s="18"/>
      <c r="BD1425" s="18"/>
      <c r="BE1425" s="18"/>
      <c r="BF1425" s="18"/>
      <c r="BG1425" s="18"/>
      <c r="BH1425" s="18"/>
      <c r="BI1425" s="18"/>
      <c r="BJ1425" s="18"/>
      <c r="BK1425" s="18"/>
      <c r="BL1425" s="18"/>
      <c r="BM1425" s="18"/>
      <c r="BN1425" s="18"/>
    </row>
    <row r="1426" spans="1:66">
      <c r="A1426" s="18"/>
      <c r="B1426" s="18"/>
      <c r="C1426" s="18"/>
      <c r="D1426" s="18"/>
      <c r="E1426" s="18"/>
      <c r="F1426" s="18"/>
      <c r="G1426" s="18"/>
      <c r="H1426" s="18"/>
      <c r="I1426" s="18"/>
      <c r="J1426" s="18"/>
      <c r="K1426" s="18"/>
      <c r="L1426" s="18"/>
      <c r="M1426" s="18"/>
      <c r="N1426" s="18"/>
      <c r="O1426" s="18"/>
      <c r="P1426" s="18"/>
      <c r="Q1426" s="18"/>
      <c r="R1426" s="18"/>
      <c r="S1426" s="18"/>
      <c r="T1426" s="18"/>
      <c r="U1426" s="18"/>
      <c r="V1426" s="18"/>
      <c r="W1426" s="18"/>
      <c r="X1426" s="18"/>
      <c r="Y1426" s="18"/>
      <c r="Z1426" s="18"/>
      <c r="AA1426" s="18"/>
      <c r="AB1426" s="18"/>
      <c r="AC1426" s="18"/>
      <c r="AD1426" s="18"/>
      <c r="AE1426" s="18"/>
      <c r="AF1426" s="18"/>
      <c r="AG1426" s="18"/>
      <c r="AH1426" s="18"/>
      <c r="AI1426" s="18"/>
      <c r="AJ1426" s="18"/>
      <c r="AK1426" s="18"/>
      <c r="AL1426" s="18"/>
      <c r="AM1426" s="18"/>
      <c r="AN1426" s="18"/>
      <c r="AO1426" s="18"/>
      <c r="AP1426" s="18"/>
      <c r="AQ1426" s="18"/>
      <c r="AR1426" s="18"/>
      <c r="AS1426" s="18"/>
      <c r="AT1426" s="18"/>
      <c r="AU1426" s="18"/>
      <c r="AV1426" s="18"/>
      <c r="AW1426" s="18"/>
      <c r="AX1426" s="18"/>
      <c r="AY1426" s="18"/>
      <c r="AZ1426" s="18"/>
      <c r="BA1426" s="18"/>
      <c r="BB1426" s="18"/>
      <c r="BC1426" s="18"/>
      <c r="BD1426" s="18"/>
      <c r="BE1426" s="18"/>
      <c r="BF1426" s="18"/>
      <c r="BG1426" s="18"/>
      <c r="BH1426" s="18"/>
      <c r="BI1426" s="18"/>
      <c r="BJ1426" s="18"/>
      <c r="BK1426" s="18"/>
      <c r="BL1426" s="18"/>
      <c r="BM1426" s="18"/>
      <c r="BN1426" s="18"/>
    </row>
    <row r="1427" spans="1:66">
      <c r="A1427" s="18"/>
      <c r="B1427" s="18"/>
      <c r="C1427" s="18"/>
      <c r="D1427" s="18"/>
      <c r="E1427" s="18"/>
      <c r="F1427" s="18"/>
      <c r="G1427" s="18"/>
      <c r="H1427" s="18"/>
      <c r="I1427" s="18"/>
      <c r="J1427" s="18"/>
      <c r="K1427" s="18"/>
      <c r="L1427" s="18"/>
      <c r="M1427" s="18"/>
      <c r="N1427" s="18"/>
      <c r="O1427" s="18"/>
      <c r="P1427" s="18"/>
      <c r="Q1427" s="18"/>
      <c r="R1427" s="18"/>
      <c r="S1427" s="18"/>
      <c r="T1427" s="18"/>
      <c r="U1427" s="18"/>
      <c r="V1427" s="18"/>
      <c r="W1427" s="18"/>
      <c r="X1427" s="18"/>
      <c r="Y1427" s="18"/>
      <c r="Z1427" s="18"/>
      <c r="AA1427" s="18"/>
      <c r="AB1427" s="18"/>
      <c r="AC1427" s="18"/>
      <c r="AD1427" s="18"/>
      <c r="AE1427" s="18"/>
      <c r="AF1427" s="18"/>
      <c r="AG1427" s="18"/>
      <c r="AH1427" s="18"/>
      <c r="AI1427" s="18"/>
      <c r="AJ1427" s="18"/>
      <c r="AK1427" s="18"/>
      <c r="AL1427" s="18"/>
      <c r="AM1427" s="18"/>
      <c r="AN1427" s="18"/>
      <c r="AO1427" s="18"/>
      <c r="AP1427" s="18"/>
      <c r="AQ1427" s="18"/>
      <c r="AR1427" s="18"/>
      <c r="AS1427" s="18"/>
      <c r="AT1427" s="18"/>
      <c r="AU1427" s="18"/>
      <c r="AV1427" s="18"/>
      <c r="AW1427" s="18"/>
      <c r="AX1427" s="18"/>
      <c r="AY1427" s="18"/>
      <c r="AZ1427" s="18"/>
      <c r="BA1427" s="18"/>
      <c r="BB1427" s="18"/>
      <c r="BC1427" s="18"/>
      <c r="BD1427" s="18"/>
      <c r="BE1427" s="18"/>
      <c r="BF1427" s="18"/>
      <c r="BG1427" s="18"/>
      <c r="BH1427" s="18"/>
      <c r="BI1427" s="18"/>
      <c r="BJ1427" s="18"/>
      <c r="BK1427" s="18"/>
      <c r="BL1427" s="18"/>
      <c r="BM1427" s="18"/>
      <c r="BN1427" s="18"/>
    </row>
    <row r="1428" spans="1:66">
      <c r="A1428" s="18"/>
      <c r="B1428" s="18"/>
      <c r="C1428" s="18"/>
      <c r="D1428" s="18"/>
      <c r="E1428" s="18"/>
      <c r="F1428" s="18"/>
      <c r="G1428" s="18"/>
      <c r="H1428" s="18"/>
      <c r="I1428" s="18"/>
      <c r="J1428" s="18"/>
      <c r="K1428" s="18"/>
      <c r="L1428" s="18"/>
      <c r="M1428" s="18"/>
      <c r="N1428" s="18"/>
      <c r="O1428" s="18"/>
      <c r="P1428" s="18"/>
      <c r="Q1428" s="18"/>
      <c r="R1428" s="18"/>
      <c r="S1428" s="18"/>
      <c r="T1428" s="18"/>
      <c r="U1428" s="18"/>
      <c r="V1428" s="18"/>
      <c r="W1428" s="18"/>
      <c r="X1428" s="18"/>
      <c r="Y1428" s="18"/>
      <c r="Z1428" s="18"/>
      <c r="AA1428" s="18"/>
      <c r="AB1428" s="18"/>
      <c r="AC1428" s="18"/>
      <c r="AD1428" s="18"/>
      <c r="AE1428" s="18"/>
      <c r="AF1428" s="18"/>
      <c r="AG1428" s="18"/>
      <c r="AH1428" s="18"/>
      <c r="AI1428" s="18"/>
      <c r="AJ1428" s="18"/>
      <c r="AK1428" s="18"/>
      <c r="AL1428" s="18"/>
      <c r="AM1428" s="18"/>
      <c r="AN1428" s="18"/>
      <c r="AO1428" s="18"/>
      <c r="AP1428" s="18"/>
      <c r="AQ1428" s="18"/>
      <c r="AR1428" s="18"/>
      <c r="AS1428" s="18"/>
      <c r="AT1428" s="18"/>
      <c r="AU1428" s="18"/>
      <c r="AV1428" s="18"/>
      <c r="AW1428" s="18"/>
      <c r="AX1428" s="18"/>
      <c r="AY1428" s="18"/>
      <c r="AZ1428" s="18"/>
      <c r="BA1428" s="18"/>
      <c r="BB1428" s="18"/>
      <c r="BC1428" s="18"/>
      <c r="BD1428" s="18"/>
      <c r="BE1428" s="18"/>
      <c r="BF1428" s="18"/>
      <c r="BG1428" s="18"/>
      <c r="BH1428" s="18"/>
      <c r="BI1428" s="18"/>
      <c r="BJ1428" s="18"/>
      <c r="BK1428" s="18"/>
      <c r="BL1428" s="18"/>
      <c r="BM1428" s="18"/>
      <c r="BN1428" s="18"/>
    </row>
    <row r="1429" spans="1:66">
      <c r="A1429" s="18"/>
      <c r="B1429" s="18"/>
      <c r="C1429" s="18"/>
      <c r="D1429" s="18"/>
      <c r="E1429" s="18"/>
      <c r="F1429" s="18"/>
      <c r="G1429" s="18"/>
      <c r="H1429" s="18"/>
      <c r="I1429" s="18"/>
      <c r="J1429" s="18"/>
      <c r="K1429" s="18"/>
      <c r="L1429" s="18"/>
      <c r="M1429" s="18"/>
      <c r="N1429" s="18"/>
      <c r="O1429" s="18"/>
      <c r="P1429" s="18"/>
      <c r="Q1429" s="18"/>
      <c r="R1429" s="18"/>
      <c r="S1429" s="18"/>
      <c r="T1429" s="18"/>
      <c r="U1429" s="18"/>
      <c r="V1429" s="18"/>
      <c r="W1429" s="18"/>
      <c r="X1429" s="18"/>
      <c r="Y1429" s="18"/>
      <c r="Z1429" s="18"/>
      <c r="AA1429" s="18"/>
      <c r="AB1429" s="18"/>
      <c r="AC1429" s="18"/>
      <c r="AD1429" s="18"/>
      <c r="AE1429" s="18"/>
      <c r="AF1429" s="18"/>
      <c r="AG1429" s="18"/>
      <c r="AH1429" s="18"/>
      <c r="AI1429" s="18"/>
      <c r="AJ1429" s="18"/>
      <c r="AK1429" s="18"/>
      <c r="AL1429" s="18"/>
      <c r="AM1429" s="18"/>
      <c r="AN1429" s="18"/>
      <c r="AO1429" s="18"/>
      <c r="AP1429" s="18"/>
      <c r="AQ1429" s="18"/>
      <c r="AR1429" s="18"/>
      <c r="AS1429" s="18"/>
      <c r="AT1429" s="18"/>
      <c r="AU1429" s="18"/>
      <c r="AV1429" s="18"/>
      <c r="AW1429" s="18"/>
      <c r="AX1429" s="18"/>
      <c r="AY1429" s="18"/>
      <c r="AZ1429" s="18"/>
      <c r="BA1429" s="18"/>
      <c r="BB1429" s="18"/>
      <c r="BC1429" s="18"/>
      <c r="BD1429" s="18"/>
      <c r="BE1429" s="18"/>
      <c r="BF1429" s="18"/>
      <c r="BG1429" s="18"/>
      <c r="BH1429" s="18"/>
      <c r="BI1429" s="18"/>
      <c r="BJ1429" s="18"/>
      <c r="BK1429" s="18"/>
      <c r="BL1429" s="18"/>
      <c r="BM1429" s="18"/>
      <c r="BN1429" s="18"/>
    </row>
    <row r="1430" spans="1:66">
      <c r="A1430" s="18"/>
      <c r="B1430" s="18"/>
      <c r="C1430" s="18"/>
      <c r="D1430" s="18"/>
      <c r="E1430" s="18"/>
      <c r="F1430" s="18"/>
      <c r="G1430" s="18"/>
      <c r="H1430" s="18"/>
      <c r="I1430" s="18"/>
      <c r="J1430" s="18"/>
      <c r="K1430" s="18"/>
      <c r="L1430" s="18"/>
      <c r="M1430" s="18"/>
      <c r="N1430" s="18"/>
      <c r="O1430" s="18"/>
      <c r="P1430" s="18"/>
      <c r="Q1430" s="18"/>
      <c r="R1430" s="18"/>
      <c r="S1430" s="18"/>
      <c r="T1430" s="18"/>
      <c r="U1430" s="18"/>
      <c r="V1430" s="18"/>
      <c r="W1430" s="18"/>
      <c r="X1430" s="18"/>
      <c r="Y1430" s="18"/>
      <c r="Z1430" s="18"/>
      <c r="AA1430" s="18"/>
      <c r="AB1430" s="18"/>
      <c r="AC1430" s="18"/>
      <c r="AD1430" s="18"/>
      <c r="AE1430" s="18"/>
      <c r="AF1430" s="18"/>
      <c r="AG1430" s="18"/>
      <c r="AH1430" s="18"/>
      <c r="AI1430" s="18"/>
      <c r="AJ1430" s="18"/>
      <c r="AK1430" s="18"/>
      <c r="AL1430" s="18"/>
      <c r="AM1430" s="18"/>
      <c r="AN1430" s="18"/>
      <c r="AO1430" s="18"/>
      <c r="AP1430" s="18"/>
      <c r="AQ1430" s="18"/>
      <c r="AR1430" s="18"/>
      <c r="AS1430" s="18"/>
      <c r="AT1430" s="18"/>
      <c r="AU1430" s="18"/>
      <c r="AV1430" s="18"/>
      <c r="AW1430" s="18"/>
      <c r="AX1430" s="18"/>
      <c r="AY1430" s="18"/>
      <c r="AZ1430" s="18"/>
      <c r="BA1430" s="18"/>
      <c r="BB1430" s="18"/>
      <c r="BC1430" s="18"/>
      <c r="BD1430" s="18"/>
      <c r="BE1430" s="18"/>
      <c r="BF1430" s="18"/>
      <c r="BG1430" s="18"/>
      <c r="BH1430" s="18"/>
      <c r="BI1430" s="18"/>
      <c r="BJ1430" s="18"/>
      <c r="BK1430" s="18"/>
      <c r="BL1430" s="18"/>
      <c r="BM1430" s="18"/>
      <c r="BN1430" s="18"/>
    </row>
    <row r="1431" spans="1:66">
      <c r="A1431" s="18"/>
      <c r="B1431" s="18"/>
      <c r="C1431" s="18"/>
      <c r="D1431" s="18"/>
      <c r="E1431" s="18"/>
      <c r="F1431" s="18"/>
      <c r="G1431" s="18"/>
      <c r="H1431" s="18"/>
      <c r="I1431" s="18"/>
      <c r="J1431" s="18"/>
      <c r="K1431" s="18"/>
      <c r="L1431" s="18"/>
      <c r="M1431" s="18"/>
      <c r="N1431" s="18"/>
      <c r="O1431" s="18"/>
      <c r="P1431" s="18"/>
      <c r="Q1431" s="18"/>
      <c r="R1431" s="18"/>
      <c r="S1431" s="18"/>
      <c r="T1431" s="18"/>
      <c r="U1431" s="18"/>
      <c r="V1431" s="18"/>
      <c r="W1431" s="18"/>
      <c r="X1431" s="18"/>
      <c r="Y1431" s="18"/>
      <c r="Z1431" s="18"/>
      <c r="AA1431" s="18"/>
      <c r="AB1431" s="18"/>
      <c r="AC1431" s="18"/>
      <c r="AD1431" s="18"/>
      <c r="AE1431" s="18"/>
      <c r="AF1431" s="18"/>
      <c r="AG1431" s="18"/>
      <c r="AH1431" s="18"/>
      <c r="AI1431" s="18"/>
      <c r="AJ1431" s="18"/>
      <c r="AK1431" s="18"/>
      <c r="AL1431" s="18"/>
      <c r="AM1431" s="18"/>
      <c r="AN1431" s="18"/>
      <c r="AO1431" s="18"/>
      <c r="AP1431" s="18"/>
      <c r="AQ1431" s="18"/>
      <c r="AR1431" s="18"/>
      <c r="AS1431" s="18"/>
      <c r="AT1431" s="18"/>
      <c r="AU1431" s="18"/>
      <c r="AV1431" s="18"/>
      <c r="AW1431" s="18"/>
      <c r="AX1431" s="18"/>
      <c r="AY1431" s="18"/>
      <c r="AZ1431" s="18"/>
      <c r="BA1431" s="18"/>
      <c r="BB1431" s="18"/>
      <c r="BC1431" s="18"/>
      <c r="BD1431" s="18"/>
      <c r="BE1431" s="18"/>
      <c r="BF1431" s="18"/>
      <c r="BG1431" s="18"/>
      <c r="BH1431" s="18"/>
      <c r="BI1431" s="18"/>
      <c r="BJ1431" s="18"/>
      <c r="BK1431" s="18"/>
      <c r="BL1431" s="18"/>
      <c r="BM1431" s="18"/>
      <c r="BN1431" s="18"/>
    </row>
    <row r="1432" spans="1:66">
      <c r="A1432" s="18"/>
      <c r="B1432" s="18"/>
      <c r="C1432" s="18"/>
      <c r="D1432" s="18"/>
      <c r="E1432" s="18"/>
      <c r="F1432" s="18"/>
      <c r="G1432" s="18"/>
      <c r="H1432" s="18"/>
      <c r="I1432" s="18"/>
      <c r="J1432" s="18"/>
      <c r="K1432" s="18"/>
      <c r="L1432" s="18"/>
      <c r="M1432" s="18"/>
      <c r="N1432" s="18"/>
      <c r="O1432" s="18"/>
      <c r="P1432" s="18"/>
      <c r="Q1432" s="18"/>
      <c r="R1432" s="18"/>
      <c r="S1432" s="18"/>
      <c r="T1432" s="18"/>
      <c r="U1432" s="18"/>
      <c r="V1432" s="18"/>
      <c r="W1432" s="18"/>
      <c r="X1432" s="18"/>
      <c r="Y1432" s="18"/>
      <c r="Z1432" s="18"/>
      <c r="AA1432" s="18"/>
      <c r="AB1432" s="18"/>
      <c r="AC1432" s="18"/>
      <c r="AD1432" s="18"/>
      <c r="AE1432" s="18"/>
      <c r="AF1432" s="18"/>
      <c r="AG1432" s="18"/>
      <c r="AH1432" s="18"/>
      <c r="AI1432" s="18"/>
      <c r="AJ1432" s="18"/>
      <c r="AK1432" s="18"/>
      <c r="AL1432" s="18"/>
      <c r="AM1432" s="18"/>
      <c r="AN1432" s="18"/>
      <c r="AO1432" s="18"/>
      <c r="AP1432" s="18"/>
      <c r="AQ1432" s="18"/>
      <c r="AR1432" s="18"/>
      <c r="AS1432" s="18"/>
      <c r="AT1432" s="18"/>
      <c r="AU1432" s="18"/>
      <c r="AV1432" s="18"/>
      <c r="AW1432" s="18"/>
      <c r="AX1432" s="18"/>
      <c r="AY1432" s="18"/>
      <c r="AZ1432" s="18"/>
      <c r="BA1432" s="18"/>
      <c r="BB1432" s="18"/>
      <c r="BC1432" s="18"/>
      <c r="BD1432" s="18"/>
      <c r="BE1432" s="18"/>
      <c r="BF1432" s="18"/>
      <c r="BG1432" s="18"/>
      <c r="BH1432" s="18"/>
      <c r="BI1432" s="18"/>
      <c r="BJ1432" s="18"/>
      <c r="BK1432" s="18"/>
      <c r="BL1432" s="18"/>
      <c r="BM1432" s="18"/>
      <c r="BN1432" s="18"/>
    </row>
    <row r="1433" spans="1:66">
      <c r="A1433" s="18"/>
      <c r="B1433" s="18"/>
      <c r="C1433" s="18"/>
      <c r="D1433" s="18"/>
      <c r="E1433" s="18"/>
      <c r="F1433" s="18"/>
      <c r="G1433" s="18"/>
      <c r="H1433" s="18"/>
      <c r="I1433" s="18"/>
      <c r="J1433" s="18"/>
      <c r="K1433" s="18"/>
      <c r="L1433" s="18"/>
      <c r="M1433" s="18"/>
      <c r="N1433" s="18"/>
      <c r="O1433" s="18"/>
      <c r="P1433" s="18"/>
      <c r="Q1433" s="18"/>
      <c r="R1433" s="18"/>
      <c r="S1433" s="18"/>
      <c r="T1433" s="18"/>
      <c r="U1433" s="18"/>
      <c r="V1433" s="18"/>
      <c r="W1433" s="18"/>
      <c r="X1433" s="18"/>
      <c r="Y1433" s="18"/>
      <c r="Z1433" s="18"/>
      <c r="AA1433" s="18"/>
      <c r="AB1433" s="18"/>
      <c r="AC1433" s="18"/>
      <c r="AD1433" s="18"/>
      <c r="AE1433" s="18"/>
      <c r="AF1433" s="18"/>
      <c r="AG1433" s="18"/>
      <c r="AH1433" s="18"/>
      <c r="AI1433" s="18"/>
      <c r="AJ1433" s="18"/>
      <c r="AK1433" s="18"/>
      <c r="AL1433" s="18"/>
      <c r="AM1433" s="18"/>
      <c r="AN1433" s="18"/>
      <c r="AO1433" s="18"/>
      <c r="AP1433" s="18"/>
      <c r="AQ1433" s="18"/>
      <c r="AR1433" s="18"/>
      <c r="AS1433" s="18"/>
      <c r="AT1433" s="18"/>
      <c r="AU1433" s="18"/>
      <c r="AV1433" s="18"/>
      <c r="AW1433" s="18"/>
      <c r="AX1433" s="18"/>
      <c r="AY1433" s="18"/>
      <c r="AZ1433" s="18"/>
      <c r="BA1433" s="18"/>
      <c r="BB1433" s="18"/>
      <c r="BC1433" s="18"/>
      <c r="BD1433" s="18"/>
      <c r="BE1433" s="18"/>
      <c r="BF1433" s="18"/>
      <c r="BG1433" s="18"/>
      <c r="BH1433" s="18"/>
      <c r="BI1433" s="18"/>
      <c r="BJ1433" s="18"/>
      <c r="BK1433" s="18"/>
      <c r="BL1433" s="18"/>
      <c r="BM1433" s="18"/>
      <c r="BN1433" s="18"/>
    </row>
    <row r="1434" spans="1:66">
      <c r="A1434" s="18"/>
      <c r="B1434" s="18"/>
      <c r="C1434" s="18"/>
      <c r="D1434" s="18"/>
      <c r="E1434" s="18"/>
      <c r="F1434" s="18"/>
      <c r="G1434" s="18"/>
      <c r="H1434" s="18"/>
      <c r="I1434" s="18"/>
      <c r="J1434" s="18"/>
      <c r="K1434" s="18"/>
      <c r="L1434" s="18"/>
      <c r="M1434" s="18"/>
      <c r="N1434" s="18"/>
      <c r="O1434" s="18"/>
      <c r="P1434" s="18"/>
      <c r="Q1434" s="18"/>
      <c r="R1434" s="18"/>
      <c r="S1434" s="18"/>
      <c r="T1434" s="18"/>
      <c r="U1434" s="18"/>
      <c r="V1434" s="18"/>
      <c r="W1434" s="18"/>
      <c r="X1434" s="18"/>
      <c r="Y1434" s="18"/>
      <c r="Z1434" s="18"/>
      <c r="AA1434" s="18"/>
      <c r="AB1434" s="18"/>
      <c r="AC1434" s="18"/>
      <c r="AD1434" s="18"/>
      <c r="AE1434" s="18"/>
      <c r="AF1434" s="18"/>
      <c r="AG1434" s="18"/>
      <c r="AH1434" s="18"/>
      <c r="AI1434" s="18"/>
      <c r="AJ1434" s="18"/>
      <c r="AK1434" s="18"/>
      <c r="AL1434" s="18"/>
      <c r="AM1434" s="18"/>
      <c r="AN1434" s="18"/>
      <c r="AO1434" s="18"/>
      <c r="AP1434" s="18"/>
      <c r="AQ1434" s="18"/>
      <c r="AR1434" s="18"/>
      <c r="AS1434" s="18"/>
      <c r="AT1434" s="18"/>
      <c r="AU1434" s="18"/>
      <c r="AV1434" s="18"/>
      <c r="AW1434" s="18"/>
      <c r="AX1434" s="18"/>
      <c r="AY1434" s="18"/>
      <c r="AZ1434" s="18"/>
      <c r="BA1434" s="18"/>
      <c r="BB1434" s="18"/>
      <c r="BC1434" s="18"/>
      <c r="BD1434" s="18"/>
      <c r="BE1434" s="18"/>
      <c r="BF1434" s="18"/>
      <c r="BG1434" s="18"/>
      <c r="BH1434" s="18"/>
      <c r="BI1434" s="18"/>
      <c r="BJ1434" s="18"/>
      <c r="BK1434" s="18"/>
      <c r="BL1434" s="18"/>
      <c r="BM1434" s="18"/>
      <c r="BN1434" s="18"/>
    </row>
    <row r="1435" spans="1:66">
      <c r="A1435" s="18"/>
      <c r="B1435" s="18"/>
      <c r="C1435" s="18"/>
      <c r="D1435" s="18"/>
      <c r="E1435" s="18"/>
      <c r="F1435" s="18"/>
      <c r="G1435" s="18"/>
      <c r="H1435" s="18"/>
      <c r="I1435" s="18"/>
      <c r="J1435" s="18"/>
      <c r="K1435" s="18"/>
      <c r="L1435" s="18"/>
      <c r="M1435" s="18"/>
      <c r="N1435" s="18"/>
      <c r="O1435" s="18"/>
      <c r="P1435" s="18"/>
      <c r="Q1435" s="18"/>
      <c r="R1435" s="18"/>
      <c r="S1435" s="18"/>
      <c r="T1435" s="18"/>
      <c r="U1435" s="18"/>
      <c r="V1435" s="18"/>
      <c r="W1435" s="18"/>
      <c r="X1435" s="18"/>
      <c r="Y1435" s="18"/>
      <c r="Z1435" s="18"/>
      <c r="AA1435" s="18"/>
      <c r="AB1435" s="18"/>
      <c r="AC1435" s="18"/>
      <c r="AD1435" s="18"/>
      <c r="AE1435" s="18"/>
      <c r="AF1435" s="18"/>
      <c r="AG1435" s="18"/>
      <c r="AH1435" s="18"/>
      <c r="AI1435" s="18"/>
      <c r="AJ1435" s="18"/>
      <c r="AK1435" s="18"/>
      <c r="AL1435" s="18"/>
      <c r="AM1435" s="18"/>
      <c r="AN1435" s="18"/>
      <c r="AO1435" s="18"/>
      <c r="AP1435" s="18"/>
      <c r="AQ1435" s="18"/>
      <c r="AR1435" s="18"/>
      <c r="AS1435" s="18"/>
      <c r="AT1435" s="18"/>
      <c r="AU1435" s="18"/>
      <c r="AV1435" s="18"/>
      <c r="AW1435" s="18"/>
      <c r="AX1435" s="18"/>
      <c r="AY1435" s="18"/>
      <c r="AZ1435" s="18"/>
      <c r="BA1435" s="18"/>
      <c r="BB1435" s="18"/>
      <c r="BC1435" s="18"/>
      <c r="BD1435" s="18"/>
      <c r="BE1435" s="18"/>
      <c r="BF1435" s="18"/>
      <c r="BG1435" s="18"/>
      <c r="BH1435" s="18"/>
      <c r="BI1435" s="18"/>
      <c r="BJ1435" s="18"/>
      <c r="BK1435" s="18"/>
      <c r="BL1435" s="18"/>
      <c r="BM1435" s="18"/>
      <c r="BN1435" s="18"/>
    </row>
    <row r="1436" spans="1:66">
      <c r="A1436" s="18"/>
      <c r="B1436" s="18"/>
      <c r="C1436" s="18"/>
      <c r="D1436" s="18"/>
      <c r="E1436" s="18"/>
      <c r="F1436" s="18"/>
      <c r="G1436" s="18"/>
      <c r="H1436" s="18"/>
      <c r="I1436" s="18"/>
      <c r="J1436" s="18"/>
      <c r="K1436" s="18"/>
      <c r="L1436" s="18"/>
      <c r="M1436" s="18"/>
      <c r="N1436" s="18"/>
      <c r="O1436" s="18"/>
      <c r="P1436" s="18"/>
      <c r="Q1436" s="18"/>
      <c r="R1436" s="18"/>
      <c r="S1436" s="18"/>
      <c r="T1436" s="18"/>
      <c r="U1436" s="18"/>
      <c r="V1436" s="18"/>
      <c r="W1436" s="18"/>
      <c r="X1436" s="18"/>
      <c r="Y1436" s="18"/>
      <c r="Z1436" s="18"/>
      <c r="AA1436" s="18"/>
      <c r="AB1436" s="18"/>
      <c r="AC1436" s="18"/>
      <c r="AD1436" s="18"/>
      <c r="AE1436" s="18"/>
      <c r="AF1436" s="18"/>
      <c r="AG1436" s="18"/>
      <c r="AH1436" s="18"/>
      <c r="AI1436" s="18"/>
      <c r="AJ1436" s="18"/>
      <c r="AK1436" s="18"/>
      <c r="AL1436" s="18"/>
      <c r="AM1436" s="18"/>
      <c r="AN1436" s="18"/>
      <c r="AO1436" s="18"/>
      <c r="AP1436" s="18"/>
      <c r="AQ1436" s="18"/>
      <c r="AR1436" s="18"/>
      <c r="AS1436" s="18"/>
      <c r="AT1436" s="18"/>
      <c r="AU1436" s="18"/>
      <c r="AV1436" s="18"/>
      <c r="AW1436" s="18"/>
      <c r="AX1436" s="18"/>
      <c r="AY1436" s="18"/>
      <c r="AZ1436" s="18"/>
      <c r="BA1436" s="18"/>
      <c r="BB1436" s="18"/>
      <c r="BC1436" s="18"/>
      <c r="BD1436" s="18"/>
      <c r="BE1436" s="18"/>
      <c r="BF1436" s="18"/>
      <c r="BG1436" s="18"/>
      <c r="BH1436" s="18"/>
      <c r="BI1436" s="18"/>
      <c r="BJ1436" s="18"/>
      <c r="BK1436" s="18"/>
      <c r="BL1436" s="18"/>
      <c r="BM1436" s="18"/>
      <c r="BN1436" s="18"/>
    </row>
    <row r="1437" spans="1:66">
      <c r="A1437" s="18"/>
      <c r="B1437" s="18"/>
      <c r="C1437" s="18"/>
      <c r="D1437" s="18"/>
      <c r="E1437" s="18"/>
      <c r="F1437" s="18"/>
      <c r="G1437" s="18"/>
      <c r="H1437" s="18"/>
      <c r="I1437" s="18"/>
      <c r="J1437" s="18"/>
      <c r="K1437" s="18"/>
      <c r="L1437" s="18"/>
      <c r="M1437" s="18"/>
      <c r="N1437" s="18"/>
      <c r="O1437" s="18"/>
      <c r="P1437" s="18"/>
      <c r="Q1437" s="18"/>
      <c r="R1437" s="18"/>
      <c r="S1437" s="18"/>
      <c r="T1437" s="18"/>
      <c r="U1437" s="18"/>
      <c r="V1437" s="18"/>
      <c r="W1437" s="18"/>
      <c r="X1437" s="18"/>
      <c r="Y1437" s="18"/>
      <c r="Z1437" s="18"/>
      <c r="AA1437" s="18"/>
      <c r="AB1437" s="18"/>
      <c r="AC1437" s="18"/>
      <c r="AD1437" s="18"/>
      <c r="AE1437" s="18"/>
      <c r="AF1437" s="18"/>
      <c r="AG1437" s="18"/>
      <c r="AH1437" s="18"/>
      <c r="AI1437" s="18"/>
      <c r="AJ1437" s="18"/>
      <c r="AK1437" s="18"/>
      <c r="AL1437" s="18"/>
      <c r="AM1437" s="18"/>
      <c r="AN1437" s="18"/>
      <c r="AO1437" s="18"/>
      <c r="AP1437" s="18"/>
      <c r="AQ1437" s="18"/>
      <c r="AR1437" s="18"/>
      <c r="AS1437" s="18"/>
      <c r="AT1437" s="18"/>
      <c r="AU1437" s="18"/>
      <c r="AV1437" s="18"/>
      <c r="AW1437" s="18"/>
      <c r="AX1437" s="18"/>
      <c r="AY1437" s="18"/>
      <c r="AZ1437" s="18"/>
      <c r="BA1437" s="18"/>
      <c r="BB1437" s="18"/>
      <c r="BC1437" s="18"/>
      <c r="BD1437" s="18"/>
      <c r="BE1437" s="18"/>
      <c r="BF1437" s="18"/>
      <c r="BG1437" s="18"/>
      <c r="BH1437" s="18"/>
      <c r="BI1437" s="18"/>
      <c r="BJ1437" s="18"/>
      <c r="BK1437" s="18"/>
      <c r="BL1437" s="18"/>
      <c r="BM1437" s="18"/>
      <c r="BN1437" s="18"/>
    </row>
    <row r="1438" spans="1:66">
      <c r="A1438" s="18"/>
      <c r="B1438" s="18"/>
      <c r="C1438" s="18"/>
      <c r="D1438" s="18"/>
      <c r="E1438" s="18"/>
      <c r="F1438" s="18"/>
      <c r="G1438" s="18"/>
      <c r="H1438" s="18"/>
      <c r="I1438" s="18"/>
      <c r="J1438" s="18"/>
      <c r="K1438" s="18"/>
      <c r="L1438" s="18"/>
      <c r="M1438" s="18"/>
      <c r="N1438" s="18"/>
      <c r="O1438" s="18"/>
      <c r="P1438" s="18"/>
      <c r="Q1438" s="18"/>
      <c r="R1438" s="18"/>
      <c r="S1438" s="18"/>
      <c r="T1438" s="18"/>
      <c r="U1438" s="18"/>
      <c r="V1438" s="18"/>
      <c r="W1438" s="18"/>
      <c r="X1438" s="18"/>
      <c r="Y1438" s="18"/>
      <c r="Z1438" s="18"/>
      <c r="AA1438" s="18"/>
      <c r="AB1438" s="18"/>
      <c r="AC1438" s="18"/>
      <c r="AD1438" s="18"/>
      <c r="AE1438" s="18"/>
      <c r="AF1438" s="18"/>
      <c r="AG1438" s="18"/>
      <c r="AH1438" s="18"/>
      <c r="AI1438" s="18"/>
      <c r="AJ1438" s="18"/>
      <c r="AK1438" s="18"/>
      <c r="AL1438" s="18"/>
      <c r="AM1438" s="18"/>
      <c r="AN1438" s="18"/>
      <c r="AO1438" s="18"/>
      <c r="AP1438" s="18"/>
      <c r="AQ1438" s="18"/>
      <c r="AR1438" s="18"/>
      <c r="AS1438" s="18"/>
      <c r="AT1438" s="18"/>
      <c r="AU1438" s="18"/>
      <c r="AV1438" s="18"/>
      <c r="AW1438" s="18"/>
      <c r="AX1438" s="18"/>
      <c r="AY1438" s="18"/>
      <c r="AZ1438" s="18"/>
      <c r="BA1438" s="18"/>
      <c r="BB1438" s="18"/>
      <c r="BC1438" s="18"/>
      <c r="BD1438" s="18"/>
      <c r="BE1438" s="18"/>
      <c r="BF1438" s="18"/>
      <c r="BG1438" s="18"/>
      <c r="BH1438" s="18"/>
      <c r="BI1438" s="18"/>
      <c r="BJ1438" s="18"/>
      <c r="BK1438" s="18"/>
      <c r="BL1438" s="18"/>
      <c r="BM1438" s="18"/>
      <c r="BN1438" s="18"/>
    </row>
    <row r="1439" spans="1:66">
      <c r="A1439" s="18"/>
      <c r="B1439" s="18"/>
      <c r="C1439" s="18"/>
      <c r="D1439" s="18"/>
      <c r="E1439" s="18"/>
      <c r="F1439" s="18"/>
      <c r="G1439" s="18"/>
      <c r="H1439" s="18"/>
      <c r="I1439" s="18"/>
      <c r="J1439" s="18"/>
      <c r="K1439" s="18"/>
      <c r="L1439" s="18"/>
      <c r="M1439" s="18"/>
      <c r="N1439" s="18"/>
      <c r="O1439" s="18"/>
      <c r="P1439" s="18"/>
      <c r="Q1439" s="18"/>
      <c r="R1439" s="18"/>
      <c r="S1439" s="18"/>
      <c r="T1439" s="18"/>
      <c r="U1439" s="18"/>
      <c r="V1439" s="18"/>
      <c r="W1439" s="18"/>
      <c r="X1439" s="18"/>
      <c r="Y1439" s="18"/>
      <c r="Z1439" s="18"/>
      <c r="AA1439" s="18"/>
      <c r="AB1439" s="18"/>
      <c r="AC1439" s="18"/>
      <c r="AD1439" s="18"/>
      <c r="AE1439" s="18"/>
      <c r="AF1439" s="18"/>
      <c r="AG1439" s="18"/>
      <c r="AH1439" s="18"/>
      <c r="AI1439" s="18"/>
      <c r="AJ1439" s="18"/>
      <c r="AK1439" s="18"/>
      <c r="AL1439" s="18"/>
      <c r="AM1439" s="18"/>
      <c r="AN1439" s="18"/>
      <c r="AO1439" s="18"/>
      <c r="AP1439" s="18"/>
      <c r="AQ1439" s="18"/>
      <c r="AR1439" s="18"/>
      <c r="AS1439" s="18"/>
      <c r="AT1439" s="18"/>
      <c r="AU1439" s="18"/>
      <c r="AV1439" s="18"/>
      <c r="AW1439" s="18"/>
      <c r="AX1439" s="18"/>
      <c r="AY1439" s="18"/>
      <c r="AZ1439" s="18"/>
      <c r="BA1439" s="18"/>
      <c r="BB1439" s="18"/>
      <c r="BC1439" s="18"/>
      <c r="BD1439" s="18"/>
      <c r="BE1439" s="18"/>
      <c r="BF1439" s="18"/>
      <c r="BG1439" s="18"/>
      <c r="BH1439" s="18"/>
      <c r="BI1439" s="18"/>
      <c r="BJ1439" s="18"/>
      <c r="BK1439" s="18"/>
      <c r="BL1439" s="18"/>
      <c r="BM1439" s="18"/>
      <c r="BN1439" s="18"/>
    </row>
    <row r="1440" spans="1:66">
      <c r="A1440" s="18"/>
      <c r="B1440" s="18"/>
      <c r="C1440" s="18"/>
      <c r="D1440" s="18"/>
      <c r="E1440" s="18"/>
      <c r="F1440" s="18"/>
      <c r="G1440" s="18"/>
      <c r="H1440" s="18"/>
      <c r="I1440" s="18"/>
      <c r="J1440" s="18"/>
      <c r="K1440" s="18"/>
      <c r="L1440" s="18"/>
      <c r="M1440" s="18"/>
      <c r="N1440" s="18"/>
      <c r="O1440" s="18"/>
      <c r="P1440" s="18"/>
      <c r="Q1440" s="18"/>
      <c r="R1440" s="18"/>
      <c r="S1440" s="18"/>
      <c r="T1440" s="18"/>
      <c r="U1440" s="18"/>
      <c r="V1440" s="18"/>
      <c r="W1440" s="18"/>
      <c r="X1440" s="18"/>
      <c r="Y1440" s="18"/>
      <c r="Z1440" s="18"/>
      <c r="AA1440" s="18"/>
      <c r="AB1440" s="18"/>
      <c r="AC1440" s="18"/>
      <c r="AD1440" s="18"/>
      <c r="AE1440" s="18"/>
      <c r="AF1440" s="18"/>
      <c r="AG1440" s="18"/>
      <c r="AH1440" s="18"/>
      <c r="AI1440" s="18"/>
      <c r="AJ1440" s="18"/>
      <c r="AK1440" s="18"/>
      <c r="AL1440" s="18"/>
      <c r="AM1440" s="18"/>
      <c r="AN1440" s="18"/>
      <c r="AO1440" s="18"/>
      <c r="AP1440" s="18"/>
      <c r="AQ1440" s="18"/>
      <c r="AR1440" s="18"/>
      <c r="AS1440" s="18"/>
      <c r="AT1440" s="18"/>
      <c r="AU1440" s="18"/>
      <c r="AV1440" s="18"/>
      <c r="AW1440" s="18"/>
      <c r="AX1440" s="18"/>
      <c r="AY1440" s="18"/>
      <c r="AZ1440" s="18"/>
      <c r="BA1440" s="18"/>
      <c r="BB1440" s="18"/>
      <c r="BC1440" s="18"/>
      <c r="BD1440" s="18"/>
      <c r="BE1440" s="18"/>
      <c r="BF1440" s="18"/>
      <c r="BG1440" s="18"/>
      <c r="BH1440" s="18"/>
      <c r="BI1440" s="18"/>
      <c r="BJ1440" s="18"/>
      <c r="BK1440" s="18"/>
      <c r="BL1440" s="18"/>
      <c r="BM1440" s="18"/>
      <c r="BN1440" s="18"/>
    </row>
    <row r="1441" spans="1:66">
      <c r="A1441" s="18"/>
      <c r="B1441" s="18"/>
      <c r="C1441" s="18"/>
      <c r="D1441" s="18"/>
      <c r="E1441" s="18"/>
      <c r="F1441" s="18"/>
      <c r="G1441" s="18"/>
      <c r="H1441" s="18"/>
      <c r="I1441" s="18"/>
      <c r="J1441" s="18"/>
      <c r="K1441" s="18"/>
      <c r="L1441" s="18"/>
      <c r="M1441" s="18"/>
      <c r="N1441" s="18"/>
      <c r="O1441" s="18"/>
      <c r="P1441" s="18"/>
      <c r="Q1441" s="18"/>
      <c r="R1441" s="18"/>
      <c r="S1441" s="18"/>
      <c r="T1441" s="18"/>
      <c r="U1441" s="18"/>
      <c r="V1441" s="18"/>
      <c r="W1441" s="18"/>
      <c r="X1441" s="18"/>
      <c r="Y1441" s="18"/>
      <c r="Z1441" s="18"/>
      <c r="AA1441" s="18"/>
      <c r="AB1441" s="18"/>
      <c r="AC1441" s="18"/>
      <c r="AD1441" s="18"/>
      <c r="AE1441" s="18"/>
      <c r="AF1441" s="18"/>
      <c r="AG1441" s="18"/>
      <c r="AH1441" s="18"/>
      <c r="AI1441" s="18"/>
      <c r="AJ1441" s="18"/>
      <c r="AK1441" s="18"/>
      <c r="AL1441" s="18"/>
      <c r="AM1441" s="18"/>
      <c r="AN1441" s="18"/>
      <c r="AO1441" s="18"/>
      <c r="AP1441" s="18"/>
      <c r="AQ1441" s="18"/>
      <c r="AR1441" s="18"/>
      <c r="AS1441" s="18"/>
      <c r="AT1441" s="18"/>
      <c r="AU1441" s="18"/>
      <c r="AV1441" s="18"/>
      <c r="AW1441" s="18"/>
      <c r="AX1441" s="18"/>
      <c r="AY1441" s="18"/>
      <c r="AZ1441" s="18"/>
      <c r="BA1441" s="18"/>
      <c r="BB1441" s="18"/>
      <c r="BC1441" s="18"/>
      <c r="BD1441" s="18"/>
      <c r="BE1441" s="18"/>
      <c r="BF1441" s="18"/>
      <c r="BG1441" s="18"/>
      <c r="BH1441" s="18"/>
      <c r="BI1441" s="18"/>
      <c r="BJ1441" s="18"/>
      <c r="BK1441" s="18"/>
      <c r="BL1441" s="18"/>
      <c r="BM1441" s="18"/>
      <c r="BN1441" s="18"/>
    </row>
    <row r="1442" spans="1:66">
      <c r="A1442" s="18"/>
      <c r="B1442" s="18"/>
      <c r="C1442" s="18"/>
      <c r="D1442" s="18"/>
      <c r="E1442" s="18"/>
      <c r="F1442" s="18"/>
      <c r="G1442" s="18"/>
      <c r="H1442" s="18"/>
      <c r="I1442" s="18"/>
      <c r="J1442" s="18"/>
      <c r="K1442" s="18"/>
      <c r="L1442" s="18"/>
      <c r="M1442" s="18"/>
      <c r="N1442" s="18"/>
      <c r="O1442" s="18"/>
      <c r="P1442" s="18"/>
      <c r="Q1442" s="18"/>
      <c r="R1442" s="18"/>
      <c r="S1442" s="18"/>
      <c r="T1442" s="18"/>
      <c r="U1442" s="18"/>
      <c r="V1442" s="18"/>
      <c r="W1442" s="18"/>
      <c r="X1442" s="18"/>
      <c r="Y1442" s="18"/>
      <c r="Z1442" s="18"/>
      <c r="AA1442" s="18"/>
      <c r="AB1442" s="18"/>
      <c r="AC1442" s="18"/>
      <c r="AD1442" s="18"/>
      <c r="AE1442" s="18"/>
      <c r="AF1442" s="18"/>
      <c r="AG1442" s="18"/>
      <c r="AH1442" s="18"/>
      <c r="AI1442" s="18"/>
      <c r="AJ1442" s="18"/>
      <c r="AK1442" s="18"/>
      <c r="AL1442" s="18"/>
      <c r="AM1442" s="18"/>
      <c r="AN1442" s="18"/>
      <c r="AO1442" s="18"/>
      <c r="AP1442" s="18"/>
      <c r="AQ1442" s="18"/>
      <c r="AR1442" s="18"/>
      <c r="AS1442" s="18"/>
      <c r="AT1442" s="18"/>
      <c r="AU1442" s="18"/>
      <c r="AV1442" s="18"/>
      <c r="AW1442" s="18"/>
      <c r="AX1442" s="18"/>
      <c r="AY1442" s="18"/>
      <c r="AZ1442" s="18"/>
      <c r="BA1442" s="18"/>
      <c r="BB1442" s="18"/>
      <c r="BC1442" s="18"/>
      <c r="BD1442" s="18"/>
      <c r="BE1442" s="18"/>
      <c r="BF1442" s="18"/>
      <c r="BG1442" s="18"/>
      <c r="BH1442" s="18"/>
      <c r="BI1442" s="18"/>
      <c r="BJ1442" s="18"/>
      <c r="BK1442" s="18"/>
      <c r="BL1442" s="18"/>
      <c r="BM1442" s="18"/>
      <c r="BN1442" s="18"/>
    </row>
    <row r="1443" spans="1:66">
      <c r="A1443" s="18"/>
      <c r="B1443" s="18"/>
      <c r="C1443" s="18"/>
      <c r="D1443" s="18"/>
      <c r="E1443" s="18"/>
      <c r="F1443" s="18"/>
      <c r="G1443" s="18"/>
      <c r="H1443" s="18"/>
      <c r="I1443" s="18"/>
      <c r="J1443" s="18"/>
      <c r="K1443" s="18"/>
      <c r="L1443" s="18"/>
      <c r="M1443" s="18"/>
      <c r="N1443" s="18"/>
      <c r="O1443" s="18"/>
      <c r="P1443" s="18"/>
      <c r="Q1443" s="18"/>
      <c r="R1443" s="18"/>
      <c r="S1443" s="18"/>
      <c r="T1443" s="18"/>
      <c r="U1443" s="18"/>
      <c r="V1443" s="18"/>
      <c r="W1443" s="18"/>
      <c r="X1443" s="18"/>
      <c r="Y1443" s="18"/>
      <c r="Z1443" s="18"/>
      <c r="AA1443" s="18"/>
      <c r="AB1443" s="18"/>
      <c r="AC1443" s="18"/>
      <c r="AD1443" s="18"/>
      <c r="AE1443" s="18"/>
      <c r="AF1443" s="18"/>
      <c r="AG1443" s="18"/>
      <c r="AH1443" s="18"/>
      <c r="AI1443" s="18"/>
      <c r="AJ1443" s="18"/>
      <c r="AK1443" s="18"/>
      <c r="AL1443" s="18"/>
      <c r="AM1443" s="18"/>
      <c r="AN1443" s="18"/>
      <c r="AO1443" s="18"/>
      <c r="AP1443" s="18"/>
      <c r="AQ1443" s="18"/>
      <c r="AR1443" s="18"/>
      <c r="AS1443" s="18"/>
      <c r="AT1443" s="18"/>
      <c r="AU1443" s="18"/>
      <c r="AV1443" s="18"/>
      <c r="AW1443" s="18"/>
      <c r="AX1443" s="18"/>
      <c r="AY1443" s="18"/>
      <c r="AZ1443" s="18"/>
      <c r="BA1443" s="18"/>
      <c r="BB1443" s="18"/>
      <c r="BC1443" s="18"/>
      <c r="BD1443" s="18"/>
      <c r="BE1443" s="18"/>
      <c r="BF1443" s="18"/>
      <c r="BG1443" s="18"/>
      <c r="BH1443" s="18"/>
      <c r="BI1443" s="18"/>
      <c r="BJ1443" s="18"/>
      <c r="BK1443" s="18"/>
      <c r="BL1443" s="18"/>
      <c r="BM1443" s="18"/>
      <c r="BN1443" s="18"/>
    </row>
    <row r="1444" spans="1:66">
      <c r="A1444" s="18"/>
      <c r="B1444" s="18"/>
      <c r="C1444" s="18"/>
      <c r="D1444" s="18"/>
      <c r="E1444" s="18"/>
      <c r="F1444" s="18"/>
      <c r="G1444" s="18"/>
      <c r="H1444" s="18"/>
      <c r="I1444" s="18"/>
      <c r="J1444" s="18"/>
      <c r="K1444" s="18"/>
      <c r="L1444" s="18"/>
      <c r="M1444" s="18"/>
      <c r="N1444" s="18"/>
      <c r="O1444" s="18"/>
      <c r="P1444" s="18"/>
      <c r="Q1444" s="18"/>
      <c r="R1444" s="18"/>
      <c r="S1444" s="18"/>
      <c r="T1444" s="18"/>
      <c r="U1444" s="18"/>
      <c r="V1444" s="18"/>
      <c r="W1444" s="18"/>
      <c r="X1444" s="18"/>
      <c r="Y1444" s="18"/>
      <c r="Z1444" s="18"/>
      <c r="AA1444" s="18"/>
      <c r="AB1444" s="18"/>
      <c r="AC1444" s="18"/>
      <c r="AD1444" s="18"/>
      <c r="AE1444" s="18"/>
      <c r="AF1444" s="18"/>
      <c r="AG1444" s="18"/>
      <c r="AH1444" s="18"/>
      <c r="AI1444" s="18"/>
      <c r="AJ1444" s="18"/>
      <c r="AK1444" s="18"/>
      <c r="AL1444" s="18"/>
      <c r="AM1444" s="18"/>
      <c r="AN1444" s="18"/>
      <c r="AO1444" s="18"/>
      <c r="AP1444" s="18"/>
      <c r="AQ1444" s="18"/>
      <c r="AR1444" s="18"/>
      <c r="AS1444" s="18"/>
      <c r="AT1444" s="18"/>
      <c r="AU1444" s="18"/>
      <c r="AV1444" s="18"/>
      <c r="AW1444" s="18"/>
      <c r="AX1444" s="18"/>
      <c r="AY1444" s="18"/>
      <c r="AZ1444" s="18"/>
      <c r="BA1444" s="18"/>
      <c r="BB1444" s="18"/>
      <c r="BC1444" s="18"/>
      <c r="BD1444" s="18"/>
      <c r="BE1444" s="18"/>
      <c r="BF1444" s="18"/>
      <c r="BG1444" s="18"/>
      <c r="BH1444" s="18"/>
      <c r="BI1444" s="18"/>
      <c r="BJ1444" s="18"/>
      <c r="BK1444" s="18"/>
      <c r="BL1444" s="18"/>
      <c r="BM1444" s="18"/>
      <c r="BN1444" s="18"/>
    </row>
    <row r="1445" spans="1:66">
      <c r="A1445" s="18"/>
      <c r="B1445" s="18"/>
      <c r="C1445" s="18"/>
      <c r="D1445" s="18"/>
      <c r="E1445" s="18"/>
      <c r="F1445" s="18"/>
      <c r="G1445" s="18"/>
      <c r="H1445" s="18"/>
      <c r="I1445" s="18"/>
      <c r="J1445" s="18"/>
      <c r="K1445" s="18"/>
      <c r="L1445" s="18"/>
      <c r="M1445" s="18"/>
      <c r="N1445" s="18"/>
      <c r="O1445" s="18"/>
      <c r="P1445" s="18"/>
      <c r="Q1445" s="18"/>
      <c r="R1445" s="18"/>
      <c r="S1445" s="18"/>
      <c r="T1445" s="18"/>
      <c r="U1445" s="18"/>
      <c r="V1445" s="18"/>
      <c r="W1445" s="18"/>
      <c r="X1445" s="18"/>
      <c r="Y1445" s="18"/>
      <c r="Z1445" s="18"/>
      <c r="AA1445" s="18"/>
      <c r="AB1445" s="18"/>
      <c r="AC1445" s="18"/>
      <c r="AD1445" s="18"/>
      <c r="AE1445" s="18"/>
      <c r="AF1445" s="18"/>
      <c r="AG1445" s="18"/>
      <c r="AH1445" s="18"/>
      <c r="AI1445" s="18"/>
      <c r="AJ1445" s="18"/>
      <c r="AK1445" s="18"/>
      <c r="AL1445" s="18"/>
      <c r="AM1445" s="18"/>
      <c r="AN1445" s="18"/>
      <c r="AO1445" s="18"/>
      <c r="AP1445" s="18"/>
      <c r="AQ1445" s="18"/>
      <c r="AR1445" s="18"/>
      <c r="AS1445" s="18"/>
      <c r="AT1445" s="18"/>
      <c r="AU1445" s="18"/>
      <c r="AV1445" s="18"/>
      <c r="AW1445" s="18"/>
      <c r="AX1445" s="18"/>
      <c r="AY1445" s="18"/>
      <c r="AZ1445" s="18"/>
      <c r="BA1445" s="18"/>
      <c r="BB1445" s="18"/>
      <c r="BC1445" s="18"/>
      <c r="BD1445" s="18"/>
      <c r="BE1445" s="18"/>
      <c r="BF1445" s="18"/>
      <c r="BG1445" s="18"/>
      <c r="BH1445" s="18"/>
      <c r="BI1445" s="18"/>
      <c r="BJ1445" s="18"/>
      <c r="BK1445" s="18"/>
      <c r="BL1445" s="18"/>
      <c r="BM1445" s="18"/>
      <c r="BN1445" s="18"/>
    </row>
    <row r="1446" spans="1:66">
      <c r="A1446" s="18"/>
      <c r="B1446" s="18"/>
      <c r="C1446" s="18"/>
      <c r="D1446" s="18"/>
      <c r="E1446" s="18"/>
      <c r="F1446" s="18"/>
      <c r="G1446" s="18"/>
      <c r="H1446" s="18"/>
      <c r="I1446" s="18"/>
      <c r="J1446" s="18"/>
      <c r="K1446" s="18"/>
      <c r="L1446" s="18"/>
      <c r="M1446" s="18"/>
      <c r="N1446" s="18"/>
      <c r="O1446" s="18"/>
      <c r="P1446" s="18"/>
      <c r="Q1446" s="18"/>
      <c r="R1446" s="18"/>
      <c r="S1446" s="18"/>
      <c r="T1446" s="18"/>
      <c r="U1446" s="18"/>
      <c r="V1446" s="18"/>
      <c r="W1446" s="18"/>
      <c r="X1446" s="18"/>
      <c r="Y1446" s="18"/>
      <c r="Z1446" s="18"/>
      <c r="AA1446" s="18"/>
      <c r="AB1446" s="18"/>
      <c r="AC1446" s="18"/>
      <c r="AD1446" s="18"/>
      <c r="AE1446" s="18"/>
      <c r="AF1446" s="18"/>
      <c r="AG1446" s="18"/>
      <c r="AH1446" s="18"/>
      <c r="AI1446" s="18"/>
      <c r="AJ1446" s="18"/>
      <c r="AK1446" s="18"/>
      <c r="AL1446" s="18"/>
      <c r="AM1446" s="18"/>
      <c r="AN1446" s="18"/>
      <c r="AO1446" s="18"/>
      <c r="AP1446" s="18"/>
      <c r="AQ1446" s="18"/>
      <c r="AR1446" s="18"/>
      <c r="AS1446" s="18"/>
      <c r="AT1446" s="18"/>
      <c r="AU1446" s="18"/>
      <c r="AV1446" s="18"/>
      <c r="AW1446" s="18"/>
      <c r="AX1446" s="18"/>
      <c r="AY1446" s="18"/>
      <c r="AZ1446" s="18"/>
      <c r="BA1446" s="18"/>
      <c r="BB1446" s="18"/>
      <c r="BC1446" s="18"/>
      <c r="BD1446" s="18"/>
      <c r="BE1446" s="18"/>
      <c r="BF1446" s="18"/>
      <c r="BG1446" s="18"/>
      <c r="BH1446" s="18"/>
      <c r="BI1446" s="18"/>
      <c r="BJ1446" s="18"/>
      <c r="BK1446" s="18"/>
      <c r="BL1446" s="18"/>
      <c r="BM1446" s="18"/>
      <c r="BN1446" s="18"/>
    </row>
    <row r="1447" spans="1:66">
      <c r="A1447" s="18"/>
      <c r="B1447" s="18"/>
      <c r="C1447" s="18"/>
      <c r="D1447" s="18"/>
      <c r="E1447" s="18"/>
      <c r="F1447" s="18"/>
      <c r="G1447" s="18"/>
      <c r="H1447" s="18"/>
      <c r="I1447" s="18"/>
      <c r="J1447" s="18"/>
      <c r="K1447" s="18"/>
      <c r="L1447" s="18"/>
      <c r="M1447" s="18"/>
      <c r="N1447" s="18"/>
      <c r="O1447" s="18"/>
      <c r="P1447" s="18"/>
      <c r="Q1447" s="18"/>
      <c r="R1447" s="18"/>
      <c r="S1447" s="18"/>
      <c r="T1447" s="18"/>
      <c r="U1447" s="18"/>
      <c r="V1447" s="18"/>
      <c r="W1447" s="18"/>
      <c r="X1447" s="18"/>
      <c r="Y1447" s="18"/>
      <c r="Z1447" s="18"/>
      <c r="AA1447" s="18"/>
      <c r="AB1447" s="18"/>
      <c r="AC1447" s="18"/>
      <c r="AD1447" s="18"/>
      <c r="AE1447" s="18"/>
      <c r="AF1447" s="18"/>
      <c r="AG1447" s="18"/>
      <c r="AH1447" s="18"/>
      <c r="AI1447" s="18"/>
      <c r="AJ1447" s="18"/>
      <c r="AK1447" s="18"/>
      <c r="AL1447" s="18"/>
      <c r="AM1447" s="18"/>
      <c r="AN1447" s="18"/>
      <c r="AO1447" s="18"/>
      <c r="AP1447" s="18"/>
      <c r="AQ1447" s="18"/>
      <c r="AR1447" s="18"/>
      <c r="AS1447" s="18"/>
      <c r="AT1447" s="18"/>
      <c r="AU1447" s="18"/>
      <c r="AV1447" s="18"/>
      <c r="AW1447" s="18"/>
      <c r="AX1447" s="18"/>
      <c r="AY1447" s="18"/>
      <c r="AZ1447" s="18"/>
      <c r="BA1447" s="18"/>
      <c r="BB1447" s="18"/>
      <c r="BC1447" s="18"/>
      <c r="BD1447" s="18"/>
      <c r="BE1447" s="18"/>
      <c r="BF1447" s="18"/>
      <c r="BG1447" s="18"/>
      <c r="BH1447" s="18"/>
      <c r="BI1447" s="18"/>
      <c r="BJ1447" s="18"/>
      <c r="BK1447" s="18"/>
      <c r="BL1447" s="18"/>
      <c r="BM1447" s="18"/>
      <c r="BN1447" s="18"/>
    </row>
    <row r="1448" spans="1:66">
      <c r="A1448" s="18"/>
      <c r="B1448" s="18"/>
      <c r="C1448" s="18"/>
      <c r="D1448" s="18"/>
      <c r="E1448" s="18"/>
      <c r="F1448" s="18"/>
      <c r="G1448" s="18"/>
      <c r="H1448" s="18"/>
      <c r="I1448" s="18"/>
      <c r="J1448" s="18"/>
      <c r="K1448" s="18"/>
      <c r="L1448" s="18"/>
      <c r="M1448" s="18"/>
      <c r="N1448" s="18"/>
      <c r="O1448" s="18"/>
      <c r="P1448" s="18"/>
      <c r="Q1448" s="18"/>
      <c r="R1448" s="18"/>
      <c r="S1448" s="18"/>
      <c r="T1448" s="18"/>
      <c r="U1448" s="18"/>
      <c r="V1448" s="18"/>
      <c r="W1448" s="18"/>
      <c r="X1448" s="18"/>
      <c r="Y1448" s="18"/>
      <c r="Z1448" s="18"/>
      <c r="AA1448" s="18"/>
      <c r="AB1448" s="18"/>
      <c r="AC1448" s="18"/>
      <c r="AD1448" s="18"/>
      <c r="AE1448" s="18"/>
      <c r="AF1448" s="18"/>
      <c r="AG1448" s="18"/>
      <c r="AH1448" s="18"/>
      <c r="AI1448" s="18"/>
      <c r="AJ1448" s="18"/>
      <c r="AK1448" s="18"/>
      <c r="AL1448" s="18"/>
      <c r="AM1448" s="18"/>
      <c r="AN1448" s="18"/>
      <c r="AO1448" s="18"/>
      <c r="AP1448" s="18"/>
      <c r="AQ1448" s="18"/>
      <c r="AR1448" s="18"/>
      <c r="AS1448" s="18"/>
      <c r="AT1448" s="18"/>
      <c r="AU1448" s="18"/>
      <c r="AV1448" s="18"/>
      <c r="AW1448" s="18"/>
      <c r="AX1448" s="18"/>
      <c r="AY1448" s="18"/>
      <c r="AZ1448" s="18"/>
      <c r="BA1448" s="18"/>
      <c r="BB1448" s="18"/>
      <c r="BC1448" s="18"/>
      <c r="BD1448" s="18"/>
      <c r="BE1448" s="18"/>
      <c r="BF1448" s="18"/>
      <c r="BG1448" s="18"/>
      <c r="BH1448" s="18"/>
      <c r="BI1448" s="18"/>
      <c r="BJ1448" s="18"/>
      <c r="BK1448" s="18"/>
      <c r="BL1448" s="18"/>
      <c r="BM1448" s="18"/>
      <c r="BN1448" s="18"/>
    </row>
    <row r="1449" spans="1:66">
      <c r="A1449" s="18"/>
      <c r="B1449" s="18"/>
      <c r="C1449" s="18"/>
      <c r="D1449" s="18"/>
      <c r="E1449" s="18"/>
      <c r="F1449" s="18"/>
      <c r="G1449" s="18"/>
      <c r="H1449" s="18"/>
      <c r="I1449" s="18"/>
      <c r="J1449" s="18"/>
      <c r="K1449" s="18"/>
      <c r="L1449" s="18"/>
      <c r="M1449" s="18"/>
      <c r="N1449" s="18"/>
      <c r="O1449" s="18"/>
      <c r="P1449" s="18"/>
      <c r="Q1449" s="18"/>
      <c r="R1449" s="18"/>
      <c r="S1449" s="18"/>
      <c r="T1449" s="18"/>
      <c r="U1449" s="18"/>
      <c r="V1449" s="18"/>
      <c r="W1449" s="18"/>
      <c r="X1449" s="18"/>
      <c r="Y1449" s="18"/>
      <c r="Z1449" s="18"/>
      <c r="AA1449" s="18"/>
      <c r="AB1449" s="18"/>
      <c r="AC1449" s="18"/>
      <c r="AD1449" s="18"/>
      <c r="AE1449" s="18"/>
      <c r="AF1449" s="18"/>
      <c r="AG1449" s="18"/>
      <c r="AH1449" s="18"/>
      <c r="AI1449" s="18"/>
      <c r="AJ1449" s="18"/>
      <c r="AK1449" s="18"/>
      <c r="AL1449" s="18"/>
      <c r="AM1449" s="18"/>
      <c r="AN1449" s="18"/>
      <c r="AO1449" s="18"/>
      <c r="AP1449" s="18"/>
      <c r="AQ1449" s="18"/>
      <c r="AR1449" s="18"/>
      <c r="AS1449" s="18"/>
      <c r="AT1449" s="18"/>
      <c r="AU1449" s="18"/>
      <c r="AV1449" s="18"/>
      <c r="AW1449" s="18"/>
      <c r="AX1449" s="18"/>
      <c r="AY1449" s="18"/>
      <c r="AZ1449" s="18"/>
      <c r="BA1449" s="18"/>
      <c r="BB1449" s="18"/>
      <c r="BC1449" s="18"/>
      <c r="BD1449" s="18"/>
      <c r="BE1449" s="18"/>
      <c r="BF1449" s="18"/>
      <c r="BG1449" s="18"/>
      <c r="BH1449" s="18"/>
      <c r="BI1449" s="18"/>
      <c r="BJ1449" s="18"/>
      <c r="BK1449" s="18"/>
      <c r="BL1449" s="18"/>
      <c r="BM1449" s="18"/>
      <c r="BN1449" s="18"/>
    </row>
    <row r="1450" spans="1:66">
      <c r="A1450" s="18"/>
      <c r="B1450" s="18"/>
      <c r="C1450" s="18"/>
      <c r="D1450" s="18"/>
      <c r="E1450" s="18"/>
      <c r="F1450" s="18"/>
      <c r="G1450" s="18"/>
      <c r="H1450" s="18"/>
      <c r="I1450" s="18"/>
      <c r="J1450" s="18"/>
      <c r="K1450" s="18"/>
      <c r="L1450" s="18"/>
      <c r="M1450" s="18"/>
      <c r="N1450" s="18"/>
      <c r="O1450" s="18"/>
      <c r="P1450" s="18"/>
      <c r="Q1450" s="18"/>
      <c r="R1450" s="18"/>
      <c r="S1450" s="18"/>
      <c r="T1450" s="18"/>
      <c r="U1450" s="18"/>
      <c r="V1450" s="18"/>
      <c r="W1450" s="18"/>
      <c r="X1450" s="18"/>
      <c r="Y1450" s="18"/>
      <c r="Z1450" s="18"/>
      <c r="AA1450" s="18"/>
      <c r="AB1450" s="18"/>
      <c r="AC1450" s="18"/>
      <c r="AD1450" s="18"/>
      <c r="AE1450" s="18"/>
      <c r="AF1450" s="18"/>
      <c r="AG1450" s="18"/>
      <c r="AH1450" s="18"/>
      <c r="AI1450" s="18"/>
      <c r="AJ1450" s="18"/>
      <c r="AK1450" s="18"/>
      <c r="AL1450" s="18"/>
      <c r="AM1450" s="18"/>
      <c r="AN1450" s="18"/>
      <c r="AO1450" s="18"/>
      <c r="AP1450" s="18"/>
      <c r="AQ1450" s="18"/>
      <c r="AR1450" s="18"/>
      <c r="AS1450" s="18"/>
      <c r="AT1450" s="18"/>
      <c r="AU1450" s="18"/>
      <c r="AV1450" s="18"/>
      <c r="AW1450" s="18"/>
      <c r="AX1450" s="18"/>
      <c r="AY1450" s="18"/>
      <c r="AZ1450" s="18"/>
      <c r="BA1450" s="18"/>
      <c r="BB1450" s="18"/>
      <c r="BC1450" s="18"/>
      <c r="BD1450" s="18"/>
      <c r="BE1450" s="18"/>
      <c r="BF1450" s="18"/>
      <c r="BG1450" s="18"/>
      <c r="BH1450" s="18"/>
      <c r="BI1450" s="18"/>
      <c r="BJ1450" s="18"/>
      <c r="BK1450" s="18"/>
      <c r="BL1450" s="18"/>
      <c r="BM1450" s="18"/>
      <c r="BN1450" s="18"/>
    </row>
    <row r="1451" spans="1:66">
      <c r="A1451" s="18"/>
      <c r="B1451" s="18"/>
      <c r="C1451" s="18"/>
      <c r="D1451" s="18"/>
      <c r="E1451" s="18"/>
      <c r="F1451" s="18"/>
      <c r="G1451" s="18"/>
      <c r="H1451" s="18"/>
      <c r="I1451" s="18"/>
      <c r="J1451" s="18"/>
      <c r="K1451" s="18"/>
      <c r="L1451" s="18"/>
      <c r="M1451" s="18"/>
      <c r="N1451" s="18"/>
      <c r="O1451" s="18"/>
      <c r="P1451" s="18"/>
      <c r="Q1451" s="18"/>
      <c r="R1451" s="18"/>
      <c r="S1451" s="18"/>
      <c r="T1451" s="18"/>
      <c r="U1451" s="18"/>
      <c r="V1451" s="18"/>
      <c r="W1451" s="18"/>
      <c r="X1451" s="18"/>
      <c r="Y1451" s="18"/>
      <c r="Z1451" s="18"/>
      <c r="AA1451" s="18"/>
      <c r="AB1451" s="18"/>
      <c r="AC1451" s="18"/>
      <c r="AD1451" s="18"/>
      <c r="AE1451" s="18"/>
      <c r="AF1451" s="18"/>
      <c r="AG1451" s="18"/>
      <c r="AH1451" s="18"/>
      <c r="AI1451" s="18"/>
      <c r="AJ1451" s="18"/>
      <c r="AK1451" s="18"/>
      <c r="AL1451" s="18"/>
      <c r="AM1451" s="18"/>
      <c r="AN1451" s="18"/>
      <c r="AO1451" s="18"/>
      <c r="AP1451" s="18"/>
      <c r="AQ1451" s="18"/>
      <c r="AR1451" s="18"/>
      <c r="AS1451" s="18"/>
      <c r="AT1451" s="18"/>
      <c r="AU1451" s="18"/>
      <c r="AV1451" s="18"/>
      <c r="AW1451" s="18"/>
      <c r="AX1451" s="18"/>
      <c r="AY1451" s="18"/>
      <c r="AZ1451" s="18"/>
      <c r="BA1451" s="18"/>
      <c r="BB1451" s="18"/>
      <c r="BC1451" s="18"/>
      <c r="BD1451" s="18"/>
      <c r="BE1451" s="18"/>
      <c r="BF1451" s="18"/>
      <c r="BG1451" s="18"/>
      <c r="BH1451" s="18"/>
      <c r="BI1451" s="18"/>
      <c r="BJ1451" s="18"/>
      <c r="BK1451" s="18"/>
      <c r="BL1451" s="18"/>
      <c r="BM1451" s="18"/>
      <c r="BN1451" s="18"/>
    </row>
    <row r="1452" spans="1:66">
      <c r="A1452" s="18"/>
      <c r="B1452" s="18"/>
      <c r="C1452" s="18"/>
      <c r="D1452" s="18"/>
      <c r="E1452" s="18"/>
      <c r="F1452" s="18"/>
      <c r="G1452" s="18"/>
      <c r="H1452" s="18"/>
      <c r="I1452" s="18"/>
      <c r="J1452" s="18"/>
      <c r="K1452" s="18"/>
      <c r="L1452" s="18"/>
      <c r="M1452" s="18"/>
      <c r="N1452" s="18"/>
      <c r="O1452" s="18"/>
      <c r="P1452" s="18"/>
      <c r="Q1452" s="18"/>
      <c r="R1452" s="18"/>
      <c r="S1452" s="18"/>
      <c r="T1452" s="18"/>
      <c r="U1452" s="18"/>
      <c r="V1452" s="18"/>
      <c r="W1452" s="18"/>
      <c r="X1452" s="18"/>
      <c r="Y1452" s="18"/>
      <c r="Z1452" s="18"/>
      <c r="AA1452" s="18"/>
      <c r="AB1452" s="18"/>
      <c r="AC1452" s="18"/>
      <c r="AD1452" s="18"/>
      <c r="AE1452" s="18"/>
      <c r="AF1452" s="18"/>
      <c r="AG1452" s="18"/>
      <c r="AH1452" s="18"/>
      <c r="AI1452" s="18"/>
      <c r="AJ1452" s="18"/>
      <c r="AK1452" s="18"/>
      <c r="AL1452" s="18"/>
      <c r="AM1452" s="18"/>
      <c r="AN1452" s="18"/>
      <c r="AO1452" s="18"/>
      <c r="AP1452" s="18"/>
      <c r="AQ1452" s="18"/>
      <c r="AR1452" s="18"/>
      <c r="AS1452" s="18"/>
      <c r="AT1452" s="18"/>
      <c r="AU1452" s="18"/>
      <c r="AV1452" s="18"/>
      <c r="AW1452" s="18"/>
      <c r="AX1452" s="18"/>
      <c r="AY1452" s="18"/>
      <c r="AZ1452" s="18"/>
      <c r="BA1452" s="18"/>
      <c r="BB1452" s="18"/>
      <c r="BC1452" s="18"/>
      <c r="BD1452" s="18"/>
      <c r="BE1452" s="18"/>
      <c r="BF1452" s="18"/>
      <c r="BG1452" s="18"/>
      <c r="BH1452" s="18"/>
      <c r="BI1452" s="18"/>
      <c r="BJ1452" s="18"/>
      <c r="BK1452" s="18"/>
      <c r="BL1452" s="18"/>
      <c r="BM1452" s="18"/>
      <c r="BN1452" s="18"/>
    </row>
    <row r="1453" spans="1:66">
      <c r="A1453" s="18"/>
      <c r="B1453" s="18"/>
      <c r="C1453" s="18"/>
      <c r="D1453" s="18"/>
      <c r="E1453" s="18"/>
      <c r="F1453" s="18"/>
      <c r="G1453" s="18"/>
      <c r="H1453" s="18"/>
      <c r="I1453" s="18"/>
      <c r="J1453" s="18"/>
      <c r="K1453" s="18"/>
      <c r="L1453" s="18"/>
      <c r="M1453" s="18"/>
      <c r="N1453" s="18"/>
      <c r="O1453" s="18"/>
      <c r="P1453" s="18"/>
      <c r="Q1453" s="18"/>
      <c r="R1453" s="18"/>
      <c r="S1453" s="18"/>
      <c r="T1453" s="18"/>
      <c r="U1453" s="18"/>
      <c r="V1453" s="18"/>
      <c r="W1453" s="18"/>
      <c r="X1453" s="18"/>
      <c r="Y1453" s="18"/>
      <c r="Z1453" s="18"/>
      <c r="AA1453" s="18"/>
      <c r="AB1453" s="18"/>
      <c r="AC1453" s="18"/>
      <c r="AD1453" s="18"/>
      <c r="AE1453" s="18"/>
      <c r="AF1453" s="18"/>
      <c r="AG1453" s="18"/>
      <c r="AH1453" s="18"/>
      <c r="AI1453" s="18"/>
      <c r="AJ1453" s="18"/>
      <c r="AK1453" s="18"/>
      <c r="AL1453" s="18"/>
      <c r="AM1453" s="18"/>
      <c r="AN1453" s="18"/>
      <c r="AO1453" s="18"/>
      <c r="AP1453" s="18"/>
      <c r="AQ1453" s="18"/>
      <c r="AR1453" s="18"/>
      <c r="AS1453" s="18"/>
      <c r="AT1453" s="18"/>
      <c r="AU1453" s="18"/>
      <c r="AV1453" s="18"/>
      <c r="AW1453" s="18"/>
      <c r="AX1453" s="18"/>
      <c r="AY1453" s="18"/>
      <c r="AZ1453" s="18"/>
      <c r="BA1453" s="18"/>
      <c r="BB1453" s="18"/>
      <c r="BC1453" s="18"/>
      <c r="BD1453" s="18"/>
      <c r="BE1453" s="18"/>
      <c r="BF1453" s="18"/>
      <c r="BG1453" s="18"/>
      <c r="BH1453" s="18"/>
      <c r="BI1453" s="18"/>
      <c r="BJ1453" s="18"/>
      <c r="BK1453" s="18"/>
      <c r="BL1453" s="18"/>
      <c r="BM1453" s="18"/>
      <c r="BN1453" s="18"/>
    </row>
    <row r="1454" spans="1:66">
      <c r="A1454" s="18"/>
      <c r="B1454" s="18"/>
      <c r="C1454" s="18"/>
      <c r="D1454" s="18"/>
      <c r="E1454" s="18"/>
      <c r="F1454" s="18"/>
      <c r="G1454" s="18"/>
      <c r="H1454" s="18"/>
      <c r="I1454" s="18"/>
      <c r="J1454" s="18"/>
      <c r="K1454" s="18"/>
      <c r="L1454" s="18"/>
      <c r="M1454" s="18"/>
      <c r="N1454" s="18"/>
      <c r="O1454" s="18"/>
      <c r="P1454" s="18"/>
      <c r="Q1454" s="18"/>
      <c r="R1454" s="18"/>
      <c r="S1454" s="18"/>
      <c r="T1454" s="19"/>
      <c r="U1454" s="18"/>
      <c r="V1454" s="18"/>
      <c r="W1454" s="18"/>
      <c r="X1454" s="19"/>
      <c r="Y1454" s="18"/>
      <c r="Z1454" s="19"/>
      <c r="AA1454" s="18"/>
      <c r="AB1454" s="18"/>
      <c r="AC1454" s="18"/>
      <c r="AD1454" s="18"/>
      <c r="AE1454" s="18"/>
      <c r="AF1454" s="18"/>
      <c r="AG1454" s="18"/>
      <c r="AH1454" s="19"/>
      <c r="AI1454" s="18"/>
      <c r="AJ1454" s="18"/>
      <c r="AK1454" s="18"/>
      <c r="AL1454" s="18"/>
      <c r="AM1454" s="18"/>
      <c r="AN1454" s="18"/>
      <c r="AO1454" s="18"/>
      <c r="AP1454" s="18"/>
      <c r="AQ1454" s="18"/>
      <c r="AR1454" s="18"/>
      <c r="AS1454" s="18"/>
      <c r="AT1454" s="18"/>
      <c r="AU1454" s="18"/>
      <c r="AV1454" s="18"/>
      <c r="AW1454" s="18"/>
      <c r="AX1454" s="18"/>
      <c r="AY1454" s="18"/>
      <c r="AZ1454" s="18"/>
      <c r="BA1454" s="18"/>
      <c r="BB1454" s="18"/>
      <c r="BC1454" s="18"/>
      <c r="BD1454" s="18"/>
      <c r="BE1454" s="18"/>
      <c r="BF1454" s="18"/>
      <c r="BG1454" s="18"/>
      <c r="BH1454" s="18"/>
      <c r="BI1454" s="18"/>
      <c r="BJ1454" s="18"/>
      <c r="BK1454" s="18"/>
      <c r="BL1454" s="18"/>
      <c r="BM1454" s="19"/>
      <c r="BN1454" s="18"/>
    </row>
    <row r="1455" spans="1:66">
      <c r="A1455" s="18"/>
      <c r="B1455" s="18"/>
      <c r="C1455" s="18"/>
      <c r="D1455" s="18"/>
      <c r="E1455" s="18"/>
      <c r="F1455" s="18"/>
      <c r="G1455" s="18"/>
      <c r="H1455" s="18"/>
      <c r="I1455" s="18"/>
      <c r="J1455" s="18"/>
      <c r="K1455" s="18"/>
      <c r="L1455" s="18"/>
      <c r="M1455" s="18"/>
      <c r="N1455" s="18"/>
      <c r="O1455" s="18"/>
      <c r="P1455" s="18"/>
      <c r="Q1455" s="18"/>
      <c r="R1455" s="18"/>
      <c r="S1455" s="18"/>
      <c r="T1455" s="18"/>
      <c r="U1455" s="18"/>
      <c r="V1455" s="18"/>
      <c r="W1455" s="18"/>
      <c r="X1455" s="18"/>
      <c r="Y1455" s="18"/>
      <c r="Z1455" s="18"/>
      <c r="AA1455" s="18"/>
      <c r="AB1455" s="18"/>
      <c r="AC1455" s="18"/>
      <c r="AD1455" s="18"/>
      <c r="AE1455" s="18"/>
      <c r="AF1455" s="18"/>
      <c r="AG1455" s="18"/>
      <c r="AH1455" s="18"/>
      <c r="AI1455" s="18"/>
      <c r="AJ1455" s="18"/>
      <c r="AK1455" s="18"/>
      <c r="AL1455" s="18"/>
      <c r="AM1455" s="18"/>
      <c r="AN1455" s="18"/>
      <c r="AO1455" s="18"/>
      <c r="AP1455" s="18"/>
      <c r="AQ1455" s="18"/>
      <c r="AR1455" s="18"/>
      <c r="AS1455" s="18"/>
      <c r="AT1455" s="18"/>
      <c r="AU1455" s="18"/>
      <c r="AV1455" s="18"/>
      <c r="AW1455" s="18"/>
      <c r="AX1455" s="18"/>
      <c r="AY1455" s="18"/>
      <c r="AZ1455" s="18"/>
      <c r="BA1455" s="18"/>
      <c r="BB1455" s="18"/>
      <c r="BC1455" s="18"/>
      <c r="BD1455" s="18"/>
      <c r="BE1455" s="18"/>
      <c r="BF1455" s="18"/>
      <c r="BG1455" s="18"/>
      <c r="BH1455" s="18"/>
      <c r="BI1455" s="18"/>
      <c r="BJ1455" s="18"/>
      <c r="BK1455" s="18"/>
      <c r="BL1455" s="18"/>
      <c r="BM1455" s="18"/>
      <c r="BN1455" s="18"/>
    </row>
    <row r="1456" spans="1:66">
      <c r="A1456" s="18"/>
      <c r="B1456" s="18"/>
      <c r="C1456" s="18"/>
      <c r="D1456" s="18"/>
      <c r="E1456" s="18"/>
      <c r="F1456" s="18"/>
      <c r="G1456" s="18"/>
      <c r="H1456" s="18"/>
      <c r="I1456" s="18"/>
      <c r="J1456" s="18"/>
      <c r="K1456" s="18"/>
      <c r="L1456" s="18"/>
      <c r="M1456" s="18"/>
      <c r="N1456" s="18"/>
      <c r="O1456" s="18"/>
      <c r="P1456" s="18"/>
      <c r="Q1456" s="18"/>
      <c r="R1456" s="18"/>
      <c r="S1456" s="18"/>
      <c r="T1456" s="18"/>
      <c r="U1456" s="18"/>
      <c r="V1456" s="18"/>
      <c r="W1456" s="18"/>
      <c r="X1456" s="19"/>
      <c r="Y1456" s="18"/>
      <c r="Z1456" s="19"/>
      <c r="AA1456" s="18"/>
      <c r="AB1456" s="18"/>
      <c r="AC1456" s="18"/>
      <c r="AD1456" s="18"/>
      <c r="AE1456" s="18"/>
      <c r="AF1456" s="18"/>
      <c r="AG1456" s="18"/>
      <c r="AH1456" s="18"/>
      <c r="AI1456" s="18"/>
      <c r="AJ1456" s="18"/>
      <c r="AK1456" s="18"/>
      <c r="AL1456" s="18"/>
      <c r="AM1456" s="18"/>
      <c r="AN1456" s="18"/>
      <c r="AO1456" s="18"/>
      <c r="AP1456" s="18"/>
      <c r="AQ1456" s="18"/>
      <c r="AR1456" s="18"/>
      <c r="AS1456" s="18"/>
      <c r="AT1456" s="18"/>
      <c r="AU1456" s="18"/>
      <c r="AV1456" s="18"/>
      <c r="AW1456" s="18"/>
      <c r="AX1456" s="18"/>
      <c r="AY1456" s="18"/>
      <c r="AZ1456" s="18"/>
      <c r="BA1456" s="18"/>
      <c r="BB1456" s="18"/>
      <c r="BC1456" s="18"/>
      <c r="BD1456" s="18"/>
      <c r="BE1456" s="18"/>
      <c r="BF1456" s="18"/>
      <c r="BG1456" s="18"/>
      <c r="BH1456" s="18"/>
      <c r="BI1456" s="18"/>
      <c r="BJ1456" s="18"/>
      <c r="BK1456" s="18"/>
      <c r="BL1456" s="18"/>
      <c r="BM1456" s="18"/>
      <c r="BN1456" s="18"/>
    </row>
    <row r="1457" spans="1:66">
      <c r="A1457" s="18"/>
      <c r="B1457" s="18"/>
      <c r="C1457" s="18"/>
      <c r="D1457" s="18"/>
      <c r="E1457" s="18"/>
      <c r="F1457" s="18"/>
      <c r="G1457" s="18"/>
      <c r="H1457" s="18"/>
      <c r="I1457" s="18"/>
      <c r="J1457" s="18"/>
      <c r="K1457" s="18"/>
      <c r="L1457" s="18"/>
      <c r="M1457" s="18"/>
      <c r="N1457" s="18"/>
      <c r="O1457" s="18"/>
      <c r="P1457" s="18"/>
      <c r="Q1457" s="18"/>
      <c r="R1457" s="18"/>
      <c r="S1457" s="18"/>
      <c r="T1457" s="18"/>
      <c r="U1457" s="18"/>
      <c r="V1457" s="18"/>
      <c r="W1457" s="18"/>
      <c r="X1457" s="18"/>
      <c r="Y1457" s="18"/>
      <c r="Z1457" s="18"/>
      <c r="AA1457" s="18"/>
      <c r="AB1457" s="18"/>
      <c r="AC1457" s="18"/>
      <c r="AD1457" s="18"/>
      <c r="AE1457" s="18"/>
      <c r="AF1457" s="18"/>
      <c r="AG1457" s="18"/>
      <c r="AH1457" s="18"/>
      <c r="AI1457" s="18"/>
      <c r="AJ1457" s="18"/>
      <c r="AK1457" s="18"/>
      <c r="AL1457" s="18"/>
      <c r="AM1457" s="18"/>
      <c r="AN1457" s="18"/>
      <c r="AO1457" s="18"/>
      <c r="AP1457" s="18"/>
      <c r="AQ1457" s="18"/>
      <c r="AR1457" s="18"/>
      <c r="AS1457" s="18"/>
      <c r="AT1457" s="18"/>
      <c r="AU1457" s="18"/>
      <c r="AV1457" s="18"/>
      <c r="AW1457" s="18"/>
      <c r="AX1457" s="18"/>
      <c r="AY1457" s="18"/>
      <c r="AZ1457" s="18"/>
      <c r="BA1457" s="18"/>
      <c r="BB1457" s="18"/>
      <c r="BC1457" s="18"/>
      <c r="BD1457" s="18"/>
      <c r="BE1457" s="18"/>
      <c r="BF1457" s="18"/>
      <c r="BG1457" s="18"/>
      <c r="BH1457" s="18"/>
      <c r="BI1457" s="18"/>
      <c r="BJ1457" s="18"/>
      <c r="BK1457" s="18"/>
      <c r="BL1457" s="18"/>
      <c r="BM1457" s="18"/>
      <c r="BN1457" s="18"/>
    </row>
    <row r="1458" spans="1:66">
      <c r="A1458" s="18"/>
      <c r="B1458" s="18"/>
      <c r="C1458" s="18"/>
      <c r="D1458" s="18"/>
      <c r="E1458" s="18"/>
      <c r="F1458" s="18"/>
      <c r="G1458" s="18"/>
      <c r="H1458" s="18"/>
      <c r="I1458" s="18"/>
      <c r="J1458" s="18"/>
      <c r="K1458" s="18"/>
      <c r="L1458" s="18"/>
      <c r="M1458" s="18"/>
      <c r="N1458" s="18"/>
      <c r="O1458" s="18"/>
      <c r="P1458" s="18"/>
      <c r="Q1458" s="18"/>
      <c r="R1458" s="18"/>
      <c r="S1458" s="18"/>
      <c r="T1458" s="18"/>
      <c r="U1458" s="18"/>
      <c r="V1458" s="18"/>
      <c r="W1458" s="18"/>
      <c r="X1458" s="18"/>
      <c r="Y1458" s="18"/>
      <c r="Z1458" s="18"/>
      <c r="AA1458" s="18"/>
      <c r="AB1458" s="18"/>
      <c r="AC1458" s="18"/>
      <c r="AD1458" s="18"/>
      <c r="AE1458" s="18"/>
      <c r="AF1458" s="18"/>
      <c r="AG1458" s="18"/>
      <c r="AH1458" s="18"/>
      <c r="AI1458" s="18"/>
      <c r="AJ1458" s="18"/>
      <c r="AK1458" s="18"/>
      <c r="AL1458" s="18"/>
      <c r="AM1458" s="18"/>
      <c r="AN1458" s="18"/>
      <c r="AO1458" s="18"/>
      <c r="AP1458" s="18"/>
      <c r="AQ1458" s="18"/>
      <c r="AR1458" s="18"/>
      <c r="AS1458" s="18"/>
      <c r="AT1458" s="18"/>
      <c r="AU1458" s="18"/>
      <c r="AV1458" s="18"/>
      <c r="AW1458" s="18"/>
      <c r="AX1458" s="18"/>
      <c r="AY1458" s="18"/>
      <c r="AZ1458" s="18"/>
      <c r="BA1458" s="18"/>
      <c r="BB1458" s="18"/>
      <c r="BC1458" s="18"/>
      <c r="BD1458" s="18"/>
      <c r="BE1458" s="18"/>
      <c r="BF1458" s="18"/>
      <c r="BG1458" s="18"/>
      <c r="BH1458" s="18"/>
      <c r="BI1458" s="18"/>
      <c r="BJ1458" s="18"/>
      <c r="BK1458" s="18"/>
      <c r="BL1458" s="18"/>
      <c r="BM1458" s="18"/>
      <c r="BN1458" s="18"/>
    </row>
    <row r="1459" spans="1:66">
      <c r="A1459" s="18"/>
      <c r="B1459" s="18"/>
      <c r="C1459" s="18"/>
      <c r="D1459" s="18"/>
      <c r="E1459" s="18"/>
      <c r="F1459" s="18"/>
      <c r="G1459" s="18"/>
      <c r="H1459" s="18"/>
      <c r="I1459" s="18"/>
      <c r="J1459" s="18"/>
      <c r="K1459" s="18"/>
      <c r="L1459" s="18"/>
      <c r="M1459" s="18"/>
      <c r="N1459" s="18"/>
      <c r="O1459" s="18"/>
      <c r="P1459" s="18"/>
      <c r="Q1459" s="18"/>
      <c r="R1459" s="18"/>
      <c r="S1459" s="18"/>
      <c r="T1459" s="18"/>
      <c r="U1459" s="18"/>
      <c r="V1459" s="18"/>
      <c r="W1459" s="18"/>
      <c r="X1459" s="18"/>
      <c r="Y1459" s="18"/>
      <c r="Z1459" s="18"/>
      <c r="AA1459" s="18"/>
      <c r="AB1459" s="18"/>
      <c r="AC1459" s="18"/>
      <c r="AD1459" s="18"/>
      <c r="AE1459" s="18"/>
      <c r="AF1459" s="18"/>
      <c r="AG1459" s="18"/>
      <c r="AH1459" s="18"/>
      <c r="AI1459" s="18"/>
      <c r="AJ1459" s="18"/>
      <c r="AK1459" s="18"/>
      <c r="AL1459" s="18"/>
      <c r="AM1459" s="18"/>
      <c r="AN1459" s="18"/>
      <c r="AO1459" s="18"/>
      <c r="AP1459" s="18"/>
      <c r="AQ1459" s="18"/>
      <c r="AR1459" s="18"/>
      <c r="AS1459" s="18"/>
      <c r="AT1459" s="18"/>
      <c r="AU1459" s="18"/>
      <c r="AV1459" s="18"/>
      <c r="AW1459" s="18"/>
      <c r="AX1459" s="18"/>
      <c r="AY1459" s="18"/>
      <c r="AZ1459" s="18"/>
      <c r="BA1459" s="18"/>
      <c r="BB1459" s="18"/>
      <c r="BC1459" s="18"/>
      <c r="BD1459" s="18"/>
      <c r="BE1459" s="18"/>
      <c r="BF1459" s="18"/>
      <c r="BG1459" s="18"/>
      <c r="BH1459" s="18"/>
      <c r="BI1459" s="18"/>
      <c r="BJ1459" s="18"/>
      <c r="BK1459" s="18"/>
      <c r="BL1459" s="18"/>
      <c r="BM1459" s="18"/>
      <c r="BN1459" s="18"/>
    </row>
    <row r="1460" spans="1:66">
      <c r="A1460" s="18"/>
      <c r="B1460" s="18"/>
      <c r="C1460" s="18"/>
      <c r="D1460" s="18"/>
      <c r="E1460" s="18"/>
      <c r="F1460" s="18"/>
      <c r="G1460" s="18"/>
      <c r="H1460" s="18"/>
      <c r="I1460" s="18"/>
      <c r="J1460" s="18"/>
      <c r="K1460" s="18"/>
      <c r="L1460" s="18"/>
      <c r="M1460" s="18"/>
      <c r="N1460" s="18"/>
      <c r="O1460" s="18"/>
      <c r="P1460" s="18"/>
      <c r="Q1460" s="18"/>
      <c r="R1460" s="18"/>
      <c r="S1460" s="18"/>
      <c r="T1460" s="18"/>
      <c r="U1460" s="18"/>
      <c r="V1460" s="18"/>
      <c r="W1460" s="18"/>
      <c r="X1460" s="18"/>
      <c r="Y1460" s="18"/>
      <c r="Z1460" s="18"/>
      <c r="AA1460" s="18"/>
      <c r="AB1460" s="18"/>
      <c r="AC1460" s="18"/>
      <c r="AD1460" s="18"/>
      <c r="AE1460" s="18"/>
      <c r="AF1460" s="18"/>
      <c r="AG1460" s="18"/>
      <c r="AH1460" s="18"/>
      <c r="AI1460" s="18"/>
      <c r="AJ1460" s="18"/>
      <c r="AK1460" s="18"/>
      <c r="AL1460" s="18"/>
      <c r="AM1460" s="18"/>
      <c r="AN1460" s="18"/>
      <c r="AO1460" s="18"/>
      <c r="AP1460" s="18"/>
      <c r="AQ1460" s="18"/>
      <c r="AR1460" s="18"/>
      <c r="AS1460" s="18"/>
      <c r="AT1460" s="18"/>
      <c r="AU1460" s="18"/>
      <c r="AV1460" s="18"/>
      <c r="AW1460" s="18"/>
      <c r="AX1460" s="18"/>
      <c r="AY1460" s="18"/>
      <c r="AZ1460" s="18"/>
      <c r="BA1460" s="18"/>
      <c r="BB1460" s="18"/>
      <c r="BC1460" s="18"/>
      <c r="BD1460" s="18"/>
      <c r="BE1460" s="18"/>
      <c r="BF1460" s="18"/>
      <c r="BG1460" s="18"/>
      <c r="BH1460" s="18"/>
      <c r="BI1460" s="18"/>
      <c r="BJ1460" s="18"/>
      <c r="BK1460" s="18"/>
      <c r="BL1460" s="18"/>
      <c r="BM1460" s="18"/>
      <c r="BN1460" s="18"/>
    </row>
    <row r="1461" spans="1:66">
      <c r="A1461" s="18"/>
      <c r="B1461" s="18"/>
      <c r="C1461" s="18"/>
      <c r="D1461" s="18"/>
      <c r="E1461" s="18"/>
      <c r="F1461" s="18"/>
      <c r="G1461" s="18"/>
      <c r="H1461" s="18"/>
      <c r="I1461" s="18"/>
      <c r="J1461" s="18"/>
      <c r="K1461" s="18"/>
      <c r="L1461" s="18"/>
      <c r="M1461" s="18"/>
      <c r="N1461" s="18"/>
      <c r="O1461" s="18"/>
      <c r="P1461" s="18"/>
      <c r="Q1461" s="18"/>
      <c r="R1461" s="18"/>
      <c r="S1461" s="18"/>
      <c r="T1461" s="18"/>
      <c r="U1461" s="18"/>
      <c r="V1461" s="18"/>
      <c r="W1461" s="18"/>
      <c r="X1461" s="18"/>
      <c r="Y1461" s="18"/>
      <c r="Z1461" s="18"/>
      <c r="AA1461" s="18"/>
      <c r="AB1461" s="18"/>
      <c r="AC1461" s="18"/>
      <c r="AD1461" s="18"/>
      <c r="AE1461" s="18"/>
      <c r="AF1461" s="18"/>
      <c r="AG1461" s="18"/>
      <c r="AH1461" s="18"/>
      <c r="AI1461" s="18"/>
      <c r="AJ1461" s="18"/>
      <c r="AK1461" s="18"/>
      <c r="AL1461" s="18"/>
      <c r="AM1461" s="18"/>
      <c r="AN1461" s="18"/>
      <c r="AO1461" s="18"/>
      <c r="AP1461" s="18"/>
      <c r="AQ1461" s="18"/>
      <c r="AR1461" s="18"/>
      <c r="AS1461" s="18"/>
      <c r="AT1461" s="18"/>
      <c r="AU1461" s="18"/>
      <c r="AV1461" s="18"/>
      <c r="AW1461" s="18"/>
      <c r="AX1461" s="18"/>
      <c r="AY1461" s="18"/>
      <c r="AZ1461" s="18"/>
      <c r="BA1461" s="18"/>
      <c r="BB1461" s="18"/>
      <c r="BC1461" s="18"/>
      <c r="BD1461" s="18"/>
      <c r="BE1461" s="18"/>
      <c r="BF1461" s="18"/>
      <c r="BG1461" s="18"/>
      <c r="BH1461" s="18"/>
      <c r="BI1461" s="18"/>
      <c r="BJ1461" s="18"/>
      <c r="BK1461" s="18"/>
      <c r="BL1461" s="18"/>
      <c r="BM1461" s="18"/>
      <c r="BN1461" s="18"/>
    </row>
    <row r="1462" spans="1:66">
      <c r="A1462" s="18"/>
      <c r="B1462" s="18"/>
      <c r="C1462" s="18"/>
      <c r="D1462" s="18"/>
      <c r="E1462" s="18"/>
      <c r="F1462" s="18"/>
      <c r="G1462" s="18"/>
      <c r="H1462" s="18"/>
      <c r="I1462" s="18"/>
      <c r="J1462" s="18"/>
      <c r="K1462" s="18"/>
      <c r="L1462" s="18"/>
      <c r="M1462" s="18"/>
      <c r="N1462" s="18"/>
      <c r="O1462" s="18"/>
      <c r="P1462" s="18"/>
      <c r="Q1462" s="18"/>
      <c r="R1462" s="18"/>
      <c r="S1462" s="18"/>
      <c r="T1462" s="18"/>
      <c r="U1462" s="18"/>
      <c r="V1462" s="18"/>
      <c r="W1462" s="18"/>
      <c r="X1462" s="18"/>
      <c r="Y1462" s="18"/>
      <c r="Z1462" s="18"/>
      <c r="AA1462" s="18"/>
      <c r="AB1462" s="18"/>
      <c r="AC1462" s="18"/>
      <c r="AD1462" s="18"/>
      <c r="AE1462" s="18"/>
      <c r="AF1462" s="18"/>
      <c r="AG1462" s="18"/>
      <c r="AH1462" s="18"/>
      <c r="AI1462" s="18"/>
      <c r="AJ1462" s="18"/>
      <c r="AK1462" s="18"/>
      <c r="AL1462" s="18"/>
      <c r="AM1462" s="18"/>
      <c r="AN1462" s="18"/>
      <c r="AO1462" s="18"/>
      <c r="AP1462" s="18"/>
      <c r="AQ1462" s="18"/>
      <c r="AR1462" s="18"/>
      <c r="AS1462" s="18"/>
      <c r="AT1462" s="18"/>
      <c r="AU1462" s="18"/>
      <c r="AV1462" s="18"/>
      <c r="AW1462" s="18"/>
      <c r="AX1462" s="18"/>
      <c r="AY1462" s="18"/>
      <c r="AZ1462" s="18"/>
      <c r="BA1462" s="18"/>
      <c r="BB1462" s="18"/>
      <c r="BC1462" s="18"/>
      <c r="BD1462" s="18"/>
      <c r="BE1462" s="18"/>
      <c r="BF1462" s="18"/>
      <c r="BG1462" s="18"/>
      <c r="BH1462" s="18"/>
      <c r="BI1462" s="18"/>
      <c r="BJ1462" s="18"/>
      <c r="BK1462" s="18"/>
      <c r="BL1462" s="18"/>
      <c r="BM1462" s="18"/>
      <c r="BN1462" s="18"/>
    </row>
    <row r="1463" spans="1:66">
      <c r="A1463" s="18"/>
      <c r="B1463" s="18"/>
      <c r="C1463" s="18"/>
      <c r="D1463" s="18"/>
      <c r="E1463" s="18"/>
      <c r="F1463" s="18"/>
      <c r="G1463" s="18"/>
      <c r="H1463" s="18"/>
      <c r="I1463" s="18"/>
      <c r="J1463" s="18"/>
      <c r="K1463" s="18"/>
      <c r="L1463" s="18"/>
      <c r="M1463" s="18"/>
      <c r="N1463" s="18"/>
      <c r="O1463" s="18"/>
      <c r="P1463" s="18"/>
      <c r="Q1463" s="18"/>
      <c r="R1463" s="18"/>
      <c r="S1463" s="18"/>
      <c r="T1463" s="18"/>
      <c r="U1463" s="18"/>
      <c r="V1463" s="18"/>
      <c r="W1463" s="18"/>
      <c r="X1463" s="18"/>
      <c r="Y1463" s="18"/>
      <c r="Z1463" s="18"/>
      <c r="AA1463" s="18"/>
      <c r="AB1463" s="18"/>
      <c r="AC1463" s="18"/>
      <c r="AD1463" s="18"/>
      <c r="AE1463" s="18"/>
      <c r="AF1463" s="18"/>
      <c r="AG1463" s="18"/>
      <c r="AH1463" s="18"/>
      <c r="AI1463" s="18"/>
      <c r="AJ1463" s="18"/>
      <c r="AK1463" s="18"/>
      <c r="AL1463" s="18"/>
      <c r="AM1463" s="18"/>
      <c r="AN1463" s="18"/>
      <c r="AO1463" s="18"/>
      <c r="AP1463" s="18"/>
      <c r="AQ1463" s="18"/>
      <c r="AR1463" s="18"/>
      <c r="AS1463" s="18"/>
      <c r="AT1463" s="18"/>
      <c r="AU1463" s="18"/>
      <c r="AV1463" s="18"/>
      <c r="AW1463" s="18"/>
      <c r="AX1463" s="18"/>
      <c r="AY1463" s="18"/>
      <c r="AZ1463" s="18"/>
      <c r="BA1463" s="18"/>
      <c r="BB1463" s="18"/>
      <c r="BC1463" s="18"/>
      <c r="BD1463" s="18"/>
      <c r="BE1463" s="18"/>
      <c r="BF1463" s="18"/>
      <c r="BG1463" s="18"/>
      <c r="BH1463" s="18"/>
      <c r="BI1463" s="18"/>
      <c r="BJ1463" s="18"/>
      <c r="BK1463" s="18"/>
      <c r="BL1463" s="18"/>
      <c r="BM1463" s="18"/>
      <c r="BN1463" s="18"/>
    </row>
    <row r="1464" spans="1:66">
      <c r="A1464" s="18"/>
      <c r="B1464" s="18"/>
      <c r="C1464" s="18"/>
      <c r="D1464" s="18"/>
      <c r="E1464" s="18"/>
      <c r="F1464" s="18"/>
      <c r="G1464" s="18"/>
      <c r="H1464" s="18"/>
      <c r="I1464" s="18"/>
      <c r="J1464" s="18"/>
      <c r="K1464" s="18"/>
      <c r="L1464" s="18"/>
      <c r="M1464" s="18"/>
      <c r="N1464" s="18"/>
      <c r="O1464" s="18"/>
      <c r="P1464" s="18"/>
      <c r="Q1464" s="18"/>
      <c r="R1464" s="18"/>
      <c r="S1464" s="18"/>
      <c r="T1464" s="18"/>
      <c r="U1464" s="18"/>
      <c r="V1464" s="18"/>
      <c r="W1464" s="18"/>
      <c r="X1464" s="18"/>
      <c r="Y1464" s="18"/>
      <c r="Z1464" s="18"/>
      <c r="AA1464" s="18"/>
      <c r="AB1464" s="18"/>
      <c r="AC1464" s="18"/>
      <c r="AD1464" s="18"/>
      <c r="AE1464" s="18"/>
      <c r="AF1464" s="18"/>
      <c r="AG1464" s="18"/>
      <c r="AH1464" s="18"/>
      <c r="AI1464" s="18"/>
      <c r="AJ1464" s="18"/>
      <c r="AK1464" s="18"/>
      <c r="AL1464" s="18"/>
      <c r="AM1464" s="18"/>
      <c r="AN1464" s="18"/>
      <c r="AO1464" s="18"/>
      <c r="AP1464" s="18"/>
      <c r="AQ1464" s="18"/>
      <c r="AR1464" s="18"/>
      <c r="AS1464" s="18"/>
      <c r="AT1464" s="18"/>
      <c r="AU1464" s="18"/>
      <c r="AV1464" s="18"/>
      <c r="AW1464" s="18"/>
      <c r="AX1464" s="18"/>
      <c r="AY1464" s="18"/>
      <c r="AZ1464" s="18"/>
      <c r="BA1464" s="18"/>
      <c r="BB1464" s="18"/>
      <c r="BC1464" s="18"/>
      <c r="BD1464" s="18"/>
      <c r="BE1464" s="18"/>
      <c r="BF1464" s="18"/>
      <c r="BG1464" s="18"/>
      <c r="BH1464" s="18"/>
      <c r="BI1464" s="18"/>
      <c r="BJ1464" s="18"/>
      <c r="BK1464" s="18"/>
      <c r="BL1464" s="18"/>
      <c r="BM1464" s="18"/>
      <c r="BN1464" s="18"/>
    </row>
    <row r="1465" spans="1:66">
      <c r="A1465" s="18"/>
      <c r="B1465" s="18"/>
      <c r="C1465" s="18"/>
      <c r="D1465" s="18"/>
      <c r="E1465" s="18"/>
      <c r="F1465" s="18"/>
      <c r="G1465" s="18"/>
      <c r="H1465" s="18"/>
      <c r="I1465" s="18"/>
      <c r="J1465" s="18"/>
      <c r="K1465" s="18"/>
      <c r="L1465" s="18"/>
      <c r="M1465" s="18"/>
      <c r="N1465" s="18"/>
      <c r="O1465" s="18"/>
      <c r="P1465" s="18"/>
      <c r="Q1465" s="18"/>
      <c r="R1465" s="18"/>
      <c r="S1465" s="18"/>
      <c r="T1465" s="18"/>
      <c r="U1465" s="18"/>
      <c r="V1465" s="18"/>
      <c r="W1465" s="18"/>
      <c r="X1465" s="18"/>
      <c r="Y1465" s="18"/>
      <c r="Z1465" s="18"/>
      <c r="AA1465" s="18"/>
      <c r="AB1465" s="18"/>
      <c r="AC1465" s="18"/>
      <c r="AD1465" s="18"/>
      <c r="AE1465" s="18"/>
      <c r="AF1465" s="18"/>
      <c r="AG1465" s="18"/>
      <c r="AH1465" s="18"/>
      <c r="AI1465" s="18"/>
      <c r="AJ1465" s="18"/>
      <c r="AK1465" s="18"/>
      <c r="AL1465" s="18"/>
      <c r="AM1465" s="18"/>
      <c r="AN1465" s="18"/>
      <c r="AO1465" s="18"/>
      <c r="AP1465" s="18"/>
      <c r="AQ1465" s="18"/>
      <c r="AR1465" s="18"/>
      <c r="AS1465" s="18"/>
      <c r="AT1465" s="18"/>
      <c r="AU1465" s="18"/>
      <c r="AV1465" s="18"/>
      <c r="AW1465" s="18"/>
      <c r="AX1465" s="18"/>
      <c r="AY1465" s="18"/>
      <c r="AZ1465" s="18"/>
      <c r="BA1465" s="18"/>
      <c r="BB1465" s="18"/>
      <c r="BC1465" s="18"/>
      <c r="BD1465" s="18"/>
      <c r="BE1465" s="18"/>
      <c r="BF1465" s="18"/>
      <c r="BG1465" s="18"/>
      <c r="BH1465" s="18"/>
      <c r="BI1465" s="18"/>
      <c r="BJ1465" s="18"/>
      <c r="BK1465" s="18"/>
      <c r="BL1465" s="18"/>
      <c r="BM1465" s="18"/>
      <c r="BN1465" s="18"/>
    </row>
    <row r="1466" spans="1:66">
      <c r="A1466" s="18"/>
      <c r="B1466" s="18"/>
      <c r="C1466" s="18"/>
      <c r="D1466" s="18"/>
      <c r="E1466" s="18"/>
      <c r="F1466" s="18"/>
      <c r="G1466" s="18"/>
      <c r="H1466" s="18"/>
      <c r="I1466" s="18"/>
      <c r="J1466" s="18"/>
      <c r="K1466" s="18"/>
      <c r="L1466" s="18"/>
      <c r="M1466" s="18"/>
      <c r="N1466" s="18"/>
      <c r="O1466" s="18"/>
      <c r="P1466" s="18"/>
      <c r="Q1466" s="18"/>
      <c r="R1466" s="18"/>
      <c r="S1466" s="18"/>
      <c r="T1466" s="18"/>
      <c r="U1466" s="18"/>
      <c r="V1466" s="18"/>
      <c r="W1466" s="18"/>
      <c r="X1466" s="18"/>
      <c r="Y1466" s="18"/>
      <c r="Z1466" s="18"/>
      <c r="AA1466" s="18"/>
      <c r="AB1466" s="18"/>
      <c r="AC1466" s="18"/>
      <c r="AD1466" s="18"/>
      <c r="AE1466" s="18"/>
      <c r="AF1466" s="18"/>
      <c r="AG1466" s="18"/>
      <c r="AH1466" s="18"/>
      <c r="AI1466" s="18"/>
      <c r="AJ1466" s="18"/>
      <c r="AK1466" s="18"/>
      <c r="AL1466" s="18"/>
      <c r="AM1466" s="18"/>
      <c r="AN1466" s="18"/>
      <c r="AO1466" s="18"/>
      <c r="AP1466" s="18"/>
      <c r="AQ1466" s="18"/>
      <c r="AR1466" s="18"/>
      <c r="AS1466" s="18"/>
      <c r="AT1466" s="18"/>
      <c r="AU1466" s="18"/>
      <c r="AV1466" s="18"/>
      <c r="AW1466" s="18"/>
      <c r="AX1466" s="18"/>
      <c r="AY1466" s="18"/>
      <c r="AZ1466" s="18"/>
      <c r="BA1466" s="18"/>
      <c r="BB1466" s="18"/>
      <c r="BC1466" s="18"/>
      <c r="BD1466" s="18"/>
      <c r="BE1466" s="18"/>
      <c r="BF1466" s="18"/>
      <c r="BG1466" s="18"/>
      <c r="BH1466" s="18"/>
      <c r="BI1466" s="18"/>
      <c r="BJ1466" s="18"/>
      <c r="BK1466" s="18"/>
      <c r="BL1466" s="18"/>
      <c r="BM1466" s="18"/>
      <c r="BN1466" s="18"/>
    </row>
    <row r="1467" spans="1:66">
      <c r="A1467" s="18"/>
      <c r="B1467" s="18"/>
      <c r="C1467" s="18"/>
      <c r="D1467" s="18"/>
      <c r="E1467" s="18"/>
      <c r="F1467" s="18"/>
      <c r="G1467" s="18"/>
      <c r="H1467" s="18"/>
      <c r="I1467" s="18"/>
      <c r="J1467" s="18"/>
      <c r="K1467" s="18"/>
      <c r="L1467" s="18"/>
      <c r="M1467" s="18"/>
      <c r="N1467" s="18"/>
      <c r="O1467" s="18"/>
      <c r="P1467" s="18"/>
      <c r="Q1467" s="18"/>
      <c r="R1467" s="18"/>
      <c r="S1467" s="18"/>
      <c r="T1467" s="18"/>
      <c r="U1467" s="18"/>
      <c r="V1467" s="18"/>
      <c r="W1467" s="18"/>
      <c r="X1467" s="18"/>
      <c r="Y1467" s="18"/>
      <c r="Z1467" s="18"/>
      <c r="AA1467" s="18"/>
      <c r="AB1467" s="18"/>
      <c r="AC1467" s="18"/>
      <c r="AD1467" s="18"/>
      <c r="AE1467" s="18"/>
      <c r="AF1467" s="18"/>
      <c r="AG1467" s="18"/>
      <c r="AH1467" s="18"/>
      <c r="AI1467" s="18"/>
      <c r="AJ1467" s="18"/>
      <c r="AK1467" s="18"/>
      <c r="AL1467" s="18"/>
      <c r="AM1467" s="18"/>
      <c r="AN1467" s="18"/>
      <c r="AO1467" s="18"/>
      <c r="AP1467" s="18"/>
      <c r="AQ1467" s="18"/>
      <c r="AR1467" s="18"/>
      <c r="AS1467" s="18"/>
      <c r="AT1467" s="18"/>
      <c r="AU1467" s="18"/>
      <c r="AV1467" s="18"/>
      <c r="AW1467" s="18"/>
      <c r="AX1467" s="18"/>
      <c r="AY1467" s="18"/>
      <c r="AZ1467" s="18"/>
      <c r="BA1467" s="18"/>
      <c r="BB1467" s="18"/>
      <c r="BC1467" s="18"/>
      <c r="BD1467" s="18"/>
      <c r="BE1467" s="18"/>
      <c r="BF1467" s="18"/>
      <c r="BG1467" s="18"/>
      <c r="BH1467" s="18"/>
      <c r="BI1467" s="18"/>
      <c r="BJ1467" s="18"/>
      <c r="BK1467" s="18"/>
      <c r="BL1467" s="18"/>
      <c r="BM1467" s="18"/>
      <c r="BN1467" s="18"/>
    </row>
    <row r="1468" spans="1:66">
      <c r="A1468" s="18"/>
      <c r="B1468" s="18"/>
      <c r="C1468" s="18"/>
      <c r="D1468" s="18"/>
      <c r="E1468" s="18"/>
      <c r="F1468" s="18"/>
      <c r="G1468" s="18"/>
      <c r="H1468" s="18"/>
      <c r="I1468" s="18"/>
      <c r="J1468" s="18"/>
      <c r="K1468" s="18"/>
      <c r="L1468" s="18"/>
      <c r="M1468" s="18"/>
      <c r="N1468" s="18"/>
      <c r="O1468" s="18"/>
      <c r="P1468" s="18"/>
      <c r="Q1468" s="18"/>
      <c r="R1468" s="18"/>
      <c r="S1468" s="18"/>
      <c r="T1468" s="19"/>
      <c r="U1468" s="18"/>
      <c r="V1468" s="19"/>
      <c r="W1468" s="18"/>
      <c r="X1468" s="18"/>
      <c r="Y1468" s="18"/>
      <c r="Z1468" s="18"/>
      <c r="AA1468" s="18"/>
      <c r="AB1468" s="18"/>
      <c r="AC1468" s="18"/>
      <c r="AD1468" s="18"/>
      <c r="AE1468" s="18"/>
      <c r="AF1468" s="19"/>
      <c r="AG1468" s="18"/>
      <c r="AH1468" s="18"/>
      <c r="AI1468" s="18"/>
      <c r="AJ1468" s="18"/>
      <c r="AK1468" s="18"/>
      <c r="AL1468" s="18"/>
      <c r="AM1468" s="18"/>
      <c r="AN1468" s="18"/>
      <c r="AO1468" s="18"/>
      <c r="AP1468" s="18"/>
      <c r="AQ1468" s="18"/>
      <c r="AR1468" s="18"/>
      <c r="AS1468" s="18"/>
      <c r="AT1468" s="18"/>
      <c r="AU1468" s="18"/>
      <c r="AV1468" s="18"/>
      <c r="AW1468" s="18"/>
      <c r="AX1468" s="18"/>
      <c r="AY1468" s="18"/>
      <c r="AZ1468" s="18"/>
      <c r="BA1468" s="18"/>
      <c r="BB1468" s="18"/>
      <c r="BC1468" s="18"/>
      <c r="BD1468" s="18"/>
      <c r="BE1468" s="18"/>
      <c r="BF1468" s="18"/>
      <c r="BG1468" s="18"/>
      <c r="BH1468" s="18"/>
      <c r="BI1468" s="18"/>
      <c r="BJ1468" s="18"/>
      <c r="BK1468" s="19"/>
      <c r="BL1468" s="18"/>
      <c r="BM1468" s="18"/>
      <c r="BN1468" s="18"/>
    </row>
    <row r="1469" spans="1:66">
      <c r="A1469" s="18"/>
      <c r="B1469" s="18"/>
      <c r="C1469" s="18"/>
      <c r="D1469" s="18"/>
      <c r="E1469" s="18"/>
      <c r="F1469" s="18"/>
      <c r="G1469" s="18"/>
      <c r="H1469" s="18"/>
      <c r="I1469" s="18"/>
      <c r="J1469" s="18"/>
      <c r="K1469" s="18"/>
      <c r="L1469" s="18"/>
      <c r="M1469" s="18"/>
      <c r="N1469" s="18"/>
      <c r="O1469" s="18"/>
      <c r="P1469" s="18"/>
      <c r="Q1469" s="18"/>
      <c r="R1469" s="18"/>
      <c r="S1469" s="18"/>
      <c r="T1469" s="18"/>
      <c r="U1469" s="18"/>
      <c r="V1469" s="18"/>
      <c r="W1469" s="18"/>
      <c r="X1469" s="18"/>
      <c r="Y1469" s="18"/>
      <c r="Z1469" s="18"/>
      <c r="AA1469" s="18"/>
      <c r="AB1469" s="18"/>
      <c r="AC1469" s="18"/>
      <c r="AD1469" s="18"/>
      <c r="AE1469" s="18"/>
      <c r="AF1469" s="18"/>
      <c r="AG1469" s="18"/>
      <c r="AH1469" s="18"/>
      <c r="AI1469" s="18"/>
      <c r="AJ1469" s="18"/>
      <c r="AK1469" s="18"/>
      <c r="AL1469" s="18"/>
      <c r="AM1469" s="18"/>
      <c r="AN1469" s="18"/>
      <c r="AO1469" s="18"/>
      <c r="AP1469" s="18"/>
      <c r="AQ1469" s="18"/>
      <c r="AR1469" s="18"/>
      <c r="AS1469" s="18"/>
      <c r="AT1469" s="18"/>
      <c r="AU1469" s="18"/>
      <c r="AV1469" s="18"/>
      <c r="AW1469" s="18"/>
      <c r="AX1469" s="18"/>
      <c r="AY1469" s="18"/>
      <c r="AZ1469" s="18"/>
      <c r="BA1469" s="18"/>
      <c r="BB1469" s="18"/>
      <c r="BC1469" s="18"/>
      <c r="BD1469" s="18"/>
      <c r="BE1469" s="18"/>
      <c r="BF1469" s="18"/>
      <c r="BG1469" s="18"/>
      <c r="BH1469" s="18"/>
      <c r="BI1469" s="18"/>
      <c r="BJ1469" s="18"/>
      <c r="BK1469" s="18"/>
      <c r="BL1469" s="18"/>
      <c r="BM1469" s="18"/>
      <c r="BN1469" s="18"/>
    </row>
    <row r="1470" spans="1:66">
      <c r="A1470" s="18"/>
      <c r="B1470" s="18"/>
      <c r="C1470" s="18"/>
      <c r="D1470" s="18"/>
      <c r="E1470" s="18"/>
      <c r="F1470" s="18"/>
      <c r="G1470" s="18"/>
      <c r="H1470" s="18"/>
      <c r="I1470" s="18"/>
      <c r="J1470" s="18"/>
      <c r="K1470" s="18"/>
      <c r="L1470" s="18"/>
      <c r="M1470" s="18"/>
      <c r="N1470" s="18"/>
      <c r="O1470" s="18"/>
      <c r="P1470" s="18"/>
      <c r="Q1470" s="18"/>
      <c r="R1470" s="18"/>
      <c r="S1470" s="18"/>
      <c r="T1470" s="18"/>
      <c r="U1470" s="18"/>
      <c r="V1470" s="18"/>
      <c r="W1470" s="18"/>
      <c r="X1470" s="18"/>
      <c r="Y1470" s="18"/>
      <c r="Z1470" s="18"/>
      <c r="AA1470" s="18"/>
      <c r="AB1470" s="18"/>
      <c r="AC1470" s="18"/>
      <c r="AD1470" s="18"/>
      <c r="AE1470" s="18"/>
      <c r="AF1470" s="18"/>
      <c r="AG1470" s="18"/>
      <c r="AH1470" s="18"/>
      <c r="AI1470" s="18"/>
      <c r="AJ1470" s="18"/>
      <c r="AK1470" s="18"/>
      <c r="AL1470" s="18"/>
      <c r="AM1470" s="18"/>
      <c r="AN1470" s="18"/>
      <c r="AO1470" s="18"/>
      <c r="AP1470" s="18"/>
      <c r="AQ1470" s="18"/>
      <c r="AR1470" s="18"/>
      <c r="AS1470" s="18"/>
      <c r="AT1470" s="18"/>
      <c r="AU1470" s="18"/>
      <c r="AV1470" s="18"/>
      <c r="AW1470" s="18"/>
      <c r="AX1470" s="18"/>
      <c r="AY1470" s="18"/>
      <c r="AZ1470" s="18"/>
      <c r="BA1470" s="18"/>
      <c r="BB1470" s="18"/>
      <c r="BC1470" s="18"/>
      <c r="BD1470" s="18"/>
      <c r="BE1470" s="18"/>
      <c r="BF1470" s="18"/>
      <c r="BG1470" s="18"/>
      <c r="BH1470" s="18"/>
      <c r="BI1470" s="18"/>
      <c r="BJ1470" s="18"/>
      <c r="BK1470" s="18"/>
      <c r="BL1470" s="18"/>
      <c r="BM1470" s="18"/>
      <c r="BN1470" s="18"/>
    </row>
    <row r="1471" spans="1:66">
      <c r="A1471" s="18"/>
      <c r="B1471" s="18"/>
      <c r="C1471" s="18"/>
      <c r="D1471" s="18"/>
      <c r="E1471" s="18"/>
      <c r="F1471" s="18"/>
      <c r="G1471" s="18"/>
      <c r="H1471" s="18"/>
      <c r="I1471" s="18"/>
      <c r="J1471" s="18"/>
      <c r="K1471" s="18"/>
      <c r="L1471" s="18"/>
      <c r="M1471" s="18"/>
      <c r="N1471" s="18"/>
      <c r="O1471" s="18"/>
      <c r="P1471" s="18"/>
      <c r="Q1471" s="18"/>
      <c r="R1471" s="18"/>
      <c r="S1471" s="18"/>
      <c r="T1471" s="18"/>
      <c r="U1471" s="18"/>
      <c r="V1471" s="18"/>
      <c r="W1471" s="18"/>
      <c r="X1471" s="18"/>
      <c r="Y1471" s="18"/>
      <c r="Z1471" s="18"/>
      <c r="AA1471" s="18"/>
      <c r="AB1471" s="18"/>
      <c r="AC1471" s="18"/>
      <c r="AD1471" s="18"/>
      <c r="AE1471" s="18"/>
      <c r="AF1471" s="18"/>
      <c r="AG1471" s="18"/>
      <c r="AH1471" s="18"/>
      <c r="AI1471" s="18"/>
      <c r="AJ1471" s="18"/>
      <c r="AK1471" s="18"/>
      <c r="AL1471" s="18"/>
      <c r="AM1471" s="18"/>
      <c r="AN1471" s="18"/>
      <c r="AO1471" s="18"/>
      <c r="AP1471" s="18"/>
      <c r="AQ1471" s="18"/>
      <c r="AR1471" s="18"/>
      <c r="AS1471" s="18"/>
      <c r="AT1471" s="18"/>
      <c r="AU1471" s="18"/>
      <c r="AV1471" s="18"/>
      <c r="AW1471" s="18"/>
      <c r="AX1471" s="18"/>
      <c r="AY1471" s="18"/>
      <c r="AZ1471" s="18"/>
      <c r="BA1471" s="18"/>
      <c r="BB1471" s="18"/>
      <c r="BC1471" s="18"/>
      <c r="BD1471" s="18"/>
      <c r="BE1471" s="18"/>
      <c r="BF1471" s="18"/>
      <c r="BG1471" s="18"/>
      <c r="BH1471" s="18"/>
      <c r="BI1471" s="18"/>
      <c r="BJ1471" s="18"/>
      <c r="BK1471" s="18"/>
      <c r="BL1471" s="18"/>
      <c r="BM1471" s="18"/>
      <c r="BN1471" s="18"/>
    </row>
    <row r="1472" spans="1:66">
      <c r="A1472" s="18"/>
      <c r="B1472" s="18"/>
      <c r="C1472" s="18"/>
      <c r="D1472" s="18"/>
      <c r="E1472" s="18"/>
      <c r="F1472" s="18"/>
      <c r="G1472" s="18"/>
      <c r="H1472" s="18"/>
      <c r="I1472" s="18"/>
      <c r="J1472" s="18"/>
      <c r="K1472" s="18"/>
      <c r="L1472" s="18"/>
      <c r="M1472" s="18"/>
      <c r="N1472" s="18"/>
      <c r="O1472" s="18"/>
      <c r="P1472" s="18"/>
      <c r="Q1472" s="18"/>
      <c r="R1472" s="18"/>
      <c r="S1472" s="18"/>
      <c r="T1472" s="18"/>
      <c r="U1472" s="18"/>
      <c r="V1472" s="18"/>
      <c r="W1472" s="18"/>
      <c r="X1472" s="18"/>
      <c r="Y1472" s="18"/>
      <c r="Z1472" s="18"/>
      <c r="AA1472" s="18"/>
      <c r="AB1472" s="18"/>
      <c r="AC1472" s="18"/>
      <c r="AD1472" s="18"/>
      <c r="AE1472" s="18"/>
      <c r="AF1472" s="18"/>
      <c r="AG1472" s="18"/>
      <c r="AH1472" s="18"/>
      <c r="AI1472" s="18"/>
      <c r="AJ1472" s="18"/>
      <c r="AK1472" s="18"/>
      <c r="AL1472" s="18"/>
      <c r="AM1472" s="18"/>
      <c r="AN1472" s="18"/>
      <c r="AO1472" s="18"/>
      <c r="AP1472" s="18"/>
      <c r="AQ1472" s="18"/>
      <c r="AR1472" s="18"/>
      <c r="AS1472" s="18"/>
      <c r="AT1472" s="18"/>
      <c r="AU1472" s="18"/>
      <c r="AV1472" s="18"/>
      <c r="AW1472" s="18"/>
      <c r="AX1472" s="18"/>
      <c r="AY1472" s="18"/>
      <c r="AZ1472" s="18"/>
      <c r="BA1472" s="18"/>
      <c r="BB1472" s="18"/>
      <c r="BC1472" s="18"/>
      <c r="BD1472" s="18"/>
      <c r="BE1472" s="18"/>
      <c r="BF1472" s="18"/>
      <c r="BG1472" s="18"/>
      <c r="BH1472" s="18"/>
      <c r="BI1472" s="18"/>
      <c r="BJ1472" s="18"/>
      <c r="BK1472" s="18"/>
      <c r="BL1472" s="18"/>
      <c r="BM1472" s="18"/>
      <c r="BN1472" s="18"/>
    </row>
    <row r="1473" spans="1:66">
      <c r="A1473" s="18"/>
      <c r="B1473" s="18"/>
      <c r="C1473" s="18"/>
      <c r="D1473" s="18"/>
      <c r="E1473" s="18"/>
      <c r="F1473" s="18"/>
      <c r="G1473" s="18"/>
      <c r="H1473" s="18"/>
      <c r="I1473" s="18"/>
      <c r="J1473" s="18"/>
      <c r="K1473" s="18"/>
      <c r="L1473" s="18"/>
      <c r="M1473" s="18"/>
      <c r="N1473" s="18"/>
      <c r="O1473" s="18"/>
      <c r="P1473" s="18"/>
      <c r="Q1473" s="18"/>
      <c r="R1473" s="18"/>
      <c r="S1473" s="18"/>
      <c r="T1473" s="18"/>
      <c r="U1473" s="18"/>
      <c r="V1473" s="18"/>
      <c r="W1473" s="18"/>
      <c r="X1473" s="18"/>
      <c r="Y1473" s="18"/>
      <c r="Z1473" s="18"/>
      <c r="AA1473" s="18"/>
      <c r="AB1473" s="18"/>
      <c r="AC1473" s="18"/>
      <c r="AD1473" s="18"/>
      <c r="AE1473" s="18"/>
      <c r="AF1473" s="18"/>
      <c r="AG1473" s="18"/>
      <c r="AH1473" s="18"/>
      <c r="AI1473" s="18"/>
      <c r="AJ1473" s="18"/>
      <c r="AK1473" s="18"/>
      <c r="AL1473" s="18"/>
      <c r="AM1473" s="18"/>
      <c r="AN1473" s="18"/>
      <c r="AO1473" s="18"/>
      <c r="AP1473" s="18"/>
      <c r="AQ1473" s="18"/>
      <c r="AR1473" s="18"/>
      <c r="AS1473" s="18"/>
      <c r="AT1473" s="18"/>
      <c r="AU1473" s="18"/>
      <c r="AV1473" s="18"/>
      <c r="AW1473" s="18"/>
      <c r="AX1473" s="18"/>
      <c r="AY1473" s="18"/>
      <c r="AZ1473" s="18"/>
      <c r="BA1473" s="18"/>
      <c r="BB1473" s="18"/>
      <c r="BC1473" s="18"/>
      <c r="BD1473" s="18"/>
      <c r="BE1473" s="18"/>
      <c r="BF1473" s="18"/>
      <c r="BG1473" s="18"/>
      <c r="BH1473" s="18"/>
      <c r="BI1473" s="18"/>
      <c r="BJ1473" s="18"/>
      <c r="BK1473" s="18"/>
      <c r="BL1473" s="18"/>
      <c r="BM1473" s="18"/>
      <c r="BN1473" s="18"/>
    </row>
    <row r="1474" spans="1:66">
      <c r="A1474" s="18"/>
      <c r="B1474" s="18"/>
      <c r="C1474" s="18"/>
      <c r="D1474" s="18"/>
      <c r="E1474" s="18"/>
      <c r="F1474" s="18"/>
      <c r="G1474" s="18"/>
      <c r="H1474" s="18"/>
      <c r="I1474" s="18"/>
      <c r="J1474" s="18"/>
      <c r="K1474" s="18"/>
      <c r="L1474" s="18"/>
      <c r="M1474" s="18"/>
      <c r="N1474" s="18"/>
      <c r="O1474" s="18"/>
      <c r="P1474" s="18"/>
      <c r="Q1474" s="18"/>
      <c r="R1474" s="18"/>
      <c r="S1474" s="18"/>
      <c r="T1474" s="18"/>
      <c r="U1474" s="18"/>
      <c r="V1474" s="18"/>
      <c r="W1474" s="18"/>
      <c r="X1474" s="18"/>
      <c r="Y1474" s="18"/>
      <c r="Z1474" s="18"/>
      <c r="AA1474" s="18"/>
      <c r="AB1474" s="18"/>
      <c r="AC1474" s="18"/>
      <c r="AD1474" s="18"/>
      <c r="AE1474" s="18"/>
      <c r="AF1474" s="18"/>
      <c r="AG1474" s="18"/>
      <c r="AH1474" s="18"/>
      <c r="AI1474" s="18"/>
      <c r="AJ1474" s="18"/>
      <c r="AK1474" s="18"/>
      <c r="AL1474" s="18"/>
      <c r="AM1474" s="18"/>
      <c r="AN1474" s="18"/>
      <c r="AO1474" s="18"/>
      <c r="AP1474" s="18"/>
      <c r="AQ1474" s="18"/>
      <c r="AR1474" s="18"/>
      <c r="AS1474" s="18"/>
      <c r="AT1474" s="18"/>
      <c r="AU1474" s="18"/>
      <c r="AV1474" s="18"/>
      <c r="AW1474" s="18"/>
      <c r="AX1474" s="18"/>
      <c r="AY1474" s="18"/>
      <c r="AZ1474" s="18"/>
      <c r="BA1474" s="18"/>
      <c r="BB1474" s="18"/>
      <c r="BC1474" s="18"/>
      <c r="BD1474" s="18"/>
      <c r="BE1474" s="18"/>
      <c r="BF1474" s="18"/>
      <c r="BG1474" s="18"/>
      <c r="BH1474" s="18"/>
      <c r="BI1474" s="18"/>
      <c r="BJ1474" s="18"/>
      <c r="BK1474" s="18"/>
      <c r="BL1474" s="18"/>
      <c r="BM1474" s="18"/>
      <c r="BN1474" s="18"/>
    </row>
    <row r="1475" spans="1:66">
      <c r="A1475" s="18"/>
      <c r="B1475" s="18"/>
      <c r="C1475" s="18"/>
      <c r="D1475" s="18"/>
      <c r="E1475" s="18"/>
      <c r="F1475" s="18"/>
      <c r="G1475" s="18"/>
      <c r="H1475" s="18"/>
      <c r="I1475" s="18"/>
      <c r="J1475" s="18"/>
      <c r="K1475" s="18"/>
      <c r="L1475" s="18"/>
      <c r="M1475" s="18"/>
      <c r="N1475" s="18"/>
      <c r="O1475" s="18"/>
      <c r="P1475" s="18"/>
      <c r="Q1475" s="18"/>
      <c r="R1475" s="18"/>
      <c r="S1475" s="18"/>
      <c r="T1475" s="18"/>
      <c r="U1475" s="18"/>
      <c r="V1475" s="18"/>
      <c r="W1475" s="18"/>
      <c r="X1475" s="18"/>
      <c r="Y1475" s="18"/>
      <c r="Z1475" s="18"/>
      <c r="AA1475" s="18"/>
      <c r="AB1475" s="18"/>
      <c r="AC1475" s="18"/>
      <c r="AD1475" s="18"/>
      <c r="AE1475" s="18"/>
      <c r="AF1475" s="18"/>
      <c r="AG1475" s="18"/>
      <c r="AH1475" s="18"/>
      <c r="AI1475" s="18"/>
      <c r="AJ1475" s="18"/>
      <c r="AK1475" s="18"/>
      <c r="AL1475" s="18"/>
      <c r="AM1475" s="18"/>
      <c r="AN1475" s="18"/>
      <c r="AO1475" s="18"/>
      <c r="AP1475" s="18"/>
      <c r="AQ1475" s="18"/>
      <c r="AR1475" s="18"/>
      <c r="AS1475" s="18"/>
      <c r="AT1475" s="18"/>
      <c r="AU1475" s="18"/>
      <c r="AV1475" s="18"/>
      <c r="AW1475" s="18"/>
      <c r="AX1475" s="18"/>
      <c r="AY1475" s="18"/>
      <c r="AZ1475" s="18"/>
      <c r="BA1475" s="18"/>
      <c r="BB1475" s="18"/>
      <c r="BC1475" s="18"/>
      <c r="BD1475" s="18"/>
      <c r="BE1475" s="18"/>
      <c r="BF1475" s="18"/>
      <c r="BG1475" s="18"/>
      <c r="BH1475" s="18"/>
      <c r="BI1475" s="18"/>
      <c r="BJ1475" s="18"/>
      <c r="BK1475" s="18"/>
      <c r="BL1475" s="18"/>
      <c r="BM1475" s="18"/>
      <c r="BN1475" s="18"/>
    </row>
    <row r="1476" spans="1:66">
      <c r="A1476" s="18"/>
      <c r="B1476" s="18"/>
      <c r="C1476" s="18"/>
      <c r="D1476" s="18"/>
      <c r="E1476" s="18"/>
      <c r="F1476" s="18"/>
      <c r="G1476" s="18"/>
      <c r="H1476" s="18"/>
      <c r="I1476" s="18"/>
      <c r="J1476" s="18"/>
      <c r="K1476" s="18"/>
      <c r="L1476" s="18"/>
      <c r="M1476" s="18"/>
      <c r="N1476" s="18"/>
      <c r="O1476" s="18"/>
      <c r="P1476" s="18"/>
      <c r="Q1476" s="18"/>
      <c r="R1476" s="18"/>
      <c r="S1476" s="18"/>
      <c r="T1476" s="18"/>
      <c r="U1476" s="18"/>
      <c r="V1476" s="18"/>
      <c r="W1476" s="18"/>
      <c r="X1476" s="18"/>
      <c r="Y1476" s="18"/>
      <c r="Z1476" s="18"/>
      <c r="AA1476" s="18"/>
      <c r="AB1476" s="18"/>
      <c r="AC1476" s="18"/>
      <c r="AD1476" s="18"/>
      <c r="AE1476" s="18"/>
      <c r="AF1476" s="18"/>
      <c r="AG1476" s="18"/>
      <c r="AH1476" s="18"/>
      <c r="AI1476" s="18"/>
      <c r="AJ1476" s="18"/>
      <c r="AK1476" s="18"/>
      <c r="AL1476" s="18"/>
      <c r="AM1476" s="18"/>
      <c r="AN1476" s="18"/>
      <c r="AO1476" s="18"/>
      <c r="AP1476" s="18"/>
      <c r="AQ1476" s="18"/>
      <c r="AR1476" s="18"/>
      <c r="AS1476" s="18"/>
      <c r="AT1476" s="18"/>
      <c r="AU1476" s="18"/>
      <c r="AV1476" s="18"/>
      <c r="AW1476" s="18"/>
      <c r="AX1476" s="18"/>
      <c r="AY1476" s="18"/>
      <c r="AZ1476" s="18"/>
      <c r="BA1476" s="18"/>
      <c r="BB1476" s="18"/>
      <c r="BC1476" s="18"/>
      <c r="BD1476" s="18"/>
      <c r="BE1476" s="18"/>
      <c r="BF1476" s="18"/>
      <c r="BG1476" s="18"/>
      <c r="BH1476" s="18"/>
      <c r="BI1476" s="18"/>
      <c r="BJ1476" s="18"/>
      <c r="BK1476" s="18"/>
      <c r="BL1476" s="18"/>
      <c r="BM1476" s="18"/>
      <c r="BN1476" s="18"/>
    </row>
    <row r="1477" spans="1:66">
      <c r="A1477" s="18"/>
      <c r="B1477" s="18"/>
      <c r="C1477" s="18"/>
      <c r="D1477" s="18"/>
      <c r="E1477" s="18"/>
      <c r="F1477" s="18"/>
      <c r="G1477" s="18"/>
      <c r="H1477" s="18"/>
      <c r="I1477" s="18"/>
      <c r="J1477" s="18"/>
      <c r="K1477" s="18"/>
      <c r="L1477" s="18"/>
      <c r="M1477" s="18"/>
      <c r="N1477" s="18"/>
      <c r="O1477" s="18"/>
      <c r="P1477" s="18"/>
      <c r="Q1477" s="18"/>
      <c r="R1477" s="18"/>
      <c r="S1477" s="18"/>
      <c r="T1477" s="18"/>
      <c r="U1477" s="18"/>
      <c r="V1477" s="18"/>
      <c r="W1477" s="18"/>
      <c r="X1477" s="18"/>
      <c r="Y1477" s="18"/>
      <c r="Z1477" s="18"/>
      <c r="AA1477" s="18"/>
      <c r="AB1477" s="18"/>
      <c r="AC1477" s="18"/>
      <c r="AD1477" s="18"/>
      <c r="AE1477" s="18"/>
      <c r="AF1477" s="18"/>
      <c r="AG1477" s="18"/>
      <c r="AH1477" s="18"/>
      <c r="AI1477" s="18"/>
      <c r="AJ1477" s="18"/>
      <c r="AK1477" s="18"/>
      <c r="AL1477" s="18"/>
      <c r="AM1477" s="18"/>
      <c r="AN1477" s="18"/>
      <c r="AO1477" s="18"/>
      <c r="AP1477" s="18"/>
      <c r="AQ1477" s="18"/>
      <c r="AR1477" s="18"/>
      <c r="AS1477" s="18"/>
      <c r="AT1477" s="18"/>
      <c r="AU1477" s="18"/>
      <c r="AV1477" s="18"/>
      <c r="AW1477" s="18"/>
      <c r="AX1477" s="18"/>
      <c r="AY1477" s="18"/>
      <c r="AZ1477" s="18"/>
      <c r="BA1477" s="18"/>
      <c r="BB1477" s="18"/>
      <c r="BC1477" s="18"/>
      <c r="BD1477" s="18"/>
      <c r="BE1477" s="18"/>
      <c r="BF1477" s="18"/>
      <c r="BG1477" s="18"/>
      <c r="BH1477" s="18"/>
      <c r="BI1477" s="18"/>
      <c r="BJ1477" s="18"/>
      <c r="BK1477" s="18"/>
      <c r="BL1477" s="18"/>
      <c r="BM1477" s="18"/>
      <c r="BN1477" s="18"/>
    </row>
    <row r="1478" spans="1:66">
      <c r="A1478" s="18"/>
      <c r="B1478" s="18"/>
      <c r="C1478" s="18"/>
      <c r="D1478" s="18"/>
      <c r="E1478" s="18"/>
      <c r="F1478" s="18"/>
      <c r="G1478" s="18"/>
      <c r="H1478" s="18"/>
      <c r="I1478" s="18"/>
      <c r="J1478" s="18"/>
      <c r="K1478" s="18"/>
      <c r="L1478" s="18"/>
      <c r="M1478" s="18"/>
      <c r="N1478" s="18"/>
      <c r="O1478" s="18"/>
      <c r="P1478" s="18"/>
      <c r="Q1478" s="18"/>
      <c r="R1478" s="18"/>
      <c r="S1478" s="18"/>
      <c r="T1478" s="18"/>
      <c r="U1478" s="18"/>
      <c r="V1478" s="18"/>
      <c r="W1478" s="18"/>
      <c r="X1478" s="18"/>
      <c r="Y1478" s="18"/>
      <c r="Z1478" s="18"/>
      <c r="AA1478" s="18"/>
      <c r="AB1478" s="18"/>
      <c r="AC1478" s="18"/>
      <c r="AD1478" s="18"/>
      <c r="AE1478" s="18"/>
      <c r="AF1478" s="18"/>
      <c r="AG1478" s="18"/>
      <c r="AH1478" s="18"/>
      <c r="AI1478" s="18"/>
      <c r="AJ1478" s="18"/>
      <c r="AK1478" s="18"/>
      <c r="AL1478" s="18"/>
      <c r="AM1478" s="18"/>
      <c r="AN1478" s="18"/>
      <c r="AO1478" s="18"/>
      <c r="AP1478" s="18"/>
      <c r="AQ1478" s="18"/>
      <c r="AR1478" s="18"/>
      <c r="AS1478" s="18"/>
      <c r="AT1478" s="18"/>
      <c r="AU1478" s="18"/>
      <c r="AV1478" s="18"/>
      <c r="AW1478" s="18"/>
      <c r="AX1478" s="18"/>
      <c r="AY1478" s="18"/>
      <c r="AZ1478" s="18"/>
      <c r="BA1478" s="18"/>
      <c r="BB1478" s="18"/>
      <c r="BC1478" s="18"/>
      <c r="BD1478" s="18"/>
      <c r="BE1478" s="18"/>
      <c r="BF1478" s="18"/>
      <c r="BG1478" s="18"/>
      <c r="BH1478" s="18"/>
      <c r="BI1478" s="18"/>
      <c r="BJ1478" s="18"/>
      <c r="BK1478" s="18"/>
      <c r="BL1478" s="18"/>
      <c r="BM1478" s="18"/>
      <c r="BN1478" s="18"/>
    </row>
    <row r="1479" spans="1:66">
      <c r="A1479" s="18"/>
      <c r="B1479" s="18"/>
      <c r="C1479" s="18"/>
      <c r="D1479" s="18"/>
      <c r="E1479" s="18"/>
      <c r="F1479" s="18"/>
      <c r="G1479" s="18"/>
      <c r="H1479" s="18"/>
      <c r="I1479" s="18"/>
      <c r="J1479" s="18"/>
      <c r="K1479" s="18"/>
      <c r="L1479" s="18"/>
      <c r="M1479" s="18"/>
      <c r="N1479" s="18"/>
      <c r="O1479" s="18"/>
      <c r="P1479" s="18"/>
      <c r="Q1479" s="18"/>
      <c r="R1479" s="18"/>
      <c r="S1479" s="18"/>
      <c r="T1479" s="18"/>
      <c r="U1479" s="18"/>
      <c r="V1479" s="18"/>
      <c r="W1479" s="18"/>
      <c r="X1479" s="18"/>
      <c r="Y1479" s="18"/>
      <c r="Z1479" s="18"/>
      <c r="AA1479" s="18"/>
      <c r="AB1479" s="18"/>
      <c r="AC1479" s="18"/>
      <c r="AD1479" s="18"/>
      <c r="AE1479" s="18"/>
      <c r="AF1479" s="18"/>
      <c r="AG1479" s="18"/>
      <c r="AH1479" s="18"/>
      <c r="AI1479" s="18"/>
      <c r="AJ1479" s="18"/>
      <c r="AK1479" s="18"/>
      <c r="AL1479" s="18"/>
      <c r="AM1479" s="18"/>
      <c r="AN1479" s="18"/>
      <c r="AO1479" s="18"/>
      <c r="AP1479" s="18"/>
      <c r="AQ1479" s="18"/>
      <c r="AR1479" s="18"/>
      <c r="AS1479" s="18"/>
      <c r="AT1479" s="18"/>
      <c r="AU1479" s="18"/>
      <c r="AV1479" s="18"/>
      <c r="AW1479" s="18"/>
      <c r="AX1479" s="18"/>
      <c r="AY1479" s="18"/>
      <c r="AZ1479" s="18"/>
      <c r="BA1479" s="18"/>
      <c r="BB1479" s="18"/>
      <c r="BC1479" s="18"/>
      <c r="BD1479" s="18"/>
      <c r="BE1479" s="18"/>
      <c r="BF1479" s="18"/>
      <c r="BG1479" s="18"/>
      <c r="BH1479" s="18"/>
      <c r="BI1479" s="18"/>
      <c r="BJ1479" s="18"/>
      <c r="BK1479" s="18"/>
      <c r="BL1479" s="18"/>
      <c r="BM1479" s="18"/>
      <c r="BN1479" s="18"/>
    </row>
    <row r="1480" spans="1:66">
      <c r="A1480" s="18"/>
      <c r="B1480" s="18"/>
      <c r="C1480" s="18"/>
      <c r="D1480" s="18"/>
      <c r="E1480" s="18"/>
      <c r="F1480" s="18"/>
      <c r="G1480" s="18"/>
      <c r="H1480" s="18"/>
      <c r="I1480" s="18"/>
      <c r="J1480" s="18"/>
      <c r="K1480" s="18"/>
      <c r="L1480" s="18"/>
      <c r="M1480" s="18"/>
      <c r="N1480" s="18"/>
      <c r="O1480" s="18"/>
      <c r="P1480" s="18"/>
      <c r="Q1480" s="18"/>
      <c r="R1480" s="18"/>
      <c r="S1480" s="18"/>
      <c r="T1480" s="18"/>
      <c r="U1480" s="18"/>
      <c r="V1480" s="18"/>
      <c r="W1480" s="18"/>
      <c r="X1480" s="18"/>
      <c r="Y1480" s="18"/>
      <c r="Z1480" s="18"/>
      <c r="AA1480" s="18"/>
      <c r="AB1480" s="18"/>
      <c r="AC1480" s="18"/>
      <c r="AD1480" s="18"/>
      <c r="AE1480" s="18"/>
      <c r="AF1480" s="18"/>
      <c r="AG1480" s="18"/>
      <c r="AH1480" s="18"/>
      <c r="AI1480" s="18"/>
      <c r="AJ1480" s="18"/>
      <c r="AK1480" s="18"/>
      <c r="AL1480" s="18"/>
      <c r="AM1480" s="18"/>
      <c r="AN1480" s="18"/>
      <c r="AO1480" s="18"/>
      <c r="AP1480" s="18"/>
      <c r="AQ1480" s="18"/>
      <c r="AR1480" s="18"/>
      <c r="AS1480" s="18"/>
      <c r="AT1480" s="18"/>
      <c r="AU1480" s="18"/>
      <c r="AV1480" s="18"/>
      <c r="AW1480" s="18"/>
      <c r="AX1480" s="18"/>
      <c r="AY1480" s="18"/>
      <c r="AZ1480" s="18"/>
      <c r="BA1480" s="18"/>
      <c r="BB1480" s="18"/>
      <c r="BC1480" s="18"/>
      <c r="BD1480" s="18"/>
      <c r="BE1480" s="18"/>
      <c r="BF1480" s="18"/>
      <c r="BG1480" s="18"/>
      <c r="BH1480" s="18"/>
      <c r="BI1480" s="18"/>
      <c r="BJ1480" s="18"/>
      <c r="BK1480" s="18"/>
      <c r="BL1480" s="18"/>
      <c r="BM1480" s="18"/>
      <c r="BN1480" s="18"/>
    </row>
    <row r="1481" spans="1:66">
      <c r="A1481" s="18"/>
      <c r="B1481" s="18"/>
      <c r="C1481" s="18"/>
      <c r="D1481" s="18"/>
      <c r="E1481" s="18"/>
      <c r="F1481" s="18"/>
      <c r="G1481" s="18"/>
      <c r="H1481" s="18"/>
      <c r="I1481" s="18"/>
      <c r="J1481" s="18"/>
      <c r="K1481" s="18"/>
      <c r="L1481" s="18"/>
      <c r="M1481" s="18"/>
      <c r="N1481" s="18"/>
      <c r="O1481" s="18"/>
      <c r="P1481" s="18"/>
      <c r="Q1481" s="18"/>
      <c r="R1481" s="18"/>
      <c r="S1481" s="18"/>
      <c r="T1481" s="18"/>
      <c r="U1481" s="18"/>
      <c r="V1481" s="18"/>
      <c r="W1481" s="18"/>
      <c r="X1481" s="18"/>
      <c r="Y1481" s="18"/>
      <c r="Z1481" s="18"/>
      <c r="AA1481" s="18"/>
      <c r="AB1481" s="18"/>
      <c r="AC1481" s="18"/>
      <c r="AD1481" s="18"/>
      <c r="AE1481" s="18"/>
      <c r="AF1481" s="18"/>
      <c r="AG1481" s="18"/>
      <c r="AH1481" s="18"/>
      <c r="AI1481" s="18"/>
      <c r="AJ1481" s="18"/>
      <c r="AK1481" s="18"/>
      <c r="AL1481" s="18"/>
      <c r="AM1481" s="18"/>
      <c r="AN1481" s="18"/>
      <c r="AO1481" s="18"/>
      <c r="AP1481" s="18"/>
      <c r="AQ1481" s="18"/>
      <c r="AR1481" s="18"/>
      <c r="AS1481" s="18"/>
      <c r="AT1481" s="18"/>
      <c r="AU1481" s="18"/>
      <c r="AV1481" s="18"/>
      <c r="AW1481" s="18"/>
      <c r="AX1481" s="18"/>
      <c r="AY1481" s="18"/>
      <c r="AZ1481" s="18"/>
      <c r="BA1481" s="18"/>
      <c r="BB1481" s="18"/>
      <c r="BC1481" s="18"/>
      <c r="BD1481" s="18"/>
      <c r="BE1481" s="18"/>
      <c r="BF1481" s="18"/>
      <c r="BG1481" s="18"/>
      <c r="BH1481" s="18"/>
      <c r="BI1481" s="18"/>
      <c r="BJ1481" s="18"/>
      <c r="BK1481" s="18"/>
      <c r="BL1481" s="18"/>
      <c r="BM1481" s="18"/>
      <c r="BN1481" s="18"/>
    </row>
    <row r="1482" spans="1:66">
      <c r="A1482" s="18"/>
      <c r="B1482" s="18"/>
      <c r="C1482" s="18"/>
      <c r="D1482" s="18"/>
      <c r="E1482" s="18"/>
      <c r="F1482" s="18"/>
      <c r="G1482" s="18"/>
      <c r="H1482" s="18"/>
      <c r="I1482" s="18"/>
      <c r="J1482" s="18"/>
      <c r="K1482" s="18"/>
      <c r="L1482" s="18"/>
      <c r="M1482" s="18"/>
      <c r="N1482" s="18"/>
      <c r="O1482" s="18"/>
      <c r="P1482" s="18"/>
      <c r="Q1482" s="18"/>
      <c r="R1482" s="19"/>
      <c r="S1482" s="18"/>
      <c r="T1482" s="18"/>
      <c r="U1482" s="18"/>
      <c r="V1482" s="18"/>
      <c r="W1482" s="18"/>
      <c r="X1482" s="19"/>
      <c r="Y1482" s="18"/>
      <c r="Z1482" s="18"/>
      <c r="AA1482" s="18"/>
      <c r="AB1482" s="18"/>
      <c r="AC1482" s="18"/>
      <c r="AD1482" s="19"/>
      <c r="AE1482" s="18"/>
      <c r="AF1482" s="18"/>
      <c r="AG1482" s="18"/>
      <c r="AH1482" s="18"/>
      <c r="AI1482" s="18"/>
      <c r="AJ1482" s="18"/>
      <c r="AK1482" s="18"/>
      <c r="AL1482" s="18"/>
      <c r="AM1482" s="18"/>
      <c r="AN1482" s="18"/>
      <c r="AO1482" s="18"/>
      <c r="AP1482" s="18"/>
      <c r="AQ1482" s="18"/>
      <c r="AR1482" s="18"/>
      <c r="AS1482" s="18"/>
      <c r="AT1482" s="18"/>
      <c r="AU1482" s="18"/>
      <c r="AV1482" s="18"/>
      <c r="AW1482" s="18"/>
      <c r="AX1482" s="18"/>
      <c r="AY1482" s="18"/>
      <c r="AZ1482" s="18"/>
      <c r="BA1482" s="18"/>
      <c r="BB1482" s="18"/>
      <c r="BC1482" s="18"/>
      <c r="BD1482" s="18"/>
      <c r="BE1482" s="18"/>
      <c r="BF1482" s="18"/>
      <c r="BG1482" s="18"/>
      <c r="BH1482" s="18"/>
      <c r="BI1482" s="19"/>
      <c r="BJ1482" s="18"/>
      <c r="BK1482" s="18"/>
      <c r="BL1482" s="18"/>
      <c r="BM1482" s="18"/>
      <c r="BN1482" s="18"/>
    </row>
    <row r="1483" spans="1:66">
      <c r="A1483" s="18"/>
      <c r="B1483" s="18"/>
      <c r="C1483" s="18"/>
      <c r="D1483" s="18"/>
      <c r="E1483" s="18"/>
      <c r="F1483" s="18"/>
      <c r="G1483" s="18"/>
      <c r="H1483" s="18"/>
      <c r="I1483" s="18"/>
      <c r="J1483" s="18"/>
      <c r="K1483" s="18"/>
      <c r="L1483" s="18"/>
      <c r="M1483" s="18"/>
      <c r="N1483" s="18"/>
      <c r="O1483" s="18"/>
      <c r="P1483" s="18"/>
      <c r="Q1483" s="18"/>
      <c r="R1483" s="18"/>
      <c r="S1483" s="18"/>
      <c r="T1483" s="19"/>
      <c r="U1483" s="18"/>
      <c r="V1483" s="18"/>
      <c r="W1483" s="18"/>
      <c r="X1483" s="18"/>
      <c r="Y1483" s="18"/>
      <c r="Z1483" s="18"/>
      <c r="AA1483" s="18"/>
      <c r="AB1483" s="18"/>
      <c r="AC1483" s="18"/>
      <c r="AD1483" s="18"/>
      <c r="AE1483" s="18"/>
      <c r="AF1483" s="18"/>
      <c r="AG1483" s="18"/>
      <c r="AH1483" s="18"/>
      <c r="AI1483" s="18"/>
      <c r="AJ1483" s="18"/>
      <c r="AK1483" s="18"/>
      <c r="AL1483" s="18"/>
      <c r="AM1483" s="18"/>
      <c r="AN1483" s="18"/>
      <c r="AO1483" s="18"/>
      <c r="AP1483" s="18"/>
      <c r="AQ1483" s="18"/>
      <c r="AR1483" s="18"/>
      <c r="AS1483" s="18"/>
      <c r="AT1483" s="18"/>
      <c r="AU1483" s="18"/>
      <c r="AV1483" s="18"/>
      <c r="AW1483" s="18"/>
      <c r="AX1483" s="18"/>
      <c r="AY1483" s="18"/>
      <c r="AZ1483" s="18"/>
      <c r="BA1483" s="18"/>
      <c r="BB1483" s="18"/>
      <c r="BC1483" s="18"/>
      <c r="BD1483" s="18"/>
      <c r="BE1483" s="18"/>
      <c r="BF1483" s="18"/>
      <c r="BG1483" s="18"/>
      <c r="BH1483" s="18"/>
      <c r="BI1483" s="18"/>
      <c r="BJ1483" s="18"/>
      <c r="BK1483" s="18"/>
      <c r="BL1483" s="18"/>
      <c r="BM1483" s="18"/>
      <c r="BN1483" s="18"/>
    </row>
    <row r="1484" spans="1:66">
      <c r="A1484" s="18"/>
      <c r="B1484" s="18"/>
      <c r="C1484" s="18"/>
      <c r="D1484" s="18"/>
      <c r="E1484" s="18"/>
      <c r="F1484" s="18"/>
      <c r="G1484" s="18"/>
      <c r="H1484" s="18"/>
      <c r="I1484" s="18"/>
      <c r="J1484" s="18"/>
      <c r="K1484" s="18"/>
      <c r="L1484" s="18"/>
      <c r="M1484" s="18"/>
      <c r="N1484" s="18"/>
      <c r="O1484" s="18"/>
      <c r="P1484" s="18"/>
      <c r="Q1484" s="18"/>
      <c r="R1484" s="18"/>
      <c r="S1484" s="18"/>
      <c r="T1484" s="18"/>
      <c r="U1484" s="18"/>
      <c r="V1484" s="18"/>
      <c r="W1484" s="18"/>
      <c r="X1484" s="18"/>
      <c r="Y1484" s="18"/>
      <c r="Z1484" s="18"/>
      <c r="AA1484" s="18"/>
      <c r="AB1484" s="18"/>
      <c r="AC1484" s="18"/>
      <c r="AD1484" s="18"/>
      <c r="AE1484" s="18"/>
      <c r="AF1484" s="18"/>
      <c r="AG1484" s="18"/>
      <c r="AH1484" s="18"/>
      <c r="AI1484" s="18"/>
      <c r="AJ1484" s="18"/>
      <c r="AK1484" s="18"/>
      <c r="AL1484" s="18"/>
      <c r="AM1484" s="18"/>
      <c r="AN1484" s="18"/>
      <c r="AO1484" s="18"/>
      <c r="AP1484" s="18"/>
      <c r="AQ1484" s="18"/>
      <c r="AR1484" s="18"/>
      <c r="AS1484" s="18"/>
      <c r="AT1484" s="18"/>
      <c r="AU1484" s="18"/>
      <c r="AV1484" s="18"/>
      <c r="AW1484" s="18"/>
      <c r="AX1484" s="18"/>
      <c r="AY1484" s="18"/>
      <c r="AZ1484" s="18"/>
      <c r="BA1484" s="18"/>
      <c r="BB1484" s="18"/>
      <c r="BC1484" s="18"/>
      <c r="BD1484" s="18"/>
      <c r="BE1484" s="18"/>
      <c r="BF1484" s="18"/>
      <c r="BG1484" s="18"/>
      <c r="BH1484" s="18"/>
      <c r="BI1484" s="18"/>
      <c r="BJ1484" s="18"/>
      <c r="BK1484" s="18"/>
      <c r="BL1484" s="18"/>
      <c r="BM1484" s="18"/>
      <c r="BN1484" s="18"/>
    </row>
    <row r="1485" spans="1:66">
      <c r="A1485" s="18"/>
      <c r="B1485" s="18"/>
      <c r="C1485" s="18"/>
      <c r="D1485" s="18"/>
      <c r="E1485" s="18"/>
      <c r="F1485" s="18"/>
      <c r="G1485" s="18"/>
      <c r="H1485" s="18"/>
      <c r="I1485" s="18"/>
      <c r="J1485" s="18"/>
      <c r="K1485" s="18"/>
      <c r="L1485" s="18"/>
      <c r="M1485" s="18"/>
      <c r="N1485" s="18"/>
      <c r="O1485" s="18"/>
      <c r="P1485" s="18"/>
      <c r="Q1485" s="18"/>
      <c r="R1485" s="18"/>
      <c r="S1485" s="18"/>
      <c r="T1485" s="18"/>
      <c r="U1485" s="18"/>
      <c r="V1485" s="18"/>
      <c r="W1485" s="18"/>
      <c r="X1485" s="18"/>
      <c r="Y1485" s="18"/>
      <c r="Z1485" s="18"/>
      <c r="AA1485" s="18"/>
      <c r="AB1485" s="18"/>
      <c r="AC1485" s="18"/>
      <c r="AD1485" s="18"/>
      <c r="AE1485" s="18"/>
      <c r="AF1485" s="18"/>
      <c r="AG1485" s="18"/>
      <c r="AH1485" s="18"/>
      <c r="AI1485" s="18"/>
      <c r="AJ1485" s="18"/>
      <c r="AK1485" s="18"/>
      <c r="AL1485" s="18"/>
      <c r="AM1485" s="18"/>
      <c r="AN1485" s="18"/>
      <c r="AO1485" s="18"/>
      <c r="AP1485" s="18"/>
      <c r="AQ1485" s="18"/>
      <c r="AR1485" s="18"/>
      <c r="AS1485" s="18"/>
      <c r="AT1485" s="18"/>
      <c r="AU1485" s="18"/>
      <c r="AV1485" s="18"/>
      <c r="AW1485" s="18"/>
      <c r="AX1485" s="18"/>
      <c r="AY1485" s="18"/>
      <c r="AZ1485" s="18"/>
      <c r="BA1485" s="18"/>
      <c r="BB1485" s="18"/>
      <c r="BC1485" s="18"/>
      <c r="BD1485" s="18"/>
      <c r="BE1485" s="18"/>
      <c r="BF1485" s="18"/>
      <c r="BG1485" s="18"/>
      <c r="BH1485" s="18"/>
      <c r="BI1485" s="18"/>
      <c r="BJ1485" s="18"/>
      <c r="BK1485" s="18"/>
      <c r="BL1485" s="18"/>
      <c r="BM1485" s="18"/>
      <c r="BN1485" s="18"/>
    </row>
    <row r="1486" spans="1:66">
      <c r="A1486" s="18"/>
      <c r="B1486" s="18"/>
      <c r="C1486" s="18"/>
      <c r="D1486" s="18"/>
      <c r="E1486" s="18"/>
      <c r="F1486" s="18"/>
      <c r="G1486" s="18"/>
      <c r="H1486" s="18"/>
      <c r="I1486" s="18"/>
      <c r="J1486" s="18"/>
      <c r="K1486" s="18"/>
      <c r="L1486" s="18"/>
      <c r="M1486" s="18"/>
      <c r="N1486" s="18"/>
      <c r="O1486" s="18"/>
      <c r="P1486" s="18"/>
      <c r="Q1486" s="18"/>
      <c r="R1486" s="18"/>
      <c r="S1486" s="18"/>
      <c r="T1486" s="18"/>
      <c r="U1486" s="18"/>
      <c r="V1486" s="18"/>
      <c r="W1486" s="18"/>
      <c r="X1486" s="18"/>
      <c r="Y1486" s="18"/>
      <c r="Z1486" s="18"/>
      <c r="AA1486" s="18"/>
      <c r="AB1486" s="18"/>
      <c r="AC1486" s="18"/>
      <c r="AD1486" s="18"/>
      <c r="AE1486" s="18"/>
      <c r="AF1486" s="18"/>
      <c r="AG1486" s="18"/>
      <c r="AH1486" s="18"/>
      <c r="AI1486" s="18"/>
      <c r="AJ1486" s="18"/>
      <c r="AK1486" s="18"/>
      <c r="AL1486" s="18"/>
      <c r="AM1486" s="18"/>
      <c r="AN1486" s="18"/>
      <c r="AO1486" s="18"/>
      <c r="AP1486" s="18"/>
      <c r="AQ1486" s="18"/>
      <c r="AR1486" s="18"/>
      <c r="AS1486" s="18"/>
      <c r="AT1486" s="18"/>
      <c r="AU1486" s="18"/>
      <c r="AV1486" s="18"/>
      <c r="AW1486" s="18"/>
      <c r="AX1486" s="18"/>
      <c r="AY1486" s="18"/>
      <c r="AZ1486" s="18"/>
      <c r="BA1486" s="18"/>
      <c r="BB1486" s="18"/>
      <c r="BC1486" s="18"/>
      <c r="BD1486" s="18"/>
      <c r="BE1486" s="18"/>
      <c r="BF1486" s="18"/>
      <c r="BG1486" s="18"/>
      <c r="BH1486" s="18"/>
      <c r="BI1486" s="18"/>
      <c r="BJ1486" s="18"/>
      <c r="BK1486" s="18"/>
      <c r="BL1486" s="18"/>
      <c r="BM1486" s="18"/>
      <c r="BN1486" s="18"/>
    </row>
    <row r="1487" spans="1:66">
      <c r="A1487" s="18"/>
      <c r="B1487" s="18"/>
      <c r="C1487" s="18"/>
      <c r="D1487" s="18"/>
      <c r="E1487" s="18"/>
      <c r="F1487" s="18"/>
      <c r="G1487" s="18"/>
      <c r="H1487" s="18"/>
      <c r="I1487" s="18"/>
      <c r="J1487" s="18"/>
      <c r="K1487" s="18"/>
      <c r="L1487" s="18"/>
      <c r="M1487" s="18"/>
      <c r="N1487" s="18"/>
      <c r="O1487" s="18"/>
      <c r="P1487" s="18"/>
      <c r="Q1487" s="18"/>
      <c r="R1487" s="18"/>
      <c r="S1487" s="18"/>
      <c r="T1487" s="18"/>
      <c r="U1487" s="18"/>
      <c r="V1487" s="18"/>
      <c r="W1487" s="18"/>
      <c r="X1487" s="18"/>
      <c r="Y1487" s="18"/>
      <c r="Z1487" s="18"/>
      <c r="AA1487" s="18"/>
      <c r="AB1487" s="18"/>
      <c r="AC1487" s="18"/>
      <c r="AD1487" s="18"/>
      <c r="AE1487" s="18"/>
      <c r="AF1487" s="18"/>
      <c r="AG1487" s="18"/>
      <c r="AH1487" s="18"/>
      <c r="AI1487" s="18"/>
      <c r="AJ1487" s="18"/>
      <c r="AK1487" s="18"/>
      <c r="AL1487" s="18"/>
      <c r="AM1487" s="18"/>
      <c r="AN1487" s="18"/>
      <c r="AO1487" s="18"/>
      <c r="AP1487" s="18"/>
      <c r="AQ1487" s="18"/>
      <c r="AR1487" s="18"/>
      <c r="AS1487" s="18"/>
      <c r="AT1487" s="18"/>
      <c r="AU1487" s="18"/>
      <c r="AV1487" s="18"/>
      <c r="AW1487" s="18"/>
      <c r="AX1487" s="18"/>
      <c r="AY1487" s="18"/>
      <c r="AZ1487" s="18"/>
      <c r="BA1487" s="18"/>
      <c r="BB1487" s="18"/>
      <c r="BC1487" s="18"/>
      <c r="BD1487" s="18"/>
      <c r="BE1487" s="18"/>
      <c r="BF1487" s="18"/>
      <c r="BG1487" s="18"/>
      <c r="BH1487" s="18"/>
      <c r="BI1487" s="18"/>
      <c r="BJ1487" s="18"/>
      <c r="BK1487" s="18"/>
      <c r="BL1487" s="18"/>
      <c r="BM1487" s="18"/>
      <c r="BN1487" s="18"/>
    </row>
    <row r="1488" spans="1:66">
      <c r="A1488" s="18"/>
      <c r="B1488" s="18"/>
      <c r="C1488" s="18"/>
      <c r="D1488" s="18"/>
      <c r="E1488" s="18"/>
      <c r="F1488" s="18"/>
      <c r="G1488" s="18"/>
      <c r="H1488" s="18"/>
      <c r="I1488" s="18"/>
      <c r="J1488" s="18"/>
      <c r="K1488" s="18"/>
      <c r="L1488" s="18"/>
      <c r="M1488" s="18"/>
      <c r="N1488" s="18"/>
      <c r="O1488" s="18"/>
      <c r="P1488" s="18"/>
      <c r="Q1488" s="18"/>
      <c r="R1488" s="18"/>
      <c r="S1488" s="18"/>
      <c r="T1488" s="18"/>
      <c r="U1488" s="18"/>
      <c r="V1488" s="18"/>
      <c r="W1488" s="18"/>
      <c r="X1488" s="18"/>
      <c r="Y1488" s="18"/>
      <c r="Z1488" s="18"/>
      <c r="AA1488" s="18"/>
      <c r="AB1488" s="18"/>
      <c r="AC1488" s="18"/>
      <c r="AD1488" s="18"/>
      <c r="AE1488" s="18"/>
      <c r="AF1488" s="18"/>
      <c r="AG1488" s="18"/>
      <c r="AH1488" s="18"/>
      <c r="AI1488" s="18"/>
      <c r="AJ1488" s="18"/>
      <c r="AK1488" s="18"/>
      <c r="AL1488" s="18"/>
      <c r="AM1488" s="18"/>
      <c r="AN1488" s="18"/>
      <c r="AO1488" s="18"/>
      <c r="AP1488" s="18"/>
      <c r="AQ1488" s="18"/>
      <c r="AR1488" s="18"/>
      <c r="AS1488" s="18"/>
      <c r="AT1488" s="18"/>
      <c r="AU1488" s="18"/>
      <c r="AV1488" s="18"/>
      <c r="AW1488" s="18"/>
      <c r="AX1488" s="18"/>
      <c r="AY1488" s="18"/>
      <c r="AZ1488" s="18"/>
      <c r="BA1488" s="18"/>
      <c r="BB1488" s="18"/>
      <c r="BC1488" s="18"/>
      <c r="BD1488" s="18"/>
      <c r="BE1488" s="18"/>
      <c r="BF1488" s="18"/>
      <c r="BG1488" s="18"/>
      <c r="BH1488" s="18"/>
      <c r="BI1488" s="18"/>
      <c r="BJ1488" s="18"/>
      <c r="BK1488" s="18"/>
      <c r="BL1488" s="18"/>
      <c r="BM1488" s="18"/>
      <c r="BN1488" s="18"/>
    </row>
    <row r="1489" spans="1:66">
      <c r="A1489" s="18"/>
      <c r="B1489" s="18"/>
      <c r="C1489" s="18"/>
      <c r="D1489" s="18"/>
      <c r="E1489" s="18"/>
      <c r="F1489" s="18"/>
      <c r="G1489" s="18"/>
      <c r="H1489" s="18"/>
      <c r="I1489" s="18"/>
      <c r="J1489" s="18"/>
      <c r="K1489" s="18"/>
      <c r="L1489" s="18"/>
      <c r="M1489" s="18"/>
      <c r="N1489" s="18"/>
      <c r="O1489" s="18"/>
      <c r="P1489" s="18"/>
      <c r="Q1489" s="18"/>
      <c r="R1489" s="18"/>
      <c r="S1489" s="18"/>
      <c r="T1489" s="18"/>
      <c r="U1489" s="18"/>
      <c r="V1489" s="18"/>
      <c r="W1489" s="18"/>
      <c r="X1489" s="18"/>
      <c r="Y1489" s="18"/>
      <c r="Z1489" s="18"/>
      <c r="AA1489" s="18"/>
      <c r="AB1489" s="18"/>
      <c r="AC1489" s="18"/>
      <c r="AD1489" s="18"/>
      <c r="AE1489" s="18"/>
      <c r="AF1489" s="18"/>
      <c r="AG1489" s="18"/>
      <c r="AH1489" s="18"/>
      <c r="AI1489" s="18"/>
      <c r="AJ1489" s="18"/>
      <c r="AK1489" s="18"/>
      <c r="AL1489" s="18"/>
      <c r="AM1489" s="18"/>
      <c r="AN1489" s="18"/>
      <c r="AO1489" s="18"/>
      <c r="AP1489" s="18"/>
      <c r="AQ1489" s="18"/>
      <c r="AR1489" s="18"/>
      <c r="AS1489" s="18"/>
      <c r="AT1489" s="18"/>
      <c r="AU1489" s="18"/>
      <c r="AV1489" s="18"/>
      <c r="AW1489" s="18"/>
      <c r="AX1489" s="18"/>
      <c r="AY1489" s="18"/>
      <c r="AZ1489" s="18"/>
      <c r="BA1489" s="18"/>
      <c r="BB1489" s="18"/>
      <c r="BC1489" s="18"/>
      <c r="BD1489" s="18"/>
      <c r="BE1489" s="18"/>
      <c r="BF1489" s="18"/>
      <c r="BG1489" s="18"/>
      <c r="BH1489" s="18"/>
      <c r="BI1489" s="18"/>
      <c r="BJ1489" s="18"/>
      <c r="BK1489" s="18"/>
      <c r="BL1489" s="18"/>
      <c r="BM1489" s="18"/>
      <c r="BN1489" s="18"/>
    </row>
    <row r="1490" spans="1:66">
      <c r="A1490" s="18"/>
      <c r="B1490" s="18"/>
      <c r="C1490" s="18"/>
      <c r="D1490" s="18"/>
      <c r="E1490" s="18"/>
      <c r="F1490" s="18"/>
      <c r="G1490" s="18"/>
      <c r="H1490" s="18"/>
      <c r="I1490" s="18"/>
      <c r="J1490" s="18"/>
      <c r="K1490" s="18"/>
      <c r="L1490" s="18"/>
      <c r="M1490" s="18"/>
      <c r="N1490" s="18"/>
      <c r="O1490" s="18"/>
      <c r="P1490" s="18"/>
      <c r="Q1490" s="18"/>
      <c r="R1490" s="18"/>
      <c r="S1490" s="18"/>
      <c r="T1490" s="18"/>
      <c r="U1490" s="18"/>
      <c r="V1490" s="18"/>
      <c r="W1490" s="18"/>
      <c r="X1490" s="18"/>
      <c r="Y1490" s="18"/>
      <c r="Z1490" s="18"/>
      <c r="AA1490" s="18"/>
      <c r="AB1490" s="18"/>
      <c r="AC1490" s="18"/>
      <c r="AD1490" s="18"/>
      <c r="AE1490" s="18"/>
      <c r="AF1490" s="18"/>
      <c r="AG1490" s="18"/>
      <c r="AH1490" s="18"/>
      <c r="AI1490" s="18"/>
      <c r="AJ1490" s="18"/>
      <c r="AK1490" s="18"/>
      <c r="AL1490" s="18"/>
      <c r="AM1490" s="18"/>
      <c r="AN1490" s="18"/>
      <c r="AO1490" s="18"/>
      <c r="AP1490" s="18"/>
      <c r="AQ1490" s="18"/>
      <c r="AR1490" s="18"/>
      <c r="AS1490" s="18"/>
      <c r="AT1490" s="18"/>
      <c r="AU1490" s="18"/>
      <c r="AV1490" s="18"/>
      <c r="AW1490" s="18"/>
      <c r="AX1490" s="18"/>
      <c r="AY1490" s="18"/>
      <c r="AZ1490" s="18"/>
      <c r="BA1490" s="18"/>
      <c r="BB1490" s="18"/>
      <c r="BC1490" s="18"/>
      <c r="BD1490" s="18"/>
      <c r="BE1490" s="18"/>
      <c r="BF1490" s="18"/>
      <c r="BG1490" s="18"/>
      <c r="BH1490" s="18"/>
      <c r="BI1490" s="18"/>
      <c r="BJ1490" s="18"/>
      <c r="BK1490" s="18"/>
      <c r="BL1490" s="18"/>
      <c r="BM1490" s="18"/>
      <c r="BN1490" s="18"/>
    </row>
    <row r="1491" spans="1:66">
      <c r="A1491" s="18"/>
      <c r="B1491" s="18"/>
      <c r="C1491" s="18"/>
      <c r="D1491" s="18"/>
      <c r="E1491" s="18"/>
      <c r="F1491" s="18"/>
      <c r="G1491" s="18"/>
      <c r="H1491" s="18"/>
      <c r="I1491" s="18"/>
      <c r="J1491" s="18"/>
      <c r="K1491" s="18"/>
      <c r="L1491" s="18"/>
      <c r="M1491" s="18"/>
      <c r="N1491" s="18"/>
      <c r="O1491" s="18"/>
      <c r="P1491" s="18"/>
      <c r="Q1491" s="18"/>
      <c r="R1491" s="18"/>
      <c r="S1491" s="18"/>
      <c r="T1491" s="18"/>
      <c r="U1491" s="18"/>
      <c r="V1491" s="18"/>
      <c r="W1491" s="18"/>
      <c r="X1491" s="18"/>
      <c r="Y1491" s="18"/>
      <c r="Z1491" s="18"/>
      <c r="AA1491" s="18"/>
      <c r="AB1491" s="18"/>
      <c r="AC1491" s="18"/>
      <c r="AD1491" s="18"/>
      <c r="AE1491" s="18"/>
      <c r="AF1491" s="18"/>
      <c r="AG1491" s="18"/>
      <c r="AH1491" s="18"/>
      <c r="AI1491" s="18"/>
      <c r="AJ1491" s="18"/>
      <c r="AK1491" s="18"/>
      <c r="AL1491" s="18"/>
      <c r="AM1491" s="18"/>
      <c r="AN1491" s="18"/>
      <c r="AO1491" s="18"/>
      <c r="AP1491" s="18"/>
      <c r="AQ1491" s="18"/>
      <c r="AR1491" s="18"/>
      <c r="AS1491" s="18"/>
      <c r="AT1491" s="18"/>
      <c r="AU1491" s="18"/>
      <c r="AV1491" s="18"/>
      <c r="AW1491" s="18"/>
      <c r="AX1491" s="18"/>
      <c r="AY1491" s="18"/>
      <c r="AZ1491" s="18"/>
      <c r="BA1491" s="18"/>
      <c r="BB1491" s="18"/>
      <c r="BC1491" s="18"/>
      <c r="BD1491" s="18"/>
      <c r="BE1491" s="18"/>
      <c r="BF1491" s="18"/>
      <c r="BG1491" s="18"/>
      <c r="BH1491" s="18"/>
      <c r="BI1491" s="18"/>
      <c r="BJ1491" s="18"/>
      <c r="BK1491" s="18"/>
      <c r="BL1491" s="18"/>
      <c r="BM1491" s="18"/>
      <c r="BN1491" s="18"/>
    </row>
    <row r="1492" spans="1:66">
      <c r="A1492" s="18"/>
      <c r="B1492" s="18"/>
      <c r="C1492" s="18"/>
      <c r="D1492" s="18"/>
      <c r="E1492" s="18"/>
      <c r="F1492" s="18"/>
      <c r="G1492" s="18"/>
      <c r="H1492" s="18"/>
      <c r="I1492" s="18"/>
      <c r="J1492" s="18"/>
      <c r="K1492" s="18"/>
      <c r="L1492" s="18"/>
      <c r="M1492" s="18"/>
      <c r="N1492" s="18"/>
      <c r="O1492" s="18"/>
      <c r="P1492" s="18"/>
      <c r="Q1492" s="18"/>
      <c r="R1492" s="18"/>
      <c r="S1492" s="18"/>
      <c r="T1492" s="18"/>
      <c r="U1492" s="18"/>
      <c r="V1492" s="18"/>
      <c r="W1492" s="18"/>
      <c r="X1492" s="18"/>
      <c r="Y1492" s="18"/>
      <c r="Z1492" s="18"/>
      <c r="AA1492" s="18"/>
      <c r="AB1492" s="18"/>
      <c r="AC1492" s="18"/>
      <c r="AD1492" s="18"/>
      <c r="AE1492" s="18"/>
      <c r="AF1492" s="18"/>
      <c r="AG1492" s="18"/>
      <c r="AH1492" s="18"/>
      <c r="AI1492" s="18"/>
      <c r="AJ1492" s="18"/>
      <c r="AK1492" s="18"/>
      <c r="AL1492" s="18"/>
      <c r="AM1492" s="18"/>
      <c r="AN1492" s="18"/>
      <c r="AO1492" s="18"/>
      <c r="AP1492" s="18"/>
      <c r="AQ1492" s="18"/>
      <c r="AR1492" s="18"/>
      <c r="AS1492" s="18"/>
      <c r="AT1492" s="18"/>
      <c r="AU1492" s="18"/>
      <c r="AV1492" s="18"/>
      <c r="AW1492" s="18"/>
      <c r="AX1492" s="18"/>
      <c r="AY1492" s="18"/>
      <c r="AZ1492" s="18"/>
      <c r="BA1492" s="18"/>
      <c r="BB1492" s="18"/>
      <c r="BC1492" s="18"/>
      <c r="BD1492" s="18"/>
      <c r="BE1492" s="18"/>
      <c r="BF1492" s="18"/>
      <c r="BG1492" s="18"/>
      <c r="BH1492" s="18"/>
      <c r="BI1492" s="18"/>
      <c r="BJ1492" s="18"/>
      <c r="BK1492" s="18"/>
      <c r="BL1492" s="18"/>
      <c r="BM1492" s="18"/>
      <c r="BN1492" s="18"/>
    </row>
    <row r="1493" spans="1:66">
      <c r="A1493" s="18"/>
      <c r="B1493" s="18"/>
      <c r="C1493" s="18"/>
      <c r="D1493" s="18"/>
      <c r="E1493" s="18"/>
      <c r="F1493" s="18"/>
      <c r="G1493" s="18"/>
      <c r="H1493" s="18"/>
      <c r="I1493" s="18"/>
      <c r="J1493" s="18"/>
      <c r="K1493" s="18"/>
      <c r="L1493" s="18"/>
      <c r="M1493" s="18"/>
      <c r="N1493" s="18"/>
      <c r="O1493" s="18"/>
      <c r="P1493" s="18"/>
      <c r="Q1493" s="18"/>
      <c r="R1493" s="18"/>
      <c r="S1493" s="18"/>
      <c r="T1493" s="18"/>
      <c r="U1493" s="18"/>
      <c r="V1493" s="18"/>
      <c r="W1493" s="18"/>
      <c r="X1493" s="18"/>
      <c r="Y1493" s="18"/>
      <c r="Z1493" s="18"/>
      <c r="AA1493" s="18"/>
      <c r="AB1493" s="18"/>
      <c r="AC1493" s="18"/>
      <c r="AD1493" s="18"/>
      <c r="AE1493" s="18"/>
      <c r="AF1493" s="18"/>
      <c r="AG1493" s="18"/>
      <c r="AH1493" s="18"/>
      <c r="AI1493" s="18"/>
      <c r="AJ1493" s="18"/>
      <c r="AK1493" s="18"/>
      <c r="AL1493" s="18"/>
      <c r="AM1493" s="18"/>
      <c r="AN1493" s="18"/>
      <c r="AO1493" s="18"/>
      <c r="AP1493" s="18"/>
      <c r="AQ1493" s="18"/>
      <c r="AR1493" s="18"/>
      <c r="AS1493" s="18"/>
      <c r="AT1493" s="18"/>
      <c r="AU1493" s="18"/>
      <c r="AV1493" s="18"/>
      <c r="AW1493" s="18"/>
      <c r="AX1493" s="18"/>
      <c r="AY1493" s="18"/>
      <c r="AZ1493" s="18"/>
      <c r="BA1493" s="18"/>
      <c r="BB1493" s="18"/>
      <c r="BC1493" s="18"/>
      <c r="BD1493" s="18"/>
      <c r="BE1493" s="18"/>
      <c r="BF1493" s="18"/>
      <c r="BG1493" s="18"/>
      <c r="BH1493" s="18"/>
      <c r="BI1493" s="18"/>
      <c r="BJ1493" s="18"/>
      <c r="BK1493" s="18"/>
      <c r="BL1493" s="18"/>
      <c r="BM1493" s="18"/>
      <c r="BN1493" s="18"/>
    </row>
    <row r="1494" spans="1:66">
      <c r="A1494" s="18"/>
      <c r="B1494" s="18"/>
      <c r="C1494" s="18"/>
      <c r="D1494" s="18"/>
      <c r="E1494" s="18"/>
      <c r="F1494" s="18"/>
      <c r="G1494" s="18"/>
      <c r="H1494" s="18"/>
      <c r="I1494" s="18"/>
      <c r="J1494" s="18"/>
      <c r="K1494" s="18"/>
      <c r="L1494" s="18"/>
      <c r="M1494" s="18"/>
      <c r="N1494" s="18"/>
      <c r="O1494" s="18"/>
      <c r="P1494" s="18"/>
      <c r="Q1494" s="18"/>
      <c r="R1494" s="18"/>
      <c r="S1494" s="18"/>
      <c r="T1494" s="18"/>
      <c r="U1494" s="18"/>
      <c r="V1494" s="18"/>
      <c r="W1494" s="18"/>
      <c r="X1494" s="18"/>
      <c r="Y1494" s="18"/>
      <c r="Z1494" s="18"/>
      <c r="AA1494" s="18"/>
      <c r="AB1494" s="18"/>
      <c r="AC1494" s="18"/>
      <c r="AD1494" s="18"/>
      <c r="AE1494" s="18"/>
      <c r="AF1494" s="18"/>
      <c r="AG1494" s="18"/>
      <c r="AH1494" s="18"/>
      <c r="AI1494" s="18"/>
      <c r="AJ1494" s="18"/>
      <c r="AK1494" s="18"/>
      <c r="AL1494" s="18"/>
      <c r="AM1494" s="18"/>
      <c r="AN1494" s="18"/>
      <c r="AO1494" s="18"/>
      <c r="AP1494" s="18"/>
      <c r="AQ1494" s="18"/>
      <c r="AR1494" s="18"/>
      <c r="AS1494" s="18"/>
      <c r="AT1494" s="18"/>
      <c r="AU1494" s="18"/>
      <c r="AV1494" s="18"/>
      <c r="AW1494" s="18"/>
      <c r="AX1494" s="18"/>
      <c r="AY1494" s="18"/>
      <c r="AZ1494" s="18"/>
      <c r="BA1494" s="18"/>
      <c r="BB1494" s="18"/>
      <c r="BC1494" s="18"/>
      <c r="BD1494" s="18"/>
      <c r="BE1494" s="18"/>
      <c r="BF1494" s="18"/>
      <c r="BG1494" s="18"/>
      <c r="BH1494" s="18"/>
      <c r="BI1494" s="18"/>
      <c r="BJ1494" s="18"/>
      <c r="BK1494" s="18"/>
      <c r="BL1494" s="18"/>
      <c r="BM1494" s="18"/>
      <c r="BN1494" s="18"/>
    </row>
    <row r="1495" spans="1:66">
      <c r="A1495" s="18"/>
      <c r="B1495" s="18"/>
      <c r="C1495" s="18"/>
      <c r="D1495" s="18"/>
      <c r="E1495" s="18"/>
      <c r="F1495" s="18"/>
      <c r="G1495" s="18"/>
      <c r="H1495" s="18"/>
      <c r="I1495" s="18"/>
      <c r="J1495" s="18"/>
      <c r="K1495" s="18"/>
      <c r="L1495" s="18"/>
      <c r="M1495" s="18"/>
      <c r="N1495" s="18"/>
      <c r="O1495" s="18"/>
      <c r="P1495" s="18"/>
      <c r="Q1495" s="18"/>
      <c r="R1495" s="18"/>
      <c r="S1495" s="18"/>
      <c r="T1495" s="18"/>
      <c r="U1495" s="18"/>
      <c r="V1495" s="18"/>
      <c r="W1495" s="18"/>
      <c r="X1495" s="18"/>
      <c r="Y1495" s="18"/>
      <c r="Z1495" s="18"/>
      <c r="AA1495" s="18"/>
      <c r="AB1495" s="18"/>
      <c r="AC1495" s="18"/>
      <c r="AD1495" s="18"/>
      <c r="AE1495" s="18"/>
      <c r="AF1495" s="18"/>
      <c r="AG1495" s="18"/>
      <c r="AH1495" s="18"/>
      <c r="AI1495" s="18"/>
      <c r="AJ1495" s="18"/>
      <c r="AK1495" s="18"/>
      <c r="AL1495" s="18"/>
      <c r="AM1495" s="18"/>
      <c r="AN1495" s="18"/>
      <c r="AO1495" s="18"/>
      <c r="AP1495" s="18"/>
      <c r="AQ1495" s="18"/>
      <c r="AR1495" s="18"/>
      <c r="AS1495" s="18"/>
      <c r="AT1495" s="18"/>
      <c r="AU1495" s="18"/>
      <c r="AV1495" s="18"/>
      <c r="AW1495" s="18"/>
      <c r="AX1495" s="18"/>
      <c r="AY1495" s="18"/>
      <c r="AZ1495" s="18"/>
      <c r="BA1495" s="18"/>
      <c r="BB1495" s="18"/>
      <c r="BC1495" s="18"/>
      <c r="BD1495" s="18"/>
      <c r="BE1495" s="18"/>
      <c r="BF1495" s="18"/>
      <c r="BG1495" s="18"/>
      <c r="BH1495" s="18"/>
      <c r="BI1495" s="18"/>
      <c r="BJ1495" s="18"/>
      <c r="BK1495" s="18"/>
      <c r="BL1495" s="18"/>
      <c r="BM1495" s="18"/>
      <c r="BN1495" s="18"/>
    </row>
    <row r="1496" spans="1:66">
      <c r="A1496" s="18"/>
      <c r="B1496" s="18"/>
      <c r="C1496" s="18"/>
      <c r="D1496" s="18"/>
      <c r="E1496" s="18"/>
      <c r="F1496" s="18"/>
      <c r="G1496" s="18"/>
      <c r="H1496" s="18"/>
      <c r="I1496" s="18"/>
      <c r="J1496" s="18"/>
      <c r="K1496" s="18"/>
      <c r="L1496" s="18"/>
      <c r="M1496" s="18"/>
      <c r="N1496" s="18"/>
      <c r="O1496" s="18"/>
      <c r="P1496" s="18"/>
      <c r="Q1496" s="18"/>
      <c r="R1496" s="18"/>
      <c r="S1496" s="18"/>
      <c r="T1496" s="18"/>
      <c r="U1496" s="18"/>
      <c r="V1496" s="18"/>
      <c r="W1496" s="18"/>
      <c r="X1496" s="18"/>
      <c r="Y1496" s="18"/>
      <c r="Z1496" s="18"/>
      <c r="AA1496" s="18"/>
      <c r="AB1496" s="18"/>
      <c r="AC1496" s="18"/>
      <c r="AD1496" s="18"/>
      <c r="AE1496" s="18"/>
      <c r="AF1496" s="18"/>
      <c r="AG1496" s="18"/>
      <c r="AH1496" s="18"/>
      <c r="AI1496" s="18"/>
      <c r="AJ1496" s="18"/>
      <c r="AK1496" s="18"/>
      <c r="AL1496" s="18"/>
      <c r="AM1496" s="18"/>
      <c r="AN1496" s="18"/>
      <c r="AO1496" s="18"/>
      <c r="AP1496" s="18"/>
      <c r="AQ1496" s="18"/>
      <c r="AR1496" s="18"/>
      <c r="AS1496" s="18"/>
      <c r="AT1496" s="18"/>
      <c r="AU1496" s="18"/>
      <c r="AV1496" s="18"/>
      <c r="AW1496" s="18"/>
      <c r="AX1496" s="18"/>
      <c r="AY1496" s="18"/>
      <c r="AZ1496" s="18"/>
      <c r="BA1496" s="18"/>
      <c r="BB1496" s="18"/>
      <c r="BC1496" s="18"/>
      <c r="BD1496" s="18"/>
      <c r="BE1496" s="18"/>
      <c r="BF1496" s="18"/>
      <c r="BG1496" s="18"/>
      <c r="BH1496" s="18"/>
      <c r="BI1496" s="18"/>
      <c r="BJ1496" s="18"/>
      <c r="BK1496" s="18"/>
      <c r="BL1496" s="18"/>
      <c r="BM1496" s="18"/>
      <c r="BN1496" s="18"/>
    </row>
    <row r="1497" spans="1:66">
      <c r="A1497" s="18"/>
      <c r="B1497" s="18"/>
      <c r="C1497" s="18"/>
      <c r="D1497" s="18"/>
      <c r="E1497" s="18"/>
      <c r="F1497" s="18"/>
      <c r="G1497" s="18"/>
      <c r="H1497" s="18"/>
      <c r="I1497" s="18"/>
      <c r="J1497" s="18"/>
      <c r="K1497" s="18"/>
      <c r="L1497" s="18"/>
      <c r="M1497" s="18"/>
      <c r="N1497" s="18"/>
      <c r="O1497" s="18"/>
      <c r="P1497" s="18"/>
      <c r="Q1497" s="18"/>
      <c r="R1497" s="18"/>
      <c r="S1497" s="18"/>
      <c r="T1497" s="18"/>
      <c r="U1497" s="18"/>
      <c r="V1497" s="18"/>
      <c r="W1497" s="18"/>
      <c r="X1497" s="18"/>
      <c r="Y1497" s="18"/>
      <c r="Z1497" s="18"/>
      <c r="AA1497" s="18"/>
      <c r="AB1497" s="18"/>
      <c r="AC1497" s="18"/>
      <c r="AD1497" s="18"/>
      <c r="AE1497" s="18"/>
      <c r="AF1497" s="18"/>
      <c r="AG1497" s="18"/>
      <c r="AH1497" s="18"/>
      <c r="AI1497" s="18"/>
      <c r="AJ1497" s="18"/>
      <c r="AK1497" s="18"/>
      <c r="AL1497" s="18"/>
      <c r="AM1497" s="18"/>
      <c r="AN1497" s="18"/>
      <c r="AO1497" s="18"/>
      <c r="AP1497" s="18"/>
      <c r="AQ1497" s="18"/>
      <c r="AR1497" s="18"/>
      <c r="AS1497" s="18"/>
      <c r="AT1497" s="18"/>
      <c r="AU1497" s="18"/>
      <c r="AV1497" s="18"/>
      <c r="AW1497" s="18"/>
      <c r="AX1497" s="18"/>
      <c r="AY1497" s="18"/>
      <c r="AZ1497" s="18"/>
      <c r="BA1497" s="18"/>
      <c r="BB1497" s="18"/>
      <c r="BC1497" s="18"/>
      <c r="BD1497" s="18"/>
      <c r="BE1497" s="18"/>
      <c r="BF1497" s="18"/>
      <c r="BG1497" s="18"/>
      <c r="BH1497" s="18"/>
      <c r="BI1497" s="18"/>
      <c r="BJ1497" s="18"/>
      <c r="BK1497" s="18"/>
      <c r="BL1497" s="18"/>
      <c r="BM1497" s="18"/>
      <c r="BN1497" s="18"/>
    </row>
    <row r="1498" spans="1:66">
      <c r="A1498" s="18"/>
      <c r="B1498" s="18"/>
      <c r="C1498" s="18"/>
      <c r="D1498" s="18"/>
      <c r="E1498" s="18"/>
      <c r="F1498" s="18"/>
      <c r="G1498" s="18"/>
      <c r="H1498" s="18"/>
      <c r="I1498" s="18"/>
      <c r="J1498" s="18"/>
      <c r="K1498" s="18"/>
      <c r="L1498" s="18"/>
      <c r="M1498" s="18"/>
      <c r="N1498" s="18"/>
      <c r="O1498" s="18"/>
      <c r="P1498" s="18"/>
      <c r="Q1498" s="18"/>
      <c r="R1498" s="18"/>
      <c r="S1498" s="18"/>
      <c r="T1498" s="18"/>
      <c r="U1498" s="18"/>
      <c r="V1498" s="18"/>
      <c r="W1498" s="18"/>
      <c r="X1498" s="18"/>
      <c r="Y1498" s="18"/>
      <c r="Z1498" s="18"/>
      <c r="AA1498" s="18"/>
      <c r="AB1498" s="18"/>
      <c r="AC1498" s="18"/>
      <c r="AD1498" s="18"/>
      <c r="AE1498" s="18"/>
      <c r="AF1498" s="18"/>
      <c r="AG1498" s="18"/>
      <c r="AH1498" s="18"/>
      <c r="AI1498" s="18"/>
      <c r="AJ1498" s="18"/>
      <c r="AK1498" s="18"/>
      <c r="AL1498" s="18"/>
      <c r="AM1498" s="18"/>
      <c r="AN1498" s="18"/>
      <c r="AO1498" s="18"/>
      <c r="AP1498" s="18"/>
      <c r="AQ1498" s="18"/>
      <c r="AR1498" s="18"/>
      <c r="AS1498" s="18"/>
      <c r="AT1498" s="18"/>
      <c r="AU1498" s="18"/>
      <c r="AV1498" s="18"/>
      <c r="AW1498" s="18"/>
      <c r="AX1498" s="18"/>
      <c r="AY1498" s="18"/>
      <c r="AZ1498" s="18"/>
      <c r="BA1498" s="18"/>
      <c r="BB1498" s="18"/>
      <c r="BC1498" s="18"/>
      <c r="BD1498" s="18"/>
      <c r="BE1498" s="18"/>
      <c r="BF1498" s="18"/>
      <c r="BG1498" s="18"/>
      <c r="BH1498" s="18"/>
      <c r="BI1498" s="18"/>
      <c r="BJ1498" s="18"/>
      <c r="BK1498" s="18"/>
      <c r="BL1498" s="18"/>
      <c r="BM1498" s="18"/>
      <c r="BN1498" s="18"/>
    </row>
    <row r="1499" spans="1:66">
      <c r="A1499" s="18"/>
      <c r="B1499" s="18"/>
      <c r="C1499" s="18"/>
      <c r="D1499" s="18"/>
      <c r="E1499" s="18"/>
      <c r="F1499" s="18"/>
      <c r="G1499" s="18"/>
      <c r="H1499" s="18"/>
      <c r="I1499" s="18"/>
      <c r="J1499" s="18"/>
      <c r="K1499" s="18"/>
      <c r="L1499" s="18"/>
      <c r="M1499" s="18"/>
      <c r="N1499" s="18"/>
      <c r="O1499" s="18"/>
      <c r="P1499" s="18"/>
      <c r="Q1499" s="18"/>
      <c r="R1499" s="18"/>
      <c r="S1499" s="18"/>
      <c r="T1499" s="18"/>
      <c r="U1499" s="18"/>
      <c r="V1499" s="18"/>
      <c r="W1499" s="18"/>
      <c r="X1499" s="18"/>
      <c r="Y1499" s="18"/>
      <c r="Z1499" s="18"/>
      <c r="AA1499" s="18"/>
      <c r="AB1499" s="18"/>
      <c r="AC1499" s="18"/>
      <c r="AD1499" s="18"/>
      <c r="AE1499" s="18"/>
      <c r="AF1499" s="18"/>
      <c r="AG1499" s="18"/>
      <c r="AH1499" s="18"/>
      <c r="AI1499" s="18"/>
      <c r="AJ1499" s="18"/>
      <c r="AK1499" s="18"/>
      <c r="AL1499" s="18"/>
      <c r="AM1499" s="18"/>
      <c r="AN1499" s="18"/>
      <c r="AO1499" s="18"/>
      <c r="AP1499" s="18"/>
      <c r="AQ1499" s="18"/>
      <c r="AR1499" s="18"/>
      <c r="AS1499" s="18"/>
      <c r="AT1499" s="18"/>
      <c r="AU1499" s="18"/>
      <c r="AV1499" s="18"/>
      <c r="AW1499" s="18"/>
      <c r="AX1499" s="18"/>
      <c r="AY1499" s="18"/>
      <c r="AZ1499" s="18"/>
      <c r="BA1499" s="18"/>
      <c r="BB1499" s="18"/>
      <c r="BC1499" s="18"/>
      <c r="BD1499" s="18"/>
      <c r="BE1499" s="18"/>
      <c r="BF1499" s="18"/>
      <c r="BG1499" s="18"/>
      <c r="BH1499" s="18"/>
      <c r="BI1499" s="18"/>
      <c r="BJ1499" s="18"/>
      <c r="BK1499" s="18"/>
      <c r="BL1499" s="18"/>
      <c r="BM1499" s="18"/>
      <c r="BN1499" s="18"/>
    </row>
    <row r="1500" spans="1:66">
      <c r="A1500" s="18"/>
      <c r="B1500" s="18"/>
      <c r="C1500" s="18"/>
      <c r="D1500" s="18"/>
      <c r="E1500" s="18"/>
      <c r="F1500" s="18"/>
      <c r="G1500" s="18"/>
      <c r="H1500" s="18"/>
      <c r="I1500" s="18"/>
      <c r="J1500" s="18"/>
      <c r="K1500" s="18"/>
      <c r="L1500" s="18"/>
      <c r="M1500" s="18"/>
      <c r="N1500" s="18"/>
      <c r="O1500" s="18"/>
      <c r="P1500" s="18"/>
      <c r="Q1500" s="18"/>
      <c r="R1500" s="18"/>
      <c r="S1500" s="18"/>
      <c r="T1500" s="18"/>
      <c r="U1500" s="18"/>
      <c r="V1500" s="18"/>
      <c r="W1500" s="18"/>
      <c r="X1500" s="18"/>
      <c r="Y1500" s="18"/>
      <c r="Z1500" s="18"/>
      <c r="AA1500" s="18"/>
      <c r="AB1500" s="18"/>
      <c r="AC1500" s="18"/>
      <c r="AD1500" s="18"/>
      <c r="AE1500" s="18"/>
      <c r="AF1500" s="18"/>
      <c r="AG1500" s="18"/>
      <c r="AH1500" s="18"/>
      <c r="AI1500" s="18"/>
      <c r="AJ1500" s="18"/>
      <c r="AK1500" s="18"/>
      <c r="AL1500" s="18"/>
      <c r="AM1500" s="18"/>
      <c r="AN1500" s="18"/>
      <c r="AO1500" s="18"/>
      <c r="AP1500" s="18"/>
      <c r="AQ1500" s="18"/>
      <c r="AR1500" s="18"/>
      <c r="AS1500" s="18"/>
      <c r="AT1500" s="18"/>
      <c r="AU1500" s="18"/>
      <c r="AV1500" s="18"/>
      <c r="AW1500" s="18"/>
      <c r="AX1500" s="18"/>
      <c r="AY1500" s="18"/>
      <c r="AZ1500" s="18"/>
      <c r="BA1500" s="18"/>
      <c r="BB1500" s="18"/>
      <c r="BC1500" s="18"/>
      <c r="BD1500" s="18"/>
      <c r="BE1500" s="18"/>
      <c r="BF1500" s="18"/>
      <c r="BG1500" s="18"/>
      <c r="BH1500" s="18"/>
      <c r="BI1500" s="18"/>
      <c r="BJ1500" s="18"/>
      <c r="BK1500" s="18"/>
      <c r="BL1500" s="18"/>
      <c r="BM1500" s="18"/>
      <c r="BN1500" s="18"/>
    </row>
    <row r="1501" spans="1:66">
      <c r="A1501" s="18"/>
      <c r="B1501" s="18"/>
      <c r="C1501" s="18"/>
      <c r="D1501" s="18"/>
      <c r="E1501" s="18"/>
      <c r="F1501" s="18"/>
      <c r="G1501" s="18"/>
      <c r="H1501" s="18"/>
      <c r="I1501" s="18"/>
      <c r="J1501" s="18"/>
      <c r="K1501" s="18"/>
      <c r="L1501" s="18"/>
      <c r="M1501" s="18"/>
      <c r="N1501" s="18"/>
      <c r="O1501" s="18"/>
      <c r="P1501" s="18"/>
      <c r="Q1501" s="18"/>
      <c r="R1501" s="18"/>
      <c r="S1501" s="18"/>
      <c r="T1501" s="18"/>
      <c r="U1501" s="18"/>
      <c r="V1501" s="18"/>
      <c r="W1501" s="18"/>
      <c r="X1501" s="18"/>
      <c r="Y1501" s="18"/>
      <c r="Z1501" s="18"/>
      <c r="AA1501" s="18"/>
      <c r="AB1501" s="18"/>
      <c r="AC1501" s="18"/>
      <c r="AD1501" s="18"/>
      <c r="AE1501" s="18"/>
      <c r="AF1501" s="18"/>
      <c r="AG1501" s="18"/>
      <c r="AH1501" s="18"/>
      <c r="AI1501" s="18"/>
      <c r="AJ1501" s="18"/>
      <c r="AK1501" s="18"/>
      <c r="AL1501" s="18"/>
      <c r="AM1501" s="18"/>
      <c r="AN1501" s="18"/>
      <c r="AO1501" s="18"/>
      <c r="AP1501" s="18"/>
      <c r="AQ1501" s="18"/>
      <c r="AR1501" s="18"/>
      <c r="AS1501" s="18"/>
      <c r="AT1501" s="18"/>
      <c r="AU1501" s="18"/>
      <c r="AV1501" s="18"/>
      <c r="AW1501" s="18"/>
      <c r="AX1501" s="18"/>
      <c r="AY1501" s="18"/>
      <c r="AZ1501" s="18"/>
      <c r="BA1501" s="18"/>
      <c r="BB1501" s="18"/>
      <c r="BC1501" s="18"/>
      <c r="BD1501" s="18"/>
      <c r="BE1501" s="18"/>
      <c r="BF1501" s="18"/>
      <c r="BG1501" s="18"/>
      <c r="BH1501" s="18"/>
      <c r="BI1501" s="18"/>
      <c r="BJ1501" s="18"/>
      <c r="BK1501" s="18"/>
      <c r="BL1501" s="18"/>
      <c r="BM1501" s="18"/>
      <c r="BN1501" s="18"/>
    </row>
    <row r="1502" spans="1:66">
      <c r="A1502" s="18"/>
      <c r="B1502" s="18"/>
      <c r="C1502" s="18"/>
      <c r="D1502" s="18"/>
      <c r="E1502" s="18"/>
      <c r="F1502" s="18"/>
      <c r="G1502" s="18"/>
      <c r="H1502" s="18"/>
      <c r="I1502" s="18"/>
      <c r="J1502" s="18"/>
      <c r="K1502" s="18"/>
      <c r="L1502" s="18"/>
      <c r="M1502" s="18"/>
      <c r="N1502" s="18"/>
      <c r="O1502" s="18"/>
      <c r="P1502" s="18"/>
      <c r="Q1502" s="18"/>
      <c r="R1502" s="18"/>
      <c r="S1502" s="18"/>
      <c r="T1502" s="18"/>
      <c r="U1502" s="18"/>
      <c r="V1502" s="18"/>
      <c r="W1502" s="18"/>
      <c r="X1502" s="18"/>
      <c r="Y1502" s="18"/>
      <c r="Z1502" s="18"/>
      <c r="AA1502" s="18"/>
      <c r="AB1502" s="18"/>
      <c r="AC1502" s="18"/>
      <c r="AD1502" s="18"/>
      <c r="AE1502" s="18"/>
      <c r="AF1502" s="18"/>
      <c r="AG1502" s="18"/>
      <c r="AH1502" s="18"/>
      <c r="AI1502" s="18"/>
      <c r="AJ1502" s="18"/>
      <c r="AK1502" s="18"/>
      <c r="AL1502" s="18"/>
      <c r="AM1502" s="18"/>
      <c r="AN1502" s="18"/>
      <c r="AO1502" s="18"/>
      <c r="AP1502" s="18"/>
      <c r="AQ1502" s="18"/>
      <c r="AR1502" s="18"/>
      <c r="AS1502" s="18"/>
      <c r="AT1502" s="18"/>
      <c r="AU1502" s="18"/>
      <c r="AV1502" s="18"/>
      <c r="AW1502" s="18"/>
      <c r="AX1502" s="18"/>
      <c r="AY1502" s="18"/>
      <c r="AZ1502" s="18"/>
      <c r="BA1502" s="18"/>
      <c r="BB1502" s="18"/>
      <c r="BC1502" s="18"/>
      <c r="BD1502" s="18"/>
      <c r="BE1502" s="18"/>
      <c r="BF1502" s="18"/>
      <c r="BG1502" s="18"/>
      <c r="BH1502" s="18"/>
      <c r="BI1502" s="18"/>
      <c r="BJ1502" s="18"/>
      <c r="BK1502" s="18"/>
      <c r="BL1502" s="18"/>
      <c r="BM1502" s="18"/>
      <c r="BN1502" s="18"/>
    </row>
    <row r="1503" spans="1:66">
      <c r="A1503" s="18"/>
      <c r="B1503" s="18"/>
      <c r="C1503" s="18"/>
      <c r="D1503" s="18"/>
      <c r="E1503" s="18"/>
      <c r="F1503" s="18"/>
      <c r="G1503" s="18"/>
      <c r="H1503" s="18"/>
      <c r="I1503" s="18"/>
      <c r="J1503" s="18"/>
      <c r="K1503" s="18"/>
      <c r="L1503" s="18"/>
      <c r="M1503" s="18"/>
      <c r="N1503" s="18"/>
      <c r="O1503" s="18"/>
      <c r="P1503" s="18"/>
      <c r="Q1503" s="18"/>
      <c r="R1503" s="18"/>
      <c r="S1503" s="18"/>
      <c r="T1503" s="18"/>
      <c r="U1503" s="18"/>
      <c r="V1503" s="18"/>
      <c r="W1503" s="18"/>
      <c r="X1503" s="18"/>
      <c r="Y1503" s="18"/>
      <c r="Z1503" s="18"/>
      <c r="AA1503" s="18"/>
      <c r="AB1503" s="18"/>
      <c r="AC1503" s="18"/>
      <c r="AD1503" s="18"/>
      <c r="AE1503" s="18"/>
      <c r="AF1503" s="18"/>
      <c r="AG1503" s="18"/>
      <c r="AH1503" s="18"/>
      <c r="AI1503" s="18"/>
      <c r="AJ1503" s="18"/>
      <c r="AK1503" s="18"/>
      <c r="AL1503" s="18"/>
      <c r="AM1503" s="18"/>
      <c r="AN1503" s="18"/>
      <c r="AO1503" s="18"/>
      <c r="AP1503" s="18"/>
      <c r="AQ1503" s="18"/>
      <c r="AR1503" s="18"/>
      <c r="AS1503" s="18"/>
      <c r="AT1503" s="18"/>
      <c r="AU1503" s="18"/>
      <c r="AV1503" s="18"/>
      <c r="AW1503" s="18"/>
      <c r="AX1503" s="18"/>
      <c r="AY1503" s="18"/>
      <c r="AZ1503" s="18"/>
      <c r="BA1503" s="18"/>
      <c r="BB1503" s="18"/>
      <c r="BC1503" s="18"/>
      <c r="BD1503" s="18"/>
      <c r="BE1503" s="18"/>
      <c r="BF1503" s="18"/>
      <c r="BG1503" s="18"/>
      <c r="BH1503" s="18"/>
      <c r="BI1503" s="18"/>
      <c r="BJ1503" s="18"/>
      <c r="BK1503" s="18"/>
      <c r="BL1503" s="18"/>
      <c r="BM1503" s="18"/>
      <c r="BN1503" s="18"/>
    </row>
    <row r="1504" spans="1:66">
      <c r="A1504" s="18"/>
      <c r="B1504" s="18"/>
      <c r="C1504" s="18"/>
      <c r="D1504" s="18"/>
      <c r="E1504" s="18"/>
      <c r="F1504" s="18"/>
      <c r="G1504" s="18"/>
      <c r="H1504" s="18"/>
      <c r="I1504" s="18"/>
      <c r="J1504" s="18"/>
      <c r="K1504" s="18"/>
      <c r="L1504" s="18"/>
      <c r="M1504" s="18"/>
      <c r="N1504" s="18"/>
      <c r="O1504" s="18"/>
      <c r="P1504" s="18"/>
      <c r="Q1504" s="18"/>
      <c r="R1504" s="18"/>
      <c r="S1504" s="18"/>
      <c r="T1504" s="18"/>
      <c r="U1504" s="18"/>
      <c r="V1504" s="18"/>
      <c r="W1504" s="18"/>
      <c r="X1504" s="18"/>
      <c r="Y1504" s="18"/>
      <c r="Z1504" s="18"/>
      <c r="AA1504" s="18"/>
      <c r="AB1504" s="18"/>
      <c r="AC1504" s="18"/>
      <c r="AD1504" s="18"/>
      <c r="AE1504" s="18"/>
      <c r="AF1504" s="18"/>
      <c r="AG1504" s="18"/>
      <c r="AH1504" s="18"/>
      <c r="AI1504" s="18"/>
      <c r="AJ1504" s="18"/>
      <c r="AK1504" s="18"/>
      <c r="AL1504" s="18"/>
      <c r="AM1504" s="18"/>
      <c r="AN1504" s="18"/>
      <c r="AO1504" s="18"/>
      <c r="AP1504" s="18"/>
      <c r="AQ1504" s="18"/>
      <c r="AR1504" s="18"/>
      <c r="AS1504" s="18"/>
      <c r="AT1504" s="18"/>
      <c r="AU1504" s="18"/>
      <c r="AV1504" s="18"/>
      <c r="AW1504" s="18"/>
      <c r="AX1504" s="18"/>
      <c r="AY1504" s="18"/>
      <c r="AZ1504" s="18"/>
      <c r="BA1504" s="18"/>
      <c r="BB1504" s="18"/>
      <c r="BC1504" s="18"/>
      <c r="BD1504" s="18"/>
      <c r="BE1504" s="18"/>
      <c r="BF1504" s="18"/>
      <c r="BG1504" s="18"/>
      <c r="BH1504" s="18"/>
      <c r="BI1504" s="18"/>
      <c r="BJ1504" s="18"/>
      <c r="BK1504" s="18"/>
      <c r="BL1504" s="18"/>
      <c r="BM1504" s="18"/>
      <c r="BN1504" s="18"/>
    </row>
    <row r="1505" spans="1:66">
      <c r="A1505" s="18"/>
      <c r="B1505" s="18"/>
      <c r="C1505" s="18"/>
      <c r="D1505" s="18"/>
      <c r="E1505" s="18"/>
      <c r="F1505" s="18"/>
      <c r="G1505" s="18"/>
      <c r="H1505" s="18"/>
      <c r="I1505" s="18"/>
      <c r="J1505" s="18"/>
      <c r="K1505" s="18"/>
      <c r="L1505" s="18"/>
      <c r="M1505" s="18"/>
      <c r="N1505" s="18"/>
      <c r="O1505" s="18"/>
      <c r="P1505" s="18"/>
      <c r="Q1505" s="18"/>
      <c r="R1505" s="18"/>
      <c r="S1505" s="18"/>
      <c r="T1505" s="18"/>
      <c r="U1505" s="18"/>
      <c r="V1505" s="18"/>
      <c r="W1505" s="18"/>
      <c r="X1505" s="18"/>
      <c r="Y1505" s="18"/>
      <c r="Z1505" s="18"/>
      <c r="AA1505" s="18"/>
      <c r="AB1505" s="18"/>
      <c r="AC1505" s="18"/>
      <c r="AD1505" s="18"/>
      <c r="AE1505" s="18"/>
      <c r="AF1505" s="18"/>
      <c r="AG1505" s="18"/>
      <c r="AH1505" s="18"/>
      <c r="AI1505" s="18"/>
      <c r="AJ1505" s="18"/>
      <c r="AK1505" s="18"/>
      <c r="AL1505" s="18"/>
      <c r="AM1505" s="18"/>
      <c r="AN1505" s="18"/>
      <c r="AO1505" s="18"/>
      <c r="AP1505" s="18"/>
      <c r="AQ1505" s="18"/>
      <c r="AR1505" s="18"/>
      <c r="AS1505" s="18"/>
      <c r="AT1505" s="18"/>
      <c r="AU1505" s="18"/>
      <c r="AV1505" s="18"/>
      <c r="AW1505" s="18"/>
      <c r="AX1505" s="18"/>
      <c r="AY1505" s="18"/>
      <c r="AZ1505" s="18"/>
      <c r="BA1505" s="18"/>
      <c r="BB1505" s="18"/>
      <c r="BC1505" s="18"/>
      <c r="BD1505" s="18"/>
      <c r="BE1505" s="18"/>
      <c r="BF1505" s="18"/>
      <c r="BG1505" s="18"/>
      <c r="BH1505" s="18"/>
      <c r="BI1505" s="18"/>
      <c r="BJ1505" s="18"/>
      <c r="BK1505" s="18"/>
      <c r="BL1505" s="18"/>
      <c r="BM1505" s="18"/>
      <c r="BN1505" s="18"/>
    </row>
    <row r="1506" spans="1:66">
      <c r="A1506" s="18"/>
      <c r="B1506" s="18"/>
      <c r="C1506" s="18"/>
      <c r="D1506" s="18"/>
      <c r="E1506" s="18"/>
      <c r="F1506" s="18"/>
      <c r="G1506" s="18"/>
      <c r="H1506" s="18"/>
      <c r="I1506" s="18"/>
      <c r="J1506" s="18"/>
      <c r="K1506" s="18"/>
      <c r="L1506" s="18"/>
      <c r="M1506" s="18"/>
      <c r="N1506" s="18"/>
      <c r="O1506" s="18"/>
      <c r="P1506" s="18"/>
      <c r="Q1506" s="18"/>
      <c r="R1506" s="18"/>
      <c r="S1506" s="18"/>
      <c r="T1506" s="18"/>
      <c r="U1506" s="18"/>
      <c r="V1506" s="18"/>
      <c r="W1506" s="18"/>
      <c r="X1506" s="18"/>
      <c r="Y1506" s="18"/>
      <c r="Z1506" s="18"/>
      <c r="AA1506" s="18"/>
      <c r="AB1506" s="18"/>
      <c r="AC1506" s="18"/>
      <c r="AD1506" s="18"/>
      <c r="AE1506" s="18"/>
      <c r="AF1506" s="18"/>
      <c r="AG1506" s="18"/>
      <c r="AH1506" s="18"/>
      <c r="AI1506" s="18"/>
      <c r="AJ1506" s="18"/>
      <c r="AK1506" s="18"/>
      <c r="AL1506" s="18"/>
      <c r="AM1506" s="18"/>
      <c r="AN1506" s="18"/>
      <c r="AO1506" s="18"/>
      <c r="AP1506" s="18"/>
      <c r="AQ1506" s="18"/>
      <c r="AR1506" s="18"/>
      <c r="AS1506" s="18"/>
      <c r="AT1506" s="18"/>
      <c r="AU1506" s="18"/>
      <c r="AV1506" s="18"/>
      <c r="AW1506" s="18"/>
      <c r="AX1506" s="18"/>
      <c r="AY1506" s="18"/>
      <c r="AZ1506" s="18"/>
      <c r="BA1506" s="18"/>
      <c r="BB1506" s="18"/>
      <c r="BC1506" s="18"/>
      <c r="BD1506" s="18"/>
      <c r="BE1506" s="18"/>
      <c r="BF1506" s="18"/>
      <c r="BG1506" s="18"/>
      <c r="BH1506" s="18"/>
      <c r="BI1506" s="18"/>
      <c r="BJ1506" s="18"/>
      <c r="BK1506" s="18"/>
      <c r="BL1506" s="18"/>
      <c r="BM1506" s="18"/>
      <c r="BN1506" s="18"/>
    </row>
    <row r="1507" spans="1:66">
      <c r="A1507" s="18"/>
      <c r="B1507" s="18"/>
      <c r="C1507" s="18"/>
      <c r="D1507" s="18"/>
      <c r="E1507" s="18"/>
      <c r="F1507" s="18"/>
      <c r="G1507" s="18"/>
      <c r="H1507" s="18"/>
      <c r="I1507" s="18"/>
      <c r="J1507" s="18"/>
      <c r="K1507" s="18"/>
      <c r="L1507" s="18"/>
      <c r="M1507" s="18"/>
      <c r="N1507" s="18"/>
      <c r="O1507" s="18"/>
      <c r="P1507" s="18"/>
      <c r="Q1507" s="18"/>
      <c r="R1507" s="18"/>
      <c r="S1507" s="18"/>
      <c r="T1507" s="18"/>
      <c r="U1507" s="18"/>
      <c r="V1507" s="18"/>
      <c r="W1507" s="18"/>
      <c r="X1507" s="18"/>
      <c r="Y1507" s="18"/>
      <c r="Z1507" s="18"/>
      <c r="AA1507" s="18"/>
      <c r="AB1507" s="18"/>
      <c r="AC1507" s="18"/>
      <c r="AD1507" s="18"/>
      <c r="AE1507" s="18"/>
      <c r="AF1507" s="18"/>
      <c r="AG1507" s="18"/>
      <c r="AH1507" s="18"/>
      <c r="AI1507" s="18"/>
      <c r="AJ1507" s="18"/>
      <c r="AK1507" s="18"/>
      <c r="AL1507" s="18"/>
      <c r="AM1507" s="18"/>
      <c r="AN1507" s="18"/>
      <c r="AO1507" s="18"/>
      <c r="AP1507" s="18"/>
      <c r="AQ1507" s="18"/>
      <c r="AR1507" s="18"/>
      <c r="AS1507" s="18"/>
      <c r="AT1507" s="18"/>
      <c r="AU1507" s="18"/>
      <c r="AV1507" s="18"/>
      <c r="AW1507" s="18"/>
      <c r="AX1507" s="18"/>
      <c r="AY1507" s="18"/>
      <c r="AZ1507" s="18"/>
      <c r="BA1507" s="18"/>
      <c r="BB1507" s="18"/>
      <c r="BC1507" s="18"/>
      <c r="BD1507" s="18"/>
      <c r="BE1507" s="18"/>
      <c r="BF1507" s="18"/>
      <c r="BG1507" s="18"/>
      <c r="BH1507" s="18"/>
      <c r="BI1507" s="18"/>
      <c r="BJ1507" s="18"/>
      <c r="BK1507" s="18"/>
      <c r="BL1507" s="18"/>
      <c r="BM1507" s="18"/>
      <c r="BN1507" s="18"/>
    </row>
    <row r="1508" spans="1:66">
      <c r="A1508" s="18"/>
      <c r="B1508" s="18"/>
      <c r="C1508" s="18"/>
      <c r="D1508" s="18"/>
      <c r="E1508" s="18"/>
      <c r="F1508" s="18"/>
      <c r="G1508" s="18"/>
      <c r="H1508" s="18"/>
      <c r="I1508" s="18"/>
      <c r="J1508" s="18"/>
      <c r="K1508" s="18"/>
      <c r="L1508" s="18"/>
      <c r="M1508" s="18"/>
      <c r="N1508" s="18"/>
      <c r="O1508" s="18"/>
      <c r="P1508" s="18"/>
      <c r="Q1508" s="18"/>
      <c r="R1508" s="18"/>
      <c r="S1508" s="18"/>
      <c r="T1508" s="18"/>
      <c r="U1508" s="18"/>
      <c r="V1508" s="18"/>
      <c r="W1508" s="18"/>
      <c r="X1508" s="18"/>
      <c r="Y1508" s="18"/>
      <c r="Z1508" s="18"/>
      <c r="AA1508" s="18"/>
      <c r="AB1508" s="18"/>
      <c r="AC1508" s="18"/>
      <c r="AD1508" s="18"/>
      <c r="AE1508" s="18"/>
      <c r="AF1508" s="18"/>
      <c r="AG1508" s="18"/>
      <c r="AH1508" s="18"/>
      <c r="AI1508" s="18"/>
      <c r="AJ1508" s="18"/>
      <c r="AK1508" s="18"/>
      <c r="AL1508" s="18"/>
      <c r="AM1508" s="18"/>
      <c r="AN1508" s="18"/>
      <c r="AO1508" s="18"/>
      <c r="AP1508" s="18"/>
      <c r="AQ1508" s="18"/>
      <c r="AR1508" s="18"/>
      <c r="AS1508" s="18"/>
      <c r="AT1508" s="18"/>
      <c r="AU1508" s="18"/>
      <c r="AV1508" s="18"/>
      <c r="AW1508" s="18"/>
      <c r="AX1508" s="18"/>
      <c r="AY1508" s="18"/>
      <c r="AZ1508" s="18"/>
      <c r="BA1508" s="18"/>
      <c r="BB1508" s="18"/>
      <c r="BC1508" s="18"/>
      <c r="BD1508" s="18"/>
      <c r="BE1508" s="18"/>
      <c r="BF1508" s="18"/>
      <c r="BG1508" s="18"/>
      <c r="BH1508" s="18"/>
      <c r="BI1508" s="18"/>
      <c r="BJ1508" s="18"/>
      <c r="BK1508" s="18"/>
      <c r="BL1508" s="18"/>
      <c r="BM1508" s="18"/>
      <c r="BN1508" s="18"/>
    </row>
    <row r="1509" spans="1:66">
      <c r="A1509" s="18"/>
      <c r="B1509" s="18"/>
      <c r="C1509" s="18"/>
      <c r="D1509" s="18"/>
      <c r="E1509" s="18"/>
      <c r="F1509" s="18"/>
      <c r="G1509" s="18"/>
      <c r="H1509" s="18"/>
      <c r="I1509" s="18"/>
      <c r="J1509" s="18"/>
      <c r="K1509" s="18"/>
      <c r="L1509" s="18"/>
      <c r="M1509" s="18"/>
      <c r="N1509" s="18"/>
      <c r="O1509" s="18"/>
      <c r="P1509" s="18"/>
      <c r="Q1509" s="18"/>
      <c r="R1509" s="18"/>
      <c r="S1509" s="18"/>
      <c r="T1509" s="18"/>
      <c r="U1509" s="18"/>
      <c r="V1509" s="18"/>
      <c r="W1509" s="18"/>
      <c r="X1509" s="18"/>
      <c r="Y1509" s="18"/>
      <c r="Z1509" s="18"/>
      <c r="AA1509" s="18"/>
      <c r="AB1509" s="18"/>
      <c r="AC1509" s="18"/>
      <c r="AD1509" s="18"/>
      <c r="AE1509" s="18"/>
      <c r="AF1509" s="18"/>
      <c r="AG1509" s="18"/>
      <c r="AH1509" s="18"/>
      <c r="AI1509" s="18"/>
      <c r="AJ1509" s="18"/>
      <c r="AK1509" s="18"/>
      <c r="AL1509" s="18"/>
      <c r="AM1509" s="18"/>
      <c r="AN1509" s="18"/>
      <c r="AO1509" s="18"/>
      <c r="AP1509" s="18"/>
      <c r="AQ1509" s="18"/>
      <c r="AR1509" s="18"/>
      <c r="AS1509" s="18"/>
      <c r="AT1509" s="18"/>
      <c r="AU1509" s="18"/>
      <c r="AV1509" s="18"/>
      <c r="AW1509" s="18"/>
      <c r="AX1509" s="18"/>
      <c r="AY1509" s="18"/>
      <c r="AZ1509" s="18"/>
      <c r="BA1509" s="18"/>
      <c r="BB1509" s="18"/>
      <c r="BC1509" s="18"/>
      <c r="BD1509" s="18"/>
      <c r="BE1509" s="18"/>
      <c r="BF1509" s="18"/>
      <c r="BG1509" s="18"/>
      <c r="BH1509" s="18"/>
      <c r="BI1509" s="18"/>
      <c r="BJ1509" s="18"/>
      <c r="BK1509" s="18"/>
      <c r="BL1509" s="18"/>
      <c r="BM1509" s="18"/>
      <c r="BN1509" s="18"/>
    </row>
    <row r="1510" spans="1:66">
      <c r="A1510" s="18"/>
      <c r="B1510" s="18"/>
      <c r="C1510" s="18"/>
      <c r="D1510" s="18"/>
      <c r="E1510" s="18"/>
      <c r="F1510" s="18"/>
      <c r="G1510" s="18"/>
      <c r="H1510" s="18"/>
      <c r="I1510" s="18"/>
      <c r="J1510" s="18"/>
      <c r="K1510" s="18"/>
      <c r="L1510" s="18"/>
      <c r="M1510" s="18"/>
      <c r="N1510" s="18"/>
      <c r="O1510" s="18"/>
      <c r="P1510" s="18"/>
      <c r="Q1510" s="18"/>
      <c r="R1510" s="18"/>
      <c r="S1510" s="18"/>
      <c r="T1510" s="18"/>
      <c r="U1510" s="18"/>
      <c r="V1510" s="18"/>
      <c r="W1510" s="18"/>
      <c r="X1510" s="18"/>
      <c r="Y1510" s="18"/>
      <c r="Z1510" s="18"/>
      <c r="AA1510" s="18"/>
      <c r="AB1510" s="18"/>
      <c r="AC1510" s="18"/>
      <c r="AD1510" s="18"/>
      <c r="AE1510" s="18"/>
      <c r="AF1510" s="18"/>
      <c r="AG1510" s="18"/>
      <c r="AH1510" s="18"/>
      <c r="AI1510" s="18"/>
      <c r="AJ1510" s="18"/>
      <c r="AK1510" s="18"/>
      <c r="AL1510" s="18"/>
      <c r="AM1510" s="18"/>
      <c r="AN1510" s="18"/>
      <c r="AO1510" s="18"/>
      <c r="AP1510" s="18"/>
      <c r="AQ1510" s="18"/>
      <c r="AR1510" s="18"/>
      <c r="AS1510" s="18"/>
      <c r="AT1510" s="18"/>
      <c r="AU1510" s="18"/>
      <c r="AV1510" s="18"/>
      <c r="AW1510" s="18"/>
      <c r="AX1510" s="18"/>
      <c r="AY1510" s="18"/>
      <c r="AZ1510" s="18"/>
      <c r="BA1510" s="18"/>
      <c r="BB1510" s="18"/>
      <c r="BC1510" s="18"/>
      <c r="BD1510" s="18"/>
      <c r="BE1510" s="18"/>
      <c r="BF1510" s="18"/>
      <c r="BG1510" s="18"/>
      <c r="BH1510" s="18"/>
      <c r="BI1510" s="18"/>
      <c r="BJ1510" s="18"/>
      <c r="BK1510" s="18"/>
      <c r="BL1510" s="18"/>
      <c r="BM1510" s="18"/>
      <c r="BN1510" s="18"/>
    </row>
    <row r="1511" spans="1:66">
      <c r="A1511" s="18"/>
      <c r="B1511" s="18"/>
      <c r="C1511" s="18"/>
      <c r="D1511" s="18"/>
      <c r="E1511" s="18"/>
      <c r="F1511" s="18"/>
      <c r="G1511" s="18"/>
      <c r="H1511" s="18"/>
      <c r="I1511" s="18"/>
      <c r="J1511" s="18"/>
      <c r="K1511" s="18"/>
      <c r="L1511" s="18"/>
      <c r="M1511" s="18"/>
      <c r="N1511" s="18"/>
      <c r="O1511" s="18"/>
      <c r="P1511" s="18"/>
      <c r="Q1511" s="18"/>
      <c r="R1511" s="18"/>
      <c r="S1511" s="18"/>
      <c r="T1511" s="18"/>
      <c r="U1511" s="18"/>
      <c r="V1511" s="18"/>
      <c r="W1511" s="18"/>
      <c r="X1511" s="18"/>
      <c r="Y1511" s="18"/>
      <c r="Z1511" s="18"/>
      <c r="AA1511" s="18"/>
      <c r="AB1511" s="18"/>
      <c r="AC1511" s="18"/>
      <c r="AD1511" s="18"/>
      <c r="AE1511" s="18"/>
      <c r="AF1511" s="18"/>
      <c r="AG1511" s="18"/>
      <c r="AH1511" s="18"/>
      <c r="AI1511" s="18"/>
      <c r="AJ1511" s="18"/>
      <c r="AK1511" s="18"/>
      <c r="AL1511" s="18"/>
      <c r="AM1511" s="18"/>
      <c r="AN1511" s="18"/>
      <c r="AO1511" s="18"/>
      <c r="AP1511" s="18"/>
      <c r="AQ1511" s="18"/>
      <c r="AR1511" s="18"/>
      <c r="AS1511" s="18"/>
      <c r="AT1511" s="18"/>
      <c r="AU1511" s="18"/>
      <c r="AV1511" s="18"/>
      <c r="AW1511" s="18"/>
      <c r="AX1511" s="18"/>
      <c r="AY1511" s="18"/>
      <c r="AZ1511" s="18"/>
      <c r="BA1511" s="18"/>
      <c r="BB1511" s="18"/>
      <c r="BC1511" s="18"/>
      <c r="BD1511" s="18"/>
      <c r="BE1511" s="18"/>
      <c r="BF1511" s="18"/>
      <c r="BG1511" s="18"/>
      <c r="BH1511" s="18"/>
      <c r="BI1511" s="18"/>
      <c r="BJ1511" s="18"/>
      <c r="BK1511" s="18"/>
      <c r="BL1511" s="18"/>
      <c r="BM1511" s="18"/>
      <c r="BN1511" s="18"/>
    </row>
    <row r="1512" spans="1:66">
      <c r="A1512" s="18"/>
      <c r="B1512" s="18"/>
      <c r="C1512" s="18"/>
      <c r="D1512" s="18"/>
      <c r="E1512" s="18"/>
      <c r="F1512" s="18"/>
      <c r="G1512" s="18"/>
      <c r="H1512" s="18"/>
      <c r="I1512" s="18"/>
      <c r="J1512" s="18"/>
      <c r="K1512" s="18"/>
      <c r="L1512" s="18"/>
      <c r="M1512" s="18"/>
      <c r="N1512" s="18"/>
      <c r="O1512" s="18"/>
      <c r="P1512" s="18"/>
      <c r="Q1512" s="18"/>
      <c r="R1512" s="18"/>
      <c r="S1512" s="18"/>
      <c r="T1512" s="18"/>
      <c r="U1512" s="18"/>
      <c r="V1512" s="18"/>
      <c r="W1512" s="18"/>
      <c r="X1512" s="18"/>
      <c r="Y1512" s="18"/>
      <c r="Z1512" s="18"/>
      <c r="AA1512" s="18"/>
      <c r="AB1512" s="18"/>
      <c r="AC1512" s="18"/>
      <c r="AD1512" s="18"/>
      <c r="AE1512" s="18"/>
      <c r="AF1512" s="18"/>
      <c r="AG1512" s="18"/>
      <c r="AH1512" s="18"/>
      <c r="AI1512" s="18"/>
      <c r="AJ1512" s="18"/>
      <c r="AK1512" s="18"/>
      <c r="AL1512" s="18"/>
      <c r="AM1512" s="18"/>
      <c r="AN1512" s="18"/>
      <c r="AO1512" s="18"/>
      <c r="AP1512" s="18"/>
      <c r="AQ1512" s="18"/>
      <c r="AR1512" s="18"/>
      <c r="AS1512" s="18"/>
      <c r="AT1512" s="18"/>
      <c r="AU1512" s="18"/>
      <c r="AV1512" s="18"/>
      <c r="AW1512" s="18"/>
      <c r="AX1512" s="18"/>
      <c r="AY1512" s="18"/>
      <c r="AZ1512" s="18"/>
      <c r="BA1512" s="18"/>
      <c r="BB1512" s="18"/>
      <c r="BC1512" s="18"/>
      <c r="BD1512" s="18"/>
      <c r="BE1512" s="18"/>
      <c r="BF1512" s="18"/>
      <c r="BG1512" s="18"/>
      <c r="BH1512" s="18"/>
      <c r="BI1512" s="18"/>
      <c r="BJ1512" s="18"/>
      <c r="BK1512" s="18"/>
      <c r="BL1512" s="18"/>
      <c r="BM1512" s="18"/>
      <c r="BN1512" s="18"/>
    </row>
    <row r="1513" spans="1:66">
      <c r="A1513" s="18"/>
      <c r="B1513" s="18"/>
      <c r="C1513" s="18"/>
      <c r="D1513" s="18"/>
      <c r="E1513" s="18"/>
      <c r="F1513" s="18"/>
      <c r="G1513" s="18"/>
      <c r="H1513" s="18"/>
      <c r="I1513" s="18"/>
      <c r="J1513" s="18"/>
      <c r="K1513" s="18"/>
      <c r="L1513" s="18"/>
      <c r="M1513" s="18"/>
      <c r="N1513" s="18"/>
      <c r="O1513" s="18"/>
      <c r="P1513" s="18"/>
      <c r="Q1513" s="18"/>
      <c r="R1513" s="18"/>
      <c r="S1513" s="18"/>
      <c r="T1513" s="18"/>
      <c r="U1513" s="18"/>
      <c r="V1513" s="18"/>
      <c r="W1513" s="18"/>
      <c r="X1513" s="18"/>
      <c r="Y1513" s="18"/>
      <c r="Z1513" s="18"/>
      <c r="AA1513" s="18"/>
      <c r="AB1513" s="18"/>
      <c r="AC1513" s="18"/>
      <c r="AD1513" s="18"/>
      <c r="AE1513" s="18"/>
      <c r="AF1513" s="18"/>
      <c r="AG1513" s="18"/>
      <c r="AH1513" s="18"/>
      <c r="AI1513" s="18"/>
      <c r="AJ1513" s="18"/>
      <c r="AK1513" s="18"/>
      <c r="AL1513" s="18"/>
      <c r="AM1513" s="18"/>
      <c r="AN1513" s="18"/>
      <c r="AO1513" s="18"/>
      <c r="AP1513" s="18"/>
      <c r="AQ1513" s="18"/>
      <c r="AR1513" s="18"/>
      <c r="AS1513" s="18"/>
      <c r="AT1513" s="18"/>
      <c r="AU1513" s="18"/>
      <c r="AV1513" s="18"/>
      <c r="AW1513" s="18"/>
      <c r="AX1513" s="18"/>
      <c r="AY1513" s="18"/>
      <c r="AZ1513" s="18"/>
      <c r="BA1513" s="18"/>
      <c r="BB1513" s="18"/>
      <c r="BC1513" s="18"/>
      <c r="BD1513" s="18"/>
      <c r="BE1513" s="18"/>
      <c r="BF1513" s="18"/>
      <c r="BG1513" s="18"/>
      <c r="BH1513" s="18"/>
      <c r="BI1513" s="18"/>
      <c r="BJ1513" s="18"/>
      <c r="BK1513" s="18"/>
      <c r="BL1513" s="18"/>
      <c r="BM1513" s="18"/>
      <c r="BN1513" s="18"/>
    </row>
    <row r="1514" spans="1:66">
      <c r="A1514" s="18"/>
      <c r="B1514" s="18"/>
      <c r="C1514" s="18"/>
      <c r="D1514" s="18"/>
      <c r="E1514" s="18"/>
      <c r="F1514" s="18"/>
      <c r="G1514" s="18"/>
      <c r="H1514" s="18"/>
      <c r="I1514" s="18"/>
      <c r="J1514" s="18"/>
      <c r="K1514" s="18"/>
      <c r="L1514" s="18"/>
      <c r="M1514" s="18"/>
      <c r="N1514" s="18"/>
      <c r="O1514" s="18"/>
      <c r="P1514" s="18"/>
      <c r="Q1514" s="18"/>
      <c r="R1514" s="18"/>
      <c r="S1514" s="18"/>
      <c r="T1514" s="18"/>
      <c r="U1514" s="18"/>
      <c r="V1514" s="18"/>
      <c r="W1514" s="18"/>
      <c r="X1514" s="18"/>
      <c r="Y1514" s="18"/>
      <c r="Z1514" s="18"/>
      <c r="AA1514" s="18"/>
      <c r="AB1514" s="18"/>
      <c r="AC1514" s="18"/>
      <c r="AD1514" s="18"/>
      <c r="AE1514" s="18"/>
      <c r="AF1514" s="18"/>
      <c r="AG1514" s="18"/>
      <c r="AH1514" s="18"/>
      <c r="AI1514" s="18"/>
      <c r="AJ1514" s="18"/>
      <c r="AK1514" s="18"/>
      <c r="AL1514" s="18"/>
      <c r="AM1514" s="18"/>
      <c r="AN1514" s="18"/>
      <c r="AO1514" s="18"/>
      <c r="AP1514" s="18"/>
      <c r="AQ1514" s="18"/>
      <c r="AR1514" s="18"/>
      <c r="AS1514" s="18"/>
      <c r="AT1514" s="18"/>
      <c r="AU1514" s="18"/>
      <c r="AV1514" s="18"/>
      <c r="AW1514" s="18"/>
      <c r="AX1514" s="18"/>
      <c r="AY1514" s="18"/>
      <c r="AZ1514" s="18"/>
      <c r="BA1514" s="18"/>
      <c r="BB1514" s="18"/>
      <c r="BC1514" s="18"/>
      <c r="BD1514" s="18"/>
      <c r="BE1514" s="18"/>
      <c r="BF1514" s="18"/>
      <c r="BG1514" s="18"/>
      <c r="BH1514" s="18"/>
      <c r="BI1514" s="18"/>
      <c r="BJ1514" s="18"/>
      <c r="BK1514" s="18"/>
      <c r="BL1514" s="18"/>
      <c r="BM1514" s="18"/>
      <c r="BN1514" s="18"/>
    </row>
    <row r="1515" spans="1:66">
      <c r="A1515" s="18"/>
      <c r="B1515" s="18"/>
      <c r="C1515" s="18"/>
      <c r="D1515" s="18"/>
      <c r="E1515" s="18"/>
      <c r="F1515" s="18"/>
      <c r="G1515" s="18"/>
      <c r="H1515" s="18"/>
      <c r="I1515" s="18"/>
      <c r="J1515" s="18"/>
      <c r="K1515" s="18"/>
      <c r="L1515" s="18"/>
      <c r="M1515" s="18"/>
      <c r="N1515" s="18"/>
      <c r="O1515" s="18"/>
      <c r="P1515" s="18"/>
      <c r="Q1515" s="18"/>
      <c r="R1515" s="18"/>
      <c r="S1515" s="18"/>
      <c r="T1515" s="18"/>
      <c r="U1515" s="18"/>
      <c r="V1515" s="18"/>
      <c r="W1515" s="18"/>
      <c r="X1515" s="18"/>
      <c r="Y1515" s="18"/>
      <c r="Z1515" s="18"/>
      <c r="AA1515" s="18"/>
      <c r="AB1515" s="18"/>
      <c r="AC1515" s="18"/>
      <c r="AD1515" s="18"/>
      <c r="AE1515" s="18"/>
      <c r="AF1515" s="18"/>
      <c r="AG1515" s="18"/>
      <c r="AH1515" s="18"/>
      <c r="AI1515" s="18"/>
      <c r="AJ1515" s="18"/>
      <c r="AK1515" s="18"/>
      <c r="AL1515" s="18"/>
      <c r="AM1515" s="18"/>
      <c r="AN1515" s="18"/>
      <c r="AO1515" s="18"/>
      <c r="AP1515" s="18"/>
      <c r="AQ1515" s="18"/>
      <c r="AR1515" s="18"/>
      <c r="AS1515" s="18"/>
      <c r="AT1515" s="18"/>
      <c r="AU1515" s="18"/>
      <c r="AV1515" s="18"/>
      <c r="AW1515" s="18"/>
      <c r="AX1515" s="18"/>
      <c r="AY1515" s="18"/>
      <c r="AZ1515" s="18"/>
      <c r="BA1515" s="18"/>
      <c r="BB1515" s="18"/>
      <c r="BC1515" s="18"/>
      <c r="BD1515" s="18"/>
      <c r="BE1515" s="18"/>
      <c r="BF1515" s="18"/>
      <c r="BG1515" s="18"/>
      <c r="BH1515" s="18"/>
      <c r="BI1515" s="18"/>
      <c r="BJ1515" s="18"/>
      <c r="BK1515" s="18"/>
      <c r="BL1515" s="18"/>
      <c r="BM1515" s="18"/>
      <c r="BN1515" s="18"/>
    </row>
    <row r="1516" spans="1:66">
      <c r="A1516" s="18"/>
      <c r="B1516" s="18"/>
      <c r="C1516" s="18"/>
      <c r="D1516" s="18"/>
      <c r="E1516" s="18"/>
      <c r="F1516" s="18"/>
      <c r="G1516" s="18"/>
      <c r="H1516" s="18"/>
      <c r="I1516" s="18"/>
      <c r="J1516" s="18"/>
      <c r="K1516" s="18"/>
      <c r="L1516" s="18"/>
      <c r="M1516" s="18"/>
      <c r="N1516" s="18"/>
      <c r="O1516" s="18"/>
      <c r="P1516" s="18"/>
      <c r="Q1516" s="18"/>
      <c r="R1516" s="18"/>
      <c r="S1516" s="18"/>
      <c r="T1516" s="18"/>
      <c r="U1516" s="18"/>
      <c r="V1516" s="18"/>
      <c r="W1516" s="18"/>
      <c r="X1516" s="18"/>
      <c r="Y1516" s="18"/>
      <c r="Z1516" s="18"/>
      <c r="AA1516" s="18"/>
      <c r="AB1516" s="18"/>
      <c r="AC1516" s="18"/>
      <c r="AD1516" s="18"/>
      <c r="AE1516" s="18"/>
      <c r="AF1516" s="18"/>
      <c r="AG1516" s="18"/>
      <c r="AH1516" s="18"/>
      <c r="AI1516" s="18"/>
      <c r="AJ1516" s="18"/>
      <c r="AK1516" s="18"/>
      <c r="AL1516" s="18"/>
      <c r="AM1516" s="18"/>
      <c r="AN1516" s="18"/>
      <c r="AO1516" s="18"/>
      <c r="AP1516" s="18"/>
      <c r="AQ1516" s="18"/>
      <c r="AR1516" s="18"/>
      <c r="AS1516" s="18"/>
      <c r="AT1516" s="18"/>
      <c r="AU1516" s="18"/>
      <c r="AV1516" s="18"/>
      <c r="AW1516" s="18"/>
      <c r="AX1516" s="18"/>
      <c r="AY1516" s="18"/>
      <c r="AZ1516" s="18"/>
      <c r="BA1516" s="18"/>
      <c r="BB1516" s="18"/>
      <c r="BC1516" s="18"/>
      <c r="BD1516" s="18"/>
      <c r="BE1516" s="18"/>
      <c r="BF1516" s="18"/>
      <c r="BG1516" s="18"/>
      <c r="BH1516" s="18"/>
      <c r="BI1516" s="18"/>
      <c r="BJ1516" s="18"/>
      <c r="BK1516" s="18"/>
      <c r="BL1516" s="18"/>
      <c r="BM1516" s="18"/>
      <c r="BN1516" s="18"/>
    </row>
    <row r="1517" spans="1:66">
      <c r="A1517" s="18"/>
      <c r="B1517" s="18"/>
      <c r="C1517" s="18"/>
      <c r="D1517" s="18"/>
      <c r="E1517" s="18"/>
      <c r="F1517" s="18"/>
      <c r="G1517" s="18"/>
      <c r="H1517" s="18"/>
      <c r="I1517" s="18"/>
      <c r="J1517" s="18"/>
      <c r="K1517" s="18"/>
      <c r="L1517" s="18"/>
      <c r="M1517" s="18"/>
      <c r="N1517" s="18"/>
      <c r="O1517" s="18"/>
      <c r="P1517" s="18"/>
      <c r="Q1517" s="18"/>
      <c r="R1517" s="18"/>
      <c r="S1517" s="18"/>
      <c r="T1517" s="18"/>
      <c r="U1517" s="18"/>
      <c r="V1517" s="18"/>
      <c r="W1517" s="18"/>
      <c r="X1517" s="18"/>
      <c r="Y1517" s="18"/>
      <c r="Z1517" s="18"/>
      <c r="AA1517" s="18"/>
      <c r="AB1517" s="18"/>
      <c r="AC1517" s="18"/>
      <c r="AD1517" s="18"/>
      <c r="AE1517" s="18"/>
      <c r="AF1517" s="18"/>
      <c r="AG1517" s="18"/>
      <c r="AH1517" s="18"/>
      <c r="AI1517" s="18"/>
      <c r="AJ1517" s="18"/>
      <c r="AK1517" s="18"/>
      <c r="AL1517" s="18"/>
      <c r="AM1517" s="18"/>
      <c r="AN1517" s="18"/>
      <c r="AO1517" s="18"/>
      <c r="AP1517" s="18"/>
      <c r="AQ1517" s="18"/>
      <c r="AR1517" s="18"/>
      <c r="AS1517" s="18"/>
      <c r="AT1517" s="18"/>
      <c r="AU1517" s="18"/>
      <c r="AV1517" s="18"/>
      <c r="AW1517" s="18"/>
      <c r="AX1517" s="18"/>
      <c r="AY1517" s="18"/>
      <c r="AZ1517" s="18"/>
      <c r="BA1517" s="18"/>
      <c r="BB1517" s="18"/>
      <c r="BC1517" s="18"/>
      <c r="BD1517" s="18"/>
      <c r="BE1517" s="18"/>
      <c r="BF1517" s="18"/>
      <c r="BG1517" s="18"/>
      <c r="BH1517" s="18"/>
      <c r="BI1517" s="18"/>
      <c r="BJ1517" s="18"/>
      <c r="BK1517" s="18"/>
      <c r="BL1517" s="18"/>
      <c r="BM1517" s="18"/>
      <c r="BN1517" s="18"/>
    </row>
    <row r="1518" spans="1:66">
      <c r="A1518" s="18"/>
      <c r="B1518" s="18"/>
      <c r="C1518" s="18"/>
      <c r="D1518" s="18"/>
      <c r="E1518" s="18"/>
      <c r="F1518" s="18"/>
      <c r="G1518" s="18"/>
      <c r="H1518" s="18"/>
      <c r="I1518" s="18"/>
      <c r="J1518" s="18"/>
      <c r="K1518" s="18"/>
      <c r="L1518" s="18"/>
      <c r="M1518" s="18"/>
      <c r="N1518" s="18"/>
      <c r="O1518" s="18"/>
      <c r="P1518" s="18"/>
      <c r="Q1518" s="18"/>
      <c r="R1518" s="18"/>
      <c r="S1518" s="18"/>
      <c r="T1518" s="18"/>
      <c r="U1518" s="18"/>
      <c r="V1518" s="18"/>
      <c r="W1518" s="18"/>
      <c r="X1518" s="18"/>
      <c r="Y1518" s="18"/>
      <c r="Z1518" s="18"/>
      <c r="AA1518" s="18"/>
      <c r="AB1518" s="18"/>
      <c r="AC1518" s="18"/>
      <c r="AD1518" s="18"/>
      <c r="AE1518" s="18"/>
      <c r="AF1518" s="18"/>
      <c r="AG1518" s="18"/>
      <c r="AH1518" s="18"/>
      <c r="AI1518" s="18"/>
      <c r="AJ1518" s="18"/>
      <c r="AK1518" s="18"/>
      <c r="AL1518" s="18"/>
      <c r="AM1518" s="18"/>
      <c r="AN1518" s="18"/>
      <c r="AO1518" s="18"/>
      <c r="AP1518" s="18"/>
      <c r="AQ1518" s="18"/>
      <c r="AR1518" s="18"/>
      <c r="AS1518" s="18"/>
      <c r="AT1518" s="18"/>
      <c r="AU1518" s="18"/>
      <c r="AV1518" s="18"/>
      <c r="AW1518" s="18"/>
      <c r="AX1518" s="18"/>
      <c r="AY1518" s="18"/>
      <c r="AZ1518" s="18"/>
      <c r="BA1518" s="18"/>
      <c r="BB1518" s="18"/>
      <c r="BC1518" s="18"/>
      <c r="BD1518" s="18"/>
      <c r="BE1518" s="18"/>
      <c r="BF1518" s="18"/>
      <c r="BG1518" s="18"/>
      <c r="BH1518" s="18"/>
      <c r="BI1518" s="18"/>
      <c r="BJ1518" s="18"/>
      <c r="BK1518" s="18"/>
      <c r="BL1518" s="18"/>
      <c r="BM1518" s="18"/>
      <c r="BN1518" s="18"/>
    </row>
    <row r="1519" spans="1:66">
      <c r="A1519" s="18"/>
      <c r="B1519" s="18"/>
      <c r="C1519" s="18"/>
      <c r="D1519" s="18"/>
      <c r="E1519" s="18"/>
      <c r="F1519" s="18"/>
      <c r="G1519" s="18"/>
      <c r="H1519" s="18"/>
      <c r="I1519" s="18"/>
      <c r="J1519" s="18"/>
      <c r="K1519" s="18"/>
      <c r="L1519" s="18"/>
      <c r="M1519" s="18"/>
      <c r="N1519" s="18"/>
      <c r="O1519" s="18"/>
      <c r="P1519" s="18"/>
      <c r="Q1519" s="18"/>
      <c r="R1519" s="18"/>
      <c r="S1519" s="18"/>
      <c r="T1519" s="18"/>
      <c r="U1519" s="18"/>
      <c r="V1519" s="18"/>
      <c r="W1519" s="18"/>
      <c r="X1519" s="18"/>
      <c r="Y1519" s="18"/>
      <c r="Z1519" s="18"/>
      <c r="AA1519" s="18"/>
      <c r="AB1519" s="18"/>
      <c r="AC1519" s="18"/>
      <c r="AD1519" s="18"/>
      <c r="AE1519" s="18"/>
      <c r="AF1519" s="18"/>
      <c r="AG1519" s="18"/>
      <c r="AH1519" s="18"/>
      <c r="AI1519" s="18"/>
      <c r="AJ1519" s="18"/>
      <c r="AK1519" s="18"/>
      <c r="AL1519" s="18"/>
      <c r="AM1519" s="18"/>
      <c r="AN1519" s="18"/>
      <c r="AO1519" s="18"/>
      <c r="AP1519" s="18"/>
      <c r="AQ1519" s="18"/>
      <c r="AR1519" s="18"/>
      <c r="AS1519" s="18"/>
      <c r="AT1519" s="18"/>
      <c r="AU1519" s="18"/>
      <c r="AV1519" s="18"/>
      <c r="AW1519" s="18"/>
      <c r="AX1519" s="18"/>
      <c r="AY1519" s="18"/>
      <c r="AZ1519" s="18"/>
      <c r="BA1519" s="18"/>
      <c r="BB1519" s="18"/>
      <c r="BC1519" s="18"/>
      <c r="BD1519" s="18"/>
      <c r="BE1519" s="18"/>
      <c r="BF1519" s="18"/>
      <c r="BG1519" s="18"/>
      <c r="BH1519" s="18"/>
      <c r="BI1519" s="18"/>
      <c r="BJ1519" s="18"/>
      <c r="BK1519" s="18"/>
      <c r="BL1519" s="18"/>
      <c r="BM1519" s="18"/>
      <c r="BN1519" s="18"/>
    </row>
    <row r="1520" spans="1:66">
      <c r="A1520" s="18"/>
      <c r="B1520" s="18"/>
      <c r="C1520" s="18"/>
      <c r="D1520" s="18"/>
      <c r="E1520" s="18"/>
      <c r="F1520" s="18"/>
      <c r="G1520" s="18"/>
      <c r="H1520" s="18"/>
      <c r="I1520" s="18"/>
      <c r="J1520" s="18"/>
      <c r="K1520" s="18"/>
      <c r="L1520" s="18"/>
      <c r="M1520" s="18"/>
      <c r="N1520" s="18"/>
      <c r="O1520" s="18"/>
      <c r="P1520" s="18"/>
      <c r="Q1520" s="18"/>
      <c r="R1520" s="18"/>
      <c r="S1520" s="18"/>
      <c r="T1520" s="18"/>
      <c r="U1520" s="18"/>
      <c r="V1520" s="18"/>
      <c r="W1520" s="18"/>
      <c r="X1520" s="18"/>
      <c r="Y1520" s="18"/>
      <c r="Z1520" s="18"/>
      <c r="AA1520" s="18"/>
      <c r="AB1520" s="18"/>
      <c r="AC1520" s="18"/>
      <c r="AD1520" s="18"/>
      <c r="AE1520" s="18"/>
      <c r="AF1520" s="18"/>
      <c r="AG1520" s="18"/>
      <c r="AH1520" s="18"/>
      <c r="AI1520" s="18"/>
      <c r="AJ1520" s="18"/>
      <c r="AK1520" s="18"/>
      <c r="AL1520" s="18"/>
      <c r="AM1520" s="18"/>
      <c r="AN1520" s="18"/>
      <c r="AO1520" s="18"/>
      <c r="AP1520" s="18"/>
      <c r="AQ1520" s="18"/>
      <c r="AR1520" s="18"/>
      <c r="AS1520" s="18"/>
      <c r="AT1520" s="18"/>
      <c r="AU1520" s="18"/>
      <c r="AV1520" s="18"/>
      <c r="AW1520" s="18"/>
      <c r="AX1520" s="18"/>
      <c r="AY1520" s="18"/>
      <c r="AZ1520" s="18"/>
      <c r="BA1520" s="18"/>
      <c r="BB1520" s="18"/>
      <c r="BC1520" s="18"/>
      <c r="BD1520" s="18"/>
      <c r="BE1520" s="18"/>
      <c r="BF1520" s="18"/>
      <c r="BG1520" s="18"/>
      <c r="BH1520" s="18"/>
      <c r="BI1520" s="18"/>
      <c r="BJ1520" s="18"/>
      <c r="BK1520" s="18"/>
      <c r="BL1520" s="18"/>
      <c r="BM1520" s="18"/>
      <c r="BN1520" s="18"/>
    </row>
    <row r="1521" spans="1:66">
      <c r="A1521" s="18"/>
      <c r="B1521" s="18"/>
      <c r="C1521" s="18"/>
      <c r="D1521" s="18"/>
      <c r="E1521" s="18"/>
      <c r="F1521" s="18"/>
      <c r="G1521" s="18"/>
      <c r="H1521" s="18"/>
      <c r="I1521" s="18"/>
      <c r="J1521" s="18"/>
      <c r="K1521" s="18"/>
      <c r="L1521" s="18"/>
      <c r="M1521" s="18"/>
      <c r="N1521" s="18"/>
      <c r="O1521" s="18"/>
      <c r="P1521" s="18"/>
      <c r="Q1521" s="18"/>
      <c r="R1521" s="18"/>
      <c r="S1521" s="18"/>
      <c r="T1521" s="18"/>
      <c r="U1521" s="18"/>
      <c r="V1521" s="18"/>
      <c r="W1521" s="18"/>
      <c r="X1521" s="18"/>
      <c r="Y1521" s="18"/>
      <c r="Z1521" s="18"/>
      <c r="AA1521" s="18"/>
      <c r="AB1521" s="18"/>
      <c r="AC1521" s="18"/>
      <c r="AD1521" s="18"/>
      <c r="AE1521" s="18"/>
      <c r="AF1521" s="18"/>
      <c r="AG1521" s="18"/>
      <c r="AH1521" s="18"/>
      <c r="AI1521" s="18"/>
      <c r="AJ1521" s="18"/>
      <c r="AK1521" s="18"/>
      <c r="AL1521" s="18"/>
      <c r="AM1521" s="18"/>
      <c r="AN1521" s="18"/>
      <c r="AO1521" s="18"/>
      <c r="AP1521" s="18"/>
      <c r="AQ1521" s="18"/>
      <c r="AR1521" s="18"/>
      <c r="AS1521" s="18"/>
      <c r="AT1521" s="18"/>
      <c r="AU1521" s="18"/>
      <c r="AV1521" s="18"/>
      <c r="AW1521" s="18"/>
      <c r="AX1521" s="18"/>
      <c r="AY1521" s="18"/>
      <c r="AZ1521" s="18"/>
      <c r="BA1521" s="18"/>
      <c r="BB1521" s="18"/>
      <c r="BC1521" s="18"/>
      <c r="BD1521" s="18"/>
      <c r="BE1521" s="18"/>
      <c r="BF1521" s="18"/>
      <c r="BG1521" s="18"/>
      <c r="BH1521" s="18"/>
      <c r="BI1521" s="18"/>
      <c r="BJ1521" s="18"/>
      <c r="BK1521" s="18"/>
      <c r="BL1521" s="18"/>
      <c r="BM1521" s="18"/>
      <c r="BN1521" s="18"/>
    </row>
    <row r="1522" spans="1:66">
      <c r="A1522" s="18"/>
      <c r="B1522" s="18"/>
      <c r="C1522" s="18"/>
      <c r="D1522" s="18"/>
      <c r="E1522" s="18"/>
      <c r="F1522" s="18"/>
      <c r="G1522" s="18"/>
      <c r="H1522" s="18"/>
      <c r="I1522" s="18"/>
      <c r="J1522" s="18"/>
      <c r="K1522" s="18"/>
      <c r="L1522" s="18"/>
      <c r="M1522" s="18"/>
      <c r="N1522" s="18"/>
      <c r="O1522" s="18"/>
      <c r="P1522" s="18"/>
      <c r="Q1522" s="18"/>
      <c r="R1522" s="18"/>
      <c r="S1522" s="18"/>
      <c r="T1522" s="18"/>
      <c r="U1522" s="18"/>
      <c r="V1522" s="18"/>
      <c r="W1522" s="18"/>
      <c r="X1522" s="18"/>
      <c r="Y1522" s="18"/>
      <c r="Z1522" s="18"/>
      <c r="AA1522" s="18"/>
      <c r="AB1522" s="18"/>
      <c r="AC1522" s="18"/>
      <c r="AD1522" s="18"/>
      <c r="AE1522" s="18"/>
      <c r="AF1522" s="18"/>
      <c r="AG1522" s="18"/>
      <c r="AH1522" s="18"/>
      <c r="AI1522" s="18"/>
      <c r="AJ1522" s="18"/>
      <c r="AK1522" s="18"/>
      <c r="AL1522" s="18"/>
      <c r="AM1522" s="18"/>
      <c r="AN1522" s="18"/>
      <c r="AO1522" s="18"/>
      <c r="AP1522" s="18"/>
      <c r="AQ1522" s="18"/>
      <c r="AR1522" s="18"/>
      <c r="AS1522" s="18"/>
      <c r="AT1522" s="18"/>
      <c r="AU1522" s="18"/>
      <c r="AV1522" s="18"/>
      <c r="AW1522" s="18"/>
      <c r="AX1522" s="18"/>
      <c r="AY1522" s="18"/>
      <c r="AZ1522" s="18"/>
      <c r="BA1522" s="18"/>
      <c r="BB1522" s="18"/>
      <c r="BC1522" s="18"/>
      <c r="BD1522" s="18"/>
      <c r="BE1522" s="18"/>
      <c r="BF1522" s="18"/>
      <c r="BG1522" s="18"/>
      <c r="BH1522" s="18"/>
      <c r="BI1522" s="18"/>
      <c r="BJ1522" s="18"/>
      <c r="BK1522" s="18"/>
      <c r="BL1522" s="18"/>
      <c r="BM1522" s="18"/>
      <c r="BN1522" s="18"/>
    </row>
    <row r="1523" spans="1:66">
      <c r="A1523" s="18"/>
      <c r="B1523" s="18"/>
      <c r="C1523" s="18"/>
      <c r="D1523" s="18"/>
      <c r="E1523" s="18"/>
      <c r="F1523" s="18"/>
      <c r="G1523" s="18"/>
      <c r="H1523" s="18"/>
      <c r="I1523" s="18"/>
      <c r="J1523" s="18"/>
      <c r="K1523" s="18"/>
      <c r="L1523" s="18"/>
      <c r="M1523" s="18"/>
      <c r="N1523" s="18"/>
      <c r="O1523" s="18"/>
      <c r="P1523" s="18"/>
      <c r="Q1523" s="18"/>
      <c r="R1523" s="18"/>
      <c r="S1523" s="18"/>
      <c r="T1523" s="18"/>
      <c r="U1523" s="18"/>
      <c r="V1523" s="18"/>
      <c r="W1523" s="18"/>
      <c r="X1523" s="18"/>
      <c r="Y1523" s="18"/>
      <c r="Z1523" s="18"/>
      <c r="AA1523" s="18"/>
      <c r="AB1523" s="18"/>
      <c r="AC1523" s="18"/>
      <c r="AD1523" s="18"/>
      <c r="AE1523" s="18"/>
      <c r="AF1523" s="18"/>
      <c r="AG1523" s="18"/>
      <c r="AH1523" s="18"/>
      <c r="AI1523" s="18"/>
      <c r="AJ1523" s="18"/>
      <c r="AK1523" s="18"/>
      <c r="AL1523" s="18"/>
      <c r="AM1523" s="18"/>
      <c r="AN1523" s="18"/>
      <c r="AO1523" s="18"/>
      <c r="AP1523" s="18"/>
      <c r="AQ1523" s="18"/>
      <c r="AR1523" s="18"/>
      <c r="AS1523" s="18"/>
      <c r="AT1523" s="18"/>
      <c r="AU1523" s="18"/>
      <c r="AV1523" s="18"/>
      <c r="AW1523" s="18"/>
      <c r="AX1523" s="18"/>
      <c r="AY1523" s="18"/>
      <c r="AZ1523" s="18"/>
      <c r="BA1523" s="18"/>
      <c r="BB1523" s="18"/>
      <c r="BC1523" s="18"/>
      <c r="BD1523" s="18"/>
      <c r="BE1523" s="18"/>
      <c r="BF1523" s="18"/>
      <c r="BG1523" s="18"/>
      <c r="BH1523" s="18"/>
      <c r="BI1523" s="18"/>
      <c r="BJ1523" s="18"/>
      <c r="BK1523" s="18"/>
      <c r="BL1523" s="18"/>
      <c r="BM1523" s="18"/>
      <c r="BN1523" s="18"/>
    </row>
    <row r="1524" spans="1:66">
      <c r="A1524" s="18"/>
      <c r="B1524" s="18"/>
      <c r="C1524" s="18"/>
      <c r="D1524" s="18"/>
      <c r="E1524" s="18"/>
      <c r="F1524" s="18"/>
      <c r="G1524" s="18"/>
      <c r="H1524" s="18"/>
      <c r="I1524" s="18"/>
      <c r="J1524" s="18"/>
      <c r="K1524" s="18"/>
      <c r="L1524" s="18"/>
      <c r="M1524" s="18"/>
      <c r="N1524" s="18"/>
      <c r="O1524" s="18"/>
      <c r="P1524" s="18"/>
      <c r="Q1524" s="18"/>
      <c r="R1524" s="18"/>
      <c r="S1524" s="18"/>
      <c r="T1524" s="18"/>
      <c r="U1524" s="18"/>
      <c r="V1524" s="18"/>
      <c r="W1524" s="18"/>
      <c r="X1524" s="18"/>
      <c r="Y1524" s="18"/>
      <c r="Z1524" s="18"/>
      <c r="AA1524" s="18"/>
      <c r="AB1524" s="18"/>
      <c r="AC1524" s="18"/>
      <c r="AD1524" s="18"/>
      <c r="AE1524" s="18"/>
      <c r="AF1524" s="18"/>
      <c r="AG1524" s="18"/>
      <c r="AH1524" s="18"/>
      <c r="AI1524" s="18"/>
      <c r="AJ1524" s="18"/>
      <c r="AK1524" s="18"/>
      <c r="AL1524" s="18"/>
      <c r="AM1524" s="18"/>
      <c r="AN1524" s="18"/>
      <c r="AO1524" s="18"/>
      <c r="AP1524" s="18"/>
      <c r="AQ1524" s="18"/>
      <c r="AR1524" s="18"/>
      <c r="AS1524" s="18"/>
      <c r="AT1524" s="18"/>
      <c r="AU1524" s="18"/>
      <c r="AV1524" s="18"/>
      <c r="AW1524" s="18"/>
      <c r="AX1524" s="18"/>
      <c r="AY1524" s="18"/>
      <c r="AZ1524" s="18"/>
      <c r="BA1524" s="18"/>
      <c r="BB1524" s="18"/>
      <c r="BC1524" s="18"/>
      <c r="BD1524" s="18"/>
      <c r="BE1524" s="18"/>
      <c r="BF1524" s="18"/>
      <c r="BG1524" s="18"/>
      <c r="BH1524" s="18"/>
      <c r="BI1524" s="18"/>
      <c r="BJ1524" s="18"/>
      <c r="BK1524" s="18"/>
      <c r="BL1524" s="18"/>
      <c r="BM1524" s="18"/>
      <c r="BN1524" s="18"/>
    </row>
    <row r="1525" spans="1:66">
      <c r="A1525" s="18"/>
      <c r="B1525" s="18"/>
      <c r="C1525" s="18"/>
      <c r="D1525" s="18"/>
      <c r="E1525" s="18"/>
      <c r="F1525" s="18"/>
      <c r="G1525" s="18"/>
      <c r="H1525" s="18"/>
      <c r="I1525" s="18"/>
      <c r="J1525" s="18"/>
      <c r="K1525" s="18"/>
      <c r="L1525" s="18"/>
      <c r="M1525" s="18"/>
      <c r="N1525" s="18"/>
      <c r="O1525" s="18"/>
      <c r="P1525" s="18"/>
      <c r="Q1525" s="18"/>
      <c r="R1525" s="18"/>
      <c r="S1525" s="18"/>
      <c r="T1525" s="18"/>
      <c r="U1525" s="18"/>
      <c r="V1525" s="18"/>
      <c r="W1525" s="18"/>
      <c r="X1525" s="18"/>
      <c r="Y1525" s="18"/>
      <c r="Z1525" s="18"/>
      <c r="AA1525" s="18"/>
      <c r="AB1525" s="18"/>
      <c r="AC1525" s="18"/>
      <c r="AD1525" s="18"/>
      <c r="AE1525" s="18"/>
      <c r="AF1525" s="18"/>
      <c r="AG1525" s="18"/>
      <c r="AH1525" s="18"/>
      <c r="AI1525" s="18"/>
      <c r="AJ1525" s="18"/>
      <c r="AK1525" s="18"/>
      <c r="AL1525" s="18"/>
      <c r="AM1525" s="18"/>
      <c r="AN1525" s="18"/>
      <c r="AO1525" s="18"/>
      <c r="AP1525" s="18"/>
      <c r="AQ1525" s="18"/>
      <c r="AR1525" s="18"/>
      <c r="AS1525" s="18"/>
      <c r="AT1525" s="18"/>
      <c r="AU1525" s="18"/>
      <c r="AV1525" s="18"/>
      <c r="AW1525" s="18"/>
      <c r="AX1525" s="18"/>
      <c r="AY1525" s="18"/>
      <c r="AZ1525" s="18"/>
      <c r="BA1525" s="18"/>
      <c r="BB1525" s="18"/>
      <c r="BC1525" s="18"/>
      <c r="BD1525" s="18"/>
      <c r="BE1525" s="18"/>
      <c r="BF1525" s="18"/>
      <c r="BG1525" s="18"/>
      <c r="BH1525" s="18"/>
      <c r="BI1525" s="18"/>
      <c r="BJ1525" s="18"/>
      <c r="BK1525" s="18"/>
      <c r="BL1525" s="18"/>
      <c r="BM1525" s="18"/>
      <c r="BN1525" s="18"/>
    </row>
    <row r="1526" spans="1:66">
      <c r="A1526" s="18"/>
      <c r="B1526" s="18"/>
      <c r="C1526" s="18"/>
      <c r="D1526" s="18"/>
      <c r="E1526" s="18"/>
      <c r="F1526" s="18"/>
      <c r="G1526" s="18"/>
      <c r="H1526" s="18"/>
      <c r="I1526" s="18"/>
      <c r="J1526" s="18"/>
      <c r="K1526" s="18"/>
      <c r="L1526" s="18"/>
      <c r="M1526" s="18"/>
      <c r="N1526" s="18"/>
      <c r="O1526" s="18"/>
      <c r="P1526" s="18"/>
      <c r="Q1526" s="18"/>
      <c r="R1526" s="18"/>
      <c r="S1526" s="18"/>
      <c r="T1526" s="18"/>
      <c r="U1526" s="18"/>
      <c r="V1526" s="18"/>
      <c r="W1526" s="18"/>
      <c r="X1526" s="18"/>
      <c r="Y1526" s="18"/>
      <c r="Z1526" s="18"/>
      <c r="AA1526" s="18"/>
      <c r="AB1526" s="18"/>
      <c r="AC1526" s="18"/>
      <c r="AD1526" s="18"/>
      <c r="AE1526" s="18"/>
      <c r="AF1526" s="18"/>
      <c r="AG1526" s="18"/>
      <c r="AH1526" s="18"/>
      <c r="AI1526" s="18"/>
      <c r="AJ1526" s="18"/>
      <c r="AK1526" s="18"/>
      <c r="AL1526" s="18"/>
      <c r="AM1526" s="18"/>
      <c r="AN1526" s="18"/>
      <c r="AO1526" s="18"/>
      <c r="AP1526" s="18"/>
      <c r="AQ1526" s="18"/>
      <c r="AR1526" s="18"/>
      <c r="AS1526" s="18"/>
      <c r="AT1526" s="18"/>
      <c r="AU1526" s="18"/>
      <c r="AV1526" s="18"/>
      <c r="AW1526" s="18"/>
      <c r="AX1526" s="18"/>
      <c r="AY1526" s="18"/>
      <c r="AZ1526" s="18"/>
      <c r="BA1526" s="18"/>
      <c r="BB1526" s="18"/>
      <c r="BC1526" s="18"/>
      <c r="BD1526" s="18"/>
      <c r="BE1526" s="18"/>
      <c r="BF1526" s="18"/>
      <c r="BG1526" s="18"/>
      <c r="BH1526" s="18"/>
      <c r="BI1526" s="18"/>
      <c r="BJ1526" s="18"/>
      <c r="BK1526" s="18"/>
      <c r="BL1526" s="18"/>
      <c r="BM1526" s="18"/>
      <c r="BN1526" s="18"/>
    </row>
    <row r="1527" spans="1:66">
      <c r="A1527" s="18"/>
      <c r="B1527" s="18"/>
      <c r="C1527" s="18"/>
      <c r="D1527" s="18"/>
      <c r="E1527" s="18"/>
      <c r="F1527" s="18"/>
      <c r="G1527" s="18"/>
      <c r="H1527" s="18"/>
      <c r="I1527" s="18"/>
      <c r="J1527" s="18"/>
      <c r="K1527" s="18"/>
      <c r="L1527" s="18"/>
      <c r="M1527" s="18"/>
      <c r="N1527" s="18"/>
      <c r="O1527" s="18"/>
      <c r="P1527" s="18"/>
      <c r="Q1527" s="18"/>
      <c r="R1527" s="18"/>
      <c r="S1527" s="18"/>
      <c r="T1527" s="18"/>
      <c r="U1527" s="18"/>
      <c r="V1527" s="18"/>
      <c r="W1527" s="18"/>
      <c r="X1527" s="18"/>
      <c r="Y1527" s="18"/>
      <c r="Z1527" s="18"/>
      <c r="AA1527" s="18"/>
      <c r="AB1527" s="18"/>
      <c r="AC1527" s="18"/>
      <c r="AD1527" s="18"/>
      <c r="AE1527" s="18"/>
      <c r="AF1527" s="18"/>
      <c r="AG1527" s="18"/>
      <c r="AH1527" s="18"/>
      <c r="AI1527" s="18"/>
      <c r="AJ1527" s="18"/>
      <c r="AK1527" s="18"/>
      <c r="AL1527" s="18"/>
      <c r="AM1527" s="18"/>
      <c r="AN1527" s="18"/>
      <c r="AO1527" s="18"/>
      <c r="AP1527" s="18"/>
      <c r="AQ1527" s="18"/>
      <c r="AR1527" s="18"/>
      <c r="AS1527" s="18"/>
      <c r="AT1527" s="18"/>
      <c r="AU1527" s="18"/>
      <c r="AV1527" s="18"/>
      <c r="AW1527" s="18"/>
      <c r="AX1527" s="18"/>
      <c r="AY1527" s="18"/>
      <c r="AZ1527" s="18"/>
      <c r="BA1527" s="18"/>
      <c r="BB1527" s="18"/>
      <c r="BC1527" s="18"/>
      <c r="BD1527" s="18"/>
      <c r="BE1527" s="18"/>
      <c r="BF1527" s="18"/>
      <c r="BG1527" s="18"/>
      <c r="BH1527" s="18"/>
      <c r="BI1527" s="18"/>
      <c r="BJ1527" s="18"/>
      <c r="BK1527" s="18"/>
      <c r="BL1527" s="18"/>
      <c r="BM1527" s="18"/>
      <c r="BN1527" s="18"/>
    </row>
    <row r="1528" spans="1:66">
      <c r="A1528" s="18"/>
      <c r="B1528" s="18"/>
      <c r="C1528" s="18"/>
      <c r="D1528" s="18"/>
      <c r="E1528" s="18"/>
      <c r="F1528" s="18"/>
      <c r="G1528" s="18"/>
      <c r="H1528" s="18"/>
      <c r="I1528" s="18"/>
      <c r="J1528" s="18"/>
      <c r="K1528" s="18"/>
      <c r="L1528" s="18"/>
      <c r="M1528" s="18"/>
      <c r="N1528" s="18"/>
      <c r="O1528" s="18"/>
      <c r="P1528" s="18"/>
      <c r="Q1528" s="18"/>
      <c r="R1528" s="18"/>
      <c r="S1528" s="18"/>
      <c r="T1528" s="18"/>
      <c r="U1528" s="18"/>
      <c r="V1528" s="18"/>
      <c r="W1528" s="18"/>
      <c r="X1528" s="18"/>
      <c r="Y1528" s="18"/>
      <c r="Z1528" s="18"/>
      <c r="AA1528" s="18"/>
      <c r="AB1528" s="18"/>
      <c r="AC1528" s="18"/>
      <c r="AD1528" s="18"/>
      <c r="AE1528" s="18"/>
      <c r="AF1528" s="18"/>
      <c r="AG1528" s="18"/>
      <c r="AH1528" s="18"/>
      <c r="AI1528" s="18"/>
      <c r="AJ1528" s="18"/>
      <c r="AK1528" s="18"/>
      <c r="AL1528" s="18"/>
      <c r="AM1528" s="18"/>
      <c r="AN1528" s="18"/>
      <c r="AO1528" s="18"/>
      <c r="AP1528" s="18"/>
      <c r="AQ1528" s="18"/>
      <c r="AR1528" s="18"/>
      <c r="AS1528" s="18"/>
      <c r="AT1528" s="18"/>
      <c r="AU1528" s="18"/>
      <c r="AV1528" s="18"/>
      <c r="AW1528" s="18"/>
      <c r="AX1528" s="18"/>
      <c r="AY1528" s="18"/>
      <c r="AZ1528" s="18"/>
      <c r="BA1528" s="18"/>
      <c r="BB1528" s="18"/>
      <c r="BC1528" s="18"/>
      <c r="BD1528" s="18"/>
      <c r="BE1528" s="18"/>
      <c r="BF1528" s="18"/>
      <c r="BG1528" s="18"/>
      <c r="BH1528" s="18"/>
      <c r="BI1528" s="18"/>
      <c r="BJ1528" s="18"/>
      <c r="BK1528" s="18"/>
      <c r="BL1528" s="18"/>
      <c r="BM1528" s="18"/>
      <c r="BN1528" s="18"/>
    </row>
    <row r="1529" spans="1:66">
      <c r="A1529" s="18"/>
      <c r="B1529" s="18"/>
      <c r="C1529" s="18"/>
      <c r="D1529" s="18"/>
      <c r="E1529" s="18"/>
      <c r="F1529" s="18"/>
      <c r="G1529" s="18"/>
      <c r="H1529" s="18"/>
      <c r="I1529" s="18"/>
      <c r="J1529" s="18"/>
      <c r="K1529" s="18"/>
      <c r="L1529" s="18"/>
      <c r="M1529" s="18"/>
      <c r="N1529" s="18"/>
      <c r="O1529" s="18"/>
      <c r="P1529" s="18"/>
      <c r="Q1529" s="18"/>
      <c r="R1529" s="18"/>
      <c r="S1529" s="18"/>
      <c r="T1529" s="18"/>
      <c r="U1529" s="18"/>
      <c r="V1529" s="18"/>
      <c r="W1529" s="18"/>
      <c r="X1529" s="18"/>
      <c r="Y1529" s="18"/>
      <c r="Z1529" s="18"/>
      <c r="AA1529" s="18"/>
      <c r="AB1529" s="18"/>
      <c r="AC1529" s="18"/>
      <c r="AD1529" s="18"/>
      <c r="AE1529" s="18"/>
      <c r="AF1529" s="18"/>
      <c r="AG1529" s="18"/>
      <c r="AH1529" s="18"/>
      <c r="AI1529" s="18"/>
      <c r="AJ1529" s="18"/>
      <c r="AK1529" s="18"/>
      <c r="AL1529" s="18"/>
      <c r="AM1529" s="18"/>
      <c r="AN1529" s="18"/>
      <c r="AO1529" s="18"/>
      <c r="AP1529" s="18"/>
      <c r="AQ1529" s="18"/>
      <c r="AR1529" s="18"/>
      <c r="AS1529" s="18"/>
      <c r="AT1529" s="18"/>
      <c r="AU1529" s="18"/>
      <c r="AV1529" s="18"/>
      <c r="AW1529" s="18"/>
      <c r="AX1529" s="18"/>
      <c r="AY1529" s="18"/>
      <c r="AZ1529" s="18"/>
      <c r="BA1529" s="18"/>
      <c r="BB1529" s="18"/>
      <c r="BC1529" s="18"/>
      <c r="BD1529" s="18"/>
      <c r="BE1529" s="18"/>
      <c r="BF1529" s="18"/>
      <c r="BG1529" s="18"/>
      <c r="BH1529" s="18"/>
      <c r="BI1529" s="18"/>
      <c r="BJ1529" s="18"/>
      <c r="BK1529" s="18"/>
      <c r="BL1529" s="18"/>
      <c r="BM1529" s="18"/>
      <c r="BN1529" s="18"/>
    </row>
    <row r="1530" spans="1:66">
      <c r="A1530" s="18"/>
      <c r="B1530" s="18"/>
      <c r="C1530" s="18"/>
      <c r="D1530" s="18"/>
      <c r="E1530" s="18"/>
      <c r="F1530" s="18"/>
      <c r="G1530" s="18"/>
      <c r="H1530" s="18"/>
      <c r="I1530" s="18"/>
      <c r="J1530" s="18"/>
      <c r="K1530" s="18"/>
      <c r="L1530" s="18"/>
      <c r="M1530" s="18"/>
      <c r="N1530" s="18"/>
      <c r="O1530" s="18"/>
      <c r="P1530" s="18"/>
      <c r="Q1530" s="18"/>
      <c r="R1530" s="18"/>
      <c r="S1530" s="18"/>
      <c r="T1530" s="18"/>
      <c r="U1530" s="18"/>
      <c r="V1530" s="18"/>
      <c r="W1530" s="18"/>
      <c r="X1530" s="18"/>
      <c r="Y1530" s="18"/>
      <c r="Z1530" s="18"/>
      <c r="AA1530" s="18"/>
      <c r="AB1530" s="18"/>
      <c r="AC1530" s="18"/>
      <c r="AD1530" s="18"/>
      <c r="AE1530" s="18"/>
      <c r="AF1530" s="18"/>
      <c r="AG1530" s="18"/>
      <c r="AH1530" s="18"/>
      <c r="AI1530" s="18"/>
      <c r="AJ1530" s="18"/>
      <c r="AK1530" s="18"/>
      <c r="AL1530" s="18"/>
      <c r="AM1530" s="18"/>
      <c r="AN1530" s="18"/>
      <c r="AO1530" s="18"/>
      <c r="AP1530" s="18"/>
      <c r="AQ1530" s="18"/>
      <c r="AR1530" s="18"/>
      <c r="AS1530" s="18"/>
      <c r="AT1530" s="18"/>
      <c r="AU1530" s="18"/>
      <c r="AV1530" s="18"/>
      <c r="AW1530" s="18"/>
      <c r="AX1530" s="18"/>
      <c r="AY1530" s="18"/>
      <c r="AZ1530" s="18"/>
      <c r="BA1530" s="18"/>
      <c r="BB1530" s="18"/>
      <c r="BC1530" s="18"/>
      <c r="BD1530" s="18"/>
      <c r="BE1530" s="18"/>
      <c r="BF1530" s="18"/>
      <c r="BG1530" s="18"/>
      <c r="BH1530" s="18"/>
      <c r="BI1530" s="18"/>
      <c r="BJ1530" s="18"/>
      <c r="BK1530" s="18"/>
      <c r="BL1530" s="18"/>
      <c r="BM1530" s="18"/>
      <c r="BN1530" s="18"/>
    </row>
    <row r="1531" spans="1:66">
      <c r="A1531" s="18"/>
      <c r="B1531" s="18"/>
      <c r="C1531" s="18"/>
      <c r="D1531" s="18"/>
      <c r="E1531" s="18"/>
      <c r="F1531" s="18"/>
      <c r="G1531" s="18"/>
      <c r="H1531" s="18"/>
      <c r="I1531" s="18"/>
      <c r="J1531" s="18"/>
      <c r="K1531" s="18"/>
      <c r="L1531" s="18"/>
      <c r="M1531" s="18"/>
      <c r="N1531" s="18"/>
      <c r="O1531" s="18"/>
      <c r="P1531" s="18"/>
      <c r="Q1531" s="18"/>
      <c r="R1531" s="18"/>
      <c r="S1531" s="18"/>
      <c r="T1531" s="18"/>
      <c r="U1531" s="18"/>
      <c r="V1531" s="18"/>
      <c r="W1531" s="18"/>
      <c r="X1531" s="18"/>
      <c r="Y1531" s="18"/>
      <c r="Z1531" s="18"/>
      <c r="AA1531" s="18"/>
      <c r="AB1531" s="18"/>
      <c r="AC1531" s="18"/>
      <c r="AD1531" s="18"/>
      <c r="AE1531" s="18"/>
      <c r="AF1531" s="18"/>
      <c r="AG1531" s="18"/>
      <c r="AH1531" s="18"/>
      <c r="AI1531" s="18"/>
      <c r="AJ1531" s="18"/>
      <c r="AK1531" s="18"/>
      <c r="AL1531" s="18"/>
      <c r="AM1531" s="18"/>
      <c r="AN1531" s="18"/>
      <c r="AO1531" s="18"/>
      <c r="AP1531" s="18"/>
      <c r="AQ1531" s="18"/>
      <c r="AR1531" s="18"/>
      <c r="AS1531" s="18"/>
      <c r="AT1531" s="18"/>
      <c r="AU1531" s="18"/>
      <c r="AV1531" s="18"/>
      <c r="AW1531" s="18"/>
      <c r="AX1531" s="18"/>
      <c r="AY1531" s="18"/>
      <c r="AZ1531" s="18"/>
      <c r="BA1531" s="18"/>
      <c r="BB1531" s="18"/>
      <c r="BC1531" s="18"/>
      <c r="BD1531" s="18"/>
      <c r="BE1531" s="18"/>
      <c r="BF1531" s="18"/>
      <c r="BG1531" s="18"/>
      <c r="BH1531" s="18"/>
      <c r="BI1531" s="18"/>
      <c r="BJ1531" s="18"/>
      <c r="BK1531" s="18"/>
      <c r="BL1531" s="18"/>
      <c r="BM1531" s="18"/>
      <c r="BN1531" s="18"/>
    </row>
    <row r="1532" spans="1:66">
      <c r="A1532" s="18"/>
      <c r="B1532" s="18"/>
      <c r="C1532" s="18"/>
      <c r="D1532" s="18"/>
      <c r="E1532" s="18"/>
      <c r="F1532" s="18"/>
      <c r="G1532" s="18"/>
      <c r="H1532" s="18"/>
      <c r="I1532" s="18"/>
      <c r="J1532" s="18"/>
      <c r="K1532" s="18"/>
      <c r="L1532" s="18"/>
      <c r="M1532" s="18"/>
      <c r="N1532" s="18"/>
      <c r="O1532" s="18"/>
      <c r="P1532" s="18"/>
      <c r="Q1532" s="18"/>
      <c r="R1532" s="18"/>
      <c r="S1532" s="18"/>
      <c r="T1532" s="18"/>
      <c r="U1532" s="18"/>
      <c r="V1532" s="18"/>
      <c r="W1532" s="18"/>
      <c r="X1532" s="18"/>
      <c r="Y1532" s="18"/>
      <c r="Z1532" s="18"/>
      <c r="AA1532" s="18"/>
      <c r="AB1532" s="18"/>
      <c r="AC1532" s="18"/>
      <c r="AD1532" s="18"/>
      <c r="AE1532" s="18"/>
      <c r="AF1532" s="18"/>
      <c r="AG1532" s="18"/>
      <c r="AH1532" s="18"/>
      <c r="AI1532" s="18"/>
      <c r="AJ1532" s="18"/>
      <c r="AK1532" s="18"/>
      <c r="AL1532" s="18"/>
      <c r="AM1532" s="18"/>
      <c r="AN1532" s="18"/>
      <c r="AO1532" s="18"/>
      <c r="AP1532" s="18"/>
      <c r="AQ1532" s="18"/>
      <c r="AR1532" s="18"/>
      <c r="AS1532" s="18"/>
      <c r="AT1532" s="18"/>
      <c r="AU1532" s="18"/>
      <c r="AV1532" s="18"/>
      <c r="AW1532" s="18"/>
      <c r="AX1532" s="18"/>
      <c r="AY1532" s="18"/>
      <c r="AZ1532" s="18"/>
      <c r="BA1532" s="18"/>
      <c r="BB1532" s="18"/>
      <c r="BC1532" s="18"/>
      <c r="BD1532" s="18"/>
      <c r="BE1532" s="18"/>
      <c r="BF1532" s="18"/>
      <c r="BG1532" s="18"/>
      <c r="BH1532" s="18"/>
      <c r="BI1532" s="18"/>
      <c r="BJ1532" s="18"/>
      <c r="BK1532" s="18"/>
      <c r="BL1532" s="18"/>
      <c r="BM1532" s="18"/>
      <c r="BN1532" s="18"/>
    </row>
    <row r="1533" spans="1:66">
      <c r="A1533" s="18"/>
      <c r="B1533" s="18"/>
      <c r="C1533" s="18"/>
      <c r="D1533" s="18"/>
      <c r="E1533" s="18"/>
      <c r="F1533" s="18"/>
      <c r="G1533" s="18"/>
      <c r="H1533" s="18"/>
      <c r="I1533" s="18"/>
      <c r="J1533" s="18"/>
      <c r="K1533" s="18"/>
      <c r="L1533" s="18"/>
      <c r="M1533" s="18"/>
      <c r="N1533" s="18"/>
      <c r="O1533" s="18"/>
      <c r="P1533" s="18"/>
      <c r="Q1533" s="18"/>
      <c r="R1533" s="18"/>
      <c r="S1533" s="18"/>
      <c r="T1533" s="18"/>
      <c r="U1533" s="18"/>
      <c r="V1533" s="18"/>
      <c r="W1533" s="18"/>
      <c r="X1533" s="18"/>
      <c r="Y1533" s="18"/>
      <c r="Z1533" s="18"/>
      <c r="AA1533" s="18"/>
      <c r="AB1533" s="18"/>
      <c r="AC1533" s="18"/>
      <c r="AD1533" s="18"/>
      <c r="AE1533" s="18"/>
      <c r="AF1533" s="18"/>
      <c r="AG1533" s="18"/>
      <c r="AH1533" s="18"/>
      <c r="AI1533" s="18"/>
      <c r="AJ1533" s="18"/>
      <c r="AK1533" s="18"/>
      <c r="AL1533" s="18"/>
      <c r="AM1533" s="18"/>
      <c r="AN1533" s="18"/>
      <c r="AO1533" s="18"/>
      <c r="AP1533" s="18"/>
      <c r="AQ1533" s="18"/>
      <c r="AR1533" s="18"/>
      <c r="AS1533" s="18"/>
      <c r="AT1533" s="18"/>
      <c r="AU1533" s="18"/>
      <c r="AV1533" s="18"/>
      <c r="AW1533" s="18"/>
      <c r="AX1533" s="18"/>
      <c r="AY1533" s="18"/>
      <c r="AZ1533" s="18"/>
      <c r="BA1533" s="18"/>
      <c r="BB1533" s="18"/>
      <c r="BC1533" s="18"/>
      <c r="BD1533" s="18"/>
      <c r="BE1533" s="18"/>
      <c r="BF1533" s="18"/>
      <c r="BG1533" s="18"/>
      <c r="BH1533" s="18"/>
      <c r="BI1533" s="18"/>
      <c r="BJ1533" s="18"/>
      <c r="BK1533" s="18"/>
      <c r="BL1533" s="18"/>
      <c r="BM1533" s="18"/>
      <c r="BN1533" s="18"/>
    </row>
    <row r="1534" spans="1:66">
      <c r="A1534" s="18"/>
      <c r="B1534" s="18"/>
      <c r="C1534" s="18"/>
      <c r="D1534" s="18"/>
      <c r="E1534" s="18"/>
      <c r="F1534" s="18"/>
      <c r="G1534" s="18"/>
      <c r="H1534" s="18"/>
      <c r="I1534" s="18"/>
      <c r="J1534" s="18"/>
      <c r="K1534" s="18"/>
      <c r="L1534" s="18"/>
      <c r="M1534" s="18"/>
      <c r="N1534" s="18"/>
      <c r="O1534" s="18"/>
      <c r="P1534" s="18"/>
      <c r="Q1534" s="18"/>
      <c r="R1534" s="18"/>
      <c r="S1534" s="18"/>
      <c r="T1534" s="18"/>
      <c r="U1534" s="18"/>
      <c r="V1534" s="18"/>
      <c r="W1534" s="18"/>
      <c r="X1534" s="18"/>
      <c r="Y1534" s="18"/>
      <c r="Z1534" s="18"/>
      <c r="AA1534" s="18"/>
      <c r="AB1534" s="18"/>
      <c r="AC1534" s="18"/>
      <c r="AD1534" s="18"/>
      <c r="AE1534" s="18"/>
      <c r="AF1534" s="18"/>
      <c r="AG1534" s="18"/>
      <c r="AH1534" s="18"/>
      <c r="AI1534" s="18"/>
      <c r="AJ1534" s="18"/>
      <c r="AK1534" s="18"/>
      <c r="AL1534" s="18"/>
      <c r="AM1534" s="18"/>
      <c r="AN1534" s="18"/>
      <c r="AO1534" s="18"/>
      <c r="AP1534" s="18"/>
      <c r="AQ1534" s="18"/>
      <c r="AR1534" s="18"/>
      <c r="AS1534" s="18"/>
      <c r="AT1534" s="18"/>
      <c r="AU1534" s="18"/>
      <c r="AV1534" s="18"/>
      <c r="AW1534" s="18"/>
      <c r="AX1534" s="18"/>
      <c r="AY1534" s="18"/>
      <c r="AZ1534" s="18"/>
      <c r="BA1534" s="18"/>
      <c r="BB1534" s="18"/>
      <c r="BC1534" s="18"/>
      <c r="BD1534" s="18"/>
      <c r="BE1534" s="18"/>
      <c r="BF1534" s="18"/>
      <c r="BG1534" s="18"/>
      <c r="BH1534" s="18"/>
      <c r="BI1534" s="18"/>
      <c r="BJ1534" s="18"/>
      <c r="BK1534" s="18"/>
      <c r="BL1534" s="18"/>
      <c r="BM1534" s="18"/>
      <c r="BN1534" s="18"/>
    </row>
    <row r="1535" spans="1:66">
      <c r="A1535" s="18"/>
      <c r="B1535" s="18"/>
      <c r="C1535" s="18"/>
      <c r="D1535" s="18"/>
      <c r="E1535" s="18"/>
      <c r="F1535" s="18"/>
      <c r="G1535" s="18"/>
      <c r="H1535" s="18"/>
      <c r="I1535" s="18"/>
      <c r="J1535" s="18"/>
      <c r="K1535" s="18"/>
      <c r="L1535" s="18"/>
      <c r="M1535" s="18"/>
      <c r="N1535" s="18"/>
      <c r="O1535" s="18"/>
      <c r="P1535" s="18"/>
      <c r="Q1535" s="18"/>
      <c r="R1535" s="18"/>
      <c r="S1535" s="18"/>
      <c r="T1535" s="18"/>
      <c r="U1535" s="18"/>
      <c r="V1535" s="18"/>
      <c r="W1535" s="18"/>
      <c r="X1535" s="18"/>
      <c r="Y1535" s="18"/>
      <c r="Z1535" s="18"/>
      <c r="AA1535" s="18"/>
      <c r="AB1535" s="18"/>
      <c r="AC1535" s="18"/>
      <c r="AD1535" s="18"/>
      <c r="AE1535" s="18"/>
      <c r="AF1535" s="18"/>
      <c r="AG1535" s="18"/>
      <c r="AH1535" s="18"/>
      <c r="AI1535" s="18"/>
      <c r="AJ1535" s="18"/>
      <c r="AK1535" s="18"/>
      <c r="AL1535" s="18"/>
      <c r="AM1535" s="18"/>
      <c r="AN1535" s="18"/>
      <c r="AO1535" s="18"/>
      <c r="AP1535" s="18"/>
      <c r="AQ1535" s="18"/>
      <c r="AR1535" s="18"/>
      <c r="AS1535" s="18"/>
      <c r="AT1535" s="18"/>
      <c r="AU1535" s="18"/>
      <c r="AV1535" s="18"/>
      <c r="AW1535" s="18"/>
      <c r="AX1535" s="18"/>
      <c r="AY1535" s="18"/>
      <c r="AZ1535" s="18"/>
      <c r="BA1535" s="18"/>
      <c r="BB1535" s="18"/>
      <c r="BC1535" s="18"/>
      <c r="BD1535" s="18"/>
      <c r="BE1535" s="18"/>
      <c r="BF1535" s="18"/>
      <c r="BG1535" s="18"/>
      <c r="BH1535" s="18"/>
      <c r="BI1535" s="18"/>
      <c r="BJ1535" s="18"/>
      <c r="BK1535" s="18"/>
      <c r="BL1535" s="18"/>
      <c r="BM1535" s="18"/>
      <c r="BN1535" s="18"/>
    </row>
    <row r="1536" spans="1:66">
      <c r="A1536" s="18"/>
      <c r="B1536" s="18"/>
      <c r="C1536" s="18"/>
      <c r="D1536" s="18"/>
      <c r="E1536" s="18"/>
      <c r="F1536" s="18"/>
      <c r="G1536" s="18"/>
      <c r="H1536" s="18"/>
      <c r="I1536" s="18"/>
      <c r="J1536" s="18"/>
      <c r="K1536" s="18"/>
      <c r="L1536" s="18"/>
      <c r="M1536" s="18"/>
      <c r="N1536" s="18"/>
      <c r="O1536" s="18"/>
      <c r="P1536" s="18"/>
      <c r="Q1536" s="18"/>
      <c r="R1536" s="18"/>
      <c r="S1536" s="18"/>
      <c r="T1536" s="18"/>
      <c r="U1536" s="18"/>
      <c r="V1536" s="18"/>
      <c r="W1536" s="18"/>
      <c r="X1536" s="18"/>
      <c r="Y1536" s="18"/>
      <c r="Z1536" s="18"/>
      <c r="AA1536" s="18"/>
      <c r="AB1536" s="18"/>
      <c r="AC1536" s="18"/>
      <c r="AD1536" s="18"/>
      <c r="AE1536" s="18"/>
      <c r="AF1536" s="18"/>
      <c r="AG1536" s="18"/>
      <c r="AH1536" s="18"/>
      <c r="AI1536" s="18"/>
      <c r="AJ1536" s="18"/>
      <c r="AK1536" s="18"/>
      <c r="AL1536" s="18"/>
      <c r="AM1536" s="18"/>
      <c r="AN1536" s="18"/>
      <c r="AO1536" s="18"/>
      <c r="AP1536" s="18"/>
      <c r="AQ1536" s="18"/>
      <c r="AR1536" s="18"/>
      <c r="AS1536" s="18"/>
      <c r="AT1536" s="18"/>
      <c r="AU1536" s="18"/>
      <c r="AV1536" s="18"/>
      <c r="AW1536" s="18"/>
      <c r="AX1536" s="18"/>
      <c r="AY1536" s="18"/>
      <c r="AZ1536" s="18"/>
      <c r="BA1536" s="18"/>
      <c r="BB1536" s="18"/>
      <c r="BC1536" s="18"/>
      <c r="BD1536" s="18"/>
      <c r="BE1536" s="18"/>
      <c r="BF1536" s="18"/>
      <c r="BG1536" s="18"/>
      <c r="BH1536" s="18"/>
      <c r="BI1536" s="18"/>
      <c r="BJ1536" s="18"/>
      <c r="BK1536" s="18"/>
      <c r="BL1536" s="18"/>
      <c r="BM1536" s="18"/>
      <c r="BN1536" s="18"/>
    </row>
    <row r="1537" spans="1:66">
      <c r="A1537" s="18"/>
      <c r="B1537" s="18"/>
      <c r="C1537" s="18"/>
      <c r="D1537" s="18"/>
      <c r="E1537" s="18"/>
      <c r="F1537" s="18"/>
      <c r="G1537" s="18"/>
      <c r="H1537" s="18"/>
      <c r="I1537" s="18"/>
      <c r="J1537" s="18"/>
      <c r="K1537" s="18"/>
      <c r="L1537" s="18"/>
      <c r="M1537" s="18"/>
      <c r="N1537" s="18"/>
      <c r="O1537" s="18"/>
      <c r="P1537" s="18"/>
      <c r="Q1537" s="18"/>
      <c r="R1537" s="18"/>
      <c r="S1537" s="18"/>
      <c r="T1537" s="18"/>
      <c r="U1537" s="18"/>
      <c r="V1537" s="18"/>
      <c r="W1537" s="18"/>
      <c r="X1537" s="18"/>
      <c r="Y1537" s="18"/>
      <c r="Z1537" s="18"/>
      <c r="AA1537" s="18"/>
      <c r="AB1537" s="18"/>
      <c r="AC1537" s="18"/>
      <c r="AD1537" s="18"/>
      <c r="AE1537" s="18"/>
      <c r="AF1537" s="18"/>
      <c r="AG1537" s="18"/>
      <c r="AH1537" s="18"/>
      <c r="AI1537" s="18"/>
      <c r="AJ1537" s="18"/>
      <c r="AK1537" s="18"/>
      <c r="AL1537" s="18"/>
      <c r="AM1537" s="18"/>
      <c r="AN1537" s="18"/>
      <c r="AO1537" s="18"/>
      <c r="AP1537" s="18"/>
      <c r="AQ1537" s="18"/>
      <c r="AR1537" s="18"/>
      <c r="AS1537" s="18"/>
      <c r="AT1537" s="18"/>
      <c r="AU1537" s="18"/>
      <c r="AV1537" s="18"/>
      <c r="AW1537" s="18"/>
      <c r="AX1537" s="18"/>
      <c r="AY1537" s="18"/>
      <c r="AZ1537" s="18"/>
      <c r="BA1537" s="18"/>
      <c r="BB1537" s="18"/>
      <c r="BC1537" s="18"/>
      <c r="BD1537" s="18"/>
      <c r="BE1537" s="18"/>
      <c r="BF1537" s="18"/>
      <c r="BG1537" s="18"/>
      <c r="BH1537" s="18"/>
      <c r="BI1537" s="18"/>
      <c r="BJ1537" s="18"/>
      <c r="BK1537" s="18"/>
      <c r="BL1537" s="18"/>
      <c r="BM1537" s="18"/>
      <c r="BN1537" s="18"/>
    </row>
    <row r="1538" spans="1:66">
      <c r="A1538" s="18"/>
      <c r="B1538" s="18"/>
      <c r="C1538" s="18"/>
      <c r="D1538" s="18"/>
      <c r="E1538" s="18"/>
      <c r="F1538" s="18"/>
      <c r="G1538" s="18"/>
      <c r="H1538" s="18"/>
      <c r="I1538" s="18"/>
      <c r="J1538" s="18"/>
      <c r="K1538" s="18"/>
      <c r="L1538" s="18"/>
      <c r="M1538" s="18"/>
      <c r="N1538" s="18"/>
      <c r="O1538" s="18"/>
      <c r="P1538" s="18"/>
      <c r="Q1538" s="18"/>
      <c r="R1538" s="18"/>
      <c r="S1538" s="18"/>
      <c r="T1538" s="18"/>
      <c r="U1538" s="18"/>
      <c r="V1538" s="18"/>
      <c r="W1538" s="18"/>
      <c r="X1538" s="18"/>
      <c r="Y1538" s="18"/>
      <c r="Z1538" s="18"/>
      <c r="AA1538" s="18"/>
      <c r="AB1538" s="18"/>
      <c r="AC1538" s="18"/>
      <c r="AD1538" s="18"/>
      <c r="AE1538" s="18"/>
      <c r="AF1538" s="18"/>
      <c r="AG1538" s="18"/>
      <c r="AH1538" s="18"/>
      <c r="AI1538" s="18"/>
      <c r="AJ1538" s="18"/>
      <c r="AK1538" s="18"/>
      <c r="AL1538" s="18"/>
      <c r="AM1538" s="18"/>
      <c r="AN1538" s="18"/>
      <c r="AO1538" s="18"/>
      <c r="AP1538" s="18"/>
      <c r="AQ1538" s="18"/>
      <c r="AR1538" s="18"/>
      <c r="AS1538" s="18"/>
      <c r="AT1538" s="18"/>
      <c r="AU1538" s="18"/>
      <c r="AV1538" s="18"/>
      <c r="AW1538" s="18"/>
      <c r="AX1538" s="18"/>
      <c r="AY1538" s="18"/>
      <c r="AZ1538" s="18"/>
      <c r="BA1538" s="18"/>
      <c r="BB1538" s="18"/>
      <c r="BC1538" s="18"/>
      <c r="BD1538" s="18"/>
      <c r="BE1538" s="18"/>
      <c r="BF1538" s="18"/>
      <c r="BG1538" s="18"/>
      <c r="BH1538" s="18"/>
      <c r="BI1538" s="18"/>
      <c r="BJ1538" s="18"/>
      <c r="BK1538" s="18"/>
      <c r="BL1538" s="18"/>
      <c r="BM1538" s="18"/>
      <c r="BN1538" s="18"/>
    </row>
    <row r="1539" spans="1:66">
      <c r="A1539" s="18"/>
      <c r="B1539" s="18"/>
      <c r="C1539" s="18"/>
      <c r="D1539" s="18"/>
      <c r="E1539" s="18"/>
      <c r="F1539" s="18"/>
      <c r="G1539" s="18"/>
      <c r="H1539" s="18"/>
      <c r="I1539" s="18"/>
      <c r="J1539" s="18"/>
      <c r="K1539" s="18"/>
      <c r="L1539" s="18"/>
      <c r="M1539" s="18"/>
      <c r="N1539" s="18"/>
      <c r="O1539" s="18"/>
      <c r="P1539" s="18"/>
      <c r="Q1539" s="18"/>
      <c r="R1539" s="18"/>
      <c r="S1539" s="18"/>
      <c r="T1539" s="18"/>
      <c r="U1539" s="18"/>
      <c r="V1539" s="18"/>
      <c r="W1539" s="18"/>
      <c r="X1539" s="18"/>
      <c r="Y1539" s="18"/>
      <c r="Z1539" s="18"/>
      <c r="AA1539" s="18"/>
      <c r="AB1539" s="18"/>
      <c r="AC1539" s="18"/>
      <c r="AD1539" s="18"/>
      <c r="AE1539" s="18"/>
      <c r="AF1539" s="18"/>
      <c r="AG1539" s="18"/>
      <c r="AH1539" s="18"/>
      <c r="AI1539" s="18"/>
      <c r="AJ1539" s="18"/>
      <c r="AK1539" s="18"/>
      <c r="AL1539" s="18"/>
      <c r="AM1539" s="18"/>
      <c r="AN1539" s="18"/>
      <c r="AO1539" s="18"/>
      <c r="AP1539" s="18"/>
      <c r="AQ1539" s="18"/>
      <c r="AR1539" s="18"/>
      <c r="AS1539" s="18"/>
      <c r="AT1539" s="18"/>
      <c r="AU1539" s="18"/>
      <c r="AV1539" s="18"/>
      <c r="AW1539" s="18"/>
      <c r="AX1539" s="18"/>
      <c r="AY1539" s="18"/>
      <c r="AZ1539" s="18"/>
      <c r="BA1539" s="18"/>
      <c r="BB1539" s="18"/>
      <c r="BC1539" s="18"/>
      <c r="BD1539" s="18"/>
      <c r="BE1539" s="18"/>
      <c r="BF1539" s="18"/>
      <c r="BG1539" s="18"/>
      <c r="BH1539" s="18"/>
      <c r="BI1539" s="18"/>
      <c r="BJ1539" s="18"/>
      <c r="BK1539" s="18"/>
      <c r="BL1539" s="18"/>
      <c r="BM1539" s="18"/>
      <c r="BN1539" s="18"/>
    </row>
    <row r="1540" spans="1:66">
      <c r="A1540" s="18"/>
      <c r="B1540" s="18"/>
      <c r="C1540" s="18"/>
      <c r="D1540" s="18"/>
      <c r="E1540" s="18"/>
      <c r="F1540" s="18"/>
      <c r="G1540" s="18"/>
      <c r="H1540" s="18"/>
      <c r="I1540" s="18"/>
      <c r="J1540" s="18"/>
      <c r="K1540" s="18"/>
      <c r="L1540" s="18"/>
      <c r="M1540" s="18"/>
      <c r="N1540" s="18"/>
      <c r="O1540" s="18"/>
      <c r="P1540" s="18"/>
      <c r="Q1540" s="18"/>
      <c r="R1540" s="18"/>
      <c r="S1540" s="18"/>
      <c r="T1540" s="18"/>
      <c r="U1540" s="18"/>
      <c r="V1540" s="18"/>
      <c r="W1540" s="18"/>
      <c r="X1540" s="18"/>
      <c r="Y1540" s="18"/>
      <c r="Z1540" s="18"/>
      <c r="AA1540" s="18"/>
      <c r="AB1540" s="18"/>
      <c r="AC1540" s="18"/>
      <c r="AD1540" s="18"/>
      <c r="AE1540" s="18"/>
      <c r="AF1540" s="18"/>
      <c r="AG1540" s="18"/>
      <c r="AH1540" s="18"/>
      <c r="AI1540" s="18"/>
      <c r="AJ1540" s="18"/>
      <c r="AK1540" s="18"/>
      <c r="AL1540" s="18"/>
      <c r="AM1540" s="18"/>
      <c r="AN1540" s="18"/>
      <c r="AO1540" s="18"/>
      <c r="AP1540" s="18"/>
      <c r="AQ1540" s="18"/>
      <c r="AR1540" s="18"/>
      <c r="AS1540" s="18"/>
      <c r="AT1540" s="18"/>
      <c r="AU1540" s="18"/>
      <c r="AV1540" s="18"/>
      <c r="AW1540" s="18"/>
      <c r="AX1540" s="18"/>
      <c r="AY1540" s="18"/>
      <c r="AZ1540" s="18"/>
      <c r="BA1540" s="18"/>
      <c r="BB1540" s="18"/>
      <c r="BC1540" s="18"/>
      <c r="BD1540" s="18"/>
      <c r="BE1540" s="18"/>
      <c r="BF1540" s="18"/>
      <c r="BG1540" s="18"/>
      <c r="BH1540" s="18"/>
      <c r="BI1540" s="18"/>
      <c r="BJ1540" s="18"/>
      <c r="BK1540" s="18"/>
      <c r="BL1540" s="18"/>
      <c r="BM1540" s="18"/>
      <c r="BN1540" s="18"/>
    </row>
    <row r="1541" spans="1:66">
      <c r="A1541" s="18"/>
      <c r="B1541" s="18"/>
      <c r="C1541" s="18"/>
      <c r="D1541" s="18"/>
      <c r="E1541" s="18"/>
      <c r="F1541" s="18"/>
      <c r="G1541" s="18"/>
      <c r="H1541" s="18"/>
      <c r="I1541" s="18"/>
      <c r="J1541" s="18"/>
      <c r="K1541" s="18"/>
      <c r="L1541" s="18"/>
      <c r="M1541" s="18"/>
      <c r="N1541" s="18"/>
      <c r="O1541" s="18"/>
      <c r="P1541" s="18"/>
      <c r="Q1541" s="18"/>
      <c r="R1541" s="18"/>
      <c r="S1541" s="18"/>
      <c r="T1541" s="18"/>
      <c r="U1541" s="18"/>
      <c r="V1541" s="18"/>
      <c r="W1541" s="18"/>
      <c r="X1541" s="18"/>
      <c r="Y1541" s="18"/>
      <c r="Z1541" s="18"/>
      <c r="AA1541" s="18"/>
      <c r="AB1541" s="18"/>
      <c r="AC1541" s="18"/>
      <c r="AD1541" s="18"/>
      <c r="AE1541" s="18"/>
      <c r="AF1541" s="18"/>
      <c r="AG1541" s="18"/>
      <c r="AH1541" s="18"/>
      <c r="AI1541" s="18"/>
      <c r="AJ1541" s="18"/>
      <c r="AK1541" s="18"/>
      <c r="AL1541" s="18"/>
      <c r="AM1541" s="18"/>
      <c r="AN1541" s="18"/>
      <c r="AO1541" s="18"/>
      <c r="AP1541" s="18"/>
      <c r="AQ1541" s="18"/>
      <c r="AR1541" s="18"/>
      <c r="AS1541" s="18"/>
      <c r="AT1541" s="18"/>
      <c r="AU1541" s="18"/>
      <c r="AV1541" s="18"/>
      <c r="AW1541" s="18"/>
      <c r="AX1541" s="18"/>
      <c r="AY1541" s="18"/>
      <c r="AZ1541" s="18"/>
      <c r="BA1541" s="18"/>
      <c r="BB1541" s="18"/>
      <c r="BC1541" s="18"/>
      <c r="BD1541" s="18"/>
      <c r="BE1541" s="18"/>
      <c r="BF1541" s="18"/>
      <c r="BG1541" s="18"/>
      <c r="BH1541" s="18"/>
      <c r="BI1541" s="18"/>
      <c r="BJ1541" s="18"/>
      <c r="BK1541" s="18"/>
      <c r="BL1541" s="18"/>
      <c r="BM1541" s="18"/>
      <c r="BN1541" s="18"/>
    </row>
    <row r="1542" spans="1:66">
      <c r="A1542" s="18"/>
      <c r="B1542" s="18"/>
      <c r="C1542" s="18"/>
      <c r="D1542" s="18"/>
      <c r="E1542" s="18"/>
      <c r="F1542" s="18"/>
      <c r="G1542" s="18"/>
      <c r="H1542" s="18"/>
      <c r="I1542" s="18"/>
      <c r="J1542" s="18"/>
      <c r="K1542" s="18"/>
      <c r="L1542" s="18"/>
      <c r="M1542" s="18"/>
      <c r="N1542" s="18"/>
      <c r="O1542" s="18"/>
      <c r="P1542" s="18"/>
      <c r="Q1542" s="18"/>
      <c r="R1542" s="18"/>
      <c r="S1542" s="18"/>
      <c r="T1542" s="18"/>
      <c r="U1542" s="18"/>
      <c r="V1542" s="18"/>
      <c r="W1542" s="18"/>
      <c r="X1542" s="18"/>
      <c r="Y1542" s="18"/>
      <c r="Z1542" s="18"/>
      <c r="AA1542" s="18"/>
      <c r="AB1542" s="18"/>
      <c r="AC1542" s="18"/>
      <c r="AD1542" s="18"/>
      <c r="AE1542" s="18"/>
      <c r="AF1542" s="18"/>
      <c r="AG1542" s="18"/>
      <c r="AH1542" s="18"/>
      <c r="AI1542" s="18"/>
      <c r="AJ1542" s="18"/>
      <c r="AK1542" s="18"/>
      <c r="AL1542" s="18"/>
      <c r="AM1542" s="18"/>
      <c r="AN1542" s="18"/>
      <c r="AO1542" s="18"/>
      <c r="AP1542" s="18"/>
      <c r="AQ1542" s="18"/>
      <c r="AR1542" s="18"/>
      <c r="AS1542" s="18"/>
      <c r="AT1542" s="18"/>
      <c r="AU1542" s="18"/>
      <c r="AV1542" s="18"/>
      <c r="AW1542" s="18"/>
      <c r="AX1542" s="18"/>
      <c r="AY1542" s="18"/>
      <c r="AZ1542" s="18"/>
      <c r="BA1542" s="18"/>
      <c r="BB1542" s="18"/>
      <c r="BC1542" s="18"/>
      <c r="BD1542" s="18"/>
      <c r="BE1542" s="18"/>
      <c r="BF1542" s="18"/>
      <c r="BG1542" s="18"/>
      <c r="BH1542" s="18"/>
      <c r="BI1542" s="18"/>
      <c r="BJ1542" s="18"/>
      <c r="BK1542" s="18"/>
      <c r="BL1542" s="18"/>
      <c r="BM1542" s="18"/>
      <c r="BN1542" s="18"/>
    </row>
    <row r="1543" spans="1:66">
      <c r="A1543" s="18"/>
      <c r="B1543" s="18"/>
      <c r="C1543" s="18"/>
      <c r="D1543" s="18"/>
      <c r="E1543" s="18"/>
      <c r="F1543" s="18"/>
      <c r="G1543" s="18"/>
      <c r="H1543" s="18"/>
      <c r="I1543" s="18"/>
      <c r="J1543" s="18"/>
      <c r="K1543" s="18"/>
      <c r="L1543" s="18"/>
      <c r="M1543" s="18"/>
      <c r="N1543" s="18"/>
      <c r="O1543" s="18"/>
      <c r="P1543" s="18"/>
      <c r="Q1543" s="18"/>
      <c r="R1543" s="18"/>
      <c r="S1543" s="18"/>
      <c r="T1543" s="18"/>
      <c r="U1543" s="18"/>
      <c r="V1543" s="18"/>
      <c r="W1543" s="18"/>
      <c r="X1543" s="18"/>
      <c r="Y1543" s="18"/>
      <c r="Z1543" s="18"/>
      <c r="AA1543" s="18"/>
      <c r="AB1543" s="18"/>
      <c r="AC1543" s="18"/>
      <c r="AD1543" s="18"/>
      <c r="AE1543" s="18"/>
      <c r="AF1543" s="18"/>
      <c r="AG1543" s="18"/>
      <c r="AH1543" s="18"/>
      <c r="AI1543" s="18"/>
      <c r="AJ1543" s="18"/>
      <c r="AK1543" s="18"/>
      <c r="AL1543" s="18"/>
      <c r="AM1543" s="18"/>
      <c r="AN1543" s="18"/>
      <c r="AO1543" s="18"/>
      <c r="AP1543" s="18"/>
      <c r="AQ1543" s="18"/>
      <c r="AR1543" s="18"/>
      <c r="AS1543" s="18"/>
      <c r="AT1543" s="18"/>
      <c r="AU1543" s="18"/>
      <c r="AV1543" s="18"/>
      <c r="AW1543" s="18"/>
      <c r="AX1543" s="18"/>
      <c r="AY1543" s="18"/>
      <c r="AZ1543" s="18"/>
      <c r="BA1543" s="18"/>
      <c r="BB1543" s="18"/>
      <c r="BC1543" s="18"/>
      <c r="BD1543" s="18"/>
      <c r="BE1543" s="18"/>
      <c r="BF1543" s="18"/>
      <c r="BG1543" s="18"/>
      <c r="BH1543" s="18"/>
      <c r="BI1543" s="18"/>
      <c r="BJ1543" s="18"/>
      <c r="BK1543" s="18"/>
      <c r="BL1543" s="18"/>
      <c r="BM1543" s="18"/>
      <c r="BN1543" s="18"/>
    </row>
    <row r="1544" spans="1:66">
      <c r="A1544" s="18"/>
      <c r="B1544" s="18"/>
      <c r="C1544" s="18"/>
      <c r="D1544" s="18"/>
      <c r="E1544" s="18"/>
      <c r="F1544" s="18"/>
      <c r="G1544" s="18"/>
      <c r="H1544" s="18"/>
      <c r="I1544" s="18"/>
      <c r="J1544" s="18"/>
      <c r="K1544" s="18"/>
      <c r="L1544" s="18"/>
      <c r="M1544" s="18"/>
      <c r="N1544" s="18"/>
      <c r="O1544" s="18"/>
      <c r="P1544" s="18"/>
      <c r="Q1544" s="18"/>
      <c r="R1544" s="18"/>
      <c r="S1544" s="18"/>
      <c r="T1544" s="18"/>
      <c r="U1544" s="18"/>
      <c r="V1544" s="18"/>
      <c r="W1544" s="18"/>
      <c r="X1544" s="18"/>
      <c r="Y1544" s="18"/>
      <c r="Z1544" s="18"/>
      <c r="AA1544" s="18"/>
      <c r="AB1544" s="18"/>
      <c r="AC1544" s="18"/>
      <c r="AD1544" s="18"/>
      <c r="AE1544" s="18"/>
      <c r="AF1544" s="18"/>
      <c r="AG1544" s="18"/>
      <c r="AH1544" s="18"/>
      <c r="AI1544" s="18"/>
      <c r="AJ1544" s="18"/>
      <c r="AK1544" s="18"/>
      <c r="AL1544" s="18"/>
      <c r="AM1544" s="18"/>
      <c r="AN1544" s="18"/>
      <c r="AO1544" s="18"/>
      <c r="AP1544" s="18"/>
      <c r="AQ1544" s="18"/>
      <c r="AR1544" s="18"/>
      <c r="AS1544" s="18"/>
      <c r="AT1544" s="18"/>
      <c r="AU1544" s="18"/>
      <c r="AV1544" s="18"/>
      <c r="AW1544" s="18"/>
      <c r="AX1544" s="18"/>
      <c r="AY1544" s="18"/>
      <c r="AZ1544" s="18"/>
      <c r="BA1544" s="18"/>
      <c r="BB1544" s="18"/>
      <c r="BC1544" s="18"/>
      <c r="BD1544" s="18"/>
      <c r="BE1544" s="18"/>
      <c r="BF1544" s="18"/>
      <c r="BG1544" s="18"/>
      <c r="BH1544" s="18"/>
      <c r="BI1544" s="18"/>
      <c r="BJ1544" s="18"/>
      <c r="BK1544" s="18"/>
      <c r="BL1544" s="18"/>
      <c r="BM1544" s="18"/>
      <c r="BN1544" s="18"/>
    </row>
    <row r="1545" spans="1:66">
      <c r="A1545" s="18"/>
      <c r="B1545" s="18"/>
      <c r="C1545" s="18"/>
      <c r="D1545" s="18"/>
      <c r="E1545" s="18"/>
      <c r="F1545" s="18"/>
      <c r="G1545" s="18"/>
      <c r="H1545" s="18"/>
      <c r="I1545" s="18"/>
      <c r="J1545" s="18"/>
      <c r="K1545" s="18"/>
      <c r="L1545" s="18"/>
      <c r="M1545" s="18"/>
      <c r="N1545" s="18"/>
      <c r="O1545" s="18"/>
      <c r="P1545" s="18"/>
      <c r="Q1545" s="18"/>
      <c r="R1545" s="18"/>
      <c r="S1545" s="18"/>
      <c r="T1545" s="18"/>
      <c r="U1545" s="18"/>
      <c r="V1545" s="18"/>
      <c r="W1545" s="18"/>
      <c r="X1545" s="18"/>
      <c r="Y1545" s="18"/>
      <c r="Z1545" s="18"/>
      <c r="AA1545" s="18"/>
      <c r="AB1545" s="18"/>
      <c r="AC1545" s="18"/>
      <c r="AD1545" s="18"/>
      <c r="AE1545" s="18"/>
      <c r="AF1545" s="18"/>
      <c r="AG1545" s="18"/>
      <c r="AH1545" s="18"/>
      <c r="AI1545" s="18"/>
      <c r="AJ1545" s="18"/>
      <c r="AK1545" s="18"/>
      <c r="AL1545" s="18"/>
      <c r="AM1545" s="18"/>
      <c r="AN1545" s="18"/>
      <c r="AO1545" s="18"/>
      <c r="AP1545" s="18"/>
      <c r="AQ1545" s="18"/>
      <c r="AR1545" s="18"/>
      <c r="AS1545" s="18"/>
      <c r="AT1545" s="18"/>
      <c r="AU1545" s="18"/>
      <c r="AV1545" s="18"/>
      <c r="AW1545" s="18"/>
      <c r="AX1545" s="18"/>
      <c r="AY1545" s="18"/>
      <c r="AZ1545" s="18"/>
      <c r="BA1545" s="18"/>
      <c r="BB1545" s="18"/>
      <c r="BC1545" s="18"/>
      <c r="BD1545" s="18"/>
      <c r="BE1545" s="18"/>
      <c r="BF1545" s="18"/>
      <c r="BG1545" s="18"/>
      <c r="BH1545" s="18"/>
      <c r="BI1545" s="18"/>
      <c r="BJ1545" s="18"/>
      <c r="BK1545" s="18"/>
      <c r="BL1545" s="18"/>
      <c r="BM1545" s="18"/>
      <c r="BN1545" s="18"/>
    </row>
    <row r="1546" spans="1:66">
      <c r="A1546" s="18"/>
      <c r="B1546" s="18"/>
      <c r="C1546" s="18"/>
      <c r="D1546" s="18"/>
      <c r="E1546" s="18"/>
      <c r="F1546" s="18"/>
      <c r="G1546" s="18"/>
      <c r="H1546" s="18"/>
      <c r="I1546" s="18"/>
      <c r="J1546" s="18"/>
      <c r="K1546" s="18"/>
      <c r="L1546" s="18"/>
      <c r="M1546" s="18"/>
      <c r="N1546" s="18"/>
      <c r="O1546" s="18"/>
      <c r="P1546" s="18"/>
      <c r="Q1546" s="18"/>
      <c r="R1546" s="18"/>
      <c r="S1546" s="18"/>
      <c r="T1546" s="18"/>
      <c r="U1546" s="18"/>
      <c r="V1546" s="18"/>
      <c r="W1546" s="18"/>
      <c r="X1546" s="18"/>
      <c r="Y1546" s="18"/>
      <c r="Z1546" s="18"/>
      <c r="AA1546" s="18"/>
      <c r="AB1546" s="18"/>
      <c r="AC1546" s="18"/>
      <c r="AD1546" s="18"/>
      <c r="AE1546" s="18"/>
      <c r="AF1546" s="18"/>
      <c r="AG1546" s="18"/>
      <c r="AH1546" s="18"/>
      <c r="AI1546" s="18"/>
      <c r="AJ1546" s="18"/>
      <c r="AK1546" s="18"/>
      <c r="AL1546" s="18"/>
      <c r="AM1546" s="18"/>
      <c r="AN1546" s="18"/>
      <c r="AO1546" s="18"/>
      <c r="AP1546" s="18"/>
      <c r="AQ1546" s="18"/>
      <c r="AR1546" s="18"/>
      <c r="AS1546" s="18"/>
      <c r="AT1546" s="18"/>
      <c r="AU1546" s="18"/>
      <c r="AV1546" s="18"/>
      <c r="AW1546" s="18"/>
      <c r="AX1546" s="18"/>
      <c r="AY1546" s="18"/>
      <c r="AZ1546" s="18"/>
      <c r="BA1546" s="18"/>
      <c r="BB1546" s="18"/>
      <c r="BC1546" s="18"/>
      <c r="BD1546" s="18"/>
      <c r="BE1546" s="18"/>
      <c r="BF1546" s="18"/>
      <c r="BG1546" s="18"/>
      <c r="BH1546" s="18"/>
      <c r="BI1546" s="18"/>
      <c r="BJ1546" s="18"/>
      <c r="BK1546" s="18"/>
      <c r="BL1546" s="18"/>
      <c r="BM1546" s="18"/>
      <c r="BN1546" s="18"/>
    </row>
    <row r="1547" spans="1:66">
      <c r="A1547" s="18"/>
      <c r="B1547" s="18"/>
      <c r="C1547" s="18"/>
      <c r="D1547" s="18"/>
      <c r="E1547" s="18"/>
      <c r="F1547" s="18"/>
      <c r="G1547" s="18"/>
      <c r="H1547" s="18"/>
      <c r="I1547" s="18"/>
      <c r="J1547" s="18"/>
      <c r="K1547" s="18"/>
      <c r="L1547" s="18"/>
      <c r="M1547" s="18"/>
      <c r="N1547" s="18"/>
      <c r="O1547" s="18"/>
      <c r="P1547" s="18"/>
      <c r="Q1547" s="18"/>
      <c r="R1547" s="18"/>
      <c r="S1547" s="18"/>
      <c r="T1547" s="18"/>
      <c r="U1547" s="18"/>
      <c r="V1547" s="18"/>
      <c r="W1547" s="18"/>
      <c r="X1547" s="18"/>
      <c r="Y1547" s="18"/>
      <c r="Z1547" s="18"/>
      <c r="AA1547" s="18"/>
      <c r="AB1547" s="18"/>
      <c r="AC1547" s="18"/>
      <c r="AD1547" s="18"/>
      <c r="AE1547" s="18"/>
      <c r="AF1547" s="18"/>
      <c r="AG1547" s="18"/>
      <c r="AH1547" s="18"/>
      <c r="AI1547" s="18"/>
      <c r="AJ1547" s="18"/>
      <c r="AK1547" s="18"/>
      <c r="AL1547" s="18"/>
      <c r="AM1547" s="18"/>
      <c r="AN1547" s="18"/>
      <c r="AO1547" s="18"/>
      <c r="AP1547" s="18"/>
      <c r="AQ1547" s="18"/>
      <c r="AR1547" s="18"/>
      <c r="AS1547" s="18"/>
      <c r="AT1547" s="18"/>
      <c r="AU1547" s="18"/>
      <c r="AV1547" s="18"/>
      <c r="AW1547" s="18"/>
      <c r="AX1547" s="18"/>
      <c r="AY1547" s="18"/>
      <c r="AZ1547" s="18"/>
      <c r="BA1547" s="18"/>
      <c r="BB1547" s="18"/>
      <c r="BC1547" s="18"/>
      <c r="BD1547" s="18"/>
      <c r="BE1547" s="18"/>
      <c r="BF1547" s="18"/>
      <c r="BG1547" s="18"/>
      <c r="BH1547" s="18"/>
      <c r="BI1547" s="18"/>
      <c r="BJ1547" s="18"/>
      <c r="BK1547" s="18"/>
      <c r="BL1547" s="18"/>
      <c r="BM1547" s="18"/>
      <c r="BN1547" s="18"/>
    </row>
    <row r="1548" spans="1:66">
      <c r="A1548" s="18"/>
      <c r="B1548" s="18"/>
      <c r="C1548" s="18"/>
      <c r="D1548" s="18"/>
      <c r="E1548" s="18"/>
      <c r="F1548" s="18"/>
      <c r="G1548" s="18"/>
      <c r="H1548" s="18"/>
      <c r="I1548" s="18"/>
      <c r="J1548" s="18"/>
      <c r="K1548" s="18"/>
      <c r="L1548" s="18"/>
      <c r="M1548" s="18"/>
      <c r="N1548" s="18"/>
      <c r="O1548" s="18"/>
      <c r="P1548" s="18"/>
      <c r="Q1548" s="18"/>
      <c r="R1548" s="18"/>
      <c r="S1548" s="18"/>
      <c r="T1548" s="18"/>
      <c r="U1548" s="18"/>
      <c r="V1548" s="18"/>
      <c r="W1548" s="18"/>
      <c r="X1548" s="18"/>
      <c r="Y1548" s="18"/>
      <c r="Z1548" s="18"/>
      <c r="AA1548" s="18"/>
      <c r="AB1548" s="18"/>
      <c r="AC1548" s="18"/>
      <c r="AD1548" s="18"/>
      <c r="AE1548" s="18"/>
      <c r="AF1548" s="18"/>
      <c r="AG1548" s="18"/>
      <c r="AH1548" s="18"/>
      <c r="AI1548" s="18"/>
      <c r="AJ1548" s="18"/>
      <c r="AK1548" s="18"/>
      <c r="AL1548" s="18"/>
      <c r="AM1548" s="18"/>
      <c r="AN1548" s="18"/>
      <c r="AO1548" s="18"/>
      <c r="AP1548" s="18"/>
      <c r="AQ1548" s="18"/>
      <c r="AR1548" s="18"/>
      <c r="AS1548" s="18"/>
      <c r="AT1548" s="18"/>
      <c r="AU1548" s="18"/>
      <c r="AV1548" s="18"/>
      <c r="AW1548" s="18"/>
      <c r="AX1548" s="18"/>
      <c r="AY1548" s="18"/>
      <c r="AZ1548" s="18"/>
      <c r="BA1548" s="18"/>
      <c r="BB1548" s="18"/>
      <c r="BC1548" s="18"/>
      <c r="BD1548" s="18"/>
      <c r="BE1548" s="18"/>
      <c r="BF1548" s="18"/>
      <c r="BG1548" s="18"/>
      <c r="BH1548" s="18"/>
      <c r="BI1548" s="18"/>
      <c r="BJ1548" s="18"/>
      <c r="BK1548" s="18"/>
      <c r="BL1548" s="18"/>
      <c r="BM1548" s="18"/>
      <c r="BN1548" s="18"/>
    </row>
    <row r="1549" spans="1:66">
      <c r="A1549" s="18"/>
      <c r="B1549" s="18"/>
      <c r="C1549" s="18"/>
      <c r="D1549" s="18"/>
      <c r="E1549" s="18"/>
      <c r="F1549" s="18"/>
      <c r="G1549" s="18"/>
      <c r="H1549" s="18"/>
      <c r="I1549" s="18"/>
      <c r="J1549" s="18"/>
      <c r="K1549" s="18"/>
      <c r="L1549" s="18"/>
      <c r="M1549" s="18"/>
      <c r="N1549" s="18"/>
      <c r="O1549" s="18"/>
      <c r="P1549" s="18"/>
      <c r="Q1549" s="18"/>
      <c r="R1549" s="18"/>
      <c r="S1549" s="18"/>
      <c r="T1549" s="18"/>
      <c r="U1549" s="18"/>
      <c r="V1549" s="18"/>
      <c r="W1549" s="18"/>
      <c r="X1549" s="18"/>
      <c r="Y1549" s="18"/>
      <c r="Z1549" s="18"/>
      <c r="AA1549" s="18"/>
      <c r="AB1549" s="18"/>
      <c r="AC1549" s="18"/>
      <c r="AD1549" s="18"/>
      <c r="AE1549" s="18"/>
      <c r="AF1549" s="18"/>
      <c r="AG1549" s="18"/>
      <c r="AH1549" s="18"/>
      <c r="AI1549" s="18"/>
      <c r="AJ1549" s="18"/>
      <c r="AK1549" s="18"/>
      <c r="AL1549" s="18"/>
      <c r="AM1549" s="18"/>
      <c r="AN1549" s="18"/>
      <c r="AO1549" s="18"/>
      <c r="AP1549" s="18"/>
      <c r="AQ1549" s="18"/>
      <c r="AR1549" s="18"/>
      <c r="AS1549" s="18"/>
      <c r="AT1549" s="18"/>
      <c r="AU1549" s="18"/>
      <c r="AV1549" s="18"/>
      <c r="AW1549" s="18"/>
      <c r="AX1549" s="18"/>
      <c r="AY1549" s="18"/>
      <c r="AZ1549" s="18"/>
      <c r="BA1549" s="18"/>
      <c r="BB1549" s="18"/>
      <c r="BC1549" s="18"/>
      <c r="BD1549" s="18"/>
      <c r="BE1549" s="18"/>
      <c r="BF1549" s="18"/>
      <c r="BG1549" s="18"/>
      <c r="BH1549" s="18"/>
      <c r="BI1549" s="18"/>
      <c r="BJ1549" s="18"/>
      <c r="BK1549" s="18"/>
      <c r="BL1549" s="18"/>
      <c r="BM1549" s="18"/>
      <c r="BN1549" s="18"/>
    </row>
    <row r="1550" spans="1:66">
      <c r="A1550" s="18"/>
      <c r="B1550" s="18"/>
      <c r="C1550" s="18"/>
      <c r="D1550" s="18"/>
      <c r="E1550" s="18"/>
      <c r="F1550" s="18"/>
      <c r="G1550" s="18"/>
      <c r="H1550" s="18"/>
      <c r="I1550" s="18"/>
      <c r="J1550" s="18"/>
      <c r="K1550" s="18"/>
      <c r="L1550" s="18"/>
      <c r="M1550" s="18"/>
      <c r="N1550" s="18"/>
      <c r="O1550" s="18"/>
      <c r="P1550" s="18"/>
      <c r="Q1550" s="18"/>
      <c r="R1550" s="18"/>
      <c r="S1550" s="18"/>
      <c r="T1550" s="18"/>
      <c r="U1550" s="18"/>
      <c r="V1550" s="18"/>
      <c r="W1550" s="18"/>
      <c r="X1550" s="18"/>
      <c r="Y1550" s="18"/>
      <c r="Z1550" s="18"/>
      <c r="AA1550" s="18"/>
      <c r="AB1550" s="18"/>
      <c r="AC1550" s="18"/>
      <c r="AD1550" s="18"/>
      <c r="AE1550" s="18"/>
      <c r="AF1550" s="18"/>
      <c r="AG1550" s="18"/>
      <c r="AH1550" s="18"/>
      <c r="AI1550" s="18"/>
      <c r="AJ1550" s="18"/>
      <c r="AK1550" s="18"/>
      <c r="AL1550" s="18"/>
      <c r="AM1550" s="18"/>
      <c r="AN1550" s="18"/>
      <c r="AO1550" s="18"/>
      <c r="AP1550" s="18"/>
      <c r="AQ1550" s="18"/>
      <c r="AR1550" s="18"/>
      <c r="AS1550" s="18"/>
      <c r="AT1550" s="18"/>
      <c r="AU1550" s="18"/>
      <c r="AV1550" s="18"/>
      <c r="AW1550" s="18"/>
      <c r="AX1550" s="18"/>
      <c r="AY1550" s="18"/>
      <c r="AZ1550" s="18"/>
      <c r="BA1550" s="18"/>
      <c r="BB1550" s="18"/>
      <c r="BC1550" s="18"/>
      <c r="BD1550" s="18"/>
      <c r="BE1550" s="18"/>
      <c r="BF1550" s="18"/>
      <c r="BG1550" s="18"/>
      <c r="BH1550" s="18"/>
      <c r="BI1550" s="18"/>
      <c r="BJ1550" s="18"/>
      <c r="BK1550" s="18"/>
      <c r="BL1550" s="18"/>
      <c r="BM1550" s="18"/>
      <c r="BN1550" s="18"/>
    </row>
    <row r="1551" spans="1:66">
      <c r="A1551" s="18"/>
      <c r="B1551" s="18"/>
      <c r="C1551" s="18"/>
      <c r="D1551" s="18"/>
      <c r="E1551" s="18"/>
      <c r="F1551" s="18"/>
      <c r="G1551" s="18"/>
      <c r="H1551" s="18"/>
      <c r="I1551" s="18"/>
      <c r="J1551" s="18"/>
      <c r="K1551" s="18"/>
      <c r="L1551" s="18"/>
      <c r="M1551" s="18"/>
      <c r="N1551" s="18"/>
      <c r="O1551" s="18"/>
      <c r="P1551" s="18"/>
      <c r="Q1551" s="18"/>
      <c r="R1551" s="18"/>
      <c r="S1551" s="18"/>
      <c r="T1551" s="18"/>
      <c r="U1551" s="18"/>
      <c r="V1551" s="18"/>
      <c r="W1551" s="18"/>
      <c r="X1551" s="18"/>
      <c r="Y1551" s="18"/>
      <c r="Z1551" s="18"/>
      <c r="AA1551" s="18"/>
      <c r="AB1551" s="18"/>
      <c r="AC1551" s="18"/>
      <c r="AD1551" s="18"/>
      <c r="AE1551" s="18"/>
      <c r="AF1551" s="18"/>
      <c r="AG1551" s="18"/>
      <c r="AH1551" s="18"/>
      <c r="AI1551" s="18"/>
      <c r="AJ1551" s="18"/>
      <c r="AK1551" s="18"/>
      <c r="AL1551" s="18"/>
      <c r="AM1551" s="18"/>
      <c r="AN1551" s="18"/>
      <c r="AO1551" s="18"/>
      <c r="AP1551" s="18"/>
      <c r="AQ1551" s="18"/>
      <c r="AR1551" s="18"/>
      <c r="AS1551" s="18"/>
      <c r="AT1551" s="18"/>
      <c r="AU1551" s="18"/>
      <c r="AV1551" s="18"/>
      <c r="AW1551" s="18"/>
      <c r="AX1551" s="18"/>
      <c r="AY1551" s="18"/>
      <c r="AZ1551" s="18"/>
      <c r="BA1551" s="18"/>
      <c r="BB1551" s="18"/>
      <c r="BC1551" s="18"/>
      <c r="BD1551" s="18"/>
      <c r="BE1551" s="18"/>
      <c r="BF1551" s="18"/>
      <c r="BG1551" s="18"/>
      <c r="BH1551" s="18"/>
      <c r="BI1551" s="18"/>
      <c r="BJ1551" s="18"/>
      <c r="BK1551" s="18"/>
      <c r="BL1551" s="18"/>
      <c r="BM1551" s="18"/>
      <c r="BN1551" s="18"/>
    </row>
    <row r="1552" spans="1:66">
      <c r="A1552" s="18"/>
      <c r="B1552" s="18"/>
      <c r="C1552" s="18"/>
      <c r="D1552" s="18"/>
      <c r="E1552" s="18"/>
      <c r="F1552" s="18"/>
      <c r="G1552" s="18"/>
      <c r="H1552" s="18"/>
      <c r="I1552" s="18"/>
      <c r="J1552" s="18"/>
      <c r="K1552" s="18"/>
      <c r="L1552" s="18"/>
      <c r="M1552" s="18"/>
      <c r="N1552" s="18"/>
      <c r="O1552" s="18"/>
      <c r="P1552" s="18"/>
      <c r="Q1552" s="18"/>
      <c r="R1552" s="18"/>
      <c r="S1552" s="18"/>
      <c r="T1552" s="18"/>
      <c r="U1552" s="18"/>
      <c r="V1552" s="18"/>
      <c r="W1552" s="18"/>
      <c r="X1552" s="18"/>
      <c r="Y1552" s="18"/>
      <c r="Z1552" s="18"/>
      <c r="AA1552" s="18"/>
      <c r="AB1552" s="18"/>
      <c r="AC1552" s="18"/>
      <c r="AD1552" s="18"/>
      <c r="AE1552" s="18"/>
      <c r="AF1552" s="18"/>
      <c r="AG1552" s="18"/>
      <c r="AH1552" s="18"/>
      <c r="AI1552" s="18"/>
      <c r="AJ1552" s="18"/>
      <c r="AK1552" s="18"/>
      <c r="AL1552" s="18"/>
      <c r="AM1552" s="18"/>
      <c r="AN1552" s="18"/>
      <c r="AO1552" s="18"/>
      <c r="AP1552" s="18"/>
      <c r="AQ1552" s="18"/>
      <c r="AR1552" s="18"/>
      <c r="AS1552" s="18"/>
      <c r="AT1552" s="18"/>
      <c r="AU1552" s="18"/>
      <c r="AV1552" s="18"/>
      <c r="AW1552" s="18"/>
      <c r="AX1552" s="18"/>
      <c r="AY1552" s="18"/>
      <c r="AZ1552" s="18"/>
      <c r="BA1552" s="18"/>
      <c r="BB1552" s="18"/>
      <c r="BC1552" s="18"/>
      <c r="BD1552" s="18"/>
      <c r="BE1552" s="18"/>
      <c r="BF1552" s="18"/>
      <c r="BG1552" s="18"/>
      <c r="BH1552" s="18"/>
      <c r="BI1552" s="18"/>
      <c r="BJ1552" s="18"/>
      <c r="BK1552" s="18"/>
      <c r="BL1552" s="18"/>
      <c r="BM1552" s="18"/>
      <c r="BN1552" s="18"/>
    </row>
    <row r="1553" spans="1:66">
      <c r="A1553" s="18"/>
      <c r="B1553" s="18"/>
      <c r="C1553" s="18"/>
      <c r="D1553" s="18"/>
      <c r="E1553" s="18"/>
      <c r="F1553" s="18"/>
      <c r="G1553" s="18"/>
      <c r="H1553" s="18"/>
      <c r="I1553" s="18"/>
      <c r="J1553" s="18"/>
      <c r="K1553" s="18"/>
      <c r="L1553" s="18"/>
      <c r="M1553" s="18"/>
      <c r="N1553" s="18"/>
      <c r="O1553" s="18"/>
      <c r="P1553" s="18"/>
      <c r="Q1553" s="18"/>
      <c r="R1553" s="18"/>
      <c r="S1553" s="18"/>
      <c r="T1553" s="18"/>
      <c r="U1553" s="18"/>
      <c r="V1553" s="18"/>
      <c r="W1553" s="18"/>
      <c r="X1553" s="18"/>
      <c r="Y1553" s="18"/>
      <c r="Z1553" s="18"/>
      <c r="AA1553" s="18"/>
      <c r="AB1553" s="18"/>
      <c r="AC1553" s="18"/>
      <c r="AD1553" s="18"/>
      <c r="AE1553" s="18"/>
      <c r="AF1553" s="18"/>
      <c r="AG1553" s="18"/>
      <c r="AH1553" s="18"/>
      <c r="AI1553" s="18"/>
      <c r="AJ1553" s="18"/>
      <c r="AK1553" s="18"/>
      <c r="AL1553" s="18"/>
      <c r="AM1553" s="18"/>
      <c r="AN1553" s="18"/>
      <c r="AO1553" s="18"/>
      <c r="AP1553" s="18"/>
      <c r="AQ1553" s="18"/>
      <c r="AR1553" s="18"/>
      <c r="AS1553" s="18"/>
      <c r="AT1553" s="18"/>
      <c r="AU1553" s="18"/>
      <c r="AV1553" s="18"/>
      <c r="AW1553" s="18"/>
      <c r="AX1553" s="18"/>
      <c r="AY1553" s="18"/>
      <c r="AZ1553" s="18"/>
      <c r="BA1553" s="18"/>
      <c r="BB1553" s="18"/>
      <c r="BC1553" s="18"/>
      <c r="BD1553" s="18"/>
      <c r="BE1553" s="18"/>
      <c r="BF1553" s="18"/>
      <c r="BG1553" s="18"/>
      <c r="BH1553" s="18"/>
      <c r="BI1553" s="18"/>
      <c r="BJ1553" s="18"/>
      <c r="BK1553" s="18"/>
      <c r="BL1553" s="18"/>
      <c r="BM1553" s="18"/>
      <c r="BN1553" s="18"/>
    </row>
    <row r="1554" spans="1:66">
      <c r="A1554" s="18"/>
      <c r="B1554" s="18"/>
      <c r="C1554" s="18"/>
      <c r="D1554" s="18"/>
      <c r="E1554" s="18"/>
      <c r="F1554" s="18"/>
      <c r="G1554" s="18"/>
      <c r="H1554" s="18"/>
      <c r="I1554" s="18"/>
      <c r="J1554" s="18"/>
      <c r="K1554" s="18"/>
      <c r="L1554" s="18"/>
      <c r="M1554" s="18"/>
      <c r="N1554" s="18"/>
      <c r="O1554" s="18"/>
      <c r="P1554" s="18"/>
      <c r="Q1554" s="18"/>
      <c r="R1554" s="18"/>
      <c r="S1554" s="18"/>
      <c r="T1554" s="18"/>
      <c r="U1554" s="18"/>
      <c r="V1554" s="18"/>
      <c r="W1554" s="18"/>
      <c r="X1554" s="18"/>
      <c r="Y1554" s="18"/>
      <c r="Z1554" s="18"/>
      <c r="AA1554" s="18"/>
      <c r="AB1554" s="18"/>
      <c r="AC1554" s="18"/>
      <c r="AD1554" s="18"/>
      <c r="AE1554" s="18"/>
      <c r="AF1554" s="18"/>
      <c r="AG1554" s="18"/>
      <c r="AH1554" s="18"/>
      <c r="AI1554" s="18"/>
      <c r="AJ1554" s="18"/>
      <c r="AK1554" s="18"/>
      <c r="AL1554" s="18"/>
      <c r="AM1554" s="18"/>
      <c r="AN1554" s="18"/>
      <c r="AO1554" s="18"/>
      <c r="AP1554" s="18"/>
      <c r="AQ1554" s="18"/>
      <c r="AR1554" s="18"/>
      <c r="AS1554" s="18"/>
      <c r="AT1554" s="18"/>
      <c r="AU1554" s="18"/>
      <c r="AV1554" s="18"/>
      <c r="AW1554" s="18"/>
      <c r="AX1554" s="18"/>
      <c r="AY1554" s="18"/>
      <c r="AZ1554" s="18"/>
      <c r="BA1554" s="18"/>
      <c r="BB1554" s="18"/>
      <c r="BC1554" s="18"/>
      <c r="BD1554" s="18"/>
      <c r="BE1554" s="18"/>
      <c r="BF1554" s="18"/>
      <c r="BG1554" s="18"/>
      <c r="BH1554" s="18"/>
      <c r="BI1554" s="18"/>
      <c r="BJ1554" s="18"/>
      <c r="BK1554" s="18"/>
      <c r="BL1554" s="18"/>
      <c r="BM1554" s="18"/>
      <c r="BN1554" s="18"/>
    </row>
    <row r="1555" spans="1:66">
      <c r="A1555" s="18"/>
      <c r="B1555" s="18"/>
      <c r="C1555" s="18"/>
      <c r="D1555" s="18"/>
      <c r="E1555" s="18"/>
      <c r="F1555" s="18"/>
      <c r="G1555" s="18"/>
      <c r="H1555" s="18"/>
      <c r="I1555" s="18"/>
      <c r="J1555" s="18"/>
      <c r="K1555" s="18"/>
      <c r="L1555" s="18"/>
      <c r="M1555" s="18"/>
      <c r="N1555" s="18"/>
      <c r="O1555" s="18"/>
      <c r="P1555" s="18"/>
      <c r="Q1555" s="18"/>
      <c r="R1555" s="18"/>
      <c r="S1555" s="18"/>
      <c r="T1555" s="18"/>
      <c r="U1555" s="18"/>
      <c r="V1555" s="18"/>
      <c r="W1555" s="18"/>
      <c r="X1555" s="18"/>
      <c r="Y1555" s="18"/>
      <c r="Z1555" s="18"/>
      <c r="AA1555" s="18"/>
      <c r="AB1555" s="18"/>
      <c r="AC1555" s="18"/>
      <c r="AD1555" s="18"/>
      <c r="AE1555" s="18"/>
      <c r="AF1555" s="18"/>
      <c r="AG1555" s="18"/>
      <c r="AH1555" s="18"/>
      <c r="AI1555" s="18"/>
      <c r="AJ1555" s="18"/>
      <c r="AK1555" s="18"/>
      <c r="AL1555" s="18"/>
      <c r="AM1555" s="18"/>
      <c r="AN1555" s="18"/>
      <c r="AO1555" s="18"/>
      <c r="AP1555" s="18"/>
      <c r="AQ1555" s="18"/>
      <c r="AR1555" s="18"/>
      <c r="AS1555" s="18"/>
      <c r="AT1555" s="18"/>
      <c r="AU1555" s="18"/>
      <c r="AV1555" s="18"/>
      <c r="AW1555" s="18"/>
      <c r="AX1555" s="18"/>
      <c r="AY1555" s="18"/>
      <c r="AZ1555" s="18"/>
      <c r="BA1555" s="18"/>
      <c r="BB1555" s="18"/>
      <c r="BC1555" s="18"/>
      <c r="BD1555" s="18"/>
      <c r="BE1555" s="18"/>
      <c r="BF1555" s="18"/>
      <c r="BG1555" s="18"/>
      <c r="BH1555" s="18"/>
      <c r="BI1555" s="18"/>
      <c r="BJ1555" s="18"/>
      <c r="BK1555" s="18"/>
      <c r="BL1555" s="18"/>
      <c r="BM1555" s="18"/>
      <c r="BN1555" s="18"/>
    </row>
    <row r="1556" spans="1:66">
      <c r="A1556" s="18"/>
      <c r="B1556" s="18"/>
      <c r="C1556" s="18"/>
      <c r="D1556" s="18"/>
      <c r="E1556" s="18"/>
      <c r="F1556" s="18"/>
      <c r="G1556" s="18"/>
      <c r="H1556" s="18"/>
      <c r="I1556" s="18"/>
      <c r="J1556" s="18"/>
      <c r="K1556" s="18"/>
      <c r="L1556" s="18"/>
      <c r="M1556" s="18"/>
      <c r="N1556" s="18"/>
      <c r="O1556" s="18"/>
      <c r="P1556" s="18"/>
      <c r="Q1556" s="18"/>
      <c r="R1556" s="18"/>
      <c r="S1556" s="18"/>
      <c r="T1556" s="18"/>
      <c r="U1556" s="18"/>
      <c r="V1556" s="18"/>
      <c r="W1556" s="18"/>
      <c r="X1556" s="18"/>
      <c r="Y1556" s="18"/>
      <c r="Z1556" s="18"/>
      <c r="AA1556" s="18"/>
      <c r="AB1556" s="18"/>
      <c r="AC1556" s="18"/>
      <c r="AD1556" s="18"/>
      <c r="AE1556" s="18"/>
      <c r="AF1556" s="18"/>
      <c r="AG1556" s="18"/>
      <c r="AH1556" s="18"/>
      <c r="AI1556" s="18"/>
      <c r="AJ1556" s="18"/>
      <c r="AK1556" s="18"/>
      <c r="AL1556" s="18"/>
      <c r="AM1556" s="18"/>
      <c r="AN1556" s="18"/>
      <c r="AO1556" s="18"/>
      <c r="AP1556" s="18"/>
      <c r="AQ1556" s="18"/>
      <c r="AR1556" s="18"/>
      <c r="AS1556" s="18"/>
      <c r="AT1556" s="18"/>
      <c r="AU1556" s="18"/>
      <c r="AV1556" s="18"/>
      <c r="AW1556" s="18"/>
      <c r="AX1556" s="18"/>
      <c r="AY1556" s="18"/>
      <c r="AZ1556" s="18"/>
      <c r="BA1556" s="18"/>
      <c r="BB1556" s="18"/>
      <c r="BC1556" s="18"/>
      <c r="BD1556" s="18"/>
      <c r="BE1556" s="18"/>
      <c r="BF1556" s="18"/>
      <c r="BG1556" s="18"/>
      <c r="BH1556" s="18"/>
      <c r="BI1556" s="18"/>
      <c r="BJ1556" s="18"/>
      <c r="BK1556" s="18"/>
      <c r="BL1556" s="18"/>
      <c r="BM1556" s="18"/>
      <c r="BN1556" s="18"/>
    </row>
    <row r="1557" spans="1:66">
      <c r="A1557" s="18"/>
      <c r="B1557" s="18"/>
      <c r="C1557" s="18"/>
      <c r="D1557" s="18"/>
      <c r="E1557" s="18"/>
      <c r="F1557" s="18"/>
      <c r="G1557" s="18"/>
      <c r="H1557" s="18"/>
      <c r="I1557" s="18"/>
      <c r="J1557" s="18"/>
      <c r="K1557" s="18"/>
      <c r="L1557" s="18"/>
      <c r="M1557" s="18"/>
      <c r="N1557" s="18"/>
      <c r="O1557" s="18"/>
      <c r="P1557" s="18"/>
      <c r="Q1557" s="18"/>
      <c r="R1557" s="18"/>
      <c r="S1557" s="18"/>
      <c r="T1557" s="18"/>
      <c r="U1557" s="18"/>
      <c r="V1557" s="18"/>
      <c r="W1557" s="18"/>
      <c r="X1557" s="18"/>
      <c r="Y1557" s="18"/>
      <c r="Z1557" s="18"/>
      <c r="AA1557" s="18"/>
      <c r="AB1557" s="18"/>
      <c r="AC1557" s="18"/>
      <c r="AD1557" s="18"/>
      <c r="AE1557" s="18"/>
      <c r="AF1557" s="18"/>
      <c r="AG1557" s="18"/>
      <c r="AH1557" s="18"/>
      <c r="AI1557" s="18"/>
      <c r="AJ1557" s="18"/>
      <c r="AK1557" s="18"/>
      <c r="AL1557" s="18"/>
      <c r="AM1557" s="18"/>
      <c r="AN1557" s="18"/>
      <c r="AO1557" s="18"/>
      <c r="AP1557" s="18"/>
      <c r="AQ1557" s="18"/>
      <c r="AR1557" s="18"/>
      <c r="AS1557" s="18"/>
      <c r="AT1557" s="18"/>
      <c r="AU1557" s="18"/>
      <c r="AV1557" s="18"/>
      <c r="AW1557" s="18"/>
      <c r="AX1557" s="18"/>
      <c r="AY1557" s="18"/>
      <c r="AZ1557" s="18"/>
      <c r="BA1557" s="18"/>
      <c r="BB1557" s="18"/>
      <c r="BC1557" s="18"/>
      <c r="BD1557" s="18"/>
      <c r="BE1557" s="18"/>
      <c r="BF1557" s="18"/>
      <c r="BG1557" s="18"/>
      <c r="BH1557" s="18"/>
      <c r="BI1557" s="18"/>
      <c r="BJ1557" s="18"/>
      <c r="BK1557" s="18"/>
      <c r="BL1557" s="18"/>
      <c r="BM1557" s="18"/>
      <c r="BN1557" s="18"/>
    </row>
  </sheetData>
  <autoFilter xmlns:etc="http://www.wps.cn/officeDocument/2017/etCustomData" ref="CW1:CW1557" etc:filterBottomFollowUsedRange="0">
    <extLst/>
  </autoFilter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许伟</dc:creator>
  <cp:lastModifiedBy>kkk</cp:lastModifiedBy>
  <dcterms:created xsi:type="dcterms:W3CDTF">2015-06-05T18:19:00Z</dcterms:created>
  <dcterms:modified xsi:type="dcterms:W3CDTF">2026-03-26T15:43:46Z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7EB6BB9F75D049D9A220502B9C8E5C09_13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