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3" r:id="rId1"/>
  </sheets>
  <definedNames>
    <definedName name="_xlnm._FilterDatabase" localSheetId="0" hidden="1">Sheet1!$B$1:$B$1557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E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G8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D16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<sst xmlns="http://schemas.openxmlformats.org/spreadsheetml/2006/main" count="789" uniqueCount="68">
  <si>
    <t>年份</t>
  </si>
  <si>
    <t>省份</t>
  </si>
  <si>
    <t>绿色金融综合指数</t>
  </si>
  <si>
    <t>绿色信贷</t>
  </si>
  <si>
    <t>绿色投资</t>
  </si>
  <si>
    <t>绿色保险</t>
  </si>
  <si>
    <t>绿色债券</t>
  </si>
  <si>
    <t>绿色支持</t>
  </si>
  <si>
    <t>绿色基金</t>
  </si>
  <si>
    <t>绿色权益</t>
  </si>
  <si>
    <t>能源消费总量</t>
  </si>
  <si>
    <t>年末常住人口</t>
  </si>
  <si>
    <t>地区生产总值</t>
  </si>
  <si>
    <t>人均能源消耗</t>
  </si>
  <si>
    <t>能源强度</t>
  </si>
  <si>
    <t>CO2排放量</t>
  </si>
  <si>
    <t>碳排放强度</t>
  </si>
  <si>
    <t>第一产业增加值</t>
  </si>
  <si>
    <t>第二产业增加值</t>
  </si>
  <si>
    <t>第三产业增加值</t>
  </si>
  <si>
    <t>人均地区生产总值</t>
  </si>
  <si>
    <t>Post_green</t>
  </si>
  <si>
    <t>Treat_green</t>
  </si>
  <si>
    <t>绿色金融试点DID</t>
  </si>
  <si>
    <t>全国均值</t>
  </si>
  <si>
    <t>减排效率</t>
  </si>
  <si>
    <t>煤炭消费量</t>
  </si>
  <si>
    <t>焦炭消费量</t>
  </si>
  <si>
    <t>原油消费量</t>
  </si>
  <si>
    <t>汽油消费量</t>
  </si>
  <si>
    <t>煤油消费量</t>
  </si>
  <si>
    <t>柴油消费量</t>
  </si>
  <si>
    <t>燃料油消费量</t>
  </si>
  <si>
    <t>天然气消费量</t>
  </si>
  <si>
    <t>电力消费量</t>
  </si>
  <si>
    <t>Post_carbon</t>
  </si>
  <si>
    <t>Treat_carbon</t>
  </si>
  <si>
    <t>碳排放交易DID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</si>
  <si>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</si>
  <si>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</si>
  <si>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</si>
  <si>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</si>
  <si>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</si>
  <si>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</si>
  <si>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</si>
  <si>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</si>
  <si>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</si>
  <si>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</si>
  <si>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</si>
  <si>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</si>
  <si>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</si>
  <si>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</si>
  <si>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</si>
  <si>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</si>
  <si>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</si>
  <si>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</si>
  <si>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</si>
  <si>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</si>
  <si>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</si>
  <si>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</si>
  <si>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</si>
  <si>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</si>
  <si>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贵州省</t>
  </si>
  <si>
    <t>辽宁省</t>
  </si>
  <si>
    <t>重庆市</t>
  </si>
  <si>
    <t>陕西省</t>
  </si>
  <si>
    <t>青海省</t>
  </si>
  <si>
    <t>黑龙江省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</si>
</sst>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/>
    </xf>
    <xf numFmtId="0" fontId="0" fillId="0" borderId="0" xfId="0" applyFont="1" applyBorder="1" applyAlignment="1">
      <alignment horizont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557"/>
  <sheetViews>
    <sheetView tabSelected="1" workbookViewId="0">
      <selection activeCell="V68" sqref="V68:V75"/>
    </sheetView>
  </sheetViews>
  <sheetFormatPr defaultColWidth="9" defaultRowHeight="13.8"/>
  <cols>
    <col min="1" max="1" width="9.2037037037037" style="2" customWidth="1"/>
    <col min="2" max="2" width="9" style="2"/>
    <col min="3" max="10" width="9.33333333333333" style="2" customWidth="1"/>
    <col min="11" max="12" width="9.12962962962963" style="2" customWidth="1"/>
    <col min="13" max="13" width="12.2222222222222" style="2" customWidth="1"/>
    <col min="14" max="15" width="9.12962962962963" style="2" customWidth="1"/>
    <col min="16" max="16" width="16.8888888888889" style="3" customWidth="1"/>
    <col min="17" max="21" width="9.12962962962963" style="3" customWidth="1"/>
    <col min="22" max="22" width="11.8888888888889" style="3" customWidth="1"/>
    <col min="23" max="23" width="12.2222222222222" style="3" customWidth="1"/>
    <col min="24" max="26" width="9.12962962962963" style="3" customWidth="1"/>
    <col min="27" max="27" width="12.2222222222222" style="3" customWidth="1"/>
    <col min="28" max="36" width="9.12962962962963" style="3" customWidth="1"/>
    <col min="37" max="37" width="12.2222222222222" style="3" customWidth="1"/>
    <col min="38" max="38" width="13.5555555555556" style="3" customWidth="1"/>
    <col min="39" max="39" width="9.12962962962963" style="3" customWidth="1"/>
    <col min="40" max="81" width="9.12962962962963" customWidth="1"/>
    <col min="82" max="82" width="10.6018518518519" customWidth="1"/>
    <col min="83" max="84" width="9.12962962962963" customWidth="1"/>
    <col min="85" max="86" width="10.6018518518519" customWidth="1"/>
    <col min="87" max="138" width="9.12962962962963" customWidth="1"/>
    <col min="139" max="139" width="9.12962962962963"/>
  </cols>
  <sheetData>
    <row r="1" s="1" customFormat="1" ht="27.6" spans="1:3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4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10" t="s">
        <v>22</v>
      </c>
      <c r="X1" s="10" t="s">
        <v>23</v>
      </c>
      <c r="Y1" s="11" t="s">
        <v>24</v>
      </c>
      <c r="Z1" s="12" t="s">
        <v>25</v>
      </c>
      <c r="AA1" s="13" t="s">
        <v>10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5" t="s">
        <v>35</v>
      </c>
      <c r="AL1" s="15" t="s">
        <v>36</v>
      </c>
      <c r="AM1" s="15" t="s">
        <v>37</v>
      </c>
    </row>
    <row r="2" spans="1:39">
      <c r="A2" s="7">
        <v>2000</v>
      </c>
      <c r="B2" s="7" t="s">
        <v>38</v>
      </c>
      <c r="C2" s="7">
        <v>0.25015693</v>
      </c>
      <c r="D2" s="7">
        <v>0.044683</v>
      </c>
      <c r="E2" s="7">
        <v>0.0109</v>
      </c>
      <c r="F2" s="7">
        <v>0.020242</v>
      </c>
      <c r="G2" s="7">
        <v>0.007058</v>
      </c>
      <c r="H2" s="7">
        <v>0.006483</v>
      </c>
      <c r="I2" s="7">
        <v>0.040404</v>
      </c>
      <c r="J2" s="7">
        <v>0.021092</v>
      </c>
      <c r="K2" s="16">
        <v>5499</v>
      </c>
      <c r="L2" s="17">
        <v>1608.63</v>
      </c>
      <c r="M2" s="16">
        <v>4551.15</v>
      </c>
      <c r="N2" s="7">
        <v>3.41843680647507</v>
      </c>
      <c r="O2" s="7">
        <v>1.20826604264856</v>
      </c>
      <c r="P2" s="8">
        <v>71238765.23</v>
      </c>
      <c r="Q2" s="8">
        <f>P2/10000/M2</f>
        <v>1.56529152477945</v>
      </c>
      <c r="R2" s="9">
        <v>271</v>
      </c>
      <c r="S2" s="9">
        <v>391.2</v>
      </c>
      <c r="T2" s="9">
        <v>367.7</v>
      </c>
      <c r="U2" s="9">
        <v>2759</v>
      </c>
      <c r="V2" s="18">
        <v>0</v>
      </c>
      <c r="W2" s="18">
        <v>1</v>
      </c>
      <c r="X2" s="18">
        <f>V2*W2</f>
        <v>0</v>
      </c>
      <c r="Y2" s="12">
        <f>AVERAGEIF($A:$A,$A2,$Q:$Q)</f>
        <v>4.53658228674969</v>
      </c>
      <c r="Z2" s="12">
        <f>MAX(0,1-Q2/Y2)</f>
        <v>0.654962386695529</v>
      </c>
      <c r="AA2" s="19">
        <v>5499.48</v>
      </c>
      <c r="AB2" s="19">
        <v>4496.08</v>
      </c>
      <c r="AC2" s="19">
        <v>719.99</v>
      </c>
      <c r="AD2" s="19">
        <v>1309.7</v>
      </c>
      <c r="AE2" s="19">
        <v>133.25</v>
      </c>
      <c r="AF2" s="19">
        <v>55.71</v>
      </c>
      <c r="AG2" s="19">
        <v>176.44</v>
      </c>
      <c r="AH2" s="19">
        <v>494.2</v>
      </c>
      <c r="AI2" s="19">
        <v>2.54</v>
      </c>
      <c r="AJ2" s="19">
        <v>559.45</v>
      </c>
      <c r="AK2" s="3">
        <f>IF(A2&gt;=2013,1,0)</f>
        <v>0</v>
      </c>
      <c r="AL2" s="3">
        <v>1</v>
      </c>
      <c r="AM2" s="3">
        <f>AK2*AL2</f>
        <v>0</v>
      </c>
    </row>
    <row r="3" spans="1:39">
      <c r="A3" s="7">
        <v>2001</v>
      </c>
      <c r="B3" s="7" t="s">
        <v>38</v>
      </c>
      <c r="C3" s="7">
        <v>0.26246803</v>
      </c>
      <c r="D3" s="7">
        <v>0.046675</v>
      </c>
      <c r="E3" s="7">
        <v>0.011835</v>
      </c>
      <c r="F3" s="7">
        <v>0.021441</v>
      </c>
      <c r="G3" s="7">
        <v>0.00722</v>
      </c>
      <c r="H3" s="7">
        <v>0.006179</v>
      </c>
      <c r="I3" s="7">
        <v>0.045147</v>
      </c>
      <c r="J3" s="7">
        <v>0.020595</v>
      </c>
      <c r="K3" s="16">
        <v>5818</v>
      </c>
      <c r="L3" s="17">
        <v>1668.33</v>
      </c>
      <c r="M3" s="16">
        <v>5210.12</v>
      </c>
      <c r="N3" s="7">
        <v>3.48731965498433</v>
      </c>
      <c r="O3" s="7">
        <v>1.11667293651586</v>
      </c>
      <c r="P3" s="8">
        <v>69336069.87</v>
      </c>
      <c r="Q3" s="8">
        <f t="shared" ref="Q3:Q66" si="0">P3/10000/M3</f>
        <v>1.3307960252355</v>
      </c>
      <c r="R3" s="9">
        <v>274.2</v>
      </c>
      <c r="S3" s="9">
        <v>433.5</v>
      </c>
      <c r="T3" s="9">
        <v>425.6</v>
      </c>
      <c r="U3" s="9">
        <v>3000</v>
      </c>
      <c r="V3" s="18">
        <v>0</v>
      </c>
      <c r="W3" s="18">
        <v>1</v>
      </c>
      <c r="X3" s="18">
        <f t="shared" ref="X3:X66" si="1">V3*W3</f>
        <v>0</v>
      </c>
      <c r="Y3" s="12">
        <f t="shared" ref="Y3:Y66" si="2">AVERAGEIF($A:$A,$A3,$Q:$Q)</f>
        <v>4.16809156222866</v>
      </c>
      <c r="Z3" s="12">
        <f t="shared" ref="Z3:Z66" si="3">MAX(0,1-Q3/Y3)</f>
        <v>0.680718140336647</v>
      </c>
      <c r="AA3" s="19">
        <v>5818</v>
      </c>
      <c r="AB3" s="19">
        <v>4610</v>
      </c>
      <c r="AC3" s="19">
        <v>709.82</v>
      </c>
      <c r="AD3" s="19">
        <v>1355.03</v>
      </c>
      <c r="AE3" s="19">
        <v>137.33</v>
      </c>
      <c r="AF3" s="19">
        <v>59.57</v>
      </c>
      <c r="AG3" s="19">
        <v>231.8</v>
      </c>
      <c r="AH3" s="19">
        <v>492.61</v>
      </c>
      <c r="AI3" s="19">
        <v>3.3</v>
      </c>
      <c r="AJ3" s="19">
        <v>592.99</v>
      </c>
      <c r="AK3" s="3">
        <f t="shared" ref="AK3:AK11" si="4">IF(A3&gt;=2013,1,0)</f>
        <v>0</v>
      </c>
      <c r="AL3" s="3">
        <v>1</v>
      </c>
      <c r="AM3" s="3">
        <f t="shared" ref="AM3:AM29" si="5">AK3*AL3</f>
        <v>0</v>
      </c>
    </row>
    <row r="4" spans="1:39">
      <c r="A4" s="7">
        <v>2002</v>
      </c>
      <c r="B4" s="7" t="s">
        <v>38</v>
      </c>
      <c r="C4" s="7">
        <v>0.29612249</v>
      </c>
      <c r="D4" s="7">
        <v>0.050214</v>
      </c>
      <c r="E4" s="7">
        <v>0.012715</v>
      </c>
      <c r="F4" s="7">
        <v>0.022137</v>
      </c>
      <c r="G4" s="7">
        <v>0.007243</v>
      </c>
      <c r="H4" s="7">
        <v>0.00812</v>
      </c>
      <c r="I4" s="7">
        <v>0.05069</v>
      </c>
      <c r="J4" s="7">
        <v>0.023468</v>
      </c>
      <c r="K4" s="16">
        <v>6249</v>
      </c>
      <c r="L4" s="17">
        <v>1712.97</v>
      </c>
      <c r="M4" s="16">
        <v>5741.03</v>
      </c>
      <c r="N4" s="7">
        <v>3.64804987828158</v>
      </c>
      <c r="O4" s="7">
        <v>1.0884806384917</v>
      </c>
      <c r="P4" s="8">
        <v>80592789.52</v>
      </c>
      <c r="Q4" s="8">
        <f t="shared" si="0"/>
        <v>1.40380366449923</v>
      </c>
      <c r="R4" s="9">
        <v>280.8</v>
      </c>
      <c r="S4" s="9">
        <v>482</v>
      </c>
      <c r="T4" s="9">
        <v>480.7</v>
      </c>
      <c r="U4" s="9">
        <v>3257</v>
      </c>
      <c r="V4" s="18">
        <v>0</v>
      </c>
      <c r="W4" s="18">
        <v>1</v>
      </c>
      <c r="X4" s="18">
        <f t="shared" si="1"/>
        <v>0</v>
      </c>
      <c r="Y4" s="12">
        <f t="shared" si="2"/>
        <v>4.06804884448575</v>
      </c>
      <c r="Z4" s="12">
        <f t="shared" si="3"/>
        <v>0.654919663415033</v>
      </c>
      <c r="AA4" s="19">
        <v>6249</v>
      </c>
      <c r="AB4" s="19">
        <v>4737</v>
      </c>
      <c r="AC4" s="19">
        <v>681.24</v>
      </c>
      <c r="AD4" s="19">
        <v>1424.91</v>
      </c>
      <c r="AE4" s="19">
        <v>191.73</v>
      </c>
      <c r="AF4" s="19">
        <v>103.62</v>
      </c>
      <c r="AG4" s="19">
        <v>262.33</v>
      </c>
      <c r="AH4" s="19">
        <v>519.71</v>
      </c>
      <c r="AI4" s="19">
        <v>4.33</v>
      </c>
      <c r="AJ4" s="19">
        <v>645.71</v>
      </c>
      <c r="AK4" s="3">
        <f t="shared" si="4"/>
        <v>0</v>
      </c>
      <c r="AL4" s="3">
        <v>1</v>
      </c>
      <c r="AM4" s="3">
        <f t="shared" si="5"/>
        <v>0</v>
      </c>
    </row>
    <row r="5" spans="1:39">
      <c r="A5" s="7">
        <v>2003</v>
      </c>
      <c r="B5" s="7" t="s">
        <v>38</v>
      </c>
      <c r="C5" s="7">
        <v>0.31428316</v>
      </c>
      <c r="D5" s="7">
        <v>0.054759</v>
      </c>
      <c r="E5" s="7">
        <v>0.013547</v>
      </c>
      <c r="F5" s="7">
        <v>0.025082</v>
      </c>
      <c r="G5" s="7">
        <v>0.008282</v>
      </c>
      <c r="H5" s="7">
        <v>0.007849</v>
      </c>
      <c r="I5" s="7">
        <v>0.049052</v>
      </c>
      <c r="J5" s="7">
        <v>0.025172</v>
      </c>
      <c r="K5" s="16">
        <v>6796</v>
      </c>
      <c r="L5" s="17">
        <v>1765.84</v>
      </c>
      <c r="M5" s="16">
        <v>6694.23</v>
      </c>
      <c r="N5" s="7">
        <v>3.84859330403661</v>
      </c>
      <c r="O5" s="7">
        <v>1.01520264466563</v>
      </c>
      <c r="P5" s="8">
        <v>92042758.47</v>
      </c>
      <c r="Q5" s="8">
        <f t="shared" si="0"/>
        <v>1.37495661890912</v>
      </c>
      <c r="R5" s="9">
        <v>290.9</v>
      </c>
      <c r="S5" s="9">
        <v>570.7</v>
      </c>
      <c r="T5" s="9">
        <v>567.4</v>
      </c>
      <c r="U5" s="9">
        <v>3708</v>
      </c>
      <c r="V5" s="18">
        <v>0</v>
      </c>
      <c r="W5" s="18">
        <v>1</v>
      </c>
      <c r="X5" s="18">
        <f t="shared" si="1"/>
        <v>0</v>
      </c>
      <c r="Y5" s="12">
        <f t="shared" si="2"/>
        <v>4.08414499624993</v>
      </c>
      <c r="Z5" s="12">
        <f t="shared" si="3"/>
        <v>0.663342848950856</v>
      </c>
      <c r="AA5" s="19">
        <v>6796.34</v>
      </c>
      <c r="AB5" s="19">
        <v>5017.5</v>
      </c>
      <c r="AC5" s="19">
        <v>627.81</v>
      </c>
      <c r="AD5" s="19">
        <v>1737.52</v>
      </c>
      <c r="AE5" s="19">
        <v>202.24</v>
      </c>
      <c r="AF5" s="19">
        <v>103.44</v>
      </c>
      <c r="AG5" s="19">
        <v>288.32</v>
      </c>
      <c r="AH5" s="19">
        <v>616.07</v>
      </c>
      <c r="AI5" s="19">
        <v>4.97</v>
      </c>
      <c r="AJ5" s="19">
        <v>745.97</v>
      </c>
      <c r="AK5" s="3">
        <f t="shared" si="4"/>
        <v>0</v>
      </c>
      <c r="AL5" s="3">
        <v>1</v>
      </c>
      <c r="AM5" s="3">
        <f t="shared" si="5"/>
        <v>0</v>
      </c>
    </row>
    <row r="6" spans="1:39">
      <c r="A6" s="7">
        <v>2004</v>
      </c>
      <c r="B6" s="7" t="s">
        <v>38</v>
      </c>
      <c r="C6" s="7">
        <v>0.33779185</v>
      </c>
      <c r="D6" s="7">
        <v>0.058916</v>
      </c>
      <c r="E6" s="7">
        <v>0.014604</v>
      </c>
      <c r="F6" s="7">
        <v>0.026929</v>
      </c>
      <c r="G6" s="7">
        <v>0.009461</v>
      </c>
      <c r="H6" s="7">
        <v>0.007922</v>
      </c>
      <c r="I6" s="7">
        <v>0.054268</v>
      </c>
      <c r="J6" s="7">
        <v>0.024652</v>
      </c>
      <c r="K6" s="16">
        <v>7406</v>
      </c>
      <c r="L6" s="17">
        <v>1834.98</v>
      </c>
      <c r="M6" s="16">
        <v>8072.83</v>
      </c>
      <c r="N6" s="7">
        <v>4.0360112916762</v>
      </c>
      <c r="O6" s="7">
        <v>0.917398235810738</v>
      </c>
      <c r="P6" s="8">
        <v>107873304.4</v>
      </c>
      <c r="Q6" s="8">
        <f t="shared" si="0"/>
        <v>1.33625140626026</v>
      </c>
      <c r="R6" s="9">
        <v>335.1</v>
      </c>
      <c r="S6" s="9">
        <v>667</v>
      </c>
      <c r="T6" s="9">
        <v>647.3</v>
      </c>
      <c r="U6" s="9">
        <v>4244</v>
      </c>
      <c r="V6" s="18">
        <v>0</v>
      </c>
      <c r="W6" s="18">
        <v>1</v>
      </c>
      <c r="X6" s="18">
        <f t="shared" si="1"/>
        <v>0</v>
      </c>
      <c r="Y6" s="12">
        <f t="shared" si="2"/>
        <v>3.89549779892895</v>
      </c>
      <c r="Z6" s="12">
        <f t="shared" si="3"/>
        <v>0.656975443131387</v>
      </c>
      <c r="AA6" s="19">
        <v>7405.64</v>
      </c>
      <c r="AB6" s="19">
        <v>5144.32</v>
      </c>
      <c r="AC6" s="19">
        <v>590.65</v>
      </c>
      <c r="AD6" s="19">
        <v>1842.29</v>
      </c>
      <c r="AE6" s="19">
        <v>221.02</v>
      </c>
      <c r="AF6" s="19">
        <v>168.15</v>
      </c>
      <c r="AG6" s="19">
        <v>346.56</v>
      </c>
      <c r="AH6" s="19">
        <v>657.95</v>
      </c>
      <c r="AI6" s="19">
        <v>10.69</v>
      </c>
      <c r="AJ6" s="19">
        <v>821.44</v>
      </c>
      <c r="AK6" s="3">
        <f t="shared" si="4"/>
        <v>0</v>
      </c>
      <c r="AL6" s="3">
        <v>1</v>
      </c>
      <c r="AM6" s="3">
        <f t="shared" si="5"/>
        <v>0</v>
      </c>
    </row>
    <row r="7" spans="1:39">
      <c r="A7" s="7">
        <v>2005</v>
      </c>
      <c r="B7" s="7" t="s">
        <v>38</v>
      </c>
      <c r="C7" s="7">
        <v>0.3383083</v>
      </c>
      <c r="D7" s="7">
        <v>0.057074</v>
      </c>
      <c r="E7" s="7">
        <v>0.013682</v>
      </c>
      <c r="F7" s="7">
        <v>0.025452</v>
      </c>
      <c r="G7" s="7">
        <v>0.008291</v>
      </c>
      <c r="H7" s="7">
        <v>0.009649</v>
      </c>
      <c r="I7" s="7">
        <v>0.05275</v>
      </c>
      <c r="J7" s="7">
        <v>0.027343</v>
      </c>
      <c r="K7" s="16">
        <v>8225</v>
      </c>
      <c r="L7" s="17">
        <v>1890.26</v>
      </c>
      <c r="M7" s="16">
        <v>9247.66</v>
      </c>
      <c r="N7" s="7">
        <v>4.35125326674637</v>
      </c>
      <c r="O7" s="7">
        <v>0.889414186940264</v>
      </c>
      <c r="P7" s="8">
        <v>114917647.3</v>
      </c>
      <c r="Q7" s="8">
        <f t="shared" si="0"/>
        <v>1.24266730502635</v>
      </c>
      <c r="R7" s="9">
        <v>362.5</v>
      </c>
      <c r="S7" s="9">
        <v>797.9</v>
      </c>
      <c r="T7" s="9">
        <v>779.6</v>
      </c>
      <c r="U7" s="9">
        <v>5218</v>
      </c>
      <c r="V7" s="18">
        <v>0</v>
      </c>
      <c r="W7" s="18">
        <v>1</v>
      </c>
      <c r="X7" s="18">
        <f t="shared" si="1"/>
        <v>0</v>
      </c>
      <c r="Y7" s="12">
        <f t="shared" si="2"/>
        <v>3.71995059106252</v>
      </c>
      <c r="Z7" s="12">
        <f t="shared" si="3"/>
        <v>0.665945212279981</v>
      </c>
      <c r="AA7" s="19">
        <v>8312.09</v>
      </c>
      <c r="AB7" s="19">
        <v>5324.52</v>
      </c>
      <c r="AC7" s="19">
        <v>630.51</v>
      </c>
      <c r="AD7" s="19">
        <v>1967</v>
      </c>
      <c r="AE7" s="19">
        <v>242.34</v>
      </c>
      <c r="AF7" s="19">
        <v>223.32</v>
      </c>
      <c r="AG7" s="19">
        <v>329.6</v>
      </c>
      <c r="AH7" s="19">
        <v>765.95</v>
      </c>
      <c r="AI7" s="19">
        <v>18.72</v>
      </c>
      <c r="AJ7" s="19">
        <v>921.97</v>
      </c>
      <c r="AK7" s="3">
        <f t="shared" si="4"/>
        <v>0</v>
      </c>
      <c r="AL7" s="3">
        <v>1</v>
      </c>
      <c r="AM7" s="3">
        <f t="shared" si="5"/>
        <v>0</v>
      </c>
    </row>
    <row r="8" spans="1:39">
      <c r="A8" s="7">
        <v>2006</v>
      </c>
      <c r="B8" s="7" t="s">
        <v>38</v>
      </c>
      <c r="C8" s="7">
        <v>0.36450067</v>
      </c>
      <c r="D8" s="7">
        <v>0.05899</v>
      </c>
      <c r="E8" s="7">
        <v>0.014085</v>
      </c>
      <c r="F8" s="7">
        <v>0.025706</v>
      </c>
      <c r="G8" s="7">
        <v>0.008169</v>
      </c>
      <c r="H8" s="7">
        <v>0.011031</v>
      </c>
      <c r="I8" s="7">
        <v>0.058324</v>
      </c>
      <c r="J8" s="7">
        <v>0.030281</v>
      </c>
      <c r="K8" s="16">
        <v>8876</v>
      </c>
      <c r="L8" s="17">
        <v>1964.11</v>
      </c>
      <c r="M8" s="16">
        <v>10572.24</v>
      </c>
      <c r="N8" s="7">
        <v>4.51909516269455</v>
      </c>
      <c r="O8" s="7">
        <v>0.839557179935378</v>
      </c>
      <c r="P8" s="8">
        <v>124174851.6</v>
      </c>
      <c r="Q8" s="8">
        <f t="shared" si="0"/>
        <v>1.17453682095753</v>
      </c>
      <c r="R8" s="9">
        <v>367.2</v>
      </c>
      <c r="S8" s="9">
        <v>953</v>
      </c>
      <c r="T8" s="9">
        <v>944</v>
      </c>
      <c r="U8" s="9">
        <v>6103</v>
      </c>
      <c r="V8" s="18">
        <v>0</v>
      </c>
      <c r="W8" s="18">
        <v>1</v>
      </c>
      <c r="X8" s="18">
        <f t="shared" si="1"/>
        <v>0</v>
      </c>
      <c r="Y8" s="12">
        <f t="shared" si="2"/>
        <v>3.57740717995078</v>
      </c>
      <c r="Z8" s="12">
        <f t="shared" si="3"/>
        <v>0.671679302389702</v>
      </c>
      <c r="AA8" s="19">
        <v>8967.32</v>
      </c>
      <c r="AB8" s="19">
        <v>5143.09</v>
      </c>
      <c r="AC8" s="19">
        <v>655.46</v>
      </c>
      <c r="AD8" s="19">
        <v>1832.84</v>
      </c>
      <c r="AE8" s="19">
        <v>268.73</v>
      </c>
      <c r="AF8" s="19">
        <v>261.97</v>
      </c>
      <c r="AG8" s="19">
        <v>370.98</v>
      </c>
      <c r="AH8" s="19">
        <v>805.79</v>
      </c>
      <c r="AI8" s="19">
        <v>25.25</v>
      </c>
      <c r="AJ8" s="19">
        <v>990.15</v>
      </c>
      <c r="AK8" s="3">
        <f t="shared" si="4"/>
        <v>0</v>
      </c>
      <c r="AL8" s="3">
        <v>1</v>
      </c>
      <c r="AM8" s="3">
        <f t="shared" si="5"/>
        <v>0</v>
      </c>
    </row>
    <row r="9" spans="1:39">
      <c r="A9" s="7">
        <v>2007</v>
      </c>
      <c r="B9" s="7" t="s">
        <v>38</v>
      </c>
      <c r="C9" s="7">
        <v>0.36513883</v>
      </c>
      <c r="D9" s="7">
        <v>0.059619</v>
      </c>
      <c r="E9" s="7">
        <v>0.015202</v>
      </c>
      <c r="F9" s="7">
        <v>0.026577</v>
      </c>
      <c r="G9" s="7">
        <v>0.008909</v>
      </c>
      <c r="H9" s="7">
        <v>0.008931</v>
      </c>
      <c r="I9" s="7">
        <v>0.061126</v>
      </c>
      <c r="J9" s="7">
        <v>0.029547</v>
      </c>
      <c r="K9" s="16">
        <v>9670</v>
      </c>
      <c r="L9" s="17">
        <v>2063.59</v>
      </c>
      <c r="M9" s="16">
        <v>12494.01</v>
      </c>
      <c r="N9" s="7">
        <v>4.68600836406457</v>
      </c>
      <c r="O9" s="7">
        <v>0.773970886848978</v>
      </c>
      <c r="P9" s="8">
        <v>126685297.2</v>
      </c>
      <c r="Q9" s="8">
        <f t="shared" si="0"/>
        <v>1.01396827119556</v>
      </c>
      <c r="R9" s="9">
        <v>430.6</v>
      </c>
      <c r="S9" s="9">
        <v>1187.2</v>
      </c>
      <c r="T9" s="9">
        <v>1229.7</v>
      </c>
      <c r="U9" s="9">
        <v>7778</v>
      </c>
      <c r="V9" s="18">
        <v>0</v>
      </c>
      <c r="W9" s="18">
        <v>1</v>
      </c>
      <c r="X9" s="18">
        <f t="shared" si="1"/>
        <v>0</v>
      </c>
      <c r="Y9" s="12">
        <f t="shared" si="2"/>
        <v>3.23986794305777</v>
      </c>
      <c r="Z9" s="12">
        <f t="shared" si="3"/>
        <v>0.687034073913956</v>
      </c>
      <c r="AA9" s="19">
        <v>9767.75</v>
      </c>
      <c r="AB9" s="19">
        <v>5259.53</v>
      </c>
      <c r="AC9" s="19">
        <v>729.7</v>
      </c>
      <c r="AD9" s="19">
        <v>1719.57</v>
      </c>
      <c r="AE9" s="19">
        <v>299.66</v>
      </c>
      <c r="AF9" s="19">
        <v>295.45</v>
      </c>
      <c r="AG9" s="19">
        <v>417.17</v>
      </c>
      <c r="AH9" s="19">
        <v>848.61</v>
      </c>
      <c r="AI9" s="19">
        <v>27.78</v>
      </c>
      <c r="AJ9" s="19">
        <v>1072.38</v>
      </c>
      <c r="AK9" s="3">
        <f t="shared" si="4"/>
        <v>0</v>
      </c>
      <c r="AL9" s="3">
        <v>1</v>
      </c>
      <c r="AM9" s="3">
        <f t="shared" si="5"/>
        <v>0</v>
      </c>
    </row>
    <row r="10" spans="1:39">
      <c r="A10" s="7">
        <v>2008</v>
      </c>
      <c r="B10" s="7" t="s">
        <v>38</v>
      </c>
      <c r="C10" s="7">
        <v>0.39763687</v>
      </c>
      <c r="D10" s="7">
        <v>0.06436</v>
      </c>
      <c r="E10" s="7">
        <v>0.016129</v>
      </c>
      <c r="F10" s="7">
        <v>0.028793</v>
      </c>
      <c r="G10" s="7">
        <v>0.010262</v>
      </c>
      <c r="H10" s="7">
        <v>0.009176</v>
      </c>
      <c r="I10" s="7">
        <v>0.063692</v>
      </c>
      <c r="J10" s="7">
        <v>0.033128</v>
      </c>
      <c r="K10" s="16">
        <v>10207</v>
      </c>
      <c r="L10" s="17">
        <v>2140.64</v>
      </c>
      <c r="M10" s="16">
        <v>14069.87</v>
      </c>
      <c r="N10" s="7">
        <v>4.7682001644368</v>
      </c>
      <c r="O10" s="7">
        <v>0.725450910349563</v>
      </c>
      <c r="P10" s="8">
        <v>132790694.8</v>
      </c>
      <c r="Q10" s="8">
        <f t="shared" si="0"/>
        <v>0.943794752901057</v>
      </c>
      <c r="R10" s="9">
        <v>522.6</v>
      </c>
      <c r="S10" s="9">
        <v>1437.7</v>
      </c>
      <c r="T10" s="9">
        <v>1544.2</v>
      </c>
      <c r="U10" s="9">
        <v>9697</v>
      </c>
      <c r="V10" s="18">
        <v>0</v>
      </c>
      <c r="W10" s="18">
        <v>1</v>
      </c>
      <c r="X10" s="18">
        <f t="shared" si="1"/>
        <v>0</v>
      </c>
      <c r="Y10" s="12">
        <f t="shared" si="2"/>
        <v>2.71728515287532</v>
      </c>
      <c r="Z10" s="12">
        <f t="shared" si="3"/>
        <v>0.652669962921494</v>
      </c>
      <c r="AA10" s="19">
        <v>10207</v>
      </c>
      <c r="AB10" s="19">
        <v>5464</v>
      </c>
      <c r="AC10" s="19">
        <v>714.44</v>
      </c>
      <c r="AD10" s="19">
        <v>1951.55</v>
      </c>
      <c r="AE10" s="19">
        <v>340.5</v>
      </c>
      <c r="AF10" s="19">
        <v>321.47</v>
      </c>
      <c r="AG10" s="19">
        <v>427.05</v>
      </c>
      <c r="AH10" s="19">
        <v>788.73</v>
      </c>
      <c r="AI10" s="19">
        <v>30</v>
      </c>
      <c r="AJ10" s="19">
        <v>1138.22</v>
      </c>
      <c r="AK10" s="3">
        <f t="shared" si="4"/>
        <v>0</v>
      </c>
      <c r="AL10" s="3">
        <v>1</v>
      </c>
      <c r="AM10" s="3">
        <f t="shared" si="5"/>
        <v>0</v>
      </c>
    </row>
    <row r="11" spans="1:39">
      <c r="A11" s="7">
        <v>2009</v>
      </c>
      <c r="B11" s="7" t="s">
        <v>38</v>
      </c>
      <c r="C11" s="7">
        <v>0.42163331</v>
      </c>
      <c r="D11" s="7">
        <v>0.069346</v>
      </c>
      <c r="E11" s="7">
        <v>0.017437</v>
      </c>
      <c r="F11" s="7">
        <v>0.031176</v>
      </c>
      <c r="G11" s="7">
        <v>0.010273</v>
      </c>
      <c r="H11" s="7">
        <v>0.010459</v>
      </c>
      <c r="I11" s="7">
        <v>0.064827</v>
      </c>
      <c r="J11" s="7">
        <v>0.033779</v>
      </c>
      <c r="K11" s="16">
        <v>10367</v>
      </c>
      <c r="L11" s="17">
        <v>2210.28</v>
      </c>
      <c r="M11" s="16">
        <v>15046.45</v>
      </c>
      <c r="N11" s="7">
        <v>4.6903559729989</v>
      </c>
      <c r="O11" s="7">
        <v>0.688999730833519</v>
      </c>
      <c r="P11" s="8">
        <v>149143881.2</v>
      </c>
      <c r="Q11" s="8">
        <f t="shared" si="0"/>
        <v>0.991223053942957</v>
      </c>
      <c r="R11" s="9">
        <v>531.2</v>
      </c>
      <c r="S11" s="9">
        <v>1574.9</v>
      </c>
      <c r="T11" s="9">
        <v>1750.6</v>
      </c>
      <c r="U11" s="9">
        <v>10814</v>
      </c>
      <c r="V11" s="18">
        <v>0</v>
      </c>
      <c r="W11" s="18">
        <v>1</v>
      </c>
      <c r="X11" s="18">
        <f t="shared" si="1"/>
        <v>0</v>
      </c>
      <c r="Y11" s="12">
        <f t="shared" si="2"/>
        <v>2.66960201713366</v>
      </c>
      <c r="Z11" s="12">
        <f t="shared" si="3"/>
        <v>0.628700065559873</v>
      </c>
      <c r="AA11" s="19">
        <v>10367</v>
      </c>
      <c r="AB11" s="19">
        <v>5305</v>
      </c>
      <c r="AC11" s="19">
        <v>677.68</v>
      </c>
      <c r="AD11" s="19">
        <v>1937.18</v>
      </c>
      <c r="AE11" s="19">
        <v>388.52</v>
      </c>
      <c r="AF11" s="19">
        <v>353.11</v>
      </c>
      <c r="AG11" s="19">
        <v>483.19</v>
      </c>
      <c r="AH11" s="19">
        <v>742.79</v>
      </c>
      <c r="AI11" s="19">
        <v>33.52</v>
      </c>
      <c r="AJ11" s="19">
        <v>1153.38</v>
      </c>
      <c r="AK11" s="3">
        <f t="shared" si="4"/>
        <v>0</v>
      </c>
      <c r="AL11" s="3">
        <v>1</v>
      </c>
      <c r="AM11" s="3">
        <f t="shared" si="5"/>
        <v>0</v>
      </c>
    </row>
    <row r="12" spans="1:39">
      <c r="A12" s="7">
        <v>2010</v>
      </c>
      <c r="B12" s="7" t="s">
        <v>38</v>
      </c>
      <c r="C12" s="7">
        <v>0.41174611</v>
      </c>
      <c r="D12" s="7">
        <v>0.065911</v>
      </c>
      <c r="E12" s="7">
        <v>0.016281</v>
      </c>
      <c r="F12" s="7">
        <v>0.029572</v>
      </c>
      <c r="G12" s="7">
        <v>0.010123</v>
      </c>
      <c r="H12" s="7">
        <v>0.009935</v>
      </c>
      <c r="I12" s="7">
        <v>0.069458</v>
      </c>
      <c r="J12" s="7">
        <v>0.032586</v>
      </c>
      <c r="K12" s="16">
        <v>11201</v>
      </c>
      <c r="L12" s="17">
        <v>2302.66</v>
      </c>
      <c r="M12" s="16">
        <v>17165.98</v>
      </c>
      <c r="N12" s="7">
        <v>4.86437424543788</v>
      </c>
      <c r="O12" s="7">
        <v>0.652511537354698</v>
      </c>
      <c r="P12" s="8">
        <v>167087869.6</v>
      </c>
      <c r="Q12" s="8">
        <f t="shared" si="0"/>
        <v>0.97336633038137</v>
      </c>
      <c r="R12" s="9">
        <v>602.8</v>
      </c>
      <c r="S12" s="9">
        <v>1820.7</v>
      </c>
      <c r="T12" s="9">
        <v>2095.5</v>
      </c>
      <c r="U12" s="9">
        <v>12882</v>
      </c>
      <c r="V12" s="18">
        <v>0</v>
      </c>
      <c r="W12" s="18">
        <v>1</v>
      </c>
      <c r="X12" s="18">
        <f t="shared" si="1"/>
        <v>0</v>
      </c>
      <c r="Y12" s="12">
        <f t="shared" si="2"/>
        <v>2.40850270516871</v>
      </c>
      <c r="Z12" s="12">
        <f t="shared" si="3"/>
        <v>0.59586247161255</v>
      </c>
      <c r="AA12" s="19">
        <v>11201.13</v>
      </c>
      <c r="AB12" s="19">
        <v>5875.52</v>
      </c>
      <c r="AC12" s="19">
        <v>717.08</v>
      </c>
      <c r="AD12" s="19">
        <v>2126.5</v>
      </c>
      <c r="AE12" s="19">
        <v>415.37</v>
      </c>
      <c r="AF12" s="19">
        <v>399.07</v>
      </c>
      <c r="AG12" s="19">
        <v>509.04</v>
      </c>
      <c r="AH12" s="19">
        <v>744.28</v>
      </c>
      <c r="AI12" s="19">
        <v>45.01</v>
      </c>
      <c r="AJ12" s="19">
        <v>1295.87</v>
      </c>
      <c r="AK12" s="3">
        <f t="shared" ref="AK12:AK18" si="6">IF(A12&gt;=2013,1,0)</f>
        <v>0</v>
      </c>
      <c r="AL12" s="3">
        <v>1</v>
      </c>
      <c r="AM12" s="3">
        <f t="shared" si="5"/>
        <v>0</v>
      </c>
    </row>
    <row r="13" spans="1:39">
      <c r="A13" s="7">
        <v>2011</v>
      </c>
      <c r="B13" s="7" t="s">
        <v>38</v>
      </c>
      <c r="C13" s="7">
        <v>0.42802152</v>
      </c>
      <c r="D13" s="7">
        <v>0.070721</v>
      </c>
      <c r="E13" s="7">
        <v>0.017765</v>
      </c>
      <c r="F13" s="7">
        <v>0.031601</v>
      </c>
      <c r="G13" s="7">
        <v>0.01036</v>
      </c>
      <c r="H13" s="7">
        <v>0.010995</v>
      </c>
      <c r="I13" s="7">
        <v>0.065373</v>
      </c>
      <c r="J13" s="7">
        <v>0.033412</v>
      </c>
      <c r="K13" s="16">
        <v>11270</v>
      </c>
      <c r="L13" s="17">
        <v>2356</v>
      </c>
      <c r="M13" s="16">
        <v>19195.69</v>
      </c>
      <c r="N13" s="7">
        <v>4.78353140916808</v>
      </c>
      <c r="O13" s="7">
        <v>0.587110960845898</v>
      </c>
      <c r="P13" s="8">
        <v>174000023.1</v>
      </c>
      <c r="Q13" s="8">
        <f t="shared" si="0"/>
        <v>0.906453600261309</v>
      </c>
      <c r="R13" s="9">
        <v>699.6</v>
      </c>
      <c r="S13" s="9">
        <v>2258.9</v>
      </c>
      <c r="T13" s="9">
        <v>2657.1</v>
      </c>
      <c r="U13" s="9">
        <v>16024</v>
      </c>
      <c r="V13" s="18">
        <v>0</v>
      </c>
      <c r="W13" s="18">
        <v>1</v>
      </c>
      <c r="X13" s="18">
        <f t="shared" si="1"/>
        <v>0</v>
      </c>
      <c r="Y13" s="12">
        <f t="shared" si="2"/>
        <v>2.18035126729488</v>
      </c>
      <c r="Z13" s="12">
        <f t="shared" si="3"/>
        <v>0.584262584722906</v>
      </c>
      <c r="AA13" s="19">
        <v>11270</v>
      </c>
      <c r="AB13" s="19">
        <v>6142</v>
      </c>
      <c r="AC13" s="19">
        <v>714.15</v>
      </c>
      <c r="AD13" s="19">
        <v>2134.69</v>
      </c>
      <c r="AE13" s="19">
        <v>472.87</v>
      </c>
      <c r="AF13" s="19">
        <v>400.5</v>
      </c>
      <c r="AG13" s="19">
        <v>532.96</v>
      </c>
      <c r="AH13" s="19">
        <v>675.04</v>
      </c>
      <c r="AI13" s="19">
        <v>55.43</v>
      </c>
      <c r="AJ13" s="19">
        <v>1340</v>
      </c>
      <c r="AK13" s="3">
        <f t="shared" si="6"/>
        <v>0</v>
      </c>
      <c r="AL13" s="3">
        <v>1</v>
      </c>
      <c r="AM13" s="3">
        <f t="shared" si="5"/>
        <v>0</v>
      </c>
    </row>
    <row r="14" spans="1:39">
      <c r="A14" s="7">
        <v>2012</v>
      </c>
      <c r="B14" s="7" t="s">
        <v>38</v>
      </c>
      <c r="C14" s="7">
        <v>0.4376176</v>
      </c>
      <c r="D14" s="7">
        <v>0.067505</v>
      </c>
      <c r="E14" s="7">
        <v>0.017113</v>
      </c>
      <c r="F14" s="7">
        <v>0.030404</v>
      </c>
      <c r="G14" s="7">
        <v>0.009704</v>
      </c>
      <c r="H14" s="7">
        <v>0.010283</v>
      </c>
      <c r="I14" s="7">
        <v>0.074438</v>
      </c>
      <c r="J14" s="7">
        <v>0.037593</v>
      </c>
      <c r="K14" s="16">
        <v>11362</v>
      </c>
      <c r="L14" s="17">
        <v>2399</v>
      </c>
      <c r="M14" s="16">
        <v>20181.72</v>
      </c>
      <c r="N14" s="7">
        <v>4.73614005835765</v>
      </c>
      <c r="O14" s="7">
        <v>0.56298472082657</v>
      </c>
      <c r="P14" s="8">
        <v>178808937.8</v>
      </c>
      <c r="Q14" s="8">
        <f t="shared" si="0"/>
        <v>0.885994542586063</v>
      </c>
      <c r="R14" s="9">
        <v>862.7</v>
      </c>
      <c r="S14" s="9">
        <v>2716.8</v>
      </c>
      <c r="T14" s="9">
        <v>3162.8</v>
      </c>
      <c r="U14" s="9">
        <v>18947</v>
      </c>
      <c r="V14" s="18">
        <v>0</v>
      </c>
      <c r="W14" s="18">
        <v>1</v>
      </c>
      <c r="X14" s="18">
        <f t="shared" si="1"/>
        <v>0</v>
      </c>
      <c r="Y14" s="12">
        <f t="shared" si="2"/>
        <v>2.01609935715007</v>
      </c>
      <c r="Z14" s="12">
        <f t="shared" si="3"/>
        <v>0.560540238533437</v>
      </c>
      <c r="AA14" s="19">
        <v>11362.15</v>
      </c>
      <c r="AB14" s="19">
        <v>5703</v>
      </c>
      <c r="AC14" s="19">
        <v>673.17</v>
      </c>
      <c r="AD14" s="19">
        <v>2210.55</v>
      </c>
      <c r="AE14" s="19">
        <v>517.35</v>
      </c>
      <c r="AF14" s="19">
        <v>402.74</v>
      </c>
      <c r="AG14" s="19">
        <v>568.99</v>
      </c>
      <c r="AH14" s="19">
        <v>640.15</v>
      </c>
      <c r="AI14" s="19">
        <v>64.38</v>
      </c>
      <c r="AJ14" s="19">
        <v>1353.45</v>
      </c>
      <c r="AK14" s="3">
        <f t="shared" si="6"/>
        <v>0</v>
      </c>
      <c r="AL14" s="3">
        <v>1</v>
      </c>
      <c r="AM14" s="3">
        <f t="shared" si="5"/>
        <v>0</v>
      </c>
    </row>
    <row r="15" spans="1:39">
      <c r="A15" s="7">
        <v>2013</v>
      </c>
      <c r="B15" s="7" t="s">
        <v>38</v>
      </c>
      <c r="C15" s="7">
        <v>0.48070954</v>
      </c>
      <c r="D15" s="7">
        <v>0.071562</v>
      </c>
      <c r="E15" s="7">
        <v>0.018186</v>
      </c>
      <c r="F15" s="7">
        <v>0.032347</v>
      </c>
      <c r="G15" s="7">
        <v>0.011163</v>
      </c>
      <c r="H15" s="7">
        <v>0.009866</v>
      </c>
      <c r="I15" s="7">
        <v>0.083301</v>
      </c>
      <c r="J15" s="7">
        <v>0.043135</v>
      </c>
      <c r="K15" s="16">
        <v>11346</v>
      </c>
      <c r="L15" s="17">
        <v>2448</v>
      </c>
      <c r="M15" s="16">
        <v>21818.15</v>
      </c>
      <c r="N15" s="7">
        <v>4.63480392156863</v>
      </c>
      <c r="O15" s="7">
        <v>0.520025758370898</v>
      </c>
      <c r="P15" s="8">
        <v>181461097.6</v>
      </c>
      <c r="Q15" s="8">
        <f t="shared" si="0"/>
        <v>0.831697910226119</v>
      </c>
      <c r="R15" s="9">
        <v>999.3</v>
      </c>
      <c r="S15" s="9">
        <v>3171</v>
      </c>
      <c r="T15" s="9">
        <v>3802.7</v>
      </c>
      <c r="U15" s="9">
        <v>22089</v>
      </c>
      <c r="V15" s="18">
        <v>0</v>
      </c>
      <c r="W15" s="18">
        <v>1</v>
      </c>
      <c r="X15" s="18">
        <f t="shared" si="1"/>
        <v>0</v>
      </c>
      <c r="Y15" s="12">
        <f t="shared" si="2"/>
        <v>1.91398219724656</v>
      </c>
      <c r="Z15" s="12">
        <f t="shared" si="3"/>
        <v>0.565462044828529</v>
      </c>
      <c r="AA15" s="19">
        <v>11346</v>
      </c>
      <c r="AB15" s="19">
        <v>5681.19</v>
      </c>
      <c r="AC15" s="19">
        <v>640.3</v>
      </c>
      <c r="AD15" s="19">
        <v>2611.76</v>
      </c>
      <c r="AE15" s="19">
        <v>532.55</v>
      </c>
      <c r="AF15" s="19">
        <v>437.48</v>
      </c>
      <c r="AG15" s="19">
        <v>555.84</v>
      </c>
      <c r="AH15" s="19">
        <v>603.14</v>
      </c>
      <c r="AI15" s="19">
        <v>72.89</v>
      </c>
      <c r="AJ15" s="19">
        <v>1410.6</v>
      </c>
      <c r="AK15" s="3">
        <f t="shared" si="6"/>
        <v>1</v>
      </c>
      <c r="AL15" s="3">
        <v>1</v>
      </c>
      <c r="AM15" s="3">
        <f t="shared" si="5"/>
        <v>1</v>
      </c>
    </row>
    <row r="16" spans="1:39">
      <c r="A16" s="7">
        <v>2014</v>
      </c>
      <c r="B16" s="7" t="s">
        <v>38</v>
      </c>
      <c r="C16" s="7">
        <v>0.51026031</v>
      </c>
      <c r="D16" s="7">
        <v>0.08363</v>
      </c>
      <c r="E16" s="7">
        <v>0.020383</v>
      </c>
      <c r="F16" s="7">
        <v>0.037937</v>
      </c>
      <c r="G16" s="7">
        <v>0.012392</v>
      </c>
      <c r="H16" s="7">
        <v>0.012918</v>
      </c>
      <c r="I16" s="7">
        <v>0.081305</v>
      </c>
      <c r="J16" s="7">
        <v>0.035496</v>
      </c>
      <c r="K16" s="16">
        <v>11085</v>
      </c>
      <c r="L16" s="17">
        <v>2467</v>
      </c>
      <c r="M16" s="16">
        <v>23567.7</v>
      </c>
      <c r="N16" s="7">
        <v>4.49331171463316</v>
      </c>
      <c r="O16" s="7">
        <v>0.470347127636553</v>
      </c>
      <c r="P16" s="8">
        <v>185708868.6</v>
      </c>
      <c r="Q16" s="8">
        <f t="shared" si="0"/>
        <v>0.787980450362148</v>
      </c>
      <c r="R16" s="9">
        <v>1281.5</v>
      </c>
      <c r="S16" s="9">
        <v>3582.4</v>
      </c>
      <c r="T16" s="9">
        <v>4309.3</v>
      </c>
      <c r="U16" s="9">
        <v>25101</v>
      </c>
      <c r="V16" s="18">
        <v>0</v>
      </c>
      <c r="W16" s="18">
        <v>1</v>
      </c>
      <c r="X16" s="18">
        <f t="shared" si="1"/>
        <v>0</v>
      </c>
      <c r="Y16" s="12">
        <f t="shared" si="2"/>
        <v>1.79640226266579</v>
      </c>
      <c r="Z16" s="12">
        <f t="shared" si="3"/>
        <v>0.561356347217679</v>
      </c>
      <c r="AA16" s="19">
        <v>11084.63</v>
      </c>
      <c r="AB16" s="19">
        <v>4895.78</v>
      </c>
      <c r="AC16" s="19">
        <v>654.84</v>
      </c>
      <c r="AD16" s="19">
        <v>2242.07</v>
      </c>
      <c r="AE16" s="19">
        <v>577.03</v>
      </c>
      <c r="AF16" s="19">
        <v>450.72</v>
      </c>
      <c r="AG16" s="19">
        <v>548.41</v>
      </c>
      <c r="AH16" s="19">
        <v>556.15</v>
      </c>
      <c r="AI16" s="19">
        <v>72.43</v>
      </c>
      <c r="AJ16" s="19">
        <v>1369.03</v>
      </c>
      <c r="AK16" s="3">
        <f t="shared" si="6"/>
        <v>1</v>
      </c>
      <c r="AL16" s="3">
        <v>1</v>
      </c>
      <c r="AM16" s="3">
        <f t="shared" si="5"/>
        <v>1</v>
      </c>
    </row>
    <row r="17" spans="1:39">
      <c r="A17" s="7">
        <v>2015</v>
      </c>
      <c r="B17" s="7" t="s">
        <v>38</v>
      </c>
      <c r="C17" s="7">
        <v>0.49544013</v>
      </c>
      <c r="D17" s="7">
        <v>0.079148</v>
      </c>
      <c r="E17" s="7">
        <v>0.019746</v>
      </c>
      <c r="F17" s="7">
        <v>0.035503</v>
      </c>
      <c r="G17" s="7">
        <v>0.012079</v>
      </c>
      <c r="H17" s="7">
        <v>0.01182</v>
      </c>
      <c r="I17" s="7">
        <v>0.077645</v>
      </c>
      <c r="J17" s="7">
        <v>0.0391</v>
      </c>
      <c r="K17" s="16">
        <v>10931</v>
      </c>
      <c r="L17" s="17">
        <v>2458</v>
      </c>
      <c r="M17" s="16">
        <v>25123.45</v>
      </c>
      <c r="N17" s="7">
        <v>4.44711147274207</v>
      </c>
      <c r="O17" s="7">
        <v>0.435091518083703</v>
      </c>
      <c r="P17" s="8">
        <v>193623151.9</v>
      </c>
      <c r="Q17" s="8">
        <f t="shared" si="0"/>
        <v>0.770686955414165</v>
      </c>
      <c r="R17" s="9">
        <v>1642</v>
      </c>
      <c r="S17" s="9">
        <v>4026.7</v>
      </c>
      <c r="T17" s="9">
        <v>4872.3</v>
      </c>
      <c r="U17" s="9">
        <v>28547</v>
      </c>
      <c r="V17" s="18">
        <v>0</v>
      </c>
      <c r="W17" s="18">
        <v>1</v>
      </c>
      <c r="X17" s="18">
        <f t="shared" si="1"/>
        <v>0</v>
      </c>
      <c r="Y17" s="12">
        <f t="shared" si="2"/>
        <v>1.71577514742415</v>
      </c>
      <c r="Z17" s="12">
        <f t="shared" si="3"/>
        <v>0.550822870600976</v>
      </c>
      <c r="AA17" s="19">
        <v>10931</v>
      </c>
      <c r="AB17" s="19">
        <v>4728.13</v>
      </c>
      <c r="AC17" s="19">
        <v>630.75</v>
      </c>
      <c r="AD17" s="19">
        <v>2526.11</v>
      </c>
      <c r="AE17" s="19">
        <v>467.04</v>
      </c>
      <c r="AF17" s="19">
        <v>511.45</v>
      </c>
      <c r="AG17" s="19">
        <v>448.87</v>
      </c>
      <c r="AH17" s="19">
        <v>539.72</v>
      </c>
      <c r="AI17" s="19">
        <v>77.41</v>
      </c>
      <c r="AJ17" s="19">
        <v>1406</v>
      </c>
      <c r="AK17" s="3">
        <f t="shared" si="6"/>
        <v>1</v>
      </c>
      <c r="AL17" s="3">
        <v>1</v>
      </c>
      <c r="AM17" s="3">
        <f t="shared" si="5"/>
        <v>1</v>
      </c>
    </row>
    <row r="18" spans="1:39">
      <c r="A18" s="7">
        <v>2016</v>
      </c>
      <c r="B18" s="7" t="s">
        <v>38</v>
      </c>
      <c r="C18" s="7">
        <v>0.51740295</v>
      </c>
      <c r="D18" s="7">
        <v>0.080308</v>
      </c>
      <c r="E18" s="7">
        <v>0.02044</v>
      </c>
      <c r="F18" s="7">
        <v>0.036627</v>
      </c>
      <c r="G18" s="7">
        <v>0.011968</v>
      </c>
      <c r="H18" s="7">
        <v>0.011273</v>
      </c>
      <c r="I18" s="7">
        <v>0.082729</v>
      </c>
      <c r="J18" s="7">
        <v>0.043941</v>
      </c>
      <c r="K18" s="16">
        <v>11242</v>
      </c>
      <c r="L18" s="17">
        <v>2467</v>
      </c>
      <c r="M18" s="16">
        <v>28178.65</v>
      </c>
      <c r="N18" s="7">
        <v>4.55695176327523</v>
      </c>
      <c r="O18" s="7">
        <v>0.398954527629961</v>
      </c>
      <c r="P18" s="8">
        <v>180941221.2</v>
      </c>
      <c r="Q18" s="8">
        <f t="shared" si="0"/>
        <v>0.642121681485806</v>
      </c>
      <c r="R18" s="9">
        <v>1861.8</v>
      </c>
      <c r="S18" s="9">
        <v>4468.7</v>
      </c>
      <c r="T18" s="9">
        <v>5461.8</v>
      </c>
      <c r="U18" s="9">
        <v>31589</v>
      </c>
      <c r="V18" s="18">
        <v>0</v>
      </c>
      <c r="W18" s="18">
        <v>1</v>
      </c>
      <c r="X18" s="18">
        <f t="shared" si="1"/>
        <v>0</v>
      </c>
      <c r="Y18" s="12">
        <f t="shared" si="2"/>
        <v>1.62438398605541</v>
      </c>
      <c r="Z18" s="12">
        <f t="shared" si="3"/>
        <v>0.60469834288067</v>
      </c>
      <c r="AA18" s="19">
        <v>11242</v>
      </c>
      <c r="AB18" s="19">
        <v>4625.62</v>
      </c>
      <c r="AC18" s="19">
        <v>596.95</v>
      </c>
      <c r="AD18" s="19">
        <v>2474.23</v>
      </c>
      <c r="AE18" s="19">
        <v>480.82</v>
      </c>
      <c r="AF18" s="19">
        <v>585.82</v>
      </c>
      <c r="AG18" s="19">
        <v>446.28</v>
      </c>
      <c r="AH18" s="19">
        <v>586.96</v>
      </c>
      <c r="AI18" s="19">
        <v>79.04</v>
      </c>
      <c r="AJ18" s="19">
        <v>1486.02</v>
      </c>
      <c r="AK18" s="3">
        <f t="shared" si="6"/>
        <v>1</v>
      </c>
      <c r="AL18" s="3">
        <v>1</v>
      </c>
      <c r="AM18" s="3">
        <f t="shared" si="5"/>
        <v>1</v>
      </c>
    </row>
    <row r="19" spans="1:39">
      <c r="A19" s="7">
        <v>2017</v>
      </c>
      <c r="B19" s="7" t="s">
        <v>38</v>
      </c>
      <c r="C19" s="7">
        <v>0.52198179</v>
      </c>
      <c r="D19" s="7">
        <v>0.083097</v>
      </c>
      <c r="E19" s="7">
        <v>0.021276</v>
      </c>
      <c r="F19" s="7">
        <v>0.03766</v>
      </c>
      <c r="G19" s="7">
        <v>0.012187</v>
      </c>
      <c r="H19" s="7">
        <v>0.011974</v>
      </c>
      <c r="I19" s="7">
        <v>0.086403</v>
      </c>
      <c r="J19" s="7">
        <v>0.038741</v>
      </c>
      <c r="K19" s="16">
        <v>11382</v>
      </c>
      <c r="L19" s="17">
        <v>2466</v>
      </c>
      <c r="M19" s="16">
        <v>30632.99</v>
      </c>
      <c r="N19" s="7">
        <v>4.61557177615572</v>
      </c>
      <c r="O19" s="7">
        <v>0.371560203558321</v>
      </c>
      <c r="P19" s="8">
        <v>183395166.3</v>
      </c>
      <c r="Q19" s="8">
        <f t="shared" si="0"/>
        <v>0.598685163609559</v>
      </c>
      <c r="R19" s="9">
        <v>2032.3</v>
      </c>
      <c r="S19" s="9">
        <v>4970.9</v>
      </c>
      <c r="T19" s="9">
        <v>6602.3</v>
      </c>
      <c r="U19" s="9">
        <v>35988</v>
      </c>
      <c r="V19" s="18">
        <v>0</v>
      </c>
      <c r="W19" s="18">
        <v>1</v>
      </c>
      <c r="X19" s="18">
        <f t="shared" si="1"/>
        <v>0</v>
      </c>
      <c r="Y19" s="12">
        <f t="shared" si="2"/>
        <v>1.56738551218677</v>
      </c>
      <c r="Z19" s="12">
        <f t="shared" si="3"/>
        <v>0.618035793393106</v>
      </c>
      <c r="AA19" s="19">
        <v>11382</v>
      </c>
      <c r="AB19" s="19">
        <v>4577.84</v>
      </c>
      <c r="AC19" s="19">
        <v>592.31</v>
      </c>
      <c r="AD19" s="19">
        <v>2492.77</v>
      </c>
      <c r="AE19" s="19">
        <v>485.18</v>
      </c>
      <c r="AF19" s="19">
        <v>652.3</v>
      </c>
      <c r="AG19" s="19">
        <v>441.49</v>
      </c>
      <c r="AH19" s="19">
        <v>672.44</v>
      </c>
      <c r="AI19" s="19">
        <v>83.23</v>
      </c>
      <c r="AJ19" s="19">
        <v>1526.77</v>
      </c>
      <c r="AK19" s="3">
        <f t="shared" ref="AK19:AK30" si="7">IF(A19&gt;=2013,1,0)</f>
        <v>1</v>
      </c>
      <c r="AL19" s="3">
        <v>1</v>
      </c>
      <c r="AM19" s="3">
        <f t="shared" si="5"/>
        <v>1</v>
      </c>
    </row>
    <row r="20" spans="1:39">
      <c r="A20" s="7">
        <v>2018</v>
      </c>
      <c r="B20" s="7" t="s">
        <v>38</v>
      </c>
      <c r="C20" s="7">
        <v>0.51466229</v>
      </c>
      <c r="D20" s="7">
        <v>0.079338</v>
      </c>
      <c r="E20" s="7">
        <v>0.019623</v>
      </c>
      <c r="F20" s="7">
        <v>0.036318</v>
      </c>
      <c r="G20" s="7">
        <v>0.012297</v>
      </c>
      <c r="H20" s="7">
        <v>0.011101</v>
      </c>
      <c r="I20" s="7">
        <v>0.084451</v>
      </c>
      <c r="J20" s="7">
        <v>0.043277</v>
      </c>
      <c r="K20" s="16">
        <v>11454</v>
      </c>
      <c r="L20" s="17">
        <v>2475</v>
      </c>
      <c r="M20" s="16">
        <v>32679.87</v>
      </c>
      <c r="N20" s="7">
        <v>4.62787878787879</v>
      </c>
      <c r="O20" s="7">
        <v>0.350490990325237</v>
      </c>
      <c r="P20" s="8">
        <v>188249237.8</v>
      </c>
      <c r="Q20" s="8">
        <f t="shared" si="0"/>
        <v>0.576040350833709</v>
      </c>
      <c r="R20" s="9">
        <v>2156</v>
      </c>
      <c r="S20" s="9">
        <v>5506.2</v>
      </c>
      <c r="T20" s="9">
        <v>7691</v>
      </c>
      <c r="U20" s="9">
        <v>40271</v>
      </c>
      <c r="V20" s="18">
        <v>0</v>
      </c>
      <c r="W20" s="18">
        <v>1</v>
      </c>
      <c r="X20" s="18">
        <f t="shared" si="1"/>
        <v>0</v>
      </c>
      <c r="Y20" s="12">
        <f t="shared" si="2"/>
        <v>1.51591455826218</v>
      </c>
      <c r="Z20" s="12">
        <f t="shared" si="3"/>
        <v>0.620004737276173</v>
      </c>
      <c r="AA20" s="19">
        <v>11454</v>
      </c>
      <c r="AB20" s="19">
        <v>4420.62</v>
      </c>
      <c r="AC20" s="19">
        <v>621.28</v>
      </c>
      <c r="AD20" s="19">
        <v>2309.12</v>
      </c>
      <c r="AE20" s="19">
        <v>494.01</v>
      </c>
      <c r="AF20" s="19">
        <v>701.64</v>
      </c>
      <c r="AG20" s="19">
        <v>439.49</v>
      </c>
      <c r="AH20" s="19">
        <v>658.22</v>
      </c>
      <c r="AI20" s="19">
        <v>93.49</v>
      </c>
      <c r="AJ20" s="19">
        <v>1566.66</v>
      </c>
      <c r="AK20" s="3">
        <f t="shared" si="7"/>
        <v>1</v>
      </c>
      <c r="AL20" s="3">
        <v>1</v>
      </c>
      <c r="AM20" s="3">
        <f t="shared" si="5"/>
        <v>1</v>
      </c>
    </row>
    <row r="21" spans="1:39">
      <c r="A21" s="7">
        <v>2019</v>
      </c>
      <c r="B21" s="7" t="s">
        <v>38</v>
      </c>
      <c r="C21" s="7">
        <v>0.54640232</v>
      </c>
      <c r="D21" s="7">
        <v>0.088985</v>
      </c>
      <c r="E21" s="7">
        <v>0.022192</v>
      </c>
      <c r="F21" s="7">
        <v>0.040849</v>
      </c>
      <c r="G21" s="7">
        <v>0.013794</v>
      </c>
      <c r="H21" s="7">
        <v>0.012151</v>
      </c>
      <c r="I21" s="7">
        <v>0.085097</v>
      </c>
      <c r="J21" s="7">
        <v>0.039912</v>
      </c>
      <c r="K21" s="16">
        <v>11696</v>
      </c>
      <c r="L21" s="17">
        <v>2481</v>
      </c>
      <c r="M21" s="16">
        <v>38155.32</v>
      </c>
      <c r="N21" s="7">
        <v>4.71422813381701</v>
      </c>
      <c r="O21" s="7">
        <v>0.306536545886655</v>
      </c>
      <c r="P21" s="8">
        <v>196247114.6</v>
      </c>
      <c r="Q21" s="8">
        <f t="shared" si="0"/>
        <v>0.514337488455083</v>
      </c>
      <c r="R21" s="9">
        <v>2280.6</v>
      </c>
      <c r="S21" s="9">
        <v>5971.5</v>
      </c>
      <c r="T21" s="9">
        <v>8517.3</v>
      </c>
      <c r="U21" s="9">
        <v>43727</v>
      </c>
      <c r="V21" s="18">
        <v>0</v>
      </c>
      <c r="W21" s="18">
        <v>1</v>
      </c>
      <c r="X21" s="18">
        <f t="shared" si="1"/>
        <v>0</v>
      </c>
      <c r="Y21" s="12">
        <f t="shared" si="2"/>
        <v>1.5000536746505</v>
      </c>
      <c r="Z21" s="12">
        <f t="shared" si="3"/>
        <v>0.657120610317548</v>
      </c>
      <c r="AA21" s="19">
        <v>11696</v>
      </c>
      <c r="AB21" s="19">
        <v>4238.28</v>
      </c>
      <c r="AC21" s="19">
        <v>634.82</v>
      </c>
      <c r="AD21" s="19">
        <v>2597.22</v>
      </c>
      <c r="AE21" s="19">
        <v>493.87</v>
      </c>
      <c r="AF21" s="19">
        <v>753.68</v>
      </c>
      <c r="AG21" s="19">
        <v>449.3</v>
      </c>
      <c r="AH21" s="19">
        <v>658.32</v>
      </c>
      <c r="AI21" s="19">
        <v>99.4</v>
      </c>
      <c r="AJ21" s="19">
        <v>1568.58</v>
      </c>
      <c r="AK21" s="3">
        <f t="shared" si="7"/>
        <v>1</v>
      </c>
      <c r="AL21" s="3">
        <v>1</v>
      </c>
      <c r="AM21" s="3">
        <f t="shared" si="5"/>
        <v>1</v>
      </c>
    </row>
    <row r="22" spans="1:39">
      <c r="A22" s="7">
        <v>2020</v>
      </c>
      <c r="B22" s="7" t="s">
        <v>38</v>
      </c>
      <c r="C22" s="7">
        <v>0.59847158</v>
      </c>
      <c r="D22" s="7">
        <v>0.09572</v>
      </c>
      <c r="E22" s="7">
        <v>0.023625</v>
      </c>
      <c r="F22" s="7">
        <v>0.043758</v>
      </c>
      <c r="G22" s="7">
        <v>0.014409</v>
      </c>
      <c r="H22" s="7">
        <v>0.013929</v>
      </c>
      <c r="I22" s="7">
        <v>0.091797</v>
      </c>
      <c r="J22" s="7">
        <v>0.04499</v>
      </c>
      <c r="K22" s="16">
        <v>11099.59</v>
      </c>
      <c r="L22" s="17">
        <v>2488.22</v>
      </c>
      <c r="M22" s="16">
        <v>38700.58</v>
      </c>
      <c r="N22" s="7">
        <v>4.460855551358</v>
      </c>
      <c r="O22" s="7">
        <v>0.286806812714435</v>
      </c>
      <c r="P22" s="8">
        <v>192402586.4</v>
      </c>
      <c r="Q22" s="8">
        <f t="shared" si="0"/>
        <v>0.497156855013542</v>
      </c>
      <c r="R22" s="9">
        <v>2539.9</v>
      </c>
      <c r="S22" s="9">
        <v>6263</v>
      </c>
      <c r="T22" s="9">
        <v>9057.5</v>
      </c>
      <c r="U22" s="9">
        <v>46355</v>
      </c>
      <c r="V22" s="18">
        <v>0</v>
      </c>
      <c r="W22" s="18">
        <v>1</v>
      </c>
      <c r="X22" s="18">
        <f t="shared" si="1"/>
        <v>0</v>
      </c>
      <c r="Y22" s="12">
        <f t="shared" si="2"/>
        <v>1.47141701078949</v>
      </c>
      <c r="Z22" s="12">
        <f t="shared" si="3"/>
        <v>0.662123754606594</v>
      </c>
      <c r="AA22" s="19">
        <v>11099.59</v>
      </c>
      <c r="AB22" s="19">
        <v>4168.01</v>
      </c>
      <c r="AC22" s="19">
        <v>631.9</v>
      </c>
      <c r="AD22" s="19">
        <v>2500.41</v>
      </c>
      <c r="AE22" s="19">
        <v>465.49</v>
      </c>
      <c r="AF22" s="19">
        <v>500.57</v>
      </c>
      <c r="AG22" s="19">
        <v>441.7</v>
      </c>
      <c r="AH22" s="19">
        <v>640.36</v>
      </c>
      <c r="AI22" s="19">
        <v>94.23</v>
      </c>
      <c r="AJ22" s="19">
        <v>1576</v>
      </c>
      <c r="AK22" s="3">
        <f t="shared" si="7"/>
        <v>1</v>
      </c>
      <c r="AL22" s="3">
        <v>1</v>
      </c>
      <c r="AM22" s="3">
        <f t="shared" si="5"/>
        <v>1</v>
      </c>
    </row>
    <row r="23" spans="1:39">
      <c r="A23" s="7">
        <v>2021</v>
      </c>
      <c r="B23" s="7" t="s">
        <v>38</v>
      </c>
      <c r="C23" s="7">
        <v>0.5940209</v>
      </c>
      <c r="D23" s="7">
        <v>0.087749</v>
      </c>
      <c r="E23" s="7">
        <v>0.021623</v>
      </c>
      <c r="F23" s="7">
        <v>0.038967</v>
      </c>
      <c r="G23" s="7">
        <v>0.012987</v>
      </c>
      <c r="H23" s="7">
        <v>0.014173</v>
      </c>
      <c r="I23" s="7">
        <v>0.097842</v>
      </c>
      <c r="J23" s="7">
        <v>0.051152</v>
      </c>
      <c r="K23" s="16">
        <v>11683.02</v>
      </c>
      <c r="L23" s="17">
        <v>2489</v>
      </c>
      <c r="M23" s="16">
        <v>43214.9</v>
      </c>
      <c r="N23" s="7">
        <v>4.69386098834873</v>
      </c>
      <c r="O23" s="7">
        <v>0.270347033083497</v>
      </c>
      <c r="P23" s="8">
        <v>201767860.3</v>
      </c>
      <c r="Q23" s="8">
        <f t="shared" si="0"/>
        <v>0.466894196908937</v>
      </c>
      <c r="R23" s="9">
        <v>2730.9</v>
      </c>
      <c r="S23" s="9">
        <v>6850.5</v>
      </c>
      <c r="T23" s="9">
        <v>9877.2</v>
      </c>
      <c r="U23" s="9">
        <v>50476</v>
      </c>
      <c r="V23" s="18">
        <v>0</v>
      </c>
      <c r="W23" s="18">
        <v>1</v>
      </c>
      <c r="X23" s="18">
        <f t="shared" si="1"/>
        <v>0</v>
      </c>
      <c r="Y23" s="12">
        <f t="shared" si="2"/>
        <v>1.36781889095748</v>
      </c>
      <c r="Z23" s="12">
        <f t="shared" si="3"/>
        <v>0.658657882271161</v>
      </c>
      <c r="AA23" s="19">
        <v>11683.02</v>
      </c>
      <c r="AB23" s="19">
        <v>4003.15</v>
      </c>
      <c r="AC23" s="19">
        <v>616.35</v>
      </c>
      <c r="AD23" s="19">
        <v>2282.38</v>
      </c>
      <c r="AE23" s="19">
        <v>484.99</v>
      </c>
      <c r="AF23" s="19">
        <v>552.69</v>
      </c>
      <c r="AG23" s="19">
        <v>463.1</v>
      </c>
      <c r="AH23" s="19">
        <v>647.02</v>
      </c>
      <c r="AI23" s="19">
        <v>97.75</v>
      </c>
      <c r="AJ23" s="19">
        <v>1750</v>
      </c>
      <c r="AK23" s="3">
        <f t="shared" si="7"/>
        <v>1</v>
      </c>
      <c r="AL23" s="3">
        <v>1</v>
      </c>
      <c r="AM23" s="3">
        <f t="shared" si="5"/>
        <v>1</v>
      </c>
    </row>
    <row r="24" spans="1:39">
      <c r="A24" s="7">
        <v>2022</v>
      </c>
      <c r="B24" s="7" t="s">
        <v>38</v>
      </c>
      <c r="C24" s="7">
        <v>0.61285799</v>
      </c>
      <c r="D24" s="7">
        <v>0.100221</v>
      </c>
      <c r="E24" s="7">
        <v>0.024978</v>
      </c>
      <c r="F24" s="7">
        <v>0.044987</v>
      </c>
      <c r="G24" s="7">
        <v>0.015939</v>
      </c>
      <c r="H24" s="7">
        <v>0.014317</v>
      </c>
      <c r="I24" s="7">
        <v>0.091562</v>
      </c>
      <c r="J24" s="7">
        <v>0.042703</v>
      </c>
      <c r="K24" s="16">
        <v>10951.01</v>
      </c>
      <c r="L24" s="17">
        <v>2475</v>
      </c>
      <c r="M24" s="16">
        <v>44652.8</v>
      </c>
      <c r="N24" s="7">
        <v>4.42465050505051</v>
      </c>
      <c r="O24" s="7">
        <v>0.245248002364913</v>
      </c>
      <c r="P24" s="8">
        <v>206378134.7</v>
      </c>
      <c r="Q24" s="8">
        <f t="shared" si="0"/>
        <v>0.462184084088792</v>
      </c>
      <c r="R24" s="9">
        <v>2862.3</v>
      </c>
      <c r="S24" s="9">
        <v>7052.7</v>
      </c>
      <c r="T24" s="9">
        <v>10095.4</v>
      </c>
      <c r="U24" s="9">
        <v>51921</v>
      </c>
      <c r="V24" s="18">
        <v>0</v>
      </c>
      <c r="W24" s="18">
        <v>1</v>
      </c>
      <c r="X24" s="18">
        <f t="shared" si="1"/>
        <v>0</v>
      </c>
      <c r="Y24" s="12">
        <f t="shared" si="2"/>
        <v>1.27047633725244</v>
      </c>
      <c r="Z24" s="12">
        <f t="shared" si="3"/>
        <v>0.636211969844065</v>
      </c>
      <c r="AA24" s="19">
        <v>10951.01</v>
      </c>
      <c r="AB24" s="19">
        <v>3856.82</v>
      </c>
      <c r="AC24" s="19">
        <v>618.88</v>
      </c>
      <c r="AD24" s="19">
        <v>2096.48</v>
      </c>
      <c r="AE24" s="19">
        <v>396.7</v>
      </c>
      <c r="AF24" s="19">
        <v>373.19</v>
      </c>
      <c r="AG24" s="19">
        <v>391.25</v>
      </c>
      <c r="AH24" s="19">
        <v>608.32</v>
      </c>
      <c r="AI24" s="19">
        <v>95</v>
      </c>
      <c r="AJ24" s="19">
        <v>1745.55</v>
      </c>
      <c r="AK24" s="3">
        <f t="shared" si="7"/>
        <v>1</v>
      </c>
      <c r="AL24" s="3">
        <v>1</v>
      </c>
      <c r="AM24" s="3">
        <f t="shared" si="5"/>
        <v>1</v>
      </c>
    </row>
    <row r="25" spans="1:39">
      <c r="A25" s="7">
        <v>2023</v>
      </c>
      <c r="B25" s="7" t="s">
        <v>38</v>
      </c>
      <c r="C25" s="7">
        <v>0.82802822</v>
      </c>
      <c r="D25" s="7">
        <v>0.122379</v>
      </c>
      <c r="E25" s="7">
        <v>0.038018</v>
      </c>
      <c r="F25" s="7">
        <v>0.060693</v>
      </c>
      <c r="G25" s="7">
        <v>0.028577</v>
      </c>
      <c r="H25" s="7">
        <v>0.024146</v>
      </c>
      <c r="I25" s="7">
        <v>0.094968</v>
      </c>
      <c r="J25" s="7">
        <v>0.043939</v>
      </c>
      <c r="K25" s="16">
        <v>11793</v>
      </c>
      <c r="L25" s="17">
        <v>2487</v>
      </c>
      <c r="M25" s="16">
        <v>47218.7</v>
      </c>
      <c r="N25" s="7">
        <v>4.74185765983112</v>
      </c>
      <c r="O25" s="7">
        <v>0.249752746263663</v>
      </c>
      <c r="P25" s="8">
        <v>214378745.6</v>
      </c>
      <c r="Q25" s="8">
        <f t="shared" si="0"/>
        <v>0.454012384076648</v>
      </c>
      <c r="R25" s="9">
        <v>2894.3</v>
      </c>
      <c r="S25" s="9">
        <v>7311.4</v>
      </c>
      <c r="T25" s="9">
        <v>10707.5</v>
      </c>
      <c r="U25" s="9">
        <v>54172</v>
      </c>
      <c r="V25" s="18">
        <v>0</v>
      </c>
      <c r="W25" s="18">
        <v>1</v>
      </c>
      <c r="X25" s="18">
        <f t="shared" si="1"/>
        <v>0</v>
      </c>
      <c r="Y25" s="12">
        <f t="shared" si="2"/>
        <v>1.2756783895882</v>
      </c>
      <c r="Z25" s="12">
        <f t="shared" si="3"/>
        <v>0.644101218785082</v>
      </c>
      <c r="AA25" s="12"/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3">
        <f t="shared" si="7"/>
        <v>1</v>
      </c>
      <c r="AL25" s="3">
        <v>1</v>
      </c>
      <c r="AM25" s="3">
        <f t="shared" si="5"/>
        <v>1</v>
      </c>
    </row>
    <row r="26" spans="1:39">
      <c r="A26" s="7">
        <v>2024</v>
      </c>
      <c r="B26" s="7" t="s">
        <v>38</v>
      </c>
      <c r="C26" s="7">
        <v>0.9315855</v>
      </c>
      <c r="D26" s="7">
        <v>0.134059</v>
      </c>
      <c r="E26" s="7">
        <v>0.044009</v>
      </c>
      <c r="F26" s="7">
        <v>0.067856</v>
      </c>
      <c r="G26" s="7">
        <v>0.034794</v>
      </c>
      <c r="H26" s="7">
        <v>0.028759</v>
      </c>
      <c r="I26" s="7">
        <v>0.097347</v>
      </c>
      <c r="J26" s="7">
        <v>0.04438</v>
      </c>
      <c r="K26" s="16">
        <v>12634.99</v>
      </c>
      <c r="L26" s="17">
        <v>2480</v>
      </c>
      <c r="M26" s="16">
        <v>53926.7</v>
      </c>
      <c r="N26" s="7">
        <v>5.09475403225806</v>
      </c>
      <c r="O26" s="7">
        <v>0.234299335950466</v>
      </c>
      <c r="P26" s="8">
        <v>211640014.7</v>
      </c>
      <c r="Q26" s="8">
        <f t="shared" si="0"/>
        <v>0.392458679466758</v>
      </c>
      <c r="R26" s="9">
        <v>2971.7</v>
      </c>
      <c r="S26" s="9">
        <v>7097.6</v>
      </c>
      <c r="T26" s="9">
        <v>12597.9</v>
      </c>
      <c r="U26" s="9">
        <v>58685</v>
      </c>
      <c r="V26" s="18">
        <v>1</v>
      </c>
      <c r="W26" s="18">
        <v>1</v>
      </c>
      <c r="X26" s="18">
        <f t="shared" si="1"/>
        <v>1</v>
      </c>
      <c r="Y26" s="12">
        <f t="shared" si="2"/>
        <v>1.21200651315194</v>
      </c>
      <c r="Z26" s="12">
        <f t="shared" si="3"/>
        <v>0.676190948474253</v>
      </c>
      <c r="AA26" s="12"/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3">
        <f t="shared" si="7"/>
        <v>1</v>
      </c>
      <c r="AL26" s="3">
        <v>1</v>
      </c>
      <c r="AM26" s="3">
        <f t="shared" si="5"/>
        <v>1</v>
      </c>
    </row>
    <row r="27" spans="1:39">
      <c r="A27" s="7">
        <v>2000</v>
      </c>
      <c r="B27" s="7" t="s">
        <v>39</v>
      </c>
      <c r="C27" s="7">
        <v>0.01025261</v>
      </c>
      <c r="D27" s="7">
        <v>0.008734</v>
      </c>
      <c r="E27" s="7">
        <v>0.00217</v>
      </c>
      <c r="F27" s="7">
        <v>0.00391</v>
      </c>
      <c r="G27" s="7">
        <v>0.001276</v>
      </c>
      <c r="H27" s="7">
        <v>0.001378</v>
      </c>
      <c r="I27" s="7">
        <v>0.008061</v>
      </c>
      <c r="J27" s="7">
        <v>0.004484</v>
      </c>
      <c r="K27" s="16">
        <v>3468.33</v>
      </c>
      <c r="L27" s="17">
        <v>4240.8</v>
      </c>
      <c r="M27" s="16">
        <v>1955.09</v>
      </c>
      <c r="N27" s="7">
        <f t="shared" ref="N27:N90" si="8">K27/L27</f>
        <v>0.8178480475382</v>
      </c>
      <c r="O27" s="7">
        <f t="shared" ref="O27:O90" si="9">K27/M27</f>
        <v>1.77400017390504</v>
      </c>
      <c r="P27" s="8">
        <v>72148289.67</v>
      </c>
      <c r="Q27" s="8">
        <f t="shared" si="0"/>
        <v>3.69027971448885</v>
      </c>
      <c r="R27" s="9">
        <v>40.1</v>
      </c>
      <c r="S27" s="9">
        <v>80.9</v>
      </c>
      <c r="T27" s="9">
        <v>142.7</v>
      </c>
      <c r="U27" s="9">
        <v>5138</v>
      </c>
      <c r="V27" s="18">
        <v>0</v>
      </c>
      <c r="W27" s="18">
        <v>0</v>
      </c>
      <c r="X27" s="18">
        <f t="shared" si="1"/>
        <v>0</v>
      </c>
      <c r="Y27" s="12">
        <f t="shared" si="2"/>
        <v>4.53658228674969</v>
      </c>
      <c r="Z27" s="12">
        <f t="shared" si="3"/>
        <v>0.186550693620767</v>
      </c>
      <c r="AA27" s="19">
        <v>3468.33</v>
      </c>
      <c r="AB27" s="19">
        <v>3062.04</v>
      </c>
      <c r="AC27" s="19">
        <v>360</v>
      </c>
      <c r="AD27" s="12">
        <v>0</v>
      </c>
      <c r="AE27" s="19">
        <v>90.79</v>
      </c>
      <c r="AF27" s="19">
        <v>19.24</v>
      </c>
      <c r="AG27" s="19">
        <v>55.46</v>
      </c>
      <c r="AH27" s="19">
        <v>11.17</v>
      </c>
      <c r="AI27" s="19">
        <v>5.17</v>
      </c>
      <c r="AJ27" s="19">
        <v>273.58</v>
      </c>
      <c r="AK27" s="3">
        <f t="shared" si="7"/>
        <v>0</v>
      </c>
      <c r="AL27" s="3">
        <v>0</v>
      </c>
      <c r="AM27" s="3">
        <f t="shared" si="5"/>
        <v>0</v>
      </c>
    </row>
    <row r="28" spans="1:39">
      <c r="A28" s="7">
        <v>2001</v>
      </c>
      <c r="B28" s="7" t="s">
        <v>39</v>
      </c>
      <c r="C28" s="7">
        <v>0.01352165</v>
      </c>
      <c r="D28" s="7">
        <v>0.009364</v>
      </c>
      <c r="E28" s="7">
        <v>0.00233</v>
      </c>
      <c r="F28" s="7">
        <v>0.004297</v>
      </c>
      <c r="G28" s="7">
        <v>0.001384</v>
      </c>
      <c r="H28" s="7">
        <v>0.001352</v>
      </c>
      <c r="I28" s="7">
        <v>0.008874</v>
      </c>
      <c r="J28" s="7">
        <v>0.004405</v>
      </c>
      <c r="K28" s="16">
        <v>3741.03</v>
      </c>
      <c r="L28" s="17">
        <v>4287.4</v>
      </c>
      <c r="M28" s="16">
        <v>2138.31</v>
      </c>
      <c r="N28" s="7">
        <f t="shared" si="8"/>
        <v>0.872563791575314</v>
      </c>
      <c r="O28" s="7">
        <f t="shared" si="9"/>
        <v>1.74952649522286</v>
      </c>
      <c r="P28" s="8">
        <v>75128763.94</v>
      </c>
      <c r="Q28" s="8">
        <f t="shared" si="0"/>
        <v>3.51346455565376</v>
      </c>
      <c r="R28" s="9">
        <v>44.7</v>
      </c>
      <c r="S28" s="9">
        <v>96.1</v>
      </c>
      <c r="T28" s="9">
        <v>159.3</v>
      </c>
      <c r="U28" s="9">
        <v>5774</v>
      </c>
      <c r="V28" s="18">
        <v>0</v>
      </c>
      <c r="W28" s="18">
        <v>0</v>
      </c>
      <c r="X28" s="18">
        <f t="shared" si="1"/>
        <v>0</v>
      </c>
      <c r="Y28" s="12">
        <f t="shared" si="2"/>
        <v>4.16809156222866</v>
      </c>
      <c r="Z28" s="12">
        <f t="shared" si="3"/>
        <v>0.157056772098566</v>
      </c>
      <c r="AA28" s="19">
        <v>3490</v>
      </c>
      <c r="AB28" s="19">
        <v>3101</v>
      </c>
      <c r="AC28" s="19">
        <v>380.36</v>
      </c>
      <c r="AD28" s="12">
        <v>0</v>
      </c>
      <c r="AE28" s="19">
        <v>111.47</v>
      </c>
      <c r="AF28" s="19">
        <v>20.55</v>
      </c>
      <c r="AG28" s="19">
        <v>114.45</v>
      </c>
      <c r="AH28" s="19">
        <v>8.68</v>
      </c>
      <c r="AI28" s="19">
        <v>5.29</v>
      </c>
      <c r="AJ28" s="19">
        <v>347.07</v>
      </c>
      <c r="AK28" s="3">
        <f t="shared" si="7"/>
        <v>0</v>
      </c>
      <c r="AL28" s="3">
        <v>0</v>
      </c>
      <c r="AM28" s="3">
        <f t="shared" si="5"/>
        <v>0</v>
      </c>
    </row>
    <row r="29" spans="1:39">
      <c r="A29" s="7">
        <v>2002</v>
      </c>
      <c r="B29" s="7" t="s">
        <v>39</v>
      </c>
      <c r="C29" s="7">
        <v>0.01116783</v>
      </c>
      <c r="D29" s="7">
        <v>0.008579</v>
      </c>
      <c r="E29" s="7">
        <v>0.002159</v>
      </c>
      <c r="F29" s="7">
        <v>0.00384</v>
      </c>
      <c r="G29" s="7">
        <v>0.001316</v>
      </c>
      <c r="H29" s="7">
        <v>0.001264</v>
      </c>
      <c r="I29" s="7">
        <v>0.008439</v>
      </c>
      <c r="J29" s="7">
        <v>0.004917</v>
      </c>
      <c r="K29" s="16">
        <v>4131.31</v>
      </c>
      <c r="L29" s="17">
        <v>4333.1</v>
      </c>
      <c r="M29" s="16">
        <v>2312.82</v>
      </c>
      <c r="N29" s="7">
        <f t="shared" si="8"/>
        <v>0.953430569338349</v>
      </c>
      <c r="O29" s="7">
        <f t="shared" si="9"/>
        <v>1.78626525194351</v>
      </c>
      <c r="P29" s="8">
        <v>78746649.47</v>
      </c>
      <c r="Q29" s="8">
        <f t="shared" si="0"/>
        <v>3.4047893683901</v>
      </c>
      <c r="R29" s="9">
        <v>45.3</v>
      </c>
      <c r="S29" s="9">
        <v>113</v>
      </c>
      <c r="T29" s="9">
        <v>182.3</v>
      </c>
      <c r="U29" s="9">
        <v>6478</v>
      </c>
      <c r="V29" s="18">
        <v>0</v>
      </c>
      <c r="W29" s="18">
        <v>0</v>
      </c>
      <c r="X29" s="18">
        <f t="shared" si="1"/>
        <v>0</v>
      </c>
      <c r="Y29" s="12">
        <f t="shared" si="2"/>
        <v>4.06804884448575</v>
      </c>
      <c r="Z29" s="12">
        <f t="shared" si="3"/>
        <v>0.163041178080913</v>
      </c>
      <c r="AA29" s="19">
        <v>4131</v>
      </c>
      <c r="AB29" s="19">
        <v>3556</v>
      </c>
      <c r="AC29" s="19">
        <v>590.14</v>
      </c>
      <c r="AD29" s="12">
        <v>0</v>
      </c>
      <c r="AE29" s="19">
        <v>97.6</v>
      </c>
      <c r="AF29" s="19">
        <v>18.95</v>
      </c>
      <c r="AG29" s="19">
        <v>179.35</v>
      </c>
      <c r="AH29" s="19">
        <v>8.53</v>
      </c>
      <c r="AI29" s="19">
        <v>5.14</v>
      </c>
      <c r="AJ29" s="19">
        <v>393.46</v>
      </c>
      <c r="AK29" s="3">
        <f t="shared" si="7"/>
        <v>0</v>
      </c>
      <c r="AL29" s="3">
        <v>0</v>
      </c>
      <c r="AM29" s="3">
        <f t="shared" si="5"/>
        <v>0</v>
      </c>
    </row>
    <row r="30" spans="1:39">
      <c r="A30" s="7">
        <v>2003</v>
      </c>
      <c r="B30" s="7" t="s">
        <v>39</v>
      </c>
      <c r="C30" s="7">
        <v>0.01969506</v>
      </c>
      <c r="D30" s="7">
        <v>0.00973</v>
      </c>
      <c r="E30" s="7">
        <v>0.002507</v>
      </c>
      <c r="F30" s="7">
        <v>0.004278</v>
      </c>
      <c r="G30" s="7">
        <v>0.001412</v>
      </c>
      <c r="H30" s="7">
        <v>0.001534</v>
      </c>
      <c r="I30" s="7">
        <v>0.010086</v>
      </c>
      <c r="J30" s="7">
        <v>0.00534</v>
      </c>
      <c r="K30" s="16">
        <v>4449.97</v>
      </c>
      <c r="L30" s="17">
        <v>4375.6</v>
      </c>
      <c r="M30" s="16">
        <v>2556.02</v>
      </c>
      <c r="N30" s="7">
        <f t="shared" si="8"/>
        <v>1.01699652619069</v>
      </c>
      <c r="O30" s="7">
        <f t="shared" si="9"/>
        <v>1.74097620519401</v>
      </c>
      <c r="P30" s="8">
        <v>93734727.01</v>
      </c>
      <c r="Q30" s="8">
        <f t="shared" si="0"/>
        <v>3.66721414582046</v>
      </c>
      <c r="R30" s="9">
        <v>46</v>
      </c>
      <c r="S30" s="9">
        <v>132.2</v>
      </c>
      <c r="T30" s="9">
        <v>206.8</v>
      </c>
      <c r="U30" s="9">
        <v>7248</v>
      </c>
      <c r="V30" s="18">
        <v>0</v>
      </c>
      <c r="W30" s="18">
        <v>0</v>
      </c>
      <c r="X30" s="18">
        <f t="shared" si="1"/>
        <v>0</v>
      </c>
      <c r="Y30" s="12">
        <f t="shared" si="2"/>
        <v>4.08414499624993</v>
      </c>
      <c r="Z30" s="12">
        <f t="shared" si="3"/>
        <v>0.10208522244247</v>
      </c>
      <c r="AA30" s="19">
        <v>4449.97</v>
      </c>
      <c r="AB30" s="19">
        <v>4613.54</v>
      </c>
      <c r="AC30" s="19">
        <v>759.23</v>
      </c>
      <c r="AD30" s="12">
        <v>0</v>
      </c>
      <c r="AE30" s="19">
        <v>106.1</v>
      </c>
      <c r="AF30" s="19">
        <v>20.02</v>
      </c>
      <c r="AG30" s="19">
        <v>207.45</v>
      </c>
      <c r="AH30" s="19">
        <v>5.69</v>
      </c>
      <c r="AI30" s="19">
        <v>5.6</v>
      </c>
      <c r="AJ30" s="19">
        <v>409.79</v>
      </c>
      <c r="AK30" s="3">
        <f t="shared" si="7"/>
        <v>0</v>
      </c>
      <c r="AL30" s="3">
        <v>0</v>
      </c>
      <c r="AM30" s="3">
        <f t="shared" ref="AM30:AM93" si="10">AK30*AL30</f>
        <v>0</v>
      </c>
    </row>
    <row r="31" spans="1:39">
      <c r="A31" s="7">
        <v>2004</v>
      </c>
      <c r="B31" s="7" t="s">
        <v>39</v>
      </c>
      <c r="C31" s="7">
        <v>0.02227083</v>
      </c>
      <c r="D31" s="7">
        <v>0.010077</v>
      </c>
      <c r="E31" s="7">
        <v>0.002543</v>
      </c>
      <c r="F31" s="7">
        <v>0.004579</v>
      </c>
      <c r="G31" s="7">
        <v>0.001639</v>
      </c>
      <c r="H31" s="7">
        <v>0.001317</v>
      </c>
      <c r="I31" s="7">
        <v>0.010465</v>
      </c>
      <c r="J31" s="7">
        <v>0.005761</v>
      </c>
      <c r="K31" s="16">
        <v>5209.81</v>
      </c>
      <c r="L31" s="17">
        <v>4415.2</v>
      </c>
      <c r="M31" s="16">
        <v>3081.91</v>
      </c>
      <c r="N31" s="7">
        <f t="shared" si="8"/>
        <v>1.17997146222142</v>
      </c>
      <c r="O31" s="7">
        <f t="shared" si="9"/>
        <v>1.69044845566548</v>
      </c>
      <c r="P31" s="8">
        <v>108853628.3</v>
      </c>
      <c r="Q31" s="8">
        <f t="shared" si="0"/>
        <v>3.5320184009267</v>
      </c>
      <c r="R31" s="9">
        <v>58.1</v>
      </c>
      <c r="S31" s="9">
        <v>154.4</v>
      </c>
      <c r="T31" s="9">
        <v>231.2</v>
      </c>
      <c r="U31" s="9">
        <v>8275</v>
      </c>
      <c r="V31" s="18">
        <v>0</v>
      </c>
      <c r="W31" s="18">
        <v>0</v>
      </c>
      <c r="X31" s="18">
        <f t="shared" si="1"/>
        <v>0</v>
      </c>
      <c r="Y31" s="12">
        <f t="shared" si="2"/>
        <v>3.89549779892895</v>
      </c>
      <c r="Z31" s="12">
        <f t="shared" si="3"/>
        <v>0.0933075608724984</v>
      </c>
      <c r="AA31" s="19">
        <v>5209.81</v>
      </c>
      <c r="AB31" s="19">
        <v>5688.54</v>
      </c>
      <c r="AC31" s="19">
        <v>1046.32</v>
      </c>
      <c r="AD31" s="19">
        <v>0.06</v>
      </c>
      <c r="AE31" s="19">
        <v>111.47</v>
      </c>
      <c r="AF31" s="19">
        <v>23.5</v>
      </c>
      <c r="AG31" s="19">
        <v>238.69</v>
      </c>
      <c r="AH31" s="19">
        <v>7.54</v>
      </c>
      <c r="AI31" s="19">
        <v>5.76</v>
      </c>
      <c r="AJ31" s="19">
        <v>475.19</v>
      </c>
      <c r="AK31" s="3">
        <f t="shared" ref="AK31:AK94" si="11">IF(A31&gt;=2013,1,0)</f>
        <v>0</v>
      </c>
      <c r="AL31" s="3">
        <v>0</v>
      </c>
      <c r="AM31" s="3">
        <f t="shared" si="10"/>
        <v>0</v>
      </c>
    </row>
    <row r="32" spans="1:39">
      <c r="A32" s="7">
        <v>2005</v>
      </c>
      <c r="B32" s="7" t="s">
        <v>39</v>
      </c>
      <c r="C32" s="7">
        <v>0.02612825</v>
      </c>
      <c r="D32" s="7">
        <v>0.010511</v>
      </c>
      <c r="E32" s="7">
        <v>0.002641</v>
      </c>
      <c r="F32" s="7">
        <v>0.004714</v>
      </c>
      <c r="G32" s="7">
        <v>0.001635</v>
      </c>
      <c r="H32" s="7">
        <v>0.00152</v>
      </c>
      <c r="I32" s="7">
        <v>0.01129</v>
      </c>
      <c r="J32" s="7">
        <v>0.005979</v>
      </c>
      <c r="K32" s="16">
        <v>6023.97</v>
      </c>
      <c r="L32" s="17">
        <v>4450.4</v>
      </c>
      <c r="M32" s="16">
        <v>3461.73</v>
      </c>
      <c r="N32" s="7">
        <f t="shared" si="8"/>
        <v>1.35357945353227</v>
      </c>
      <c r="O32" s="7">
        <f t="shared" si="9"/>
        <v>1.74016171105199</v>
      </c>
      <c r="P32" s="8">
        <v>119192719.3</v>
      </c>
      <c r="Q32" s="8">
        <f t="shared" si="0"/>
        <v>3.44315470299532</v>
      </c>
      <c r="R32" s="9">
        <v>62.8</v>
      </c>
      <c r="S32" s="9">
        <v>190.3</v>
      </c>
      <c r="T32" s="9">
        <v>246.3</v>
      </c>
      <c r="U32" s="9">
        <v>9233</v>
      </c>
      <c r="V32" s="18">
        <v>0</v>
      </c>
      <c r="W32" s="18">
        <v>0</v>
      </c>
      <c r="X32" s="18">
        <f t="shared" si="1"/>
        <v>0</v>
      </c>
      <c r="Y32" s="12">
        <f t="shared" si="2"/>
        <v>3.71995059106252</v>
      </c>
      <c r="Z32" s="12">
        <f t="shared" si="3"/>
        <v>0.0744084850837068</v>
      </c>
      <c r="AA32" s="19">
        <v>6024</v>
      </c>
      <c r="AB32" s="19">
        <v>6681.53</v>
      </c>
      <c r="AC32" s="19">
        <v>1223.36</v>
      </c>
      <c r="AD32" s="19">
        <v>0.07</v>
      </c>
      <c r="AE32" s="19">
        <v>122.95</v>
      </c>
      <c r="AF32" s="19">
        <v>28.71</v>
      </c>
      <c r="AG32" s="19">
        <v>283.9</v>
      </c>
      <c r="AH32" s="19">
        <v>3.91</v>
      </c>
      <c r="AI32" s="19">
        <v>6.12</v>
      </c>
      <c r="AJ32" s="19">
        <v>557.25</v>
      </c>
      <c r="AK32" s="3">
        <f t="shared" si="11"/>
        <v>0</v>
      </c>
      <c r="AL32" s="3">
        <v>0</v>
      </c>
      <c r="AM32" s="3">
        <f t="shared" si="10"/>
        <v>0</v>
      </c>
    </row>
    <row r="33" spans="1:39">
      <c r="A33" s="7">
        <v>2006</v>
      </c>
      <c r="B33" s="7" t="s">
        <v>39</v>
      </c>
      <c r="C33" s="7">
        <v>0.03675201</v>
      </c>
      <c r="D33" s="7">
        <v>0.012248</v>
      </c>
      <c r="E33" s="7">
        <v>0.002971</v>
      </c>
      <c r="F33" s="7">
        <v>0.005527</v>
      </c>
      <c r="G33" s="7">
        <v>0.001866</v>
      </c>
      <c r="H33" s="7">
        <v>0.001885</v>
      </c>
      <c r="I33" s="7">
        <v>0.012034</v>
      </c>
      <c r="J33" s="7">
        <v>0.006829</v>
      </c>
      <c r="K33" s="16">
        <v>6620.57</v>
      </c>
      <c r="L33" s="17">
        <v>4483</v>
      </c>
      <c r="M33" s="16">
        <v>3988.14</v>
      </c>
      <c r="N33" s="7">
        <f t="shared" si="8"/>
        <v>1.47681686370734</v>
      </c>
      <c r="O33" s="7">
        <f t="shared" si="9"/>
        <v>1.66006459151384</v>
      </c>
      <c r="P33" s="8">
        <v>141647714.3</v>
      </c>
      <c r="Q33" s="8">
        <f t="shared" si="0"/>
        <v>3.55172371832483</v>
      </c>
      <c r="R33" s="9">
        <v>65.8</v>
      </c>
      <c r="S33" s="9">
        <v>228.1</v>
      </c>
      <c r="T33" s="9">
        <v>291.2</v>
      </c>
      <c r="U33" s="9">
        <v>10728</v>
      </c>
      <c r="V33" s="18">
        <v>0</v>
      </c>
      <c r="W33" s="18">
        <v>0</v>
      </c>
      <c r="X33" s="18">
        <f t="shared" si="1"/>
        <v>0</v>
      </c>
      <c r="Y33" s="12">
        <f t="shared" si="2"/>
        <v>3.57740717995078</v>
      </c>
      <c r="Z33" s="12">
        <f t="shared" si="3"/>
        <v>0.007179350947214</v>
      </c>
      <c r="AA33" s="19">
        <v>6640.58</v>
      </c>
      <c r="AB33" s="19">
        <v>7482</v>
      </c>
      <c r="AC33" s="19">
        <v>1252.01</v>
      </c>
      <c r="AD33" s="19">
        <v>0.07</v>
      </c>
      <c r="AE33" s="19">
        <v>128.12</v>
      </c>
      <c r="AF33" s="19">
        <v>35.06</v>
      </c>
      <c r="AG33" s="19">
        <v>331.66</v>
      </c>
      <c r="AH33" s="19">
        <v>4.72</v>
      </c>
      <c r="AI33" s="19">
        <v>5.45</v>
      </c>
      <c r="AJ33" s="19">
        <v>645.62</v>
      </c>
      <c r="AK33" s="3">
        <f t="shared" si="11"/>
        <v>0</v>
      </c>
      <c r="AL33" s="3">
        <v>0</v>
      </c>
      <c r="AM33" s="3">
        <f t="shared" si="10"/>
        <v>0</v>
      </c>
    </row>
    <row r="34" spans="1:39">
      <c r="A34" s="7">
        <v>2007</v>
      </c>
      <c r="B34" s="7" t="s">
        <v>39</v>
      </c>
      <c r="C34" s="7">
        <v>0.03435567</v>
      </c>
      <c r="D34" s="7">
        <v>0.012328</v>
      </c>
      <c r="E34" s="7">
        <v>0.003155</v>
      </c>
      <c r="F34" s="7">
        <v>0.005579</v>
      </c>
      <c r="G34" s="7">
        <v>0.00178</v>
      </c>
      <c r="H34" s="7">
        <v>0.001813</v>
      </c>
      <c r="I34" s="7">
        <v>0.012134</v>
      </c>
      <c r="J34" s="7">
        <v>0.005818</v>
      </c>
      <c r="K34" s="16">
        <v>7132.63</v>
      </c>
      <c r="L34" s="17">
        <v>4514</v>
      </c>
      <c r="M34" s="16">
        <v>4772.52</v>
      </c>
      <c r="N34" s="7">
        <f t="shared" si="8"/>
        <v>1.58011298183429</v>
      </c>
      <c r="O34" s="7">
        <f t="shared" si="9"/>
        <v>1.49452071442341</v>
      </c>
      <c r="P34" s="8">
        <v>160580656.8</v>
      </c>
      <c r="Q34" s="8">
        <f t="shared" si="0"/>
        <v>3.36469321867693</v>
      </c>
      <c r="R34" s="9">
        <v>81.6</v>
      </c>
      <c r="S34" s="9">
        <v>275.3</v>
      </c>
      <c r="T34" s="9">
        <v>363.2</v>
      </c>
      <c r="U34" s="9">
        <v>13100</v>
      </c>
      <c r="V34" s="18">
        <v>0</v>
      </c>
      <c r="W34" s="18">
        <v>0</v>
      </c>
      <c r="X34" s="18">
        <f t="shared" si="1"/>
        <v>0</v>
      </c>
      <c r="Y34" s="12">
        <f t="shared" si="2"/>
        <v>3.23986794305777</v>
      </c>
      <c r="Z34" s="12">
        <f t="shared" si="3"/>
        <v>0</v>
      </c>
      <c r="AA34" s="19">
        <v>7173.26</v>
      </c>
      <c r="AB34" s="19">
        <v>7620.45</v>
      </c>
      <c r="AC34" s="19">
        <v>1377.39</v>
      </c>
      <c r="AD34" s="19">
        <v>0.11</v>
      </c>
      <c r="AE34" s="19">
        <v>158.11</v>
      </c>
      <c r="AF34" s="19">
        <v>36.18</v>
      </c>
      <c r="AG34" s="19">
        <v>382.15</v>
      </c>
      <c r="AH34" s="19">
        <v>5.04</v>
      </c>
      <c r="AI34" s="19">
        <v>5.49</v>
      </c>
      <c r="AJ34" s="19">
        <v>745.52</v>
      </c>
      <c r="AK34" s="3">
        <f t="shared" si="11"/>
        <v>0</v>
      </c>
      <c r="AL34" s="3">
        <v>0</v>
      </c>
      <c r="AM34" s="3">
        <f t="shared" si="10"/>
        <v>0</v>
      </c>
    </row>
    <row r="35" spans="1:39">
      <c r="A35" s="7">
        <v>2008</v>
      </c>
      <c r="B35" s="7" t="s">
        <v>39</v>
      </c>
      <c r="C35" s="7">
        <v>0.02901633</v>
      </c>
      <c r="D35" s="7">
        <v>0.010785</v>
      </c>
      <c r="E35" s="7">
        <v>0.0028</v>
      </c>
      <c r="F35" s="7">
        <v>0.00492</v>
      </c>
      <c r="G35" s="7">
        <v>0.001658</v>
      </c>
      <c r="H35" s="7">
        <v>0.001407</v>
      </c>
      <c r="I35" s="7">
        <v>0.012399</v>
      </c>
      <c r="J35" s="7">
        <v>0.006193</v>
      </c>
      <c r="K35" s="16">
        <v>7510.82</v>
      </c>
      <c r="L35" s="17">
        <v>4543</v>
      </c>
      <c r="M35" s="16">
        <v>5692.12</v>
      </c>
      <c r="N35" s="7">
        <f t="shared" si="8"/>
        <v>1.65327316751046</v>
      </c>
      <c r="O35" s="7">
        <f t="shared" si="9"/>
        <v>1.31951188660815</v>
      </c>
      <c r="P35" s="8">
        <v>164535197.3</v>
      </c>
      <c r="Q35" s="8">
        <f t="shared" si="0"/>
        <v>2.89057850677779</v>
      </c>
      <c r="R35" s="9">
        <v>103.6</v>
      </c>
      <c r="S35" s="9">
        <v>350.3</v>
      </c>
      <c r="T35" s="9">
        <v>443</v>
      </c>
      <c r="U35" s="9">
        <v>16220</v>
      </c>
      <c r="V35" s="18">
        <v>0</v>
      </c>
      <c r="W35" s="18">
        <v>0</v>
      </c>
      <c r="X35" s="18">
        <f t="shared" si="1"/>
        <v>0</v>
      </c>
      <c r="Y35" s="12">
        <f t="shared" si="2"/>
        <v>2.71728515287532</v>
      </c>
      <c r="Z35" s="12">
        <f t="shared" si="3"/>
        <v>0</v>
      </c>
      <c r="AA35" s="19">
        <v>7511</v>
      </c>
      <c r="AB35" s="19">
        <v>7916</v>
      </c>
      <c r="AC35" s="19">
        <v>1331.43</v>
      </c>
      <c r="AD35" s="19">
        <v>0.06</v>
      </c>
      <c r="AE35" s="19">
        <v>178.86</v>
      </c>
      <c r="AF35" s="19">
        <v>38.19</v>
      </c>
      <c r="AG35" s="19">
        <v>411.95</v>
      </c>
      <c r="AH35" s="19">
        <v>5.2</v>
      </c>
      <c r="AI35" s="19">
        <v>5.28</v>
      </c>
      <c r="AJ35" s="19">
        <v>829.44</v>
      </c>
      <c r="AK35" s="3">
        <f t="shared" si="11"/>
        <v>0</v>
      </c>
      <c r="AL35" s="3">
        <v>0</v>
      </c>
      <c r="AM35" s="3">
        <f t="shared" si="10"/>
        <v>0</v>
      </c>
    </row>
    <row r="36" spans="1:39">
      <c r="A36" s="7">
        <v>2009</v>
      </c>
      <c r="B36" s="7" t="s">
        <v>39</v>
      </c>
      <c r="C36" s="7">
        <v>0.02745206</v>
      </c>
      <c r="D36" s="7">
        <v>0.010997</v>
      </c>
      <c r="E36" s="7">
        <v>0.00285</v>
      </c>
      <c r="F36" s="7">
        <v>0.004964</v>
      </c>
      <c r="G36" s="7">
        <v>0.001692</v>
      </c>
      <c r="H36" s="7">
        <v>0.001491</v>
      </c>
      <c r="I36" s="7">
        <v>0.012041</v>
      </c>
      <c r="J36" s="7">
        <v>0.005365</v>
      </c>
      <c r="K36" s="16">
        <v>8032.06</v>
      </c>
      <c r="L36" s="17">
        <v>4571</v>
      </c>
      <c r="M36" s="16">
        <v>6169.75</v>
      </c>
      <c r="N36" s="7">
        <f t="shared" si="8"/>
        <v>1.75717786042441</v>
      </c>
      <c r="O36" s="7">
        <f t="shared" si="9"/>
        <v>1.30184529356943</v>
      </c>
      <c r="P36" s="8">
        <v>169992074.3</v>
      </c>
      <c r="Q36" s="8">
        <f t="shared" si="0"/>
        <v>2.7552506065886</v>
      </c>
      <c r="R36" s="9">
        <v>105.3</v>
      </c>
      <c r="S36" s="9">
        <v>365.7</v>
      </c>
      <c r="T36" s="9">
        <v>468.7</v>
      </c>
      <c r="U36" s="9">
        <v>16907</v>
      </c>
      <c r="V36" s="18">
        <v>0</v>
      </c>
      <c r="W36" s="18">
        <v>0</v>
      </c>
      <c r="X36" s="18">
        <f t="shared" si="1"/>
        <v>0</v>
      </c>
      <c r="Y36" s="12">
        <f t="shared" si="2"/>
        <v>2.66960201713366</v>
      </c>
      <c r="Z36" s="12">
        <f t="shared" si="3"/>
        <v>0</v>
      </c>
      <c r="AA36" s="19">
        <v>8032</v>
      </c>
      <c r="AB36" s="19">
        <v>8886</v>
      </c>
      <c r="AC36" s="19">
        <v>1276.33</v>
      </c>
      <c r="AD36" s="19">
        <v>0.07</v>
      </c>
      <c r="AE36" s="19">
        <v>193.27</v>
      </c>
      <c r="AF36" s="19">
        <v>37.24</v>
      </c>
      <c r="AG36" s="19">
        <v>437.7</v>
      </c>
      <c r="AH36" s="19">
        <v>5.16</v>
      </c>
      <c r="AI36" s="19">
        <v>4.52</v>
      </c>
      <c r="AJ36" s="19">
        <v>891.19</v>
      </c>
      <c r="AK36" s="3">
        <f t="shared" si="11"/>
        <v>0</v>
      </c>
      <c r="AL36" s="3">
        <v>0</v>
      </c>
      <c r="AM36" s="3">
        <f t="shared" si="10"/>
        <v>0</v>
      </c>
    </row>
    <row r="37" spans="1:39">
      <c r="A37" s="7">
        <v>2010</v>
      </c>
      <c r="B37" s="7" t="s">
        <v>39</v>
      </c>
      <c r="C37" s="7">
        <v>0.0394844</v>
      </c>
      <c r="D37" s="7">
        <v>0.013189</v>
      </c>
      <c r="E37" s="7">
        <v>0.003331</v>
      </c>
      <c r="F37" s="7">
        <v>0.005981</v>
      </c>
      <c r="G37" s="7">
        <v>0.002018</v>
      </c>
      <c r="H37" s="7">
        <v>0.00186</v>
      </c>
      <c r="I37" s="7">
        <v>0.012572</v>
      </c>
      <c r="J37" s="7">
        <v>0.00618</v>
      </c>
      <c r="K37" s="16">
        <v>8674.17</v>
      </c>
      <c r="L37" s="17">
        <v>4601.6</v>
      </c>
      <c r="M37" s="16">
        <v>7224.18</v>
      </c>
      <c r="N37" s="7">
        <f t="shared" si="8"/>
        <v>1.88503346662031</v>
      </c>
      <c r="O37" s="7">
        <f t="shared" si="9"/>
        <v>1.20071343737282</v>
      </c>
      <c r="P37" s="8">
        <v>181081817.6</v>
      </c>
      <c r="Q37" s="8">
        <f t="shared" si="0"/>
        <v>2.50660722185771</v>
      </c>
      <c r="R37" s="9">
        <v>132.6</v>
      </c>
      <c r="S37" s="9">
        <v>444.2</v>
      </c>
      <c r="T37" s="9">
        <v>567.4</v>
      </c>
      <c r="U37" s="9">
        <v>20418</v>
      </c>
      <c r="V37" s="18">
        <v>0</v>
      </c>
      <c r="W37" s="18">
        <v>0</v>
      </c>
      <c r="X37" s="18">
        <f t="shared" si="1"/>
        <v>0</v>
      </c>
      <c r="Y37" s="12">
        <f t="shared" si="2"/>
        <v>2.40850270516871</v>
      </c>
      <c r="Z37" s="12">
        <f t="shared" si="3"/>
        <v>0</v>
      </c>
      <c r="AA37" s="19">
        <v>8674.17</v>
      </c>
      <c r="AB37" s="19">
        <v>9349.4</v>
      </c>
      <c r="AC37" s="19">
        <v>1231.21</v>
      </c>
      <c r="AD37" s="19">
        <v>0.06</v>
      </c>
      <c r="AE37" s="19">
        <v>232.49</v>
      </c>
      <c r="AF37" s="19">
        <v>47.44</v>
      </c>
      <c r="AG37" s="19">
        <v>562.04</v>
      </c>
      <c r="AH37" s="19">
        <v>5.62</v>
      </c>
      <c r="AI37" s="19">
        <v>3.64</v>
      </c>
      <c r="AJ37" s="19">
        <v>1004.07</v>
      </c>
      <c r="AK37" s="3">
        <f t="shared" si="11"/>
        <v>0</v>
      </c>
      <c r="AL37" s="3">
        <v>0</v>
      </c>
      <c r="AM37" s="3">
        <f t="shared" si="10"/>
        <v>0</v>
      </c>
    </row>
    <row r="38" spans="1:39">
      <c r="A38" s="7">
        <v>2011</v>
      </c>
      <c r="B38" s="7" t="s">
        <v>39</v>
      </c>
      <c r="C38" s="7">
        <v>0.05270948</v>
      </c>
      <c r="D38" s="7">
        <v>0.015198</v>
      </c>
      <c r="E38" s="7">
        <v>0.003744</v>
      </c>
      <c r="F38" s="7">
        <v>0.006867</v>
      </c>
      <c r="G38" s="7">
        <v>0.00206</v>
      </c>
      <c r="H38" s="7">
        <v>0.002527</v>
      </c>
      <c r="I38" s="7">
        <v>0.014192</v>
      </c>
      <c r="J38" s="7">
        <v>0.006985</v>
      </c>
      <c r="K38" s="16">
        <v>9540.28</v>
      </c>
      <c r="L38" s="17">
        <v>4620</v>
      </c>
      <c r="M38" s="16">
        <v>8893.12</v>
      </c>
      <c r="N38" s="7">
        <f t="shared" si="8"/>
        <v>2.06499567099567</v>
      </c>
      <c r="O38" s="7">
        <f t="shared" si="9"/>
        <v>1.07277086107013</v>
      </c>
      <c r="P38" s="8">
        <v>196406396</v>
      </c>
      <c r="Q38" s="8">
        <f t="shared" si="0"/>
        <v>2.20852069914721</v>
      </c>
      <c r="R38" s="9">
        <v>152.6</v>
      </c>
      <c r="S38" s="9">
        <v>553.1</v>
      </c>
      <c r="T38" s="9">
        <v>664.6</v>
      </c>
      <c r="U38" s="9">
        <v>24233</v>
      </c>
      <c r="V38" s="18">
        <v>0</v>
      </c>
      <c r="W38" s="18">
        <v>0</v>
      </c>
      <c r="X38" s="18">
        <f t="shared" si="1"/>
        <v>0</v>
      </c>
      <c r="Y38" s="12">
        <f t="shared" si="2"/>
        <v>2.18035126729488</v>
      </c>
      <c r="Z38" s="12">
        <f t="shared" si="3"/>
        <v>0</v>
      </c>
      <c r="AA38" s="19">
        <v>9540</v>
      </c>
      <c r="AB38" s="19">
        <v>9664</v>
      </c>
      <c r="AC38" s="19">
        <v>1218.44</v>
      </c>
      <c r="AD38" s="19">
        <v>0.02</v>
      </c>
      <c r="AE38" s="19">
        <v>250.34</v>
      </c>
      <c r="AF38" s="19">
        <v>51.12</v>
      </c>
      <c r="AG38" s="19">
        <v>609.84</v>
      </c>
      <c r="AH38" s="19">
        <v>2.59</v>
      </c>
      <c r="AI38" s="19">
        <v>4.2</v>
      </c>
      <c r="AJ38" s="19">
        <v>1204</v>
      </c>
      <c r="AK38" s="3">
        <f t="shared" si="11"/>
        <v>0</v>
      </c>
      <c r="AL38" s="3">
        <v>0</v>
      </c>
      <c r="AM38" s="3">
        <f t="shared" si="10"/>
        <v>0</v>
      </c>
    </row>
    <row r="39" spans="1:39">
      <c r="A39" s="7">
        <v>2012</v>
      </c>
      <c r="B39" s="7" t="s">
        <v>39</v>
      </c>
      <c r="C39" s="7">
        <v>0.05179508</v>
      </c>
      <c r="D39" s="7">
        <v>0.014877</v>
      </c>
      <c r="E39" s="7">
        <v>0.0038</v>
      </c>
      <c r="F39" s="7">
        <v>0.006729</v>
      </c>
      <c r="G39" s="7">
        <v>0.002207</v>
      </c>
      <c r="H39" s="7">
        <v>0.00214</v>
      </c>
      <c r="I39" s="7">
        <v>0.014234</v>
      </c>
      <c r="J39" s="7">
        <v>0.007292</v>
      </c>
      <c r="K39" s="16">
        <v>10433.68</v>
      </c>
      <c r="L39" s="17">
        <v>4631</v>
      </c>
      <c r="M39" s="16">
        <v>10309.47</v>
      </c>
      <c r="N39" s="7">
        <f t="shared" si="8"/>
        <v>2.25300798963507</v>
      </c>
      <c r="O39" s="7">
        <f t="shared" si="9"/>
        <v>1.01204814602497</v>
      </c>
      <c r="P39" s="8">
        <v>212197155.4</v>
      </c>
      <c r="Q39" s="8">
        <f t="shared" si="0"/>
        <v>2.05827414406366</v>
      </c>
      <c r="R39" s="9">
        <v>174.2</v>
      </c>
      <c r="S39" s="9">
        <v>620.2</v>
      </c>
      <c r="T39" s="9">
        <v>734.1</v>
      </c>
      <c r="U39" s="9">
        <v>26839</v>
      </c>
      <c r="V39" s="18">
        <v>0</v>
      </c>
      <c r="W39" s="18">
        <v>0</v>
      </c>
      <c r="X39" s="18">
        <f t="shared" si="1"/>
        <v>0</v>
      </c>
      <c r="Y39" s="12">
        <f t="shared" si="2"/>
        <v>2.01609935715007</v>
      </c>
      <c r="Z39" s="12">
        <f t="shared" si="3"/>
        <v>0</v>
      </c>
      <c r="AA39" s="19">
        <v>10433.68</v>
      </c>
      <c r="AB39" s="19">
        <v>9850</v>
      </c>
      <c r="AC39" s="19">
        <v>1338.87</v>
      </c>
      <c r="AD39" s="19">
        <v>0.02</v>
      </c>
      <c r="AE39" s="19">
        <v>287.51</v>
      </c>
      <c r="AF39" s="19">
        <v>56.06</v>
      </c>
      <c r="AG39" s="19">
        <v>650.89</v>
      </c>
      <c r="AH39" s="19">
        <v>2.61</v>
      </c>
      <c r="AI39" s="19">
        <v>4.3</v>
      </c>
      <c r="AJ39" s="19">
        <v>1313.62</v>
      </c>
      <c r="AK39" s="3">
        <f t="shared" si="11"/>
        <v>0</v>
      </c>
      <c r="AL39" s="3">
        <v>0</v>
      </c>
      <c r="AM39" s="3">
        <f t="shared" si="10"/>
        <v>0</v>
      </c>
    </row>
    <row r="40" spans="1:39">
      <c r="A40" s="7">
        <v>2013</v>
      </c>
      <c r="B40" s="7" t="s">
        <v>39</v>
      </c>
      <c r="C40" s="7">
        <v>0.0517907</v>
      </c>
      <c r="D40" s="7">
        <v>0.01425</v>
      </c>
      <c r="E40" s="7">
        <v>0.003782</v>
      </c>
      <c r="F40" s="7">
        <v>0.006459</v>
      </c>
      <c r="G40" s="7">
        <v>0.002085</v>
      </c>
      <c r="H40" s="7">
        <v>0.001924</v>
      </c>
      <c r="I40" s="7">
        <v>0.015686</v>
      </c>
      <c r="J40" s="7">
        <v>0.007587</v>
      </c>
      <c r="K40" s="16">
        <v>10072.09</v>
      </c>
      <c r="L40" s="17">
        <v>4641</v>
      </c>
      <c r="M40" s="16">
        <v>11832.31</v>
      </c>
      <c r="N40" s="7">
        <f t="shared" si="8"/>
        <v>2.17024132730015</v>
      </c>
      <c r="O40" s="7">
        <f t="shared" si="9"/>
        <v>0.851236149154307</v>
      </c>
      <c r="P40" s="8">
        <v>221424996</v>
      </c>
      <c r="Q40" s="8">
        <f t="shared" si="0"/>
        <v>1.87135898231199</v>
      </c>
      <c r="R40" s="9">
        <v>204.7</v>
      </c>
      <c r="S40" s="9">
        <v>681</v>
      </c>
      <c r="T40" s="9">
        <v>827.6</v>
      </c>
      <c r="U40" s="9">
        <v>30005</v>
      </c>
      <c r="V40" s="18">
        <v>0</v>
      </c>
      <c r="W40" s="18">
        <v>0</v>
      </c>
      <c r="X40" s="18">
        <f t="shared" si="1"/>
        <v>0</v>
      </c>
      <c r="Y40" s="12">
        <f t="shared" si="2"/>
        <v>1.91398219724656</v>
      </c>
      <c r="Z40" s="12">
        <f t="shared" si="3"/>
        <v>0.0222693894414938</v>
      </c>
      <c r="AA40" s="19">
        <v>10072</v>
      </c>
      <c r="AB40" s="19">
        <v>9783.09</v>
      </c>
      <c r="AC40" s="19">
        <v>1347.57</v>
      </c>
      <c r="AD40" s="19">
        <v>0.03</v>
      </c>
      <c r="AE40" s="19">
        <v>280.01</v>
      </c>
      <c r="AF40" s="19">
        <v>63.73</v>
      </c>
      <c r="AG40" s="19">
        <v>559.81</v>
      </c>
      <c r="AH40" s="19">
        <v>3.24</v>
      </c>
      <c r="AI40" s="19">
        <v>4.27</v>
      </c>
      <c r="AJ40" s="19">
        <v>1459.81</v>
      </c>
      <c r="AK40" s="3">
        <f t="shared" si="11"/>
        <v>1</v>
      </c>
      <c r="AL40" s="3">
        <v>0</v>
      </c>
      <c r="AM40" s="3">
        <f t="shared" si="10"/>
        <v>0</v>
      </c>
    </row>
    <row r="41" spans="1:39">
      <c r="A41" s="7">
        <v>2014</v>
      </c>
      <c r="B41" s="7" t="s">
        <v>39</v>
      </c>
      <c r="C41" s="7">
        <v>0.05609532</v>
      </c>
      <c r="D41" s="7">
        <v>0.016055</v>
      </c>
      <c r="E41" s="7">
        <v>0.004144</v>
      </c>
      <c r="F41" s="7">
        <v>0.00728</v>
      </c>
      <c r="G41" s="7">
        <v>0.002164</v>
      </c>
      <c r="H41" s="7">
        <v>0.002468</v>
      </c>
      <c r="I41" s="7">
        <v>0.014743</v>
      </c>
      <c r="J41" s="7">
        <v>0.006759</v>
      </c>
      <c r="K41" s="16">
        <v>10454.83</v>
      </c>
      <c r="L41" s="17">
        <v>4653</v>
      </c>
      <c r="M41" s="16">
        <v>12814.59</v>
      </c>
      <c r="N41" s="7">
        <f t="shared" si="8"/>
        <v>2.24690092413497</v>
      </c>
      <c r="O41" s="7">
        <f t="shared" si="9"/>
        <v>0.815853648068335</v>
      </c>
      <c r="P41" s="8">
        <v>218347353.8</v>
      </c>
      <c r="Q41" s="8">
        <f t="shared" si="0"/>
        <v>1.70389652575697</v>
      </c>
      <c r="R41" s="9">
        <v>215.9</v>
      </c>
      <c r="S41" s="9">
        <v>714.8</v>
      </c>
      <c r="T41" s="9">
        <v>917</v>
      </c>
      <c r="U41" s="9">
        <v>32218</v>
      </c>
      <c r="V41" s="18">
        <v>0</v>
      </c>
      <c r="W41" s="18">
        <v>0</v>
      </c>
      <c r="X41" s="18">
        <f t="shared" si="1"/>
        <v>0</v>
      </c>
      <c r="Y41" s="12">
        <f t="shared" si="2"/>
        <v>1.79640226266579</v>
      </c>
      <c r="Z41" s="12">
        <f t="shared" si="3"/>
        <v>0.051495001332019</v>
      </c>
      <c r="AA41" s="19">
        <v>10454.83</v>
      </c>
      <c r="AB41" s="19">
        <v>8674.67</v>
      </c>
      <c r="AC41" s="19">
        <v>1133.78</v>
      </c>
      <c r="AD41" s="19">
        <v>0.04</v>
      </c>
      <c r="AE41" s="19">
        <v>297.74</v>
      </c>
      <c r="AF41" s="19">
        <v>77.3</v>
      </c>
      <c r="AG41" s="19">
        <v>569.13</v>
      </c>
      <c r="AH41" s="19">
        <v>3.82</v>
      </c>
      <c r="AI41" s="19">
        <v>4.63</v>
      </c>
      <c r="AJ41" s="19">
        <v>1529.38</v>
      </c>
      <c r="AK41" s="3">
        <f t="shared" si="11"/>
        <v>1</v>
      </c>
      <c r="AL41" s="3">
        <v>0</v>
      </c>
      <c r="AM41" s="3">
        <f t="shared" si="10"/>
        <v>0</v>
      </c>
    </row>
    <row r="42" spans="1:39">
      <c r="A42" s="7">
        <v>2015</v>
      </c>
      <c r="B42" s="7" t="s">
        <v>39</v>
      </c>
      <c r="C42" s="7">
        <v>0.04605358</v>
      </c>
      <c r="D42" s="7">
        <v>0.014046</v>
      </c>
      <c r="E42" s="7">
        <v>0.003463</v>
      </c>
      <c r="F42" s="7">
        <v>0.006313</v>
      </c>
      <c r="G42" s="7">
        <v>0.002068</v>
      </c>
      <c r="H42" s="7">
        <v>0.002202</v>
      </c>
      <c r="I42" s="7">
        <v>0.013963</v>
      </c>
      <c r="J42" s="7">
        <v>0.00639</v>
      </c>
      <c r="K42" s="16">
        <v>10424.69</v>
      </c>
      <c r="L42" s="17">
        <v>4663</v>
      </c>
      <c r="M42" s="16">
        <v>13619.17</v>
      </c>
      <c r="N42" s="7">
        <f t="shared" si="8"/>
        <v>2.23561870040746</v>
      </c>
      <c r="O42" s="7">
        <f t="shared" si="9"/>
        <v>0.765442387458267</v>
      </c>
      <c r="P42" s="8">
        <v>214096865.2</v>
      </c>
      <c r="Q42" s="8">
        <f t="shared" si="0"/>
        <v>1.57202579305494</v>
      </c>
      <c r="R42" s="9">
        <v>208.9</v>
      </c>
      <c r="S42" s="9">
        <v>761.1</v>
      </c>
      <c r="T42" s="9">
        <v>1041</v>
      </c>
      <c r="U42" s="9">
        <v>34883</v>
      </c>
      <c r="V42" s="18">
        <v>0</v>
      </c>
      <c r="W42" s="18">
        <v>0</v>
      </c>
      <c r="X42" s="18">
        <f t="shared" si="1"/>
        <v>0</v>
      </c>
      <c r="Y42" s="12">
        <f t="shared" si="2"/>
        <v>1.71577514742415</v>
      </c>
      <c r="Z42" s="12">
        <f t="shared" si="3"/>
        <v>0.0837809981016528</v>
      </c>
      <c r="AA42" s="19">
        <v>10425</v>
      </c>
      <c r="AB42" s="19">
        <v>7756.37</v>
      </c>
      <c r="AC42" s="19">
        <v>874.33</v>
      </c>
      <c r="AD42" s="19">
        <v>0.03</v>
      </c>
      <c r="AE42" s="19">
        <v>368.35</v>
      </c>
      <c r="AF42" s="19">
        <v>82.39</v>
      </c>
      <c r="AG42" s="19">
        <v>596.17</v>
      </c>
      <c r="AH42" s="19">
        <v>2.51</v>
      </c>
      <c r="AI42" s="19">
        <v>6.34</v>
      </c>
      <c r="AJ42" s="19">
        <v>1439</v>
      </c>
      <c r="AK42" s="3">
        <f t="shared" si="11"/>
        <v>1</v>
      </c>
      <c r="AL42" s="3">
        <v>0</v>
      </c>
      <c r="AM42" s="3">
        <f t="shared" si="10"/>
        <v>0</v>
      </c>
    </row>
    <row r="43" spans="1:39">
      <c r="A43" s="7">
        <v>2016</v>
      </c>
      <c r="B43" s="7" t="s">
        <v>39</v>
      </c>
      <c r="C43" s="7">
        <v>0.0807222</v>
      </c>
      <c r="D43" s="7">
        <v>0.01852</v>
      </c>
      <c r="E43" s="7">
        <v>0.004984</v>
      </c>
      <c r="F43" s="7">
        <v>0.008343</v>
      </c>
      <c r="G43" s="7">
        <v>0.002923</v>
      </c>
      <c r="H43" s="7">
        <v>0.002269</v>
      </c>
      <c r="I43" s="7">
        <v>0.019891</v>
      </c>
      <c r="J43" s="7">
        <v>0.009612</v>
      </c>
      <c r="K43" s="16">
        <v>10725.95</v>
      </c>
      <c r="L43" s="17">
        <v>4677</v>
      </c>
      <c r="M43" s="16">
        <v>14788.42</v>
      </c>
      <c r="N43" s="7">
        <f t="shared" si="8"/>
        <v>2.29333974770152</v>
      </c>
      <c r="O43" s="7">
        <f t="shared" si="9"/>
        <v>0.72529384477855</v>
      </c>
      <c r="P43" s="8">
        <v>209680614.5</v>
      </c>
      <c r="Q43" s="8">
        <f t="shared" si="0"/>
        <v>1.41787029648874</v>
      </c>
      <c r="R43" s="9">
        <v>221.2</v>
      </c>
      <c r="S43" s="9">
        <v>867.7</v>
      </c>
      <c r="T43" s="9">
        <v>1169.3</v>
      </c>
      <c r="U43" s="9">
        <v>38968</v>
      </c>
      <c r="V43" s="18">
        <v>0</v>
      </c>
      <c r="W43" s="18">
        <v>0</v>
      </c>
      <c r="X43" s="18">
        <f t="shared" si="1"/>
        <v>0</v>
      </c>
      <c r="Y43" s="12">
        <f t="shared" si="2"/>
        <v>1.62438398605541</v>
      </c>
      <c r="Z43" s="12">
        <f t="shared" si="3"/>
        <v>0.127133541908498</v>
      </c>
      <c r="AA43" s="19">
        <v>10726</v>
      </c>
      <c r="AB43" s="19">
        <v>7481.48</v>
      </c>
      <c r="AC43" s="19">
        <v>907.09</v>
      </c>
      <c r="AD43" s="19">
        <v>0.04</v>
      </c>
      <c r="AE43" s="19">
        <v>391.03</v>
      </c>
      <c r="AF43" s="19">
        <v>102.96</v>
      </c>
      <c r="AG43" s="19">
        <v>610.5</v>
      </c>
      <c r="AH43" s="19">
        <v>1.11</v>
      </c>
      <c r="AI43" s="19">
        <v>7.71</v>
      </c>
      <c r="AJ43" s="19">
        <v>1410.52</v>
      </c>
      <c r="AK43" s="3">
        <f t="shared" si="11"/>
        <v>1</v>
      </c>
      <c r="AL43" s="3">
        <v>0</v>
      </c>
      <c r="AM43" s="3">
        <f t="shared" si="10"/>
        <v>0</v>
      </c>
    </row>
    <row r="44" spans="1:39">
      <c r="A44" s="7">
        <v>2017</v>
      </c>
      <c r="B44" s="7" t="s">
        <v>39</v>
      </c>
      <c r="C44" s="7">
        <v>0.05730318</v>
      </c>
      <c r="D44" s="7">
        <v>0.015424</v>
      </c>
      <c r="E44" s="7">
        <v>0.003845</v>
      </c>
      <c r="F44" s="7">
        <v>0.007003</v>
      </c>
      <c r="G44" s="7">
        <v>0.002267</v>
      </c>
      <c r="H44" s="7">
        <v>0.002309</v>
      </c>
      <c r="I44" s="7">
        <v>0.016051</v>
      </c>
      <c r="J44" s="7">
        <v>0.007456</v>
      </c>
      <c r="K44" s="16">
        <v>11163.57</v>
      </c>
      <c r="L44" s="17">
        <v>4693</v>
      </c>
      <c r="M44" s="16">
        <v>16376.34</v>
      </c>
      <c r="N44" s="7">
        <f t="shared" si="8"/>
        <v>2.37877050926912</v>
      </c>
      <c r="O44" s="7">
        <f t="shared" si="9"/>
        <v>0.681688948812738</v>
      </c>
      <c r="P44" s="8">
        <v>211404764.9</v>
      </c>
      <c r="Q44" s="8">
        <f t="shared" si="0"/>
        <v>1.2909158267354</v>
      </c>
      <c r="R44" s="9">
        <v>238.4</v>
      </c>
      <c r="S44" s="9">
        <v>975.7</v>
      </c>
      <c r="T44" s="9">
        <v>1251</v>
      </c>
      <c r="U44" s="9">
        <v>42211</v>
      </c>
      <c r="V44" s="18">
        <v>1</v>
      </c>
      <c r="W44" s="18">
        <v>0</v>
      </c>
      <c r="X44" s="18">
        <f t="shared" si="1"/>
        <v>0</v>
      </c>
      <c r="Y44" s="12">
        <f t="shared" si="2"/>
        <v>1.56738551218677</v>
      </c>
      <c r="Z44" s="12">
        <f t="shared" si="3"/>
        <v>0.176389078054988</v>
      </c>
      <c r="AA44" s="19">
        <v>11164</v>
      </c>
      <c r="AB44" s="19">
        <v>7396.26</v>
      </c>
      <c r="AC44" s="19">
        <v>952.31</v>
      </c>
      <c r="AD44" s="19">
        <v>401.96</v>
      </c>
      <c r="AE44" s="19">
        <v>395.84</v>
      </c>
      <c r="AF44" s="19">
        <v>113.82</v>
      </c>
      <c r="AG44" s="19">
        <v>610.83</v>
      </c>
      <c r="AH44" s="19">
        <v>0.57</v>
      </c>
      <c r="AI44" s="19">
        <v>9.69</v>
      </c>
      <c r="AJ44" s="19">
        <v>1538.1</v>
      </c>
      <c r="AK44" s="3">
        <f t="shared" si="11"/>
        <v>1</v>
      </c>
      <c r="AL44" s="3">
        <v>0</v>
      </c>
      <c r="AM44" s="3">
        <f t="shared" si="10"/>
        <v>0</v>
      </c>
    </row>
    <row r="45" spans="1:39">
      <c r="A45" s="7">
        <v>2018</v>
      </c>
      <c r="B45" s="7" t="s">
        <v>39</v>
      </c>
      <c r="C45" s="7">
        <v>0.07235633</v>
      </c>
      <c r="D45" s="7">
        <v>0.018514</v>
      </c>
      <c r="E45" s="7">
        <v>0.004846</v>
      </c>
      <c r="F45" s="7">
        <v>0.008266</v>
      </c>
      <c r="G45" s="7">
        <v>0.00259</v>
      </c>
      <c r="H45" s="7">
        <v>0.002813</v>
      </c>
      <c r="I45" s="7">
        <v>0.01714</v>
      </c>
      <c r="J45" s="7">
        <v>0.00764</v>
      </c>
      <c r="K45" s="16">
        <v>11590.02</v>
      </c>
      <c r="L45" s="17">
        <v>4703</v>
      </c>
      <c r="M45" s="16">
        <v>17881.12</v>
      </c>
      <c r="N45" s="7">
        <f t="shared" si="8"/>
        <v>2.46438868807144</v>
      </c>
      <c r="O45" s="7">
        <f t="shared" si="9"/>
        <v>0.648170808092558</v>
      </c>
      <c r="P45" s="8">
        <v>216118097.9</v>
      </c>
      <c r="Q45" s="8">
        <f t="shared" si="0"/>
        <v>1.20863848517319</v>
      </c>
      <c r="R45" s="9">
        <v>268.1</v>
      </c>
      <c r="S45" s="9">
        <v>1093.7</v>
      </c>
      <c r="T45" s="9">
        <v>1386.2</v>
      </c>
      <c r="U45" s="9">
        <v>46854</v>
      </c>
      <c r="V45" s="18">
        <v>1</v>
      </c>
      <c r="W45" s="18">
        <v>0</v>
      </c>
      <c r="X45" s="18">
        <f t="shared" si="1"/>
        <v>0</v>
      </c>
      <c r="Y45" s="12">
        <f t="shared" si="2"/>
        <v>1.51591455826218</v>
      </c>
      <c r="Z45" s="12">
        <f t="shared" si="3"/>
        <v>0.202700126741472</v>
      </c>
      <c r="AA45" s="19">
        <v>11590</v>
      </c>
      <c r="AB45" s="19">
        <v>7402.33</v>
      </c>
      <c r="AC45" s="19">
        <v>1064.75</v>
      </c>
      <c r="AD45" s="19">
        <v>1010.03</v>
      </c>
      <c r="AE45" s="19">
        <v>426.64</v>
      </c>
      <c r="AF45" s="19">
        <v>122.56</v>
      </c>
      <c r="AG45" s="19">
        <v>628.65</v>
      </c>
      <c r="AH45" s="19">
        <v>1.77</v>
      </c>
      <c r="AI45" s="19">
        <v>13</v>
      </c>
      <c r="AJ45" s="19">
        <v>1679.08</v>
      </c>
      <c r="AK45" s="3">
        <f t="shared" si="11"/>
        <v>1</v>
      </c>
      <c r="AL45" s="3">
        <v>0</v>
      </c>
      <c r="AM45" s="3">
        <f t="shared" si="10"/>
        <v>0</v>
      </c>
    </row>
    <row r="46" spans="1:39">
      <c r="A46" s="7">
        <v>2019</v>
      </c>
      <c r="B46" s="7" t="s">
        <v>39</v>
      </c>
      <c r="C46" s="7">
        <v>0.07207046</v>
      </c>
      <c r="D46" s="7">
        <v>0.018757</v>
      </c>
      <c r="E46" s="7">
        <v>0.004861</v>
      </c>
      <c r="F46" s="7">
        <v>0.008826</v>
      </c>
      <c r="G46" s="7">
        <v>0.002778</v>
      </c>
      <c r="H46" s="7">
        <v>0.002292</v>
      </c>
      <c r="I46" s="7">
        <v>0.016755</v>
      </c>
      <c r="J46" s="7">
        <v>0.007961</v>
      </c>
      <c r="K46" s="16">
        <v>12178.57</v>
      </c>
      <c r="L46" s="17">
        <v>4714</v>
      </c>
      <c r="M46" s="16">
        <v>23223.75</v>
      </c>
      <c r="N46" s="7">
        <f t="shared" si="8"/>
        <v>2.58348960543063</v>
      </c>
      <c r="O46" s="7">
        <f t="shared" si="9"/>
        <v>0.524401528607568</v>
      </c>
      <c r="P46" s="8">
        <v>215608520.9</v>
      </c>
      <c r="Q46" s="8">
        <f t="shared" si="0"/>
        <v>0.928396666774315</v>
      </c>
      <c r="R46" s="9">
        <v>301.9</v>
      </c>
      <c r="S46" s="9">
        <v>1153.9</v>
      </c>
      <c r="T46" s="9">
        <v>1485.3</v>
      </c>
      <c r="U46" s="9">
        <v>49976</v>
      </c>
      <c r="V46" s="18">
        <v>1</v>
      </c>
      <c r="W46" s="18">
        <v>0</v>
      </c>
      <c r="X46" s="18">
        <f t="shared" si="1"/>
        <v>0</v>
      </c>
      <c r="Y46" s="12">
        <f t="shared" si="2"/>
        <v>1.5000536746505</v>
      </c>
      <c r="Z46" s="12">
        <f t="shared" si="3"/>
        <v>0.381091035298704</v>
      </c>
      <c r="AA46" s="19">
        <v>12158</v>
      </c>
      <c r="AB46" s="19">
        <v>7532.73</v>
      </c>
      <c r="AC46" s="19">
        <v>1120.29</v>
      </c>
      <c r="AD46" s="19">
        <v>1086.58</v>
      </c>
      <c r="AE46" s="19">
        <v>467.34</v>
      </c>
      <c r="AF46" s="19">
        <v>127.65</v>
      </c>
      <c r="AG46" s="19">
        <v>673.37</v>
      </c>
      <c r="AH46" s="19">
        <v>0.23</v>
      </c>
      <c r="AI46" s="19">
        <v>16.47</v>
      </c>
      <c r="AJ46" s="19">
        <v>1812.26</v>
      </c>
      <c r="AK46" s="3">
        <f t="shared" si="11"/>
        <v>1</v>
      </c>
      <c r="AL46" s="3">
        <v>0</v>
      </c>
      <c r="AM46" s="3">
        <f t="shared" si="10"/>
        <v>0</v>
      </c>
    </row>
    <row r="47" spans="1:39">
      <c r="A47" s="7">
        <v>2020</v>
      </c>
      <c r="B47" s="7" t="s">
        <v>39</v>
      </c>
      <c r="C47" s="7">
        <v>0.07458692</v>
      </c>
      <c r="D47" s="7">
        <v>0.018291</v>
      </c>
      <c r="E47" s="7">
        <v>0.004565</v>
      </c>
      <c r="F47" s="7">
        <v>0.008119</v>
      </c>
      <c r="G47" s="7">
        <v>0.002909</v>
      </c>
      <c r="H47" s="7">
        <v>0.002699</v>
      </c>
      <c r="I47" s="7">
        <v>0.017239</v>
      </c>
      <c r="J47" s="7">
        <v>0.008681</v>
      </c>
      <c r="K47" s="16">
        <v>13006.71</v>
      </c>
      <c r="L47" s="17">
        <v>4722.22</v>
      </c>
      <c r="M47" s="16">
        <v>24521.9</v>
      </c>
      <c r="N47" s="7">
        <f t="shared" si="8"/>
        <v>2.75436341381808</v>
      </c>
      <c r="O47" s="7">
        <f t="shared" si="9"/>
        <v>0.530411999070219</v>
      </c>
      <c r="P47" s="8">
        <v>214011019</v>
      </c>
      <c r="Q47" s="8">
        <f t="shared" si="0"/>
        <v>0.872734245715055</v>
      </c>
      <c r="R47" s="9">
        <v>338</v>
      </c>
      <c r="S47" s="9">
        <v>1143.2</v>
      </c>
      <c r="T47" s="9">
        <v>1528.6</v>
      </c>
      <c r="U47" s="9">
        <v>50845</v>
      </c>
      <c r="V47" s="18">
        <v>1</v>
      </c>
      <c r="W47" s="18">
        <v>0</v>
      </c>
      <c r="X47" s="18">
        <f t="shared" si="1"/>
        <v>0</v>
      </c>
      <c r="Y47" s="12">
        <f t="shared" si="2"/>
        <v>1.47141701078949</v>
      </c>
      <c r="Z47" s="12">
        <f t="shared" si="3"/>
        <v>0.40687497880238</v>
      </c>
      <c r="AA47" s="19">
        <v>12981.94</v>
      </c>
      <c r="AB47" s="19">
        <v>8201.22</v>
      </c>
      <c r="AC47" s="19">
        <v>1216.96</v>
      </c>
      <c r="AD47" s="19">
        <v>1027.62</v>
      </c>
      <c r="AE47" s="19">
        <v>467.21</v>
      </c>
      <c r="AF47" s="19">
        <v>94.56</v>
      </c>
      <c r="AG47" s="19">
        <v>672.61</v>
      </c>
      <c r="AH47" s="19">
        <v>0.01</v>
      </c>
      <c r="AI47" s="19">
        <v>18.7</v>
      </c>
      <c r="AJ47" s="19">
        <v>2025</v>
      </c>
      <c r="AK47" s="3">
        <f t="shared" si="11"/>
        <v>1</v>
      </c>
      <c r="AL47" s="3">
        <v>0</v>
      </c>
      <c r="AM47" s="3">
        <f t="shared" si="10"/>
        <v>0</v>
      </c>
    </row>
    <row r="48" spans="1:39">
      <c r="A48" s="7">
        <v>2021</v>
      </c>
      <c r="B48" s="7" t="s">
        <v>39</v>
      </c>
      <c r="C48" s="7">
        <v>0.08498067</v>
      </c>
      <c r="D48" s="7">
        <v>0.019299</v>
      </c>
      <c r="E48" s="7">
        <v>0.004874</v>
      </c>
      <c r="F48" s="7">
        <v>0.00863</v>
      </c>
      <c r="G48" s="7">
        <v>0.002733</v>
      </c>
      <c r="H48" s="7">
        <v>0.003061</v>
      </c>
      <c r="I48" s="7">
        <v>0.019337</v>
      </c>
      <c r="J48" s="7">
        <v>0.009937</v>
      </c>
      <c r="K48" s="16">
        <v>13448.94</v>
      </c>
      <c r="L48" s="17">
        <v>4690</v>
      </c>
      <c r="M48" s="16">
        <v>27146.8</v>
      </c>
      <c r="N48" s="7">
        <f t="shared" si="8"/>
        <v>2.86757782515991</v>
      </c>
      <c r="O48" s="7">
        <f t="shared" si="9"/>
        <v>0.495415297567301</v>
      </c>
      <c r="P48" s="8">
        <v>217178002.5</v>
      </c>
      <c r="Q48" s="8">
        <f t="shared" si="0"/>
        <v>0.800013270440715</v>
      </c>
      <c r="R48" s="9">
        <v>353.6</v>
      </c>
      <c r="S48" s="9">
        <v>1364.7</v>
      </c>
      <c r="T48" s="9">
        <v>1666.7</v>
      </c>
      <c r="U48" s="9">
        <v>57036</v>
      </c>
      <c r="V48" s="18">
        <v>1</v>
      </c>
      <c r="W48" s="18">
        <v>0</v>
      </c>
      <c r="X48" s="18">
        <f t="shared" si="1"/>
        <v>0</v>
      </c>
      <c r="Y48" s="12">
        <f t="shared" si="2"/>
        <v>1.36781889095748</v>
      </c>
      <c r="Z48" s="12">
        <f t="shared" si="3"/>
        <v>0.415117545363989</v>
      </c>
      <c r="AA48" s="19">
        <v>13426.35</v>
      </c>
      <c r="AB48" s="19">
        <v>7926.43</v>
      </c>
      <c r="AC48" s="19">
        <v>1180.27</v>
      </c>
      <c r="AD48" s="19">
        <v>976.39</v>
      </c>
      <c r="AE48" s="19">
        <v>520.09</v>
      </c>
      <c r="AF48" s="19">
        <v>92.76</v>
      </c>
      <c r="AG48" s="19">
        <v>669.95</v>
      </c>
      <c r="AH48" s="19">
        <v>0.04</v>
      </c>
      <c r="AI48" s="19">
        <v>21.14</v>
      </c>
      <c r="AJ48" s="19">
        <v>2139</v>
      </c>
      <c r="AK48" s="3">
        <f t="shared" si="11"/>
        <v>1</v>
      </c>
      <c r="AL48" s="3">
        <v>0</v>
      </c>
      <c r="AM48" s="3">
        <f t="shared" si="10"/>
        <v>0</v>
      </c>
    </row>
    <row r="49" spans="1:39">
      <c r="A49" s="7">
        <v>2022</v>
      </c>
      <c r="B49" s="7" t="s">
        <v>39</v>
      </c>
      <c r="C49" s="7">
        <v>0.07969991</v>
      </c>
      <c r="D49" s="7">
        <v>0.01915</v>
      </c>
      <c r="E49" s="7">
        <v>0.004619</v>
      </c>
      <c r="F49" s="7">
        <v>0.008701</v>
      </c>
      <c r="G49" s="7">
        <v>0.00293</v>
      </c>
      <c r="H49" s="7">
        <v>0.002899</v>
      </c>
      <c r="I49" s="7">
        <v>0.01869</v>
      </c>
      <c r="J49" s="7">
        <v>0.008541</v>
      </c>
      <c r="K49" s="16">
        <v>14188.64</v>
      </c>
      <c r="L49" s="17">
        <v>4693</v>
      </c>
      <c r="M49" s="16">
        <v>28954.2</v>
      </c>
      <c r="N49" s="7">
        <f t="shared" si="8"/>
        <v>3.0233624547198</v>
      </c>
      <c r="O49" s="7">
        <f t="shared" si="9"/>
        <v>0.490037369362649</v>
      </c>
      <c r="P49" s="8">
        <v>209498947.3</v>
      </c>
      <c r="Q49" s="8">
        <f t="shared" si="0"/>
        <v>0.723552877648148</v>
      </c>
      <c r="R49" s="9">
        <v>379.2</v>
      </c>
      <c r="S49" s="9">
        <v>1591</v>
      </c>
      <c r="T49" s="9">
        <v>1653</v>
      </c>
      <c r="U49" s="9">
        <v>60946</v>
      </c>
      <c r="V49" s="18">
        <v>1</v>
      </c>
      <c r="W49" s="18">
        <v>0</v>
      </c>
      <c r="X49" s="18">
        <f t="shared" si="1"/>
        <v>0</v>
      </c>
      <c r="Y49" s="12">
        <f t="shared" si="2"/>
        <v>1.27047633725244</v>
      </c>
      <c r="Z49" s="12">
        <f t="shared" si="3"/>
        <v>0.430486931214381</v>
      </c>
      <c r="AA49" s="19">
        <v>14158.5344493282</v>
      </c>
      <c r="AB49" s="19">
        <v>7860.79</v>
      </c>
      <c r="AC49" s="19">
        <v>1121.45</v>
      </c>
      <c r="AD49" s="19">
        <v>1003.31</v>
      </c>
      <c r="AE49" s="19">
        <v>499.8</v>
      </c>
      <c r="AF49" s="19">
        <v>63.81</v>
      </c>
      <c r="AG49" s="19">
        <v>644.95</v>
      </c>
      <c r="AH49" s="19">
        <v>0.11</v>
      </c>
      <c r="AI49" s="19">
        <v>23.93</v>
      </c>
      <c r="AJ49" s="19">
        <v>2389.52</v>
      </c>
      <c r="AK49" s="3">
        <f t="shared" si="11"/>
        <v>1</v>
      </c>
      <c r="AL49" s="3">
        <v>0</v>
      </c>
      <c r="AM49" s="3">
        <f t="shared" si="10"/>
        <v>0</v>
      </c>
    </row>
    <row r="50" spans="1:39">
      <c r="A50" s="7">
        <v>2023</v>
      </c>
      <c r="B50" s="7" t="s">
        <v>39</v>
      </c>
      <c r="C50" s="7">
        <v>0.09789399</v>
      </c>
      <c r="D50" s="7">
        <v>0.020159</v>
      </c>
      <c r="E50" s="7">
        <v>0.005521</v>
      </c>
      <c r="F50" s="7">
        <v>0.00993</v>
      </c>
      <c r="G50" s="7">
        <v>0.004286</v>
      </c>
      <c r="H50" s="7">
        <v>0.003896</v>
      </c>
      <c r="I50" s="7">
        <v>0.019202</v>
      </c>
      <c r="J50" s="7">
        <v>0.008302</v>
      </c>
      <c r="K50" s="16">
        <v>14500.78</v>
      </c>
      <c r="L50" s="17">
        <v>4673</v>
      </c>
      <c r="M50" s="16">
        <v>30021.1</v>
      </c>
      <c r="N50" s="7">
        <f t="shared" si="8"/>
        <v>3.10309865182966</v>
      </c>
      <c r="O50" s="7">
        <f t="shared" si="9"/>
        <v>0.483019609541289</v>
      </c>
      <c r="P50" s="8">
        <v>213411116.2</v>
      </c>
      <c r="Q50" s="8">
        <f t="shared" si="0"/>
        <v>0.71087040847937</v>
      </c>
      <c r="R50" s="9">
        <v>387</v>
      </c>
      <c r="S50" s="9">
        <v>1612.8</v>
      </c>
      <c r="T50" s="9">
        <v>1799.2</v>
      </c>
      <c r="U50" s="9">
        <v>63903</v>
      </c>
      <c r="V50" s="18">
        <v>1</v>
      </c>
      <c r="W50" s="18">
        <v>0</v>
      </c>
      <c r="X50" s="18">
        <f t="shared" si="1"/>
        <v>0</v>
      </c>
      <c r="Y50" s="12">
        <f t="shared" si="2"/>
        <v>1.2756783895882</v>
      </c>
      <c r="Z50" s="12">
        <f t="shared" si="3"/>
        <v>0.442751077166991</v>
      </c>
      <c r="AA50" s="12"/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3">
        <f t="shared" si="11"/>
        <v>1</v>
      </c>
      <c r="AL50" s="3">
        <v>0</v>
      </c>
      <c r="AM50" s="3">
        <f t="shared" si="10"/>
        <v>0</v>
      </c>
    </row>
    <row r="51" spans="1:39">
      <c r="A51" s="7">
        <v>2024</v>
      </c>
      <c r="B51" s="7" t="s">
        <v>39</v>
      </c>
      <c r="C51" s="7">
        <v>0.1048481</v>
      </c>
      <c r="D51" s="7">
        <v>0.020515</v>
      </c>
      <c r="E51" s="7">
        <v>0.00569</v>
      </c>
      <c r="F51" s="7">
        <v>0.010327</v>
      </c>
      <c r="G51" s="7">
        <v>0.004795</v>
      </c>
      <c r="H51" s="7">
        <v>0.004221</v>
      </c>
      <c r="I51" s="7">
        <v>0.019671</v>
      </c>
      <c r="J51" s="7">
        <v>0.008482</v>
      </c>
      <c r="K51" s="16">
        <v>14812.92</v>
      </c>
      <c r="L51" s="17">
        <v>4655</v>
      </c>
      <c r="M51" s="16">
        <v>31534.1</v>
      </c>
      <c r="N51" s="7">
        <f t="shared" si="8"/>
        <v>3.18215252416756</v>
      </c>
      <c r="O51" s="7">
        <f t="shared" si="9"/>
        <v>0.469742913227268</v>
      </c>
      <c r="P51" s="8">
        <v>214667509.2</v>
      </c>
      <c r="Q51" s="8">
        <f t="shared" si="0"/>
        <v>0.680747220310711</v>
      </c>
      <c r="R51" s="9">
        <v>359.1</v>
      </c>
      <c r="S51" s="9">
        <v>1662.4</v>
      </c>
      <c r="T51" s="9">
        <v>1929.3</v>
      </c>
      <c r="U51" s="9">
        <v>66568</v>
      </c>
      <c r="V51" s="18">
        <v>1</v>
      </c>
      <c r="W51" s="18">
        <v>0</v>
      </c>
      <c r="X51" s="18">
        <f t="shared" si="1"/>
        <v>0</v>
      </c>
      <c r="Y51" s="12">
        <f t="shared" si="2"/>
        <v>1.21200651315194</v>
      </c>
      <c r="Z51" s="12">
        <f t="shared" si="3"/>
        <v>0.438330394330669</v>
      </c>
      <c r="AA51" s="12"/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3">
        <f t="shared" si="11"/>
        <v>1</v>
      </c>
      <c r="AL51" s="3">
        <v>0</v>
      </c>
      <c r="AM51" s="3">
        <f t="shared" si="10"/>
        <v>0</v>
      </c>
    </row>
    <row r="52" spans="1:39">
      <c r="A52" s="7">
        <v>2000</v>
      </c>
      <c r="B52" s="7" t="s">
        <v>40</v>
      </c>
      <c r="C52" s="7">
        <v>0.01621905</v>
      </c>
      <c r="D52" s="7">
        <v>0.009834</v>
      </c>
      <c r="E52" s="7">
        <v>0.002489</v>
      </c>
      <c r="F52" s="7">
        <v>0.004446</v>
      </c>
      <c r="G52" s="7">
        <v>0.001373</v>
      </c>
      <c r="H52" s="7">
        <v>0.001526</v>
      </c>
      <c r="I52" s="7">
        <v>0.008958</v>
      </c>
      <c r="J52" s="7">
        <v>0.004574</v>
      </c>
      <c r="K52" s="16">
        <v>3549</v>
      </c>
      <c r="L52" s="17">
        <v>2372</v>
      </c>
      <c r="M52" s="16">
        <v>1401.01</v>
      </c>
      <c r="N52" s="7">
        <f t="shared" si="8"/>
        <v>1.49620573355818</v>
      </c>
      <c r="O52" s="7">
        <f t="shared" si="9"/>
        <v>2.53317249698432</v>
      </c>
      <c r="P52" s="8">
        <v>139033346.4</v>
      </c>
      <c r="Q52" s="8">
        <f t="shared" si="0"/>
        <v>9.92379400575299</v>
      </c>
      <c r="R52" s="9">
        <v>784.9</v>
      </c>
      <c r="S52" s="9">
        <v>1293.2</v>
      </c>
      <c r="T52" s="9">
        <v>1473.4</v>
      </c>
      <c r="U52" s="9">
        <v>5590</v>
      </c>
      <c r="V52" s="18">
        <v>0</v>
      </c>
      <c r="W52" s="18">
        <v>1</v>
      </c>
      <c r="X52" s="18">
        <f t="shared" si="1"/>
        <v>0</v>
      </c>
      <c r="Y52" s="12">
        <f t="shared" si="2"/>
        <v>4.53658228674969</v>
      </c>
      <c r="Z52" s="12">
        <f t="shared" si="3"/>
        <v>0</v>
      </c>
      <c r="AA52" s="19">
        <v>3549.33</v>
      </c>
      <c r="AB52" s="19">
        <v>5907.99</v>
      </c>
      <c r="AC52" s="19">
        <v>286.47</v>
      </c>
      <c r="AD52" s="19">
        <v>126.26</v>
      </c>
      <c r="AE52" s="19">
        <v>64.81</v>
      </c>
      <c r="AF52" s="19">
        <v>1.55</v>
      </c>
      <c r="AG52" s="19">
        <v>68.73</v>
      </c>
      <c r="AH52" s="19">
        <v>30.99</v>
      </c>
      <c r="AI52" s="19">
        <v>0.01</v>
      </c>
      <c r="AJ52" s="19">
        <v>254.21</v>
      </c>
      <c r="AK52" s="3">
        <f t="shared" si="11"/>
        <v>0</v>
      </c>
      <c r="AL52" s="3">
        <v>0</v>
      </c>
      <c r="AM52" s="3">
        <f t="shared" si="10"/>
        <v>0</v>
      </c>
    </row>
    <row r="53" spans="1:39">
      <c r="A53" s="7">
        <v>2001</v>
      </c>
      <c r="B53" s="7" t="s">
        <v>40</v>
      </c>
      <c r="C53" s="7">
        <v>0.01336531</v>
      </c>
      <c r="D53" s="7">
        <v>0.008707</v>
      </c>
      <c r="E53" s="7">
        <v>0.002232</v>
      </c>
      <c r="F53" s="7">
        <v>0.003889</v>
      </c>
      <c r="G53" s="7">
        <v>0.001288</v>
      </c>
      <c r="H53" s="7">
        <v>0.001298</v>
      </c>
      <c r="I53" s="7">
        <v>0.00975</v>
      </c>
      <c r="J53" s="7">
        <v>0.004812</v>
      </c>
      <c r="K53" s="16">
        <v>4073</v>
      </c>
      <c r="L53" s="17">
        <v>2381.45</v>
      </c>
      <c r="M53" s="16">
        <v>1713.81</v>
      </c>
      <c r="N53" s="7">
        <f t="shared" si="8"/>
        <v>1.71030254676773</v>
      </c>
      <c r="O53" s="7">
        <f t="shared" si="9"/>
        <v>2.37657616655289</v>
      </c>
      <c r="P53" s="8">
        <v>141565510.7</v>
      </c>
      <c r="Q53" s="8">
        <f t="shared" si="0"/>
        <v>8.26028035196434</v>
      </c>
      <c r="R53" s="9">
        <v>825.7</v>
      </c>
      <c r="S53" s="9">
        <v>1412.8</v>
      </c>
      <c r="T53" s="9">
        <v>1593.4</v>
      </c>
      <c r="U53" s="9">
        <v>6120</v>
      </c>
      <c r="V53" s="18">
        <v>0</v>
      </c>
      <c r="W53" s="18">
        <v>1</v>
      </c>
      <c r="X53" s="18">
        <f t="shared" si="1"/>
        <v>0</v>
      </c>
      <c r="Y53" s="12">
        <f t="shared" si="2"/>
        <v>4.16809156222866</v>
      </c>
      <c r="Z53" s="12">
        <f t="shared" si="3"/>
        <v>0</v>
      </c>
      <c r="AA53" s="19">
        <v>4073</v>
      </c>
      <c r="AB53" s="19">
        <v>6265</v>
      </c>
      <c r="AC53" s="19">
        <v>312.81</v>
      </c>
      <c r="AD53" s="19">
        <v>133.07</v>
      </c>
      <c r="AE53" s="19">
        <v>72.1</v>
      </c>
      <c r="AF53" s="19">
        <v>1.56</v>
      </c>
      <c r="AG53" s="19">
        <v>87.77</v>
      </c>
      <c r="AH53" s="19">
        <v>33.48</v>
      </c>
      <c r="AI53" s="19">
        <v>0.14</v>
      </c>
      <c r="AJ53" s="19">
        <v>279.68</v>
      </c>
      <c r="AK53" s="3">
        <f t="shared" si="11"/>
        <v>0</v>
      </c>
      <c r="AL53" s="3">
        <v>0</v>
      </c>
      <c r="AM53" s="3">
        <f t="shared" si="10"/>
        <v>0</v>
      </c>
    </row>
    <row r="54" spans="1:39">
      <c r="A54" s="7">
        <v>2002</v>
      </c>
      <c r="B54" s="7" t="s">
        <v>40</v>
      </c>
      <c r="C54" s="7">
        <v>0.0172606</v>
      </c>
      <c r="D54" s="7">
        <v>0.009743</v>
      </c>
      <c r="E54" s="7">
        <v>0.002412</v>
      </c>
      <c r="F54" s="7">
        <v>0.004393</v>
      </c>
      <c r="G54" s="7">
        <v>0.00148</v>
      </c>
      <c r="H54" s="7">
        <v>0.001457</v>
      </c>
      <c r="I54" s="7">
        <v>0.009999</v>
      </c>
      <c r="J54" s="7">
        <v>0.004493</v>
      </c>
      <c r="K54" s="16">
        <v>4560</v>
      </c>
      <c r="L54" s="17">
        <v>2384.05</v>
      </c>
      <c r="M54" s="16">
        <v>1940.94</v>
      </c>
      <c r="N54" s="7">
        <f t="shared" si="8"/>
        <v>1.9127115622575</v>
      </c>
      <c r="O54" s="7">
        <f t="shared" si="9"/>
        <v>2.34937710593836</v>
      </c>
      <c r="P54" s="8">
        <v>155354833.8</v>
      </c>
      <c r="Q54" s="8">
        <f t="shared" si="0"/>
        <v>8.0041028470741</v>
      </c>
      <c r="R54" s="9">
        <v>847.3</v>
      </c>
      <c r="S54" s="9">
        <v>1523.5</v>
      </c>
      <c r="T54" s="9">
        <v>1780.8</v>
      </c>
      <c r="U54" s="9">
        <v>6734</v>
      </c>
      <c r="V54" s="18">
        <v>0</v>
      </c>
      <c r="W54" s="18">
        <v>1</v>
      </c>
      <c r="X54" s="18">
        <f t="shared" si="1"/>
        <v>0</v>
      </c>
      <c r="Y54" s="12">
        <f t="shared" si="2"/>
        <v>4.06804884448575</v>
      </c>
      <c r="Z54" s="12">
        <f t="shared" si="3"/>
        <v>0</v>
      </c>
      <c r="AA54" s="19">
        <v>4560</v>
      </c>
      <c r="AB54" s="19">
        <v>6864</v>
      </c>
      <c r="AC54" s="19">
        <v>393.58</v>
      </c>
      <c r="AD54" s="19">
        <v>126.05</v>
      </c>
      <c r="AE54" s="19">
        <v>79.35</v>
      </c>
      <c r="AF54" s="19">
        <v>1.58</v>
      </c>
      <c r="AG54" s="19">
        <v>96.87</v>
      </c>
      <c r="AH54" s="19">
        <v>39.06</v>
      </c>
      <c r="AI54" s="19">
        <v>0.22</v>
      </c>
      <c r="AJ54" s="19">
        <v>320.44</v>
      </c>
      <c r="AK54" s="3">
        <f t="shared" si="11"/>
        <v>0</v>
      </c>
      <c r="AL54" s="3">
        <v>0</v>
      </c>
      <c r="AM54" s="3">
        <f t="shared" si="10"/>
        <v>0</v>
      </c>
    </row>
    <row r="55" spans="1:39">
      <c r="A55" s="7">
        <v>2003</v>
      </c>
      <c r="B55" s="7" t="s">
        <v>40</v>
      </c>
      <c r="C55" s="7">
        <v>0.02900731</v>
      </c>
      <c r="D55" s="7">
        <v>0.011289</v>
      </c>
      <c r="E55" s="7">
        <v>0.002894</v>
      </c>
      <c r="F55" s="7">
        <v>0.004958</v>
      </c>
      <c r="G55" s="7">
        <v>0.001791</v>
      </c>
      <c r="H55" s="7">
        <v>0.001648</v>
      </c>
      <c r="I55" s="7">
        <v>0.011314</v>
      </c>
      <c r="J55" s="7">
        <v>0.00573</v>
      </c>
      <c r="K55" s="16">
        <v>5778</v>
      </c>
      <c r="L55" s="17">
        <v>2385.78</v>
      </c>
      <c r="M55" s="16">
        <v>2388.38</v>
      </c>
      <c r="N55" s="7">
        <f t="shared" si="8"/>
        <v>2.42184945803888</v>
      </c>
      <c r="O55" s="7">
        <f t="shared" si="9"/>
        <v>2.41921302305328</v>
      </c>
      <c r="P55" s="8">
        <v>192671541.1</v>
      </c>
      <c r="Q55" s="8">
        <f t="shared" si="0"/>
        <v>8.06703879198452</v>
      </c>
      <c r="R55" s="9">
        <v>869.7</v>
      </c>
      <c r="S55" s="9">
        <v>1772.3</v>
      </c>
      <c r="T55" s="9">
        <v>2018</v>
      </c>
      <c r="U55" s="9">
        <v>7589</v>
      </c>
      <c r="V55" s="18">
        <v>0</v>
      </c>
      <c r="W55" s="18">
        <v>1</v>
      </c>
      <c r="X55" s="18">
        <f t="shared" si="1"/>
        <v>0</v>
      </c>
      <c r="Y55" s="12">
        <f t="shared" si="2"/>
        <v>4.08414499624993</v>
      </c>
      <c r="Z55" s="12">
        <f t="shared" si="3"/>
        <v>0</v>
      </c>
      <c r="AA55" s="19">
        <v>5777.85</v>
      </c>
      <c r="AB55" s="19">
        <v>9024.63</v>
      </c>
      <c r="AC55" s="19">
        <v>477.34</v>
      </c>
      <c r="AD55" s="19">
        <v>128.83</v>
      </c>
      <c r="AE55" s="19">
        <v>96.63</v>
      </c>
      <c r="AF55" s="19">
        <v>1.76</v>
      </c>
      <c r="AG55" s="19">
        <v>152.6</v>
      </c>
      <c r="AH55" s="19">
        <v>39.37</v>
      </c>
      <c r="AI55" s="19">
        <v>2.04</v>
      </c>
      <c r="AJ55" s="19">
        <v>406.62</v>
      </c>
      <c r="AK55" s="3">
        <f t="shared" si="11"/>
        <v>0</v>
      </c>
      <c r="AL55" s="3">
        <v>0</v>
      </c>
      <c r="AM55" s="3">
        <f t="shared" si="10"/>
        <v>0</v>
      </c>
    </row>
    <row r="56" spans="1:39">
      <c r="A56" s="7">
        <v>2004</v>
      </c>
      <c r="B56" s="7" t="s">
        <v>40</v>
      </c>
      <c r="C56" s="7">
        <v>0.0220823</v>
      </c>
      <c r="D56" s="7">
        <v>0.011032</v>
      </c>
      <c r="E56" s="7">
        <v>0.002808</v>
      </c>
      <c r="F56" s="7">
        <v>0.005078</v>
      </c>
      <c r="G56" s="7">
        <v>0.001489</v>
      </c>
      <c r="H56" s="7">
        <v>0.001656</v>
      </c>
      <c r="I56" s="7">
        <v>0.0094</v>
      </c>
      <c r="J56" s="7">
        <v>0.00478</v>
      </c>
      <c r="K56" s="16">
        <v>7623</v>
      </c>
      <c r="L56" s="17">
        <v>2392.66</v>
      </c>
      <c r="M56" s="16">
        <v>3041.07</v>
      </c>
      <c r="N56" s="7">
        <f t="shared" si="8"/>
        <v>3.18599383113355</v>
      </c>
      <c r="O56" s="7">
        <f t="shared" si="9"/>
        <v>2.50668350284604</v>
      </c>
      <c r="P56" s="8">
        <v>227520871.6</v>
      </c>
      <c r="Q56" s="8">
        <f t="shared" si="0"/>
        <v>7.4816058689869</v>
      </c>
      <c r="R56" s="9">
        <v>1022.5</v>
      </c>
      <c r="S56" s="9">
        <v>2135.6</v>
      </c>
      <c r="T56" s="9">
        <v>2384.6</v>
      </c>
      <c r="U56" s="9">
        <v>9004</v>
      </c>
      <c r="V56" s="18">
        <v>0</v>
      </c>
      <c r="W56" s="18">
        <v>1</v>
      </c>
      <c r="X56" s="18">
        <f t="shared" si="1"/>
        <v>0</v>
      </c>
      <c r="Y56" s="12">
        <f t="shared" si="2"/>
        <v>3.89549779892895</v>
      </c>
      <c r="Z56" s="12">
        <f t="shared" si="3"/>
        <v>0</v>
      </c>
      <c r="AA56" s="19">
        <v>7622.54</v>
      </c>
      <c r="AB56" s="19">
        <v>11391.44</v>
      </c>
      <c r="AC56" s="19">
        <v>577.98</v>
      </c>
      <c r="AD56" s="19">
        <v>132.19</v>
      </c>
      <c r="AE56" s="19">
        <v>151.3</v>
      </c>
      <c r="AF56" s="19">
        <v>1.94</v>
      </c>
      <c r="AG56" s="19">
        <v>252.21</v>
      </c>
      <c r="AH56" s="19">
        <v>47.97</v>
      </c>
      <c r="AI56" s="19">
        <v>4.42</v>
      </c>
      <c r="AJ56" s="19">
        <v>535.58</v>
      </c>
      <c r="AK56" s="3">
        <f t="shared" si="11"/>
        <v>0</v>
      </c>
      <c r="AL56" s="3">
        <v>0</v>
      </c>
      <c r="AM56" s="3">
        <f t="shared" si="10"/>
        <v>0</v>
      </c>
    </row>
    <row r="57" spans="1:39">
      <c r="A57" s="7">
        <v>2005</v>
      </c>
      <c r="B57" s="7" t="s">
        <v>40</v>
      </c>
      <c r="C57" s="7">
        <v>0.02460366</v>
      </c>
      <c r="D57" s="7">
        <v>0.010544</v>
      </c>
      <c r="E57" s="7">
        <v>0.002637</v>
      </c>
      <c r="F57" s="7">
        <v>0.004703</v>
      </c>
      <c r="G57" s="7">
        <v>0.001657</v>
      </c>
      <c r="H57" s="7">
        <v>0.001547</v>
      </c>
      <c r="I57" s="7">
        <v>0.010853</v>
      </c>
      <c r="J57" s="7">
        <v>0.005538</v>
      </c>
      <c r="K57" s="16">
        <v>9666</v>
      </c>
      <c r="L57" s="17">
        <v>2403.11</v>
      </c>
      <c r="M57" s="16">
        <v>3905.03</v>
      </c>
      <c r="N57" s="7">
        <f t="shared" si="8"/>
        <v>4.0222877854114</v>
      </c>
      <c r="O57" s="7">
        <f t="shared" si="9"/>
        <v>2.47526907603783</v>
      </c>
      <c r="P57" s="8">
        <v>274325478</v>
      </c>
      <c r="Q57" s="8">
        <f t="shared" si="0"/>
        <v>7.02492626177008</v>
      </c>
      <c r="R57" s="9">
        <v>1078.3</v>
      </c>
      <c r="S57" s="9">
        <v>2490.2</v>
      </c>
      <c r="T57" s="9">
        <v>2801.4</v>
      </c>
      <c r="U57" s="9">
        <v>10200</v>
      </c>
      <c r="V57" s="18">
        <v>0</v>
      </c>
      <c r="W57" s="18">
        <v>1</v>
      </c>
      <c r="X57" s="18">
        <f t="shared" si="1"/>
        <v>0</v>
      </c>
      <c r="Y57" s="12">
        <f t="shared" si="2"/>
        <v>3.71995059106252</v>
      </c>
      <c r="Z57" s="12">
        <f t="shared" si="3"/>
        <v>0</v>
      </c>
      <c r="AA57" s="19">
        <v>9642.6</v>
      </c>
      <c r="AB57" s="19">
        <v>13921.81</v>
      </c>
      <c r="AC57" s="19">
        <v>814.03</v>
      </c>
      <c r="AD57" s="19">
        <v>131.83</v>
      </c>
      <c r="AE57" s="19">
        <v>192.41</v>
      </c>
      <c r="AF57" s="19">
        <v>0.4</v>
      </c>
      <c r="AG57" s="19">
        <v>379.96</v>
      </c>
      <c r="AH57" s="19">
        <v>25.34</v>
      </c>
      <c r="AI57" s="19">
        <v>6.35</v>
      </c>
      <c r="AJ57" s="19">
        <v>667.72</v>
      </c>
      <c r="AK57" s="3">
        <f t="shared" si="11"/>
        <v>0</v>
      </c>
      <c r="AL57" s="3">
        <v>0</v>
      </c>
      <c r="AM57" s="3">
        <f t="shared" si="10"/>
        <v>0</v>
      </c>
    </row>
    <row r="58" spans="1:39">
      <c r="A58" s="7">
        <v>2006</v>
      </c>
      <c r="B58" s="7" t="s">
        <v>40</v>
      </c>
      <c r="C58" s="7">
        <v>0.03388995</v>
      </c>
      <c r="D58" s="7">
        <v>0.012562</v>
      </c>
      <c r="E58" s="7">
        <v>0.003073</v>
      </c>
      <c r="F58" s="7">
        <v>0.005531</v>
      </c>
      <c r="G58" s="7">
        <v>0.001619</v>
      </c>
      <c r="H58" s="7">
        <v>0.002339</v>
      </c>
      <c r="I58" s="7">
        <v>0.010769</v>
      </c>
      <c r="J58" s="7">
        <v>0.005686</v>
      </c>
      <c r="K58" s="16">
        <v>11221</v>
      </c>
      <c r="L58" s="17">
        <v>2415.05</v>
      </c>
      <c r="M58" s="16">
        <v>4944.25</v>
      </c>
      <c r="N58" s="7">
        <f t="shared" si="8"/>
        <v>4.64628061530817</v>
      </c>
      <c r="O58" s="7">
        <f t="shared" si="9"/>
        <v>2.26950498053294</v>
      </c>
      <c r="P58" s="8">
        <v>326803500.3</v>
      </c>
      <c r="Q58" s="8">
        <f t="shared" si="0"/>
        <v>6.60976892956465</v>
      </c>
      <c r="R58" s="9">
        <v>1244.6</v>
      </c>
      <c r="S58" s="9">
        <v>3030.7</v>
      </c>
      <c r="T58" s="9">
        <v>3156.2</v>
      </c>
      <c r="U58" s="9">
        <v>11733</v>
      </c>
      <c r="V58" s="18">
        <v>0</v>
      </c>
      <c r="W58" s="18">
        <v>1</v>
      </c>
      <c r="X58" s="18">
        <f t="shared" si="1"/>
        <v>0</v>
      </c>
      <c r="Y58" s="12">
        <f t="shared" si="2"/>
        <v>3.57740717995078</v>
      </c>
      <c r="Z58" s="12">
        <f t="shared" si="3"/>
        <v>0</v>
      </c>
      <c r="AA58" s="19">
        <v>11163.11</v>
      </c>
      <c r="AB58" s="19">
        <v>16188.88</v>
      </c>
      <c r="AC58" s="19">
        <v>1008.33</v>
      </c>
      <c r="AD58" s="19">
        <v>139.2</v>
      </c>
      <c r="AE58" s="19">
        <v>211.75</v>
      </c>
      <c r="AF58" s="19">
        <v>5.52</v>
      </c>
      <c r="AG58" s="19">
        <v>492.66</v>
      </c>
      <c r="AH58" s="19">
        <v>9.97</v>
      </c>
      <c r="AI58" s="19">
        <v>14.38</v>
      </c>
      <c r="AJ58" s="19">
        <v>884.91</v>
      </c>
      <c r="AK58" s="3">
        <f t="shared" si="11"/>
        <v>0</v>
      </c>
      <c r="AL58" s="3">
        <v>0</v>
      </c>
      <c r="AM58" s="3">
        <f t="shared" si="10"/>
        <v>0</v>
      </c>
    </row>
    <row r="59" spans="1:39">
      <c r="A59" s="7">
        <v>2007</v>
      </c>
      <c r="B59" s="7" t="s">
        <v>40</v>
      </c>
      <c r="C59" s="7">
        <v>0.0300818</v>
      </c>
      <c r="D59" s="7">
        <v>0.01149</v>
      </c>
      <c r="E59" s="7">
        <v>0.002861</v>
      </c>
      <c r="F59" s="7">
        <v>0.005106</v>
      </c>
      <c r="G59" s="7">
        <v>0.001558</v>
      </c>
      <c r="H59" s="7">
        <v>0.001964</v>
      </c>
      <c r="I59" s="7">
        <v>0.011664</v>
      </c>
      <c r="J59" s="7">
        <v>0.005568</v>
      </c>
      <c r="K59" s="16">
        <v>12777</v>
      </c>
      <c r="L59" s="17">
        <v>2428.83</v>
      </c>
      <c r="M59" s="16">
        <v>6423.18</v>
      </c>
      <c r="N59" s="7">
        <f t="shared" si="8"/>
        <v>5.26055755240177</v>
      </c>
      <c r="O59" s="7">
        <f t="shared" si="9"/>
        <v>1.98920161041727</v>
      </c>
      <c r="P59" s="8">
        <v>384815642.8</v>
      </c>
      <c r="Q59" s="8">
        <f t="shared" si="0"/>
        <v>5.99104560046581</v>
      </c>
      <c r="R59" s="9">
        <v>1563.8</v>
      </c>
      <c r="S59" s="9">
        <v>3867.4</v>
      </c>
      <c r="T59" s="9">
        <v>3854.2</v>
      </c>
      <c r="U59" s="9">
        <v>14626</v>
      </c>
      <c r="V59" s="18">
        <v>0</v>
      </c>
      <c r="W59" s="18">
        <v>1</v>
      </c>
      <c r="X59" s="18">
        <f t="shared" si="1"/>
        <v>0</v>
      </c>
      <c r="Y59" s="12">
        <f t="shared" si="2"/>
        <v>3.23986794305777</v>
      </c>
      <c r="Z59" s="12">
        <f t="shared" si="3"/>
        <v>0</v>
      </c>
      <c r="AA59" s="19">
        <v>12723.24</v>
      </c>
      <c r="AB59" s="19">
        <v>18531.51</v>
      </c>
      <c r="AC59" s="19">
        <v>1213.12</v>
      </c>
      <c r="AD59" s="19">
        <v>142.82</v>
      </c>
      <c r="AE59" s="19">
        <v>236.12</v>
      </c>
      <c r="AF59" s="19">
        <v>6.44</v>
      </c>
      <c r="AG59" s="19">
        <v>579.46</v>
      </c>
      <c r="AH59" s="19">
        <v>7.2</v>
      </c>
      <c r="AI59" s="19">
        <v>26.51</v>
      </c>
      <c r="AJ59" s="19">
        <v>1160.21</v>
      </c>
      <c r="AK59" s="3">
        <f t="shared" si="11"/>
        <v>0</v>
      </c>
      <c r="AL59" s="3">
        <v>0</v>
      </c>
      <c r="AM59" s="3">
        <f t="shared" si="10"/>
        <v>0</v>
      </c>
    </row>
    <row r="60" spans="1:39">
      <c r="A60" s="7">
        <v>2008</v>
      </c>
      <c r="B60" s="7" t="s">
        <v>40</v>
      </c>
      <c r="C60" s="7">
        <v>0.03281616</v>
      </c>
      <c r="D60" s="7">
        <v>0.011617</v>
      </c>
      <c r="E60" s="7">
        <v>0.00299</v>
      </c>
      <c r="F60" s="7">
        <v>0.005311</v>
      </c>
      <c r="G60" s="7">
        <v>0.001648</v>
      </c>
      <c r="H60" s="7">
        <v>0.001668</v>
      </c>
      <c r="I60" s="7">
        <v>0.012553</v>
      </c>
      <c r="J60" s="7">
        <v>0.006207</v>
      </c>
      <c r="K60" s="16">
        <v>14100</v>
      </c>
      <c r="L60" s="17">
        <v>2444.33</v>
      </c>
      <c r="M60" s="16">
        <v>8496.2</v>
      </c>
      <c r="N60" s="7">
        <f t="shared" si="8"/>
        <v>5.76845188661106</v>
      </c>
      <c r="O60" s="7">
        <f t="shared" si="9"/>
        <v>1.65956545279066</v>
      </c>
      <c r="P60" s="8">
        <v>395443791</v>
      </c>
      <c r="Q60" s="8">
        <f t="shared" si="0"/>
        <v>4.65436066712177</v>
      </c>
      <c r="R60" s="9">
        <v>1761.8</v>
      </c>
      <c r="S60" s="9">
        <v>4870</v>
      </c>
      <c r="T60" s="9">
        <v>4675.6</v>
      </c>
      <c r="U60" s="9">
        <v>17758</v>
      </c>
      <c r="V60" s="18">
        <v>0</v>
      </c>
      <c r="W60" s="18">
        <v>1</v>
      </c>
      <c r="X60" s="18">
        <f t="shared" si="1"/>
        <v>0</v>
      </c>
      <c r="Y60" s="12">
        <f t="shared" si="2"/>
        <v>2.71728515287532</v>
      </c>
      <c r="Z60" s="12">
        <f t="shared" si="3"/>
        <v>0</v>
      </c>
      <c r="AA60" s="19">
        <v>14100</v>
      </c>
      <c r="AB60" s="19">
        <v>22242</v>
      </c>
      <c r="AC60" s="19">
        <v>1380.64</v>
      </c>
      <c r="AD60" s="19">
        <v>189.25</v>
      </c>
      <c r="AE60" s="19">
        <v>260.88</v>
      </c>
      <c r="AF60" s="19">
        <v>7.24</v>
      </c>
      <c r="AG60" s="19">
        <v>686.16</v>
      </c>
      <c r="AH60" s="19">
        <v>13.75</v>
      </c>
      <c r="AI60" s="19">
        <v>30.53</v>
      </c>
      <c r="AJ60" s="19">
        <v>1220.57</v>
      </c>
      <c r="AK60" s="3">
        <f t="shared" si="11"/>
        <v>0</v>
      </c>
      <c r="AL60" s="3">
        <v>0</v>
      </c>
      <c r="AM60" s="3">
        <f t="shared" si="10"/>
        <v>0</v>
      </c>
    </row>
    <row r="61" spans="1:39">
      <c r="A61" s="7">
        <v>2009</v>
      </c>
      <c r="B61" s="7" t="s">
        <v>40</v>
      </c>
      <c r="C61" s="7">
        <v>0.04566396</v>
      </c>
      <c r="D61" s="7">
        <v>0.013816</v>
      </c>
      <c r="E61" s="7">
        <v>0.00338</v>
      </c>
      <c r="F61" s="7">
        <v>0.006274</v>
      </c>
      <c r="G61" s="7">
        <v>0.002055</v>
      </c>
      <c r="H61" s="7">
        <v>0.002107</v>
      </c>
      <c r="I61" s="7">
        <v>0.013854</v>
      </c>
      <c r="J61" s="7">
        <v>0.006751</v>
      </c>
      <c r="K61" s="16">
        <v>15344</v>
      </c>
      <c r="L61" s="17">
        <v>2458.22</v>
      </c>
      <c r="M61" s="16">
        <v>9740.25</v>
      </c>
      <c r="N61" s="7">
        <f t="shared" si="8"/>
        <v>6.24191488149962</v>
      </c>
      <c r="O61" s="7">
        <f t="shared" si="9"/>
        <v>1.57531890865224</v>
      </c>
      <c r="P61" s="8">
        <v>407150932.8</v>
      </c>
      <c r="Q61" s="8">
        <f t="shared" si="0"/>
        <v>4.18008709016709</v>
      </c>
      <c r="R61" s="9">
        <v>1795.8</v>
      </c>
      <c r="S61" s="9">
        <v>5494.7</v>
      </c>
      <c r="T61" s="9">
        <v>5482.3</v>
      </c>
      <c r="U61" s="9">
        <v>19979</v>
      </c>
      <c r="V61" s="18">
        <v>0</v>
      </c>
      <c r="W61" s="18">
        <v>1</v>
      </c>
      <c r="X61" s="18">
        <f t="shared" si="1"/>
        <v>0</v>
      </c>
      <c r="Y61" s="12">
        <f t="shared" si="2"/>
        <v>2.66960201713366</v>
      </c>
      <c r="Z61" s="12">
        <f t="shared" si="3"/>
        <v>0</v>
      </c>
      <c r="AA61" s="19">
        <v>15344</v>
      </c>
      <c r="AB61" s="19">
        <v>24047</v>
      </c>
      <c r="AC61" s="19">
        <v>1554.12</v>
      </c>
      <c r="AD61" s="19">
        <v>191.76</v>
      </c>
      <c r="AE61" s="19">
        <v>279.51</v>
      </c>
      <c r="AF61" s="19">
        <v>8.28</v>
      </c>
      <c r="AG61" s="19">
        <v>738.95</v>
      </c>
      <c r="AH61" s="19">
        <v>19.66</v>
      </c>
      <c r="AI61" s="19">
        <v>44.29</v>
      </c>
      <c r="AJ61" s="19">
        <v>1287.93</v>
      </c>
      <c r="AK61" s="3">
        <f t="shared" si="11"/>
        <v>0</v>
      </c>
      <c r="AL61" s="3">
        <v>0</v>
      </c>
      <c r="AM61" s="3">
        <f t="shared" si="10"/>
        <v>0</v>
      </c>
    </row>
    <row r="62" spans="1:39">
      <c r="A62" s="7">
        <v>2010</v>
      </c>
      <c r="B62" s="7" t="s">
        <v>40</v>
      </c>
      <c r="C62" s="7">
        <v>0.0441595</v>
      </c>
      <c r="D62" s="7">
        <v>0.013764</v>
      </c>
      <c r="E62" s="7">
        <v>0.003321</v>
      </c>
      <c r="F62" s="7">
        <v>0.006115</v>
      </c>
      <c r="G62" s="7">
        <v>0.002218</v>
      </c>
      <c r="H62" s="7">
        <v>0.00211</v>
      </c>
      <c r="I62" s="7">
        <v>0.012516</v>
      </c>
      <c r="J62" s="7">
        <v>0.006854</v>
      </c>
      <c r="K62" s="16">
        <v>16820</v>
      </c>
      <c r="L62" s="17">
        <v>2472.18</v>
      </c>
      <c r="M62" s="16">
        <v>11672</v>
      </c>
      <c r="N62" s="7">
        <f t="shared" si="8"/>
        <v>6.80371170384034</v>
      </c>
      <c r="O62" s="7">
        <f t="shared" si="9"/>
        <v>1.44105551747772</v>
      </c>
      <c r="P62" s="8">
        <v>463259810.9</v>
      </c>
      <c r="Q62" s="8">
        <f t="shared" si="0"/>
        <v>3.96898398646333</v>
      </c>
      <c r="R62" s="9">
        <v>2073.2</v>
      </c>
      <c r="S62" s="9">
        <v>7034.7</v>
      </c>
      <c r="T62" s="9">
        <v>6466.4</v>
      </c>
      <c r="U62" s="9">
        <v>24005</v>
      </c>
      <c r="V62" s="18">
        <v>0</v>
      </c>
      <c r="W62" s="18">
        <v>1</v>
      </c>
      <c r="X62" s="18">
        <f t="shared" si="1"/>
        <v>0</v>
      </c>
      <c r="Y62" s="12">
        <f t="shared" si="2"/>
        <v>2.40850270516871</v>
      </c>
      <c r="Z62" s="12">
        <f t="shared" si="3"/>
        <v>0</v>
      </c>
      <c r="AA62" s="19">
        <v>16820.3</v>
      </c>
      <c r="AB62" s="19">
        <v>27004.04</v>
      </c>
      <c r="AC62" s="19">
        <v>1416.87</v>
      </c>
      <c r="AD62" s="19">
        <v>140.74</v>
      </c>
      <c r="AE62" s="19">
        <v>325.68</v>
      </c>
      <c r="AF62" s="19">
        <v>9.35</v>
      </c>
      <c r="AG62" s="19">
        <v>863.56</v>
      </c>
      <c r="AH62" s="19">
        <v>15.15</v>
      </c>
      <c r="AI62" s="19">
        <v>45.3</v>
      </c>
      <c r="AJ62" s="19">
        <v>1536.83</v>
      </c>
      <c r="AK62" s="3">
        <f t="shared" si="11"/>
        <v>0</v>
      </c>
      <c r="AL62" s="3">
        <v>0</v>
      </c>
      <c r="AM62" s="3">
        <f t="shared" si="10"/>
        <v>0</v>
      </c>
    </row>
    <row r="63" spans="1:39">
      <c r="A63" s="7">
        <v>2011</v>
      </c>
      <c r="B63" s="7" t="s">
        <v>40</v>
      </c>
      <c r="C63" s="7">
        <v>0.04264237</v>
      </c>
      <c r="D63" s="7">
        <v>0.01277</v>
      </c>
      <c r="E63" s="7">
        <v>0.003162</v>
      </c>
      <c r="F63" s="7">
        <v>0.005734</v>
      </c>
      <c r="G63" s="7">
        <v>0.001754</v>
      </c>
      <c r="H63" s="7">
        <v>0.002121</v>
      </c>
      <c r="I63" s="7">
        <v>0.013721</v>
      </c>
      <c r="J63" s="7">
        <v>0.007267</v>
      </c>
      <c r="K63" s="16">
        <v>18737</v>
      </c>
      <c r="L63" s="17">
        <v>2470</v>
      </c>
      <c r="M63" s="16">
        <v>14359.88</v>
      </c>
      <c r="N63" s="7">
        <f t="shared" si="8"/>
        <v>7.58582995951417</v>
      </c>
      <c r="O63" s="7">
        <f t="shared" si="9"/>
        <v>1.30481591768176</v>
      </c>
      <c r="P63" s="8">
        <v>512245577.9</v>
      </c>
      <c r="Q63" s="8">
        <f t="shared" si="0"/>
        <v>3.56719957200199</v>
      </c>
      <c r="R63" s="9">
        <v>2420</v>
      </c>
      <c r="S63" s="9">
        <v>8883.6</v>
      </c>
      <c r="T63" s="9">
        <v>7611.4</v>
      </c>
      <c r="U63" s="9">
        <v>28766</v>
      </c>
      <c r="V63" s="18">
        <v>0</v>
      </c>
      <c r="W63" s="18">
        <v>1</v>
      </c>
      <c r="X63" s="18">
        <f t="shared" si="1"/>
        <v>0</v>
      </c>
      <c r="Y63" s="12">
        <f t="shared" si="2"/>
        <v>2.18035126729488</v>
      </c>
      <c r="Z63" s="12">
        <f t="shared" si="3"/>
        <v>0</v>
      </c>
      <c r="AA63" s="19">
        <v>18737</v>
      </c>
      <c r="AB63" s="19">
        <v>34684</v>
      </c>
      <c r="AC63" s="19">
        <v>1559.21</v>
      </c>
      <c r="AD63" s="19">
        <v>118.66</v>
      </c>
      <c r="AE63" s="19">
        <v>310.24</v>
      </c>
      <c r="AF63" s="19">
        <v>10.1</v>
      </c>
      <c r="AG63" s="19">
        <v>922.86</v>
      </c>
      <c r="AH63" s="19">
        <v>24.61</v>
      </c>
      <c r="AI63" s="19">
        <v>40.84</v>
      </c>
      <c r="AJ63" s="19">
        <v>1834</v>
      </c>
      <c r="AK63" s="3">
        <f t="shared" si="11"/>
        <v>0</v>
      </c>
      <c r="AL63" s="3">
        <v>0</v>
      </c>
      <c r="AM63" s="3">
        <f t="shared" si="10"/>
        <v>0</v>
      </c>
    </row>
    <row r="64" spans="1:39">
      <c r="A64" s="7">
        <v>2012</v>
      </c>
      <c r="B64" s="7" t="s">
        <v>40</v>
      </c>
      <c r="C64" s="7">
        <v>0.05787758</v>
      </c>
      <c r="D64" s="7">
        <v>0.015191</v>
      </c>
      <c r="E64" s="7">
        <v>0.003907</v>
      </c>
      <c r="F64" s="7">
        <v>0.006831</v>
      </c>
      <c r="G64" s="7">
        <v>0.002076</v>
      </c>
      <c r="H64" s="7">
        <v>0.002377</v>
      </c>
      <c r="I64" s="7">
        <v>0.015935</v>
      </c>
      <c r="J64" s="7">
        <v>0.008103</v>
      </c>
      <c r="K64" s="16">
        <v>19786</v>
      </c>
      <c r="L64" s="17">
        <v>2464</v>
      </c>
      <c r="M64" s="16">
        <v>15880.58</v>
      </c>
      <c r="N64" s="7">
        <f t="shared" si="8"/>
        <v>8.03003246753247</v>
      </c>
      <c r="O64" s="7">
        <f t="shared" si="9"/>
        <v>1.24592426724968</v>
      </c>
      <c r="P64" s="8">
        <v>521494128.9</v>
      </c>
      <c r="Q64" s="8">
        <f t="shared" si="0"/>
        <v>3.28384812708352</v>
      </c>
      <c r="R64" s="9">
        <v>2567.9</v>
      </c>
      <c r="S64" s="9">
        <v>9926.7</v>
      </c>
      <c r="T64" s="9">
        <v>8712.7</v>
      </c>
      <c r="U64" s="9">
        <v>32203</v>
      </c>
      <c r="V64" s="18">
        <v>0</v>
      </c>
      <c r="W64" s="18">
        <v>1</v>
      </c>
      <c r="X64" s="18">
        <f t="shared" si="1"/>
        <v>0</v>
      </c>
      <c r="Y64" s="12">
        <f t="shared" si="2"/>
        <v>2.01609935715007</v>
      </c>
      <c r="Z64" s="12">
        <f t="shared" si="3"/>
        <v>0</v>
      </c>
      <c r="AA64" s="19">
        <v>19785.71</v>
      </c>
      <c r="AB64" s="19">
        <v>36620</v>
      </c>
      <c r="AC64" s="19">
        <v>1411.86</v>
      </c>
      <c r="AD64" s="19">
        <v>87.02</v>
      </c>
      <c r="AE64" s="19">
        <v>302.53</v>
      </c>
      <c r="AF64" s="19">
        <v>23.19</v>
      </c>
      <c r="AG64" s="19">
        <v>877.1</v>
      </c>
      <c r="AH64" s="19">
        <v>16.91</v>
      </c>
      <c r="AI64" s="19">
        <v>37.84</v>
      </c>
      <c r="AJ64" s="19">
        <v>2016.78</v>
      </c>
      <c r="AK64" s="3">
        <f t="shared" si="11"/>
        <v>0</v>
      </c>
      <c r="AL64" s="3">
        <v>0</v>
      </c>
      <c r="AM64" s="3">
        <f t="shared" si="10"/>
        <v>0</v>
      </c>
    </row>
    <row r="65" spans="1:39">
      <c r="A65" s="7">
        <v>2013</v>
      </c>
      <c r="B65" s="7" t="s">
        <v>40</v>
      </c>
      <c r="C65" s="7">
        <v>0.04825436</v>
      </c>
      <c r="D65" s="7">
        <v>0.014539</v>
      </c>
      <c r="E65" s="7">
        <v>0.003621</v>
      </c>
      <c r="F65" s="7">
        <v>0.006481</v>
      </c>
      <c r="G65" s="7">
        <v>0.002122</v>
      </c>
      <c r="H65" s="7">
        <v>0.002315</v>
      </c>
      <c r="I65" s="7">
        <v>0.014628</v>
      </c>
      <c r="J65" s="7">
        <v>0.006004</v>
      </c>
      <c r="K65" s="16">
        <v>17681</v>
      </c>
      <c r="L65" s="17">
        <v>2455</v>
      </c>
      <c r="M65" s="16">
        <v>16916.5</v>
      </c>
      <c r="N65" s="7">
        <f t="shared" si="8"/>
        <v>7.2020366598778</v>
      </c>
      <c r="O65" s="7">
        <f t="shared" si="9"/>
        <v>1.04519256347353</v>
      </c>
      <c r="P65" s="8">
        <v>549728223</v>
      </c>
      <c r="Q65" s="8">
        <f t="shared" si="0"/>
        <v>3.24965697987172</v>
      </c>
      <c r="R65" s="9">
        <v>2589.2</v>
      </c>
      <c r="S65" s="9">
        <v>10913.8</v>
      </c>
      <c r="T65" s="9">
        <v>10042.3</v>
      </c>
      <c r="U65" s="9">
        <v>35702</v>
      </c>
      <c r="V65" s="18">
        <v>0</v>
      </c>
      <c r="W65" s="18">
        <v>1</v>
      </c>
      <c r="X65" s="18">
        <f t="shared" si="1"/>
        <v>0</v>
      </c>
      <c r="Y65" s="12">
        <f t="shared" si="2"/>
        <v>1.91398219724656</v>
      </c>
      <c r="Z65" s="12">
        <f t="shared" si="3"/>
        <v>0</v>
      </c>
      <c r="AA65" s="19">
        <v>17681</v>
      </c>
      <c r="AB65" s="19">
        <v>34915.72</v>
      </c>
      <c r="AC65" s="19">
        <v>1800.65</v>
      </c>
      <c r="AD65" s="19">
        <v>411.07</v>
      </c>
      <c r="AE65" s="19">
        <v>255.23</v>
      </c>
      <c r="AF65" s="19">
        <v>26.89</v>
      </c>
      <c r="AG65" s="19">
        <v>658.93</v>
      </c>
      <c r="AH65" s="19">
        <v>4.76</v>
      </c>
      <c r="AI65" s="19">
        <v>43.51</v>
      </c>
      <c r="AJ65" s="19">
        <v>2181.9</v>
      </c>
      <c r="AK65" s="3">
        <f t="shared" si="11"/>
        <v>1</v>
      </c>
      <c r="AL65" s="3">
        <v>0</v>
      </c>
      <c r="AM65" s="3">
        <f t="shared" si="10"/>
        <v>0</v>
      </c>
    </row>
    <row r="66" spans="1:39">
      <c r="A66" s="7">
        <v>2014</v>
      </c>
      <c r="B66" s="7" t="s">
        <v>40</v>
      </c>
      <c r="C66" s="7">
        <v>0.0399726</v>
      </c>
      <c r="D66" s="7">
        <v>0.012383</v>
      </c>
      <c r="E66" s="7">
        <v>0.003211</v>
      </c>
      <c r="F66" s="7">
        <v>0.00557</v>
      </c>
      <c r="G66" s="7">
        <v>0.001668</v>
      </c>
      <c r="H66" s="7">
        <v>0.001934</v>
      </c>
      <c r="I66" s="7">
        <v>0.013763</v>
      </c>
      <c r="J66" s="7">
        <v>0.006947</v>
      </c>
      <c r="K66" s="16">
        <v>18309</v>
      </c>
      <c r="L66" s="17">
        <v>2449</v>
      </c>
      <c r="M66" s="16">
        <v>17770.19</v>
      </c>
      <c r="N66" s="7">
        <f t="shared" si="8"/>
        <v>7.47611269906084</v>
      </c>
      <c r="O66" s="7">
        <f t="shared" si="9"/>
        <v>1.03032100388347</v>
      </c>
      <c r="P66" s="8">
        <v>540970363.3</v>
      </c>
      <c r="Q66" s="8">
        <f t="shared" si="0"/>
        <v>3.04425762076826</v>
      </c>
      <c r="R66" s="9">
        <v>2671</v>
      </c>
      <c r="S66" s="9">
        <v>11825.1</v>
      </c>
      <c r="T66" s="9">
        <v>11385.2</v>
      </c>
      <c r="U66" s="9">
        <v>39181</v>
      </c>
      <c r="V66" s="18">
        <v>0</v>
      </c>
      <c r="W66" s="18">
        <v>1</v>
      </c>
      <c r="X66" s="18">
        <f t="shared" si="1"/>
        <v>0</v>
      </c>
      <c r="Y66" s="12">
        <f t="shared" si="2"/>
        <v>1.79640226266579</v>
      </c>
      <c r="Z66" s="12">
        <f t="shared" si="3"/>
        <v>0</v>
      </c>
      <c r="AA66" s="19">
        <v>18309.06</v>
      </c>
      <c r="AB66" s="19">
        <v>36465.97</v>
      </c>
      <c r="AC66" s="19">
        <v>1493.66</v>
      </c>
      <c r="AD66" s="19">
        <v>411.36</v>
      </c>
      <c r="AE66" s="19">
        <v>271.66</v>
      </c>
      <c r="AF66" s="19">
        <v>28.36</v>
      </c>
      <c r="AG66" s="19">
        <v>577.25</v>
      </c>
      <c r="AH66" s="19">
        <v>4.92</v>
      </c>
      <c r="AI66" s="19">
        <v>44.53</v>
      </c>
      <c r="AJ66" s="19">
        <v>2416.74</v>
      </c>
      <c r="AK66" s="3">
        <f t="shared" si="11"/>
        <v>1</v>
      </c>
      <c r="AL66" s="3">
        <v>0</v>
      </c>
      <c r="AM66" s="3">
        <f t="shared" si="10"/>
        <v>0</v>
      </c>
    </row>
    <row r="67" spans="1:39">
      <c r="A67" s="7">
        <v>2015</v>
      </c>
      <c r="B67" s="7" t="s">
        <v>40</v>
      </c>
      <c r="C67" s="7">
        <v>0.05372512</v>
      </c>
      <c r="D67" s="7">
        <v>0.014821</v>
      </c>
      <c r="E67" s="7">
        <v>0.003713</v>
      </c>
      <c r="F67" s="7">
        <v>0.006562</v>
      </c>
      <c r="G67" s="7">
        <v>0.002203</v>
      </c>
      <c r="H67" s="7">
        <v>0.002343</v>
      </c>
      <c r="I67" s="7">
        <v>0.015224</v>
      </c>
      <c r="J67" s="7">
        <v>0.007318</v>
      </c>
      <c r="K67" s="16">
        <v>18784</v>
      </c>
      <c r="L67" s="17">
        <v>2440</v>
      </c>
      <c r="M67" s="16">
        <v>17831.50878</v>
      </c>
      <c r="N67" s="7">
        <f t="shared" si="8"/>
        <v>7.69836065573771</v>
      </c>
      <c r="O67" s="7">
        <f t="shared" si="9"/>
        <v>1.05341618770187</v>
      </c>
      <c r="P67" s="8">
        <v>534434928.2</v>
      </c>
      <c r="Q67" s="8">
        <f t="shared" ref="Q67:Q130" si="12">P67/10000/M67</f>
        <v>2.99713801447597</v>
      </c>
      <c r="R67" s="9">
        <v>2747.9</v>
      </c>
      <c r="S67" s="9">
        <v>12665.7</v>
      </c>
      <c r="T67" s="9">
        <v>13125</v>
      </c>
      <c r="U67" s="9">
        <v>43155</v>
      </c>
      <c r="V67" s="18">
        <v>0</v>
      </c>
      <c r="W67" s="18">
        <v>1</v>
      </c>
      <c r="X67" s="18">
        <f t="shared" ref="X67:X130" si="13">V67*W67</f>
        <v>0</v>
      </c>
      <c r="Y67" s="12">
        <f t="shared" ref="Y67:Y130" si="14">AVERAGEIF($A:$A,$A67,$Q:$Q)</f>
        <v>1.71577514742415</v>
      </c>
      <c r="Z67" s="12">
        <f t="shared" ref="Z67:Z130" si="15">MAX(0,1-Q67/Y67)</f>
        <v>0</v>
      </c>
      <c r="AA67" s="19">
        <v>18784</v>
      </c>
      <c r="AB67" s="19">
        <v>36283.33</v>
      </c>
      <c r="AC67" s="19">
        <v>1532.74</v>
      </c>
      <c r="AD67" s="19">
        <v>383.67</v>
      </c>
      <c r="AE67" s="19">
        <v>305.76</v>
      </c>
      <c r="AF67" s="19">
        <v>32.6</v>
      </c>
      <c r="AG67" s="19">
        <v>475.13</v>
      </c>
      <c r="AH67" s="19">
        <v>10.6</v>
      </c>
      <c r="AI67" s="19">
        <v>39.15</v>
      </c>
      <c r="AJ67" s="19">
        <v>2543</v>
      </c>
      <c r="AK67" s="3">
        <f t="shared" si="11"/>
        <v>1</v>
      </c>
      <c r="AL67" s="3">
        <v>0</v>
      </c>
      <c r="AM67" s="3">
        <f t="shared" si="10"/>
        <v>0</v>
      </c>
    </row>
    <row r="68" spans="1:39">
      <c r="A68" s="7">
        <v>2016</v>
      </c>
      <c r="B68" s="7" t="s">
        <v>40</v>
      </c>
      <c r="C68" s="7">
        <v>0.06287479</v>
      </c>
      <c r="D68" s="7">
        <v>0.01671</v>
      </c>
      <c r="E68" s="7">
        <v>0.004092</v>
      </c>
      <c r="F68" s="7">
        <v>0.007301</v>
      </c>
      <c r="G68" s="7">
        <v>0.002647</v>
      </c>
      <c r="H68" s="7">
        <v>0.00267</v>
      </c>
      <c r="I68" s="7">
        <v>0.015724</v>
      </c>
      <c r="J68" s="7">
        <v>0.007339</v>
      </c>
      <c r="K68" s="16">
        <v>19310</v>
      </c>
      <c r="L68" s="17">
        <v>2436</v>
      </c>
      <c r="M68" s="16">
        <v>18128.1</v>
      </c>
      <c r="N68" s="7">
        <f t="shared" si="8"/>
        <v>7.92692939244663</v>
      </c>
      <c r="O68" s="7">
        <f t="shared" si="9"/>
        <v>1.06519712490553</v>
      </c>
      <c r="P68" s="8">
        <v>543917871.3</v>
      </c>
      <c r="Q68" s="8">
        <f t="shared" si="12"/>
        <v>3.00041301239512</v>
      </c>
      <c r="R68" s="9">
        <v>2915.6</v>
      </c>
      <c r="S68" s="9">
        <v>12942</v>
      </c>
      <c r="T68" s="9">
        <v>14995.9</v>
      </c>
      <c r="U68" s="9">
        <v>46606</v>
      </c>
      <c r="V68" s="18">
        <v>0</v>
      </c>
      <c r="W68" s="18">
        <v>1</v>
      </c>
      <c r="X68" s="18">
        <f t="shared" si="13"/>
        <v>0</v>
      </c>
      <c r="Y68" s="12">
        <f t="shared" si="14"/>
        <v>1.62438398605541</v>
      </c>
      <c r="Z68" s="12">
        <f t="shared" si="15"/>
        <v>0</v>
      </c>
      <c r="AA68" s="19">
        <v>19310</v>
      </c>
      <c r="AB68" s="19">
        <v>36460.55</v>
      </c>
      <c r="AC68" s="19">
        <v>1635.4</v>
      </c>
      <c r="AD68" s="19">
        <v>419.55</v>
      </c>
      <c r="AE68" s="19">
        <v>353.24</v>
      </c>
      <c r="AF68" s="19">
        <v>34.96</v>
      </c>
      <c r="AG68" s="19">
        <v>426.62</v>
      </c>
      <c r="AH68" s="19">
        <v>3.27</v>
      </c>
      <c r="AI68" s="19">
        <v>45.06</v>
      </c>
      <c r="AJ68" s="19">
        <v>2605.03</v>
      </c>
      <c r="AK68" s="3">
        <f t="shared" si="11"/>
        <v>1</v>
      </c>
      <c r="AL68" s="3">
        <v>0</v>
      </c>
      <c r="AM68" s="3">
        <f t="shared" si="10"/>
        <v>0</v>
      </c>
    </row>
    <row r="69" spans="1:39">
      <c r="A69" s="7">
        <v>2017</v>
      </c>
      <c r="B69" s="7" t="s">
        <v>40</v>
      </c>
      <c r="C69" s="7">
        <v>0.06803286</v>
      </c>
      <c r="D69" s="7">
        <v>0.016882</v>
      </c>
      <c r="E69" s="7">
        <v>0.004262</v>
      </c>
      <c r="F69" s="7">
        <v>0.007693</v>
      </c>
      <c r="G69" s="7">
        <v>0.002486</v>
      </c>
      <c r="H69" s="7">
        <v>0.002441</v>
      </c>
      <c r="I69" s="7">
        <v>0.01864</v>
      </c>
      <c r="J69" s="7">
        <v>0.007855</v>
      </c>
      <c r="K69" s="16">
        <v>19763</v>
      </c>
      <c r="L69" s="17">
        <v>2433</v>
      </c>
      <c r="M69" s="16">
        <v>16096.21</v>
      </c>
      <c r="N69" s="7">
        <f t="shared" si="8"/>
        <v>8.12289354706124</v>
      </c>
      <c r="O69" s="7">
        <f t="shared" si="9"/>
        <v>1.22780455771887</v>
      </c>
      <c r="P69" s="8">
        <v>575252587.3</v>
      </c>
      <c r="Q69" s="8">
        <f t="shared" si="12"/>
        <v>3.57383873160204</v>
      </c>
      <c r="R69" s="9">
        <v>2998.4</v>
      </c>
      <c r="S69" s="9">
        <v>13459.8</v>
      </c>
      <c r="T69" s="9">
        <v>17369.9</v>
      </c>
      <c r="U69" s="9">
        <v>51030</v>
      </c>
      <c r="V69" s="18">
        <v>0</v>
      </c>
      <c r="W69" s="18">
        <v>1</v>
      </c>
      <c r="X69" s="18">
        <f t="shared" si="13"/>
        <v>0</v>
      </c>
      <c r="Y69" s="12">
        <f t="shared" si="14"/>
        <v>1.56738551218677</v>
      </c>
      <c r="Z69" s="12">
        <f t="shared" si="15"/>
        <v>0</v>
      </c>
      <c r="AA69" s="19">
        <v>19763</v>
      </c>
      <c r="AB69" s="19">
        <v>38372.19</v>
      </c>
      <c r="AC69" s="19">
        <v>1669.24</v>
      </c>
      <c r="AD69" s="19">
        <v>452.25</v>
      </c>
      <c r="AE69" s="19">
        <v>357.05</v>
      </c>
      <c r="AF69" s="19">
        <v>42.87</v>
      </c>
      <c r="AG69" s="19">
        <v>439.2</v>
      </c>
      <c r="AH69" s="19">
        <v>3.74</v>
      </c>
      <c r="AI69" s="19">
        <v>52.04</v>
      </c>
      <c r="AJ69" s="19">
        <v>2891.87</v>
      </c>
      <c r="AK69" s="3">
        <f t="shared" si="11"/>
        <v>1</v>
      </c>
      <c r="AL69" s="3">
        <v>0</v>
      </c>
      <c r="AM69" s="3">
        <f t="shared" si="10"/>
        <v>0</v>
      </c>
    </row>
    <row r="70" spans="1:39">
      <c r="A70" s="7">
        <v>2018</v>
      </c>
      <c r="B70" s="7" t="s">
        <v>40</v>
      </c>
      <c r="C70" s="7">
        <v>0.06801843</v>
      </c>
      <c r="D70" s="7">
        <v>0.016885</v>
      </c>
      <c r="E70" s="7">
        <v>0.004332</v>
      </c>
      <c r="F70" s="7">
        <v>0.007646</v>
      </c>
      <c r="G70" s="7">
        <v>0.002463</v>
      </c>
      <c r="H70" s="7">
        <v>0.002444</v>
      </c>
      <c r="I70" s="7">
        <v>0.016823</v>
      </c>
      <c r="J70" s="7">
        <v>0.008899</v>
      </c>
      <c r="K70" s="16">
        <v>23068</v>
      </c>
      <c r="L70" s="17">
        <v>2422</v>
      </c>
      <c r="M70" s="16">
        <v>17289.22</v>
      </c>
      <c r="N70" s="7">
        <f t="shared" si="8"/>
        <v>9.52436003303055</v>
      </c>
      <c r="O70" s="7">
        <f t="shared" si="9"/>
        <v>1.33424179922518</v>
      </c>
      <c r="P70" s="8">
        <v>602380180.8</v>
      </c>
      <c r="Q70" s="8">
        <f t="shared" si="12"/>
        <v>3.48413740353816</v>
      </c>
      <c r="R70" s="9">
        <v>3084.2</v>
      </c>
      <c r="S70" s="9">
        <v>13904.1</v>
      </c>
      <c r="T70" s="9">
        <v>19341.4</v>
      </c>
      <c r="U70" s="9">
        <v>54763</v>
      </c>
      <c r="V70" s="18">
        <v>0</v>
      </c>
      <c r="W70" s="18">
        <v>1</v>
      </c>
      <c r="X70" s="18">
        <f t="shared" si="13"/>
        <v>0</v>
      </c>
      <c r="Y70" s="12">
        <f t="shared" si="14"/>
        <v>1.51591455826218</v>
      </c>
      <c r="Z70" s="12">
        <f t="shared" si="15"/>
        <v>0</v>
      </c>
      <c r="AA70" s="19">
        <v>23068</v>
      </c>
      <c r="AB70" s="19">
        <v>44138.47</v>
      </c>
      <c r="AC70" s="19">
        <v>2125.06</v>
      </c>
      <c r="AD70" s="19">
        <v>362.35</v>
      </c>
      <c r="AE70" s="19">
        <v>352.99</v>
      </c>
      <c r="AF70" s="19">
        <v>46.85</v>
      </c>
      <c r="AG70" s="19">
        <v>430.53</v>
      </c>
      <c r="AH70" s="19">
        <v>2.54</v>
      </c>
      <c r="AI70" s="19">
        <v>61.97</v>
      </c>
      <c r="AJ70" s="19">
        <v>3353.44</v>
      </c>
      <c r="AK70" s="3">
        <f t="shared" si="11"/>
        <v>1</v>
      </c>
      <c r="AL70" s="3">
        <v>0</v>
      </c>
      <c r="AM70" s="3">
        <f t="shared" si="10"/>
        <v>0</v>
      </c>
    </row>
    <row r="71" spans="1:39">
      <c r="A71" s="7">
        <v>2019</v>
      </c>
      <c r="B71" s="7" t="s">
        <v>40</v>
      </c>
      <c r="C71" s="7">
        <v>0.07298959</v>
      </c>
      <c r="D71" s="7">
        <v>0.018708</v>
      </c>
      <c r="E71" s="7">
        <v>0.004683</v>
      </c>
      <c r="F71" s="7">
        <v>0.008404</v>
      </c>
      <c r="G71" s="7">
        <v>0.002845</v>
      </c>
      <c r="H71" s="7">
        <v>0.002776</v>
      </c>
      <c r="I71" s="7">
        <v>0.016104</v>
      </c>
      <c r="J71" s="7">
        <v>0.00814</v>
      </c>
      <c r="K71" s="16">
        <v>25346</v>
      </c>
      <c r="L71" s="17">
        <v>2415</v>
      </c>
      <c r="M71" s="16">
        <v>17212.53</v>
      </c>
      <c r="N71" s="7">
        <f t="shared" si="8"/>
        <v>10.4952380952381</v>
      </c>
      <c r="O71" s="7">
        <f t="shared" si="9"/>
        <v>1.47253192877514</v>
      </c>
      <c r="P71" s="8">
        <v>633092623.7</v>
      </c>
      <c r="Q71" s="8">
        <f t="shared" si="12"/>
        <v>3.67809162104583</v>
      </c>
      <c r="R71" s="9">
        <v>3647.2</v>
      </c>
      <c r="S71" s="9">
        <v>15401.7</v>
      </c>
      <c r="T71" s="9">
        <v>20845.2</v>
      </c>
      <c r="U71" s="9">
        <v>60104</v>
      </c>
      <c r="V71" s="18">
        <v>0</v>
      </c>
      <c r="W71" s="18">
        <v>1</v>
      </c>
      <c r="X71" s="18">
        <f t="shared" si="13"/>
        <v>0</v>
      </c>
      <c r="Y71" s="12">
        <f t="shared" si="14"/>
        <v>1.5000536746505</v>
      </c>
      <c r="Z71" s="12">
        <f t="shared" si="15"/>
        <v>0</v>
      </c>
      <c r="AA71" s="19">
        <v>25346</v>
      </c>
      <c r="AB71" s="19">
        <v>49035.95</v>
      </c>
      <c r="AC71" s="19">
        <v>2378.28</v>
      </c>
      <c r="AD71" s="19">
        <v>428.71</v>
      </c>
      <c r="AE71" s="19">
        <v>367.7</v>
      </c>
      <c r="AF71" s="19">
        <v>50.03</v>
      </c>
      <c r="AG71" s="19">
        <v>451.65</v>
      </c>
      <c r="AH71" s="19">
        <v>1.25</v>
      </c>
      <c r="AI71" s="19">
        <v>64.18</v>
      </c>
      <c r="AJ71" s="19">
        <v>3653.02</v>
      </c>
      <c r="AK71" s="3">
        <f t="shared" si="11"/>
        <v>1</v>
      </c>
      <c r="AL71" s="3">
        <v>0</v>
      </c>
      <c r="AM71" s="3">
        <f t="shared" si="10"/>
        <v>0</v>
      </c>
    </row>
    <row r="72" spans="1:39">
      <c r="A72" s="7">
        <v>2020</v>
      </c>
      <c r="B72" s="7" t="s">
        <v>40</v>
      </c>
      <c r="C72" s="7">
        <v>0.06846233</v>
      </c>
      <c r="D72" s="7">
        <v>0.017223</v>
      </c>
      <c r="E72" s="7">
        <v>0.00439</v>
      </c>
      <c r="F72" s="7">
        <v>0.007732</v>
      </c>
      <c r="G72" s="7">
        <v>0.002441</v>
      </c>
      <c r="H72" s="7">
        <v>0.002661</v>
      </c>
      <c r="I72" s="7">
        <v>0.015922</v>
      </c>
      <c r="J72" s="7">
        <v>0.008921</v>
      </c>
      <c r="K72" s="16">
        <v>27133.65</v>
      </c>
      <c r="L72" s="17">
        <v>2402.8</v>
      </c>
      <c r="M72" s="16">
        <v>17359.82</v>
      </c>
      <c r="N72" s="7">
        <f t="shared" si="8"/>
        <v>11.2925129016148</v>
      </c>
      <c r="O72" s="7">
        <f t="shared" si="9"/>
        <v>1.56301447826072</v>
      </c>
      <c r="P72" s="8">
        <v>648820703</v>
      </c>
      <c r="Q72" s="8">
        <f t="shared" si="12"/>
        <v>3.73748519857925</v>
      </c>
      <c r="R72" s="9">
        <v>4240.7</v>
      </c>
      <c r="S72" s="9">
        <v>15949.2</v>
      </c>
      <c r="T72" s="9">
        <v>21352.7</v>
      </c>
      <c r="U72" s="9">
        <v>62537</v>
      </c>
      <c r="V72" s="18">
        <v>0</v>
      </c>
      <c r="W72" s="18">
        <v>1</v>
      </c>
      <c r="X72" s="18">
        <f t="shared" si="13"/>
        <v>0</v>
      </c>
      <c r="Y72" s="12">
        <f t="shared" si="14"/>
        <v>1.47141701078949</v>
      </c>
      <c r="Z72" s="12">
        <f t="shared" si="15"/>
        <v>0</v>
      </c>
      <c r="AA72" s="19">
        <v>27133.65</v>
      </c>
      <c r="AB72" s="19">
        <v>51818.89</v>
      </c>
      <c r="AC72" s="19">
        <v>2617.17</v>
      </c>
      <c r="AD72" s="19">
        <v>414.72</v>
      </c>
      <c r="AE72" s="19">
        <v>364.96</v>
      </c>
      <c r="AF72" s="19">
        <v>34.37</v>
      </c>
      <c r="AG72" s="19">
        <v>444.25</v>
      </c>
      <c r="AH72" s="19">
        <v>1.54</v>
      </c>
      <c r="AI72" s="19">
        <v>69.9</v>
      </c>
      <c r="AJ72" s="19">
        <v>3900</v>
      </c>
      <c r="AK72" s="3">
        <f t="shared" si="11"/>
        <v>1</v>
      </c>
      <c r="AL72" s="3">
        <v>0</v>
      </c>
      <c r="AM72" s="3">
        <f t="shared" si="10"/>
        <v>0</v>
      </c>
    </row>
    <row r="73" spans="1:39">
      <c r="A73" s="7">
        <v>2021</v>
      </c>
      <c r="B73" s="7" t="s">
        <v>40</v>
      </c>
      <c r="C73" s="7">
        <v>0.07649329</v>
      </c>
      <c r="D73" s="7">
        <v>0.018373</v>
      </c>
      <c r="E73" s="7">
        <v>0.004485</v>
      </c>
      <c r="F73" s="7">
        <v>0.008532</v>
      </c>
      <c r="G73" s="7">
        <v>0.002921</v>
      </c>
      <c r="H73" s="7">
        <v>0.002435</v>
      </c>
      <c r="I73" s="7">
        <v>0.017837</v>
      </c>
      <c r="J73" s="7">
        <v>0.009374</v>
      </c>
      <c r="K73" s="16">
        <v>26900.46</v>
      </c>
      <c r="L73" s="17">
        <v>2400</v>
      </c>
      <c r="M73" s="16">
        <v>20514.2</v>
      </c>
      <c r="N73" s="7">
        <f t="shared" si="8"/>
        <v>11.208525</v>
      </c>
      <c r="O73" s="7">
        <f t="shared" si="9"/>
        <v>1.31130923945365</v>
      </c>
      <c r="P73" s="8">
        <v>724230244.1</v>
      </c>
      <c r="Q73" s="8">
        <f t="shared" si="12"/>
        <v>3.5303850215948</v>
      </c>
      <c r="R73" s="9">
        <v>4323</v>
      </c>
      <c r="S73" s="9">
        <v>17852.5</v>
      </c>
      <c r="T73" s="9">
        <v>23537.9</v>
      </c>
      <c r="U73" s="9">
        <v>68913</v>
      </c>
      <c r="V73" s="18">
        <v>0</v>
      </c>
      <c r="W73" s="18">
        <v>1</v>
      </c>
      <c r="X73" s="18">
        <f t="shared" si="13"/>
        <v>0</v>
      </c>
      <c r="Y73" s="12">
        <f t="shared" si="14"/>
        <v>1.36781889095748</v>
      </c>
      <c r="Z73" s="12">
        <f t="shared" si="15"/>
        <v>0</v>
      </c>
      <c r="AA73" s="19">
        <v>26900.46</v>
      </c>
      <c r="AB73" s="19">
        <v>57480.44</v>
      </c>
      <c r="AC73" s="19">
        <v>2454.94</v>
      </c>
      <c r="AD73" s="19">
        <v>402.03</v>
      </c>
      <c r="AE73" s="19">
        <v>406.45</v>
      </c>
      <c r="AF73" s="19">
        <v>38.76</v>
      </c>
      <c r="AG73" s="19">
        <v>483.41</v>
      </c>
      <c r="AH73" s="19">
        <v>2.04</v>
      </c>
      <c r="AI73" s="19">
        <v>77.96</v>
      </c>
      <c r="AJ73" s="19">
        <v>3957</v>
      </c>
      <c r="AK73" s="3">
        <f t="shared" si="11"/>
        <v>1</v>
      </c>
      <c r="AL73" s="3">
        <v>0</v>
      </c>
      <c r="AM73" s="3">
        <f t="shared" si="10"/>
        <v>0</v>
      </c>
    </row>
    <row r="74" spans="1:39">
      <c r="A74" s="7">
        <v>2022</v>
      </c>
      <c r="B74" s="7" t="s">
        <v>40</v>
      </c>
      <c r="C74" s="7">
        <v>0.05972982</v>
      </c>
      <c r="D74" s="7">
        <v>0.016686</v>
      </c>
      <c r="E74" s="7">
        <v>0.004449</v>
      </c>
      <c r="F74" s="7">
        <v>0.007583</v>
      </c>
      <c r="G74" s="7">
        <v>0.002446</v>
      </c>
      <c r="H74" s="7">
        <v>0.002208</v>
      </c>
      <c r="I74" s="7">
        <v>0.015849</v>
      </c>
      <c r="J74" s="7">
        <v>0.006691</v>
      </c>
      <c r="K74" s="16">
        <v>27980.98</v>
      </c>
      <c r="L74" s="17">
        <v>2401</v>
      </c>
      <c r="M74" s="16">
        <v>23158.6</v>
      </c>
      <c r="N74" s="7">
        <f t="shared" si="8"/>
        <v>11.653885880883</v>
      </c>
      <c r="O74" s="7">
        <f t="shared" si="9"/>
        <v>1.20823279472852</v>
      </c>
      <c r="P74" s="8">
        <v>752075807.9</v>
      </c>
      <c r="Q74" s="8">
        <f t="shared" si="12"/>
        <v>3.24750117839593</v>
      </c>
      <c r="R74" s="9">
        <v>4601.4</v>
      </c>
      <c r="S74" s="9">
        <v>17899.8</v>
      </c>
      <c r="T74" s="9">
        <v>25057.4</v>
      </c>
      <c r="U74" s="9">
        <v>71917</v>
      </c>
      <c r="V74" s="18">
        <v>0</v>
      </c>
      <c r="W74" s="18">
        <v>1</v>
      </c>
      <c r="X74" s="18">
        <f t="shared" si="13"/>
        <v>0</v>
      </c>
      <c r="Y74" s="12">
        <f t="shared" si="14"/>
        <v>1.27047633725244</v>
      </c>
      <c r="Z74" s="12">
        <f t="shared" si="15"/>
        <v>0</v>
      </c>
      <c r="AA74" s="19">
        <v>27680.57334</v>
      </c>
      <c r="AB74" s="19">
        <v>58792.04</v>
      </c>
      <c r="AC74" s="19">
        <v>2625.18</v>
      </c>
      <c r="AD74" s="19">
        <v>344.84</v>
      </c>
      <c r="AE74" s="19">
        <v>351.62</v>
      </c>
      <c r="AF74" s="19">
        <v>24.83</v>
      </c>
      <c r="AG74" s="19">
        <v>617.5</v>
      </c>
      <c r="AH74" s="19">
        <v>0.72</v>
      </c>
      <c r="AI74" s="19">
        <v>90.56</v>
      </c>
      <c r="AJ74" s="19">
        <v>4291.16</v>
      </c>
      <c r="AK74" s="3">
        <f t="shared" si="11"/>
        <v>1</v>
      </c>
      <c r="AL74" s="3">
        <v>0</v>
      </c>
      <c r="AM74" s="3">
        <f t="shared" si="10"/>
        <v>0</v>
      </c>
    </row>
    <row r="75" spans="1:39">
      <c r="A75" s="7">
        <v>2023</v>
      </c>
      <c r="B75" s="7" t="s">
        <v>40</v>
      </c>
      <c r="C75" s="7">
        <v>0.07757044</v>
      </c>
      <c r="D75" s="7">
        <v>0.016707</v>
      </c>
      <c r="E75" s="7">
        <v>0.00612</v>
      </c>
      <c r="F75" s="7">
        <v>0.008342</v>
      </c>
      <c r="G75" s="7">
        <v>0.003677</v>
      </c>
      <c r="H75" s="7">
        <v>0.003689</v>
      </c>
      <c r="I75" s="7">
        <v>0.015568</v>
      </c>
      <c r="J75" s="7">
        <v>0.005716</v>
      </c>
      <c r="K75" s="16">
        <v>29061.5</v>
      </c>
      <c r="L75" s="17">
        <v>2396</v>
      </c>
      <c r="M75" s="16">
        <v>24627</v>
      </c>
      <c r="N75" s="7">
        <f t="shared" si="8"/>
        <v>12.1291736227045</v>
      </c>
      <c r="O75" s="7">
        <f t="shared" si="9"/>
        <v>1.18006659357616</v>
      </c>
      <c r="P75" s="8">
        <v>826922305.7</v>
      </c>
      <c r="Q75" s="8">
        <f t="shared" si="12"/>
        <v>3.3577874109717</v>
      </c>
      <c r="R75" s="9">
        <v>4621.3</v>
      </c>
      <c r="S75" s="9">
        <v>18822.8</v>
      </c>
      <c r="T75" s="9">
        <v>26568.8</v>
      </c>
      <c r="U75" s="9">
        <v>75938</v>
      </c>
      <c r="V75" s="18">
        <v>0</v>
      </c>
      <c r="W75" s="18">
        <v>1</v>
      </c>
      <c r="X75" s="18">
        <f t="shared" si="13"/>
        <v>0</v>
      </c>
      <c r="Y75" s="12">
        <f t="shared" si="14"/>
        <v>1.2756783895882</v>
      </c>
      <c r="Z75" s="12">
        <f t="shared" si="15"/>
        <v>0</v>
      </c>
      <c r="AA75" s="12"/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3">
        <f t="shared" si="11"/>
        <v>1</v>
      </c>
      <c r="AL75" s="3">
        <v>0</v>
      </c>
      <c r="AM75" s="3">
        <f t="shared" si="10"/>
        <v>0</v>
      </c>
    </row>
    <row r="76" spans="1:39">
      <c r="A76" s="7">
        <v>2024</v>
      </c>
      <c r="B76" s="7" t="s">
        <v>40</v>
      </c>
      <c r="C76" s="7">
        <v>0.08245426</v>
      </c>
      <c r="D76" s="7">
        <v>0.016723</v>
      </c>
      <c r="E76" s="7">
        <v>0.006619</v>
      </c>
      <c r="F76" s="7">
        <v>0.008528</v>
      </c>
      <c r="G76" s="7">
        <v>0.004082</v>
      </c>
      <c r="H76" s="7">
        <v>0.004121</v>
      </c>
      <c r="I76" s="7">
        <v>0.015371</v>
      </c>
      <c r="J76" s="7">
        <v>0.005292</v>
      </c>
      <c r="K76" s="16">
        <v>30142.02</v>
      </c>
      <c r="L76" s="17">
        <v>2388</v>
      </c>
      <c r="M76" s="16">
        <v>26314.6</v>
      </c>
      <c r="N76" s="7">
        <f t="shared" si="8"/>
        <v>12.6222864321608</v>
      </c>
      <c r="O76" s="7">
        <f t="shared" si="9"/>
        <v>1.14544853427375</v>
      </c>
      <c r="P76" s="8">
        <v>828694740.9</v>
      </c>
      <c r="Q76" s="8">
        <f t="shared" si="12"/>
        <v>3.1491823584626</v>
      </c>
      <c r="R76" s="9">
        <v>4899.7</v>
      </c>
      <c r="S76" s="9">
        <v>19534.6</v>
      </c>
      <c r="T76" s="9">
        <v>28796.7</v>
      </c>
      <c r="U76" s="9">
        <v>81225</v>
      </c>
      <c r="V76" s="18">
        <v>1</v>
      </c>
      <c r="W76" s="18">
        <v>1</v>
      </c>
      <c r="X76" s="18">
        <f t="shared" si="13"/>
        <v>1</v>
      </c>
      <c r="Y76" s="12">
        <f t="shared" si="14"/>
        <v>1.21200651315194</v>
      </c>
      <c r="Z76" s="12">
        <f t="shared" si="15"/>
        <v>0</v>
      </c>
      <c r="AA76" s="12"/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3">
        <f t="shared" si="11"/>
        <v>1</v>
      </c>
      <c r="AL76" s="3">
        <v>0</v>
      </c>
      <c r="AM76" s="3">
        <f t="shared" si="10"/>
        <v>0</v>
      </c>
    </row>
    <row r="77" spans="1:39">
      <c r="A77" s="7">
        <v>2000</v>
      </c>
      <c r="B77" s="7" t="s">
        <v>41</v>
      </c>
      <c r="C77" s="7">
        <v>0.16269861</v>
      </c>
      <c r="D77" s="7">
        <v>0.032594</v>
      </c>
      <c r="E77" s="7">
        <v>0.008291</v>
      </c>
      <c r="F77" s="7">
        <v>0.014864</v>
      </c>
      <c r="G77" s="7">
        <v>0.005042</v>
      </c>
      <c r="H77" s="7">
        <v>0.004398</v>
      </c>
      <c r="I77" s="7">
        <v>0.030336</v>
      </c>
      <c r="J77" s="7">
        <v>0.012737</v>
      </c>
      <c r="K77" s="16">
        <v>4144</v>
      </c>
      <c r="L77" s="17">
        <v>1363.6</v>
      </c>
      <c r="M77" s="16">
        <v>2478.76</v>
      </c>
      <c r="N77" s="7">
        <f t="shared" si="8"/>
        <v>3.03901437371663</v>
      </c>
      <c r="O77" s="7">
        <f t="shared" si="9"/>
        <v>1.67180364375736</v>
      </c>
      <c r="P77" s="8">
        <v>43071085.8</v>
      </c>
      <c r="Q77" s="8">
        <f t="shared" si="12"/>
        <v>1.73760613371202</v>
      </c>
      <c r="R77" s="9">
        <v>73.7</v>
      </c>
      <c r="S77" s="9">
        <v>794.8</v>
      </c>
      <c r="T77" s="9">
        <v>723.2</v>
      </c>
      <c r="U77" s="9">
        <v>16236</v>
      </c>
      <c r="V77" s="18">
        <v>0</v>
      </c>
      <c r="W77" s="18">
        <v>0</v>
      </c>
      <c r="X77" s="18">
        <f t="shared" si="13"/>
        <v>0</v>
      </c>
      <c r="Y77" s="12">
        <f t="shared" si="14"/>
        <v>4.53658228674969</v>
      </c>
      <c r="Z77" s="12">
        <f t="shared" si="15"/>
        <v>0.616979033139735</v>
      </c>
      <c r="AA77" s="19">
        <v>4144</v>
      </c>
      <c r="AB77" s="19">
        <v>2719.78</v>
      </c>
      <c r="AC77" s="19">
        <v>449.08</v>
      </c>
      <c r="AD77" s="19">
        <v>754.71</v>
      </c>
      <c r="AE77" s="19">
        <v>106.6</v>
      </c>
      <c r="AF77" s="19">
        <v>117.6</v>
      </c>
      <c r="AG77" s="19">
        <v>81.17</v>
      </c>
      <c r="AH77" s="19">
        <v>89.62</v>
      </c>
      <c r="AI77" s="19">
        <v>10.9</v>
      </c>
      <c r="AJ77" s="19">
        <v>384.43</v>
      </c>
      <c r="AK77" s="3">
        <f t="shared" si="11"/>
        <v>0</v>
      </c>
      <c r="AL77" s="3">
        <v>1</v>
      </c>
      <c r="AM77" s="3">
        <f t="shared" si="10"/>
        <v>0</v>
      </c>
    </row>
    <row r="78" spans="1:39">
      <c r="A78" s="7">
        <v>2001</v>
      </c>
      <c r="B78" s="7" t="s">
        <v>41</v>
      </c>
      <c r="C78" s="7">
        <v>0.20524373</v>
      </c>
      <c r="D78" s="7">
        <v>0.036299</v>
      </c>
      <c r="E78" s="7">
        <v>0.009255</v>
      </c>
      <c r="F78" s="7">
        <v>0.015643</v>
      </c>
      <c r="G78" s="7">
        <v>0.005301</v>
      </c>
      <c r="H78" s="7">
        <v>0.006101</v>
      </c>
      <c r="I78" s="7">
        <v>0.036093</v>
      </c>
      <c r="J78" s="7">
        <v>0.018827</v>
      </c>
      <c r="K78" s="16">
        <v>4313</v>
      </c>
      <c r="L78" s="17">
        <v>1385.1</v>
      </c>
      <c r="M78" s="16">
        <v>3710.52</v>
      </c>
      <c r="N78" s="7">
        <f t="shared" si="8"/>
        <v>3.11385459533608</v>
      </c>
      <c r="O78" s="7">
        <f t="shared" si="9"/>
        <v>1.16237077282968</v>
      </c>
      <c r="P78" s="8">
        <v>43247158.22</v>
      </c>
      <c r="Q78" s="8">
        <f t="shared" si="12"/>
        <v>1.16552823377855</v>
      </c>
      <c r="R78" s="9">
        <v>78.7</v>
      </c>
      <c r="S78" s="9">
        <v>858.8</v>
      </c>
      <c r="T78" s="9">
        <v>819.4</v>
      </c>
      <c r="U78" s="9">
        <v>17523</v>
      </c>
      <c r="V78" s="18">
        <v>0</v>
      </c>
      <c r="W78" s="18">
        <v>0</v>
      </c>
      <c r="X78" s="18">
        <f t="shared" si="13"/>
        <v>0</v>
      </c>
      <c r="Y78" s="12">
        <f t="shared" si="14"/>
        <v>4.16809156222866</v>
      </c>
      <c r="Z78" s="12">
        <f t="shared" si="15"/>
        <v>0.720368850737207</v>
      </c>
      <c r="AA78" s="19">
        <v>4313</v>
      </c>
      <c r="AB78" s="19">
        <v>2675</v>
      </c>
      <c r="AC78" s="19">
        <v>429.62</v>
      </c>
      <c r="AD78" s="19">
        <v>700.5</v>
      </c>
      <c r="AE78" s="19">
        <v>138.69</v>
      </c>
      <c r="AF78" s="19">
        <v>129.25</v>
      </c>
      <c r="AG78" s="19">
        <v>103.52</v>
      </c>
      <c r="AH78" s="19">
        <v>78.39</v>
      </c>
      <c r="AI78" s="19">
        <v>16.74</v>
      </c>
      <c r="AJ78" s="19">
        <v>398.3</v>
      </c>
      <c r="AK78" s="3">
        <f t="shared" si="11"/>
        <v>0</v>
      </c>
      <c r="AL78" s="3">
        <v>1</v>
      </c>
      <c r="AM78" s="3">
        <f t="shared" si="10"/>
        <v>0</v>
      </c>
    </row>
    <row r="79" spans="1:39">
      <c r="A79" s="7">
        <v>2002</v>
      </c>
      <c r="B79" s="7" t="s">
        <v>41</v>
      </c>
      <c r="C79" s="7">
        <v>0.19522239</v>
      </c>
      <c r="D79" s="7">
        <v>0.035172</v>
      </c>
      <c r="E79" s="7">
        <v>0.008771</v>
      </c>
      <c r="F79" s="7">
        <v>0.015614</v>
      </c>
      <c r="G79" s="7">
        <v>0.005305</v>
      </c>
      <c r="H79" s="7">
        <v>0.005482</v>
      </c>
      <c r="I79" s="7">
        <v>0.035418</v>
      </c>
      <c r="J79" s="7">
        <v>0.017648</v>
      </c>
      <c r="K79" s="16">
        <v>4436</v>
      </c>
      <c r="L79" s="17">
        <v>1423.2</v>
      </c>
      <c r="M79" s="16">
        <v>4330.4</v>
      </c>
      <c r="N79" s="7">
        <f t="shared" si="8"/>
        <v>3.11691961776279</v>
      </c>
      <c r="O79" s="7">
        <f t="shared" si="9"/>
        <v>1.02438573803806</v>
      </c>
      <c r="P79" s="8">
        <v>45658759.49</v>
      </c>
      <c r="Q79" s="8">
        <f t="shared" si="12"/>
        <v>1.05437741294107</v>
      </c>
      <c r="R79" s="9">
        <v>84.2</v>
      </c>
      <c r="S79" s="9">
        <v>931.5</v>
      </c>
      <c r="T79" s="9">
        <v>911.2</v>
      </c>
      <c r="U79" s="9">
        <v>19161</v>
      </c>
      <c r="V79" s="18">
        <v>0</v>
      </c>
      <c r="W79" s="18">
        <v>0</v>
      </c>
      <c r="X79" s="18">
        <f t="shared" si="13"/>
        <v>0</v>
      </c>
      <c r="Y79" s="12">
        <f t="shared" si="14"/>
        <v>4.06804884448575</v>
      </c>
      <c r="Z79" s="12">
        <f t="shared" si="15"/>
        <v>0.740814957428478</v>
      </c>
      <c r="AA79" s="19">
        <v>4436</v>
      </c>
      <c r="AB79" s="19">
        <v>2531</v>
      </c>
      <c r="AC79" s="19">
        <v>378</v>
      </c>
      <c r="AD79" s="19">
        <v>748</v>
      </c>
      <c r="AE79" s="19">
        <v>152</v>
      </c>
      <c r="AF79" s="19">
        <v>145</v>
      </c>
      <c r="AG79" s="19">
        <v>109</v>
      </c>
      <c r="AH79" s="19">
        <v>71</v>
      </c>
      <c r="AI79" s="19">
        <v>21</v>
      </c>
      <c r="AJ79" s="19">
        <v>436</v>
      </c>
      <c r="AK79" s="3">
        <f t="shared" si="11"/>
        <v>0</v>
      </c>
      <c r="AL79" s="3">
        <v>1</v>
      </c>
      <c r="AM79" s="3">
        <f t="shared" si="10"/>
        <v>0</v>
      </c>
    </row>
    <row r="80" spans="1:39">
      <c r="A80" s="7">
        <v>2003</v>
      </c>
      <c r="B80" s="7" t="s">
        <v>41</v>
      </c>
      <c r="C80" s="7">
        <v>0.22581083</v>
      </c>
      <c r="D80" s="7">
        <v>0.038508</v>
      </c>
      <c r="E80" s="7">
        <v>0.009405</v>
      </c>
      <c r="F80" s="7">
        <v>0.016885</v>
      </c>
      <c r="G80" s="7">
        <v>0.005751</v>
      </c>
      <c r="H80" s="7">
        <v>0.006466</v>
      </c>
      <c r="I80" s="7">
        <v>0.041263</v>
      </c>
      <c r="J80" s="7">
        <v>0.020318</v>
      </c>
      <c r="K80" s="16">
        <v>4648</v>
      </c>
      <c r="L80" s="17">
        <v>1456.4</v>
      </c>
      <c r="M80" s="16">
        <v>5023.77</v>
      </c>
      <c r="N80" s="7">
        <f t="shared" si="8"/>
        <v>3.1914309255699</v>
      </c>
      <c r="O80" s="7">
        <f t="shared" si="9"/>
        <v>0.925201591633375</v>
      </c>
      <c r="P80" s="8">
        <v>49467253.69</v>
      </c>
      <c r="Q80" s="8">
        <f t="shared" si="12"/>
        <v>0.984663981233217</v>
      </c>
      <c r="R80" s="9">
        <v>89.9</v>
      </c>
      <c r="S80" s="9">
        <v>1137.6</v>
      </c>
      <c r="T80" s="9">
        <v>1030.3</v>
      </c>
      <c r="U80" s="9">
        <v>22371</v>
      </c>
      <c r="V80" s="18">
        <v>0</v>
      </c>
      <c r="W80" s="18">
        <v>0</v>
      </c>
      <c r="X80" s="18">
        <f t="shared" si="13"/>
        <v>0</v>
      </c>
      <c r="Y80" s="12">
        <f t="shared" si="14"/>
        <v>4.08414499624993</v>
      </c>
      <c r="Z80" s="12">
        <f t="shared" si="15"/>
        <v>0.75890572393063</v>
      </c>
      <c r="AA80" s="19">
        <v>4648.2</v>
      </c>
      <c r="AB80" s="19">
        <v>2674.02</v>
      </c>
      <c r="AC80" s="19">
        <v>438.25</v>
      </c>
      <c r="AD80" s="19">
        <v>726.68</v>
      </c>
      <c r="AE80" s="19">
        <v>165.22</v>
      </c>
      <c r="AF80" s="19">
        <v>137.94</v>
      </c>
      <c r="AG80" s="19">
        <v>110.41</v>
      </c>
      <c r="AH80" s="19">
        <v>66.1</v>
      </c>
      <c r="AI80" s="19">
        <v>21.19</v>
      </c>
      <c r="AJ80" s="19">
        <v>461.24</v>
      </c>
      <c r="AK80" s="3">
        <f t="shared" si="11"/>
        <v>0</v>
      </c>
      <c r="AL80" s="3">
        <v>1</v>
      </c>
      <c r="AM80" s="3">
        <f t="shared" si="10"/>
        <v>0</v>
      </c>
    </row>
    <row r="81" spans="1:39">
      <c r="A81" s="7">
        <v>2004</v>
      </c>
      <c r="B81" s="7" t="s">
        <v>41</v>
      </c>
      <c r="C81" s="7">
        <v>0.21809021</v>
      </c>
      <c r="D81" s="7">
        <v>0.039796</v>
      </c>
      <c r="E81" s="7">
        <v>0.010065</v>
      </c>
      <c r="F81" s="7">
        <v>0.018267</v>
      </c>
      <c r="G81" s="7">
        <v>0.005836</v>
      </c>
      <c r="H81" s="7">
        <v>0.005628</v>
      </c>
      <c r="I81" s="7">
        <v>0.036552</v>
      </c>
      <c r="J81" s="7">
        <v>0.019229</v>
      </c>
      <c r="K81" s="16">
        <v>5140</v>
      </c>
      <c r="L81" s="17">
        <v>1492.7</v>
      </c>
      <c r="M81" s="16">
        <v>6060.28</v>
      </c>
      <c r="N81" s="7">
        <f t="shared" si="8"/>
        <v>3.44342466671133</v>
      </c>
      <c r="O81" s="7">
        <f t="shared" si="9"/>
        <v>0.848145630234907</v>
      </c>
      <c r="P81" s="8">
        <v>54496232.84</v>
      </c>
      <c r="Q81" s="8">
        <f t="shared" si="12"/>
        <v>0.899236220768677</v>
      </c>
      <c r="R81" s="9">
        <v>105.3</v>
      </c>
      <c r="S81" s="9">
        <v>1348.3</v>
      </c>
      <c r="T81" s="9">
        <v>1167.5</v>
      </c>
      <c r="U81" s="9">
        <v>25761</v>
      </c>
      <c r="V81" s="18">
        <v>0</v>
      </c>
      <c r="W81" s="18">
        <v>0</v>
      </c>
      <c r="X81" s="18">
        <f t="shared" si="13"/>
        <v>0</v>
      </c>
      <c r="Y81" s="12">
        <f t="shared" si="14"/>
        <v>3.89549779892895</v>
      </c>
      <c r="Z81" s="12">
        <f t="shared" si="15"/>
        <v>0.769160126077874</v>
      </c>
      <c r="AA81" s="19">
        <v>5139.6</v>
      </c>
      <c r="AB81" s="19">
        <v>2939.41</v>
      </c>
      <c r="AC81" s="19">
        <v>455.73</v>
      </c>
      <c r="AD81" s="19">
        <v>809.35</v>
      </c>
      <c r="AE81" s="19">
        <v>198.39</v>
      </c>
      <c r="AF81" s="19">
        <v>182.82</v>
      </c>
      <c r="AG81" s="19">
        <v>131.93</v>
      </c>
      <c r="AH81" s="19">
        <v>66.96</v>
      </c>
      <c r="AI81" s="19">
        <v>27.02</v>
      </c>
      <c r="AJ81" s="19">
        <v>510.11</v>
      </c>
      <c r="AK81" s="3">
        <f t="shared" si="11"/>
        <v>0</v>
      </c>
      <c r="AL81" s="3">
        <v>1</v>
      </c>
      <c r="AM81" s="3">
        <f t="shared" si="10"/>
        <v>0</v>
      </c>
    </row>
    <row r="82" spans="1:39">
      <c r="A82" s="7">
        <v>2005</v>
      </c>
      <c r="B82" s="7" t="s">
        <v>41</v>
      </c>
      <c r="C82" s="7">
        <v>0.22842478</v>
      </c>
      <c r="D82" s="7">
        <v>0.042288</v>
      </c>
      <c r="E82" s="7">
        <v>0.010966</v>
      </c>
      <c r="F82" s="7">
        <v>0.019001</v>
      </c>
      <c r="G82" s="7">
        <v>0.006971</v>
      </c>
      <c r="H82" s="7">
        <v>0.005351</v>
      </c>
      <c r="I82" s="7">
        <v>0.037427</v>
      </c>
      <c r="J82" s="7">
        <v>0.01857</v>
      </c>
      <c r="K82" s="16">
        <v>5522</v>
      </c>
      <c r="L82" s="17">
        <v>1538</v>
      </c>
      <c r="M82" s="16">
        <v>6969.52</v>
      </c>
      <c r="N82" s="7">
        <f t="shared" si="8"/>
        <v>3.59037711313394</v>
      </c>
      <c r="O82" s="7">
        <f t="shared" si="9"/>
        <v>0.792307074231798</v>
      </c>
      <c r="P82" s="8">
        <v>60571108.79</v>
      </c>
      <c r="Q82" s="8">
        <f t="shared" si="12"/>
        <v>0.869085802035147</v>
      </c>
      <c r="R82" s="9">
        <v>112.4</v>
      </c>
      <c r="S82" s="9">
        <v>1630.5</v>
      </c>
      <c r="T82" s="9">
        <v>1415.7</v>
      </c>
      <c r="U82" s="9">
        <v>30567</v>
      </c>
      <c r="V82" s="18">
        <v>0</v>
      </c>
      <c r="W82" s="18">
        <v>0</v>
      </c>
      <c r="X82" s="18">
        <f t="shared" si="13"/>
        <v>0</v>
      </c>
      <c r="Y82" s="12">
        <f t="shared" si="14"/>
        <v>3.71995059106252</v>
      </c>
      <c r="Z82" s="12">
        <f t="shared" si="15"/>
        <v>0.766371681354264</v>
      </c>
      <c r="AA82" s="19">
        <v>5521.9</v>
      </c>
      <c r="AB82" s="19">
        <v>3068.97</v>
      </c>
      <c r="AC82" s="19">
        <v>397.4</v>
      </c>
      <c r="AD82" s="19">
        <v>799.6</v>
      </c>
      <c r="AE82" s="19">
        <v>235.23</v>
      </c>
      <c r="AF82" s="19">
        <v>189.36</v>
      </c>
      <c r="AG82" s="19">
        <v>140.86</v>
      </c>
      <c r="AH82" s="19">
        <v>65.88</v>
      </c>
      <c r="AI82" s="19">
        <v>32.04</v>
      </c>
      <c r="AJ82" s="19">
        <v>570.54</v>
      </c>
      <c r="AK82" s="3">
        <f t="shared" si="11"/>
        <v>0</v>
      </c>
      <c r="AL82" s="3">
        <v>1</v>
      </c>
      <c r="AM82" s="3">
        <f t="shared" si="10"/>
        <v>0</v>
      </c>
    </row>
    <row r="83" spans="1:39">
      <c r="A83" s="7">
        <v>2006</v>
      </c>
      <c r="B83" s="7" t="s">
        <v>41</v>
      </c>
      <c r="C83" s="7">
        <v>0.23663397</v>
      </c>
      <c r="D83" s="7">
        <v>0.040747</v>
      </c>
      <c r="E83" s="7">
        <v>0.010447</v>
      </c>
      <c r="F83" s="7">
        <v>0.018054</v>
      </c>
      <c r="G83" s="7">
        <v>0.005743</v>
      </c>
      <c r="H83" s="7">
        <v>0.006503</v>
      </c>
      <c r="I83" s="7">
        <v>0.040176</v>
      </c>
      <c r="J83" s="7">
        <v>0.022057</v>
      </c>
      <c r="K83" s="16">
        <v>5904</v>
      </c>
      <c r="L83" s="17">
        <v>1601</v>
      </c>
      <c r="M83" s="16">
        <v>8117.78</v>
      </c>
      <c r="N83" s="7">
        <f t="shared" si="8"/>
        <v>3.68769519050593</v>
      </c>
      <c r="O83" s="7">
        <f t="shared" si="9"/>
        <v>0.727292437094871</v>
      </c>
      <c r="P83" s="8">
        <v>63804734.58</v>
      </c>
      <c r="Q83" s="8">
        <f t="shared" si="12"/>
        <v>0.785987481552838</v>
      </c>
      <c r="R83" s="9">
        <v>103.4</v>
      </c>
      <c r="S83" s="9">
        <v>1834.5</v>
      </c>
      <c r="T83" s="9">
        <v>1600.3</v>
      </c>
      <c r="U83" s="9">
        <v>33411</v>
      </c>
      <c r="V83" s="18">
        <v>0</v>
      </c>
      <c r="W83" s="18">
        <v>0</v>
      </c>
      <c r="X83" s="18">
        <f t="shared" si="13"/>
        <v>0</v>
      </c>
      <c r="Y83" s="12">
        <f t="shared" si="14"/>
        <v>3.57740717995078</v>
      </c>
      <c r="Z83" s="12">
        <f t="shared" si="15"/>
        <v>0.780291299811264</v>
      </c>
      <c r="AA83" s="19">
        <v>5904.11</v>
      </c>
      <c r="AB83" s="19">
        <v>3055.67</v>
      </c>
      <c r="AC83" s="19">
        <v>348.62</v>
      </c>
      <c r="AD83" s="19">
        <v>796.12</v>
      </c>
      <c r="AE83" s="19">
        <v>278.16</v>
      </c>
      <c r="AF83" s="19">
        <v>233.86</v>
      </c>
      <c r="AG83" s="19">
        <v>177.49</v>
      </c>
      <c r="AH83" s="19">
        <v>48.05</v>
      </c>
      <c r="AI83" s="19">
        <v>40.65</v>
      </c>
      <c r="AJ83" s="19">
        <v>618.99</v>
      </c>
      <c r="AK83" s="3">
        <f t="shared" si="11"/>
        <v>0</v>
      </c>
      <c r="AL83" s="3">
        <v>1</v>
      </c>
      <c r="AM83" s="3">
        <f t="shared" si="10"/>
        <v>0</v>
      </c>
    </row>
    <row r="84" spans="1:39">
      <c r="A84" s="7">
        <v>2007</v>
      </c>
      <c r="B84" s="7" t="s">
        <v>41</v>
      </c>
      <c r="C84" s="7">
        <v>0.23141724</v>
      </c>
      <c r="D84" s="7">
        <v>0.044866</v>
      </c>
      <c r="E84" s="7">
        <v>0.011062</v>
      </c>
      <c r="F84" s="7">
        <v>0.020705</v>
      </c>
      <c r="G84" s="7">
        <v>0.007355</v>
      </c>
      <c r="H84" s="7">
        <v>0.005744</v>
      </c>
      <c r="I84" s="7">
        <v>0.036969</v>
      </c>
      <c r="J84" s="7">
        <v>0.016065</v>
      </c>
      <c r="K84" s="16">
        <v>6285</v>
      </c>
      <c r="L84" s="17">
        <v>1676</v>
      </c>
      <c r="M84" s="16">
        <v>9846.81</v>
      </c>
      <c r="N84" s="7">
        <f t="shared" si="8"/>
        <v>3.75</v>
      </c>
      <c r="O84" s="7">
        <f t="shared" si="9"/>
        <v>0.638277777269999</v>
      </c>
      <c r="P84" s="8">
        <v>63644669.1</v>
      </c>
      <c r="Q84" s="8">
        <f t="shared" si="12"/>
        <v>0.64634809750569</v>
      </c>
      <c r="R84" s="9">
        <v>107.5</v>
      </c>
      <c r="S84" s="9">
        <v>2123.6</v>
      </c>
      <c r="T84" s="9">
        <v>1927.3</v>
      </c>
      <c r="U84" s="9">
        <v>37976</v>
      </c>
      <c r="V84" s="18">
        <v>0</v>
      </c>
      <c r="W84" s="18">
        <v>0</v>
      </c>
      <c r="X84" s="18">
        <f t="shared" si="13"/>
        <v>0</v>
      </c>
      <c r="Y84" s="12">
        <f t="shared" si="14"/>
        <v>3.23986794305777</v>
      </c>
      <c r="Z84" s="12">
        <f t="shared" si="15"/>
        <v>0.800501715234828</v>
      </c>
      <c r="AA84" s="19">
        <v>6285.04</v>
      </c>
      <c r="AB84" s="19">
        <v>2984.67</v>
      </c>
      <c r="AC84" s="19">
        <v>358.19</v>
      </c>
      <c r="AD84" s="19">
        <v>950.91</v>
      </c>
      <c r="AE84" s="19">
        <v>324.72</v>
      </c>
      <c r="AF84" s="19">
        <v>277.1</v>
      </c>
      <c r="AG84" s="19">
        <v>192.02</v>
      </c>
      <c r="AH84" s="19">
        <v>42.85</v>
      </c>
      <c r="AI84" s="19">
        <v>46.64</v>
      </c>
      <c r="AJ84" s="19">
        <v>675.09</v>
      </c>
      <c r="AK84" s="3">
        <f t="shared" si="11"/>
        <v>0</v>
      </c>
      <c r="AL84" s="3">
        <v>1</v>
      </c>
      <c r="AM84" s="3">
        <f t="shared" si="10"/>
        <v>0</v>
      </c>
    </row>
    <row r="85" spans="1:39">
      <c r="A85" s="7">
        <v>2008</v>
      </c>
      <c r="B85" s="7" t="s">
        <v>41</v>
      </c>
      <c r="C85" s="7">
        <v>0.28628447</v>
      </c>
      <c r="D85" s="7">
        <v>0.050429</v>
      </c>
      <c r="E85" s="7">
        <v>0.012699</v>
      </c>
      <c r="F85" s="7">
        <v>0.022461</v>
      </c>
      <c r="G85" s="7">
        <v>0.007823</v>
      </c>
      <c r="H85" s="7">
        <v>0.007447</v>
      </c>
      <c r="I85" s="7">
        <v>0.046234</v>
      </c>
      <c r="J85" s="7">
        <v>0.02223</v>
      </c>
      <c r="K85" s="16">
        <v>6327</v>
      </c>
      <c r="L85" s="17">
        <v>1771</v>
      </c>
      <c r="M85" s="16">
        <v>11115</v>
      </c>
      <c r="N85" s="7">
        <f t="shared" si="8"/>
        <v>3.5725578769057</v>
      </c>
      <c r="O85" s="7">
        <f t="shared" si="9"/>
        <v>0.569230769230769</v>
      </c>
      <c r="P85" s="8">
        <v>63433749.21</v>
      </c>
      <c r="Q85" s="8">
        <f t="shared" si="12"/>
        <v>0.570703996491228</v>
      </c>
      <c r="R85" s="9">
        <v>116.6</v>
      </c>
      <c r="S85" s="9">
        <v>2659.7</v>
      </c>
      <c r="T85" s="9">
        <v>2406.1</v>
      </c>
      <c r="U85" s="9">
        <v>45242</v>
      </c>
      <c r="V85" s="18">
        <v>0</v>
      </c>
      <c r="W85" s="18">
        <v>0</v>
      </c>
      <c r="X85" s="18">
        <f t="shared" si="13"/>
        <v>0</v>
      </c>
      <c r="Y85" s="12">
        <f t="shared" si="14"/>
        <v>2.71728515287532</v>
      </c>
      <c r="Z85" s="12">
        <f t="shared" si="15"/>
        <v>0.789972724839963</v>
      </c>
      <c r="AA85" s="19">
        <v>6327</v>
      </c>
      <c r="AB85" s="19">
        <v>2748</v>
      </c>
      <c r="AC85" s="19">
        <v>232.87</v>
      </c>
      <c r="AD85" s="19">
        <v>1116.76</v>
      </c>
      <c r="AE85" s="19">
        <v>340.92</v>
      </c>
      <c r="AF85" s="19">
        <v>318.39</v>
      </c>
      <c r="AG85" s="19">
        <v>227.22</v>
      </c>
      <c r="AH85" s="19">
        <v>25.62</v>
      </c>
      <c r="AI85" s="19">
        <v>60.65</v>
      </c>
      <c r="AJ85" s="19">
        <v>708.15</v>
      </c>
      <c r="AK85" s="3">
        <f t="shared" si="11"/>
        <v>0</v>
      </c>
      <c r="AL85" s="3">
        <v>1</v>
      </c>
      <c r="AM85" s="3">
        <f t="shared" si="10"/>
        <v>0</v>
      </c>
    </row>
    <row r="86" spans="1:39">
      <c r="A86" s="7">
        <v>2009</v>
      </c>
      <c r="B86" s="7" t="s">
        <v>41</v>
      </c>
      <c r="C86" s="7">
        <v>0.29741866</v>
      </c>
      <c r="D86" s="7">
        <v>0.049421</v>
      </c>
      <c r="E86" s="7">
        <v>0.012843</v>
      </c>
      <c r="F86" s="7">
        <v>0.021911</v>
      </c>
      <c r="G86" s="7">
        <v>0.007283</v>
      </c>
      <c r="H86" s="7">
        <v>0.007384</v>
      </c>
      <c r="I86" s="7">
        <v>0.050397</v>
      </c>
      <c r="J86" s="7">
        <v>0.025937</v>
      </c>
      <c r="K86" s="16">
        <v>6570</v>
      </c>
      <c r="L86" s="17">
        <v>1860</v>
      </c>
      <c r="M86" s="16">
        <v>12153.03</v>
      </c>
      <c r="N86" s="7">
        <f t="shared" si="8"/>
        <v>3.53225806451613</v>
      </c>
      <c r="O86" s="7">
        <f t="shared" si="9"/>
        <v>0.540605922967359</v>
      </c>
      <c r="P86" s="8">
        <v>66458004.93</v>
      </c>
      <c r="Q86" s="8">
        <f t="shared" si="12"/>
        <v>0.546843091229101</v>
      </c>
      <c r="R86" s="9">
        <v>119.5</v>
      </c>
      <c r="S86" s="9">
        <v>2808.7</v>
      </c>
      <c r="T86" s="9">
        <v>2781.3</v>
      </c>
      <c r="U86" s="9">
        <v>47497</v>
      </c>
      <c r="V86" s="18">
        <v>0</v>
      </c>
      <c r="W86" s="18">
        <v>0</v>
      </c>
      <c r="X86" s="18">
        <f t="shared" si="13"/>
        <v>0</v>
      </c>
      <c r="Y86" s="12">
        <f t="shared" si="14"/>
        <v>2.66960201713366</v>
      </c>
      <c r="Z86" s="12">
        <f t="shared" si="15"/>
        <v>0.795159320483191</v>
      </c>
      <c r="AA86" s="19">
        <v>6570</v>
      </c>
      <c r="AB86" s="19">
        <v>2665</v>
      </c>
      <c r="AC86" s="19">
        <v>211.97</v>
      </c>
      <c r="AD86" s="19">
        <v>1162.93</v>
      </c>
      <c r="AE86" s="19">
        <v>363.61</v>
      </c>
      <c r="AF86" s="19">
        <v>341.93</v>
      </c>
      <c r="AG86" s="19">
        <v>240.18</v>
      </c>
      <c r="AH86" s="19">
        <v>42.4</v>
      </c>
      <c r="AI86" s="19">
        <v>69.4</v>
      </c>
      <c r="AJ86" s="19">
        <v>758.85</v>
      </c>
      <c r="AK86" s="3">
        <f t="shared" si="11"/>
        <v>0</v>
      </c>
      <c r="AL86" s="3">
        <v>1</v>
      </c>
      <c r="AM86" s="3">
        <f t="shared" si="10"/>
        <v>0</v>
      </c>
    </row>
    <row r="87" spans="1:39">
      <c r="A87" s="7">
        <v>2010</v>
      </c>
      <c r="B87" s="7" t="s">
        <v>41</v>
      </c>
      <c r="C87" s="7">
        <v>0.30384744</v>
      </c>
      <c r="D87" s="7">
        <v>0.051547</v>
      </c>
      <c r="E87" s="7">
        <v>0.013332</v>
      </c>
      <c r="F87" s="7">
        <v>0.022963</v>
      </c>
      <c r="G87" s="7">
        <v>0.007598</v>
      </c>
      <c r="H87" s="7">
        <v>0.007653</v>
      </c>
      <c r="I87" s="7">
        <v>0.049589</v>
      </c>
      <c r="J87" s="7">
        <v>0.025541</v>
      </c>
      <c r="K87" s="16">
        <v>6954</v>
      </c>
      <c r="L87" s="17">
        <v>1961.9</v>
      </c>
      <c r="M87" s="16">
        <v>14113.58</v>
      </c>
      <c r="N87" s="7">
        <f t="shared" si="8"/>
        <v>3.54452316631836</v>
      </c>
      <c r="O87" s="7">
        <f t="shared" si="9"/>
        <v>0.492716943539485</v>
      </c>
      <c r="P87" s="8">
        <v>72837360.71</v>
      </c>
      <c r="Q87" s="8">
        <f t="shared" si="12"/>
        <v>0.516079979069804</v>
      </c>
      <c r="R87" s="9">
        <v>131.7</v>
      </c>
      <c r="S87" s="9">
        <v>3259.7</v>
      </c>
      <c r="T87" s="9">
        <v>3439.3</v>
      </c>
      <c r="U87" s="9">
        <v>54053</v>
      </c>
      <c r="V87" s="18">
        <v>0</v>
      </c>
      <c r="W87" s="18">
        <v>0</v>
      </c>
      <c r="X87" s="18">
        <f t="shared" si="13"/>
        <v>0</v>
      </c>
      <c r="Y87" s="12">
        <f t="shared" si="14"/>
        <v>2.40850270516871</v>
      </c>
      <c r="Z87" s="12">
        <f t="shared" si="15"/>
        <v>0.785725804682601</v>
      </c>
      <c r="AA87" s="19">
        <v>6954.05</v>
      </c>
      <c r="AB87" s="19">
        <v>2634.62</v>
      </c>
      <c r="AC87" s="19">
        <v>220.45</v>
      </c>
      <c r="AD87" s="19">
        <v>1116.29</v>
      </c>
      <c r="AE87" s="19">
        <v>371.53</v>
      </c>
      <c r="AF87" s="19">
        <v>392.63</v>
      </c>
      <c r="AG87" s="19">
        <v>237.42</v>
      </c>
      <c r="AH87" s="19">
        <v>66.69</v>
      </c>
      <c r="AI87" s="19">
        <v>74.79</v>
      </c>
      <c r="AJ87" s="19">
        <v>809.9</v>
      </c>
      <c r="AK87" s="3">
        <f t="shared" si="11"/>
        <v>0</v>
      </c>
      <c r="AL87" s="3">
        <v>1</v>
      </c>
      <c r="AM87" s="3">
        <f t="shared" si="10"/>
        <v>0</v>
      </c>
    </row>
    <row r="88" spans="1:39">
      <c r="A88" s="7">
        <v>2011</v>
      </c>
      <c r="B88" s="7" t="s">
        <v>41</v>
      </c>
      <c r="C88" s="7">
        <v>0.30013647</v>
      </c>
      <c r="D88" s="7">
        <v>0.052035</v>
      </c>
      <c r="E88" s="7">
        <v>0.013177</v>
      </c>
      <c r="F88" s="7">
        <v>0.023823</v>
      </c>
      <c r="G88" s="7">
        <v>0.007567</v>
      </c>
      <c r="H88" s="7">
        <v>0.007468</v>
      </c>
      <c r="I88" s="7">
        <v>0.049668</v>
      </c>
      <c r="J88" s="7">
        <v>0.023834</v>
      </c>
      <c r="K88" s="16">
        <v>6995</v>
      </c>
      <c r="L88" s="17">
        <v>2024</v>
      </c>
      <c r="M88" s="16">
        <v>16251.93</v>
      </c>
      <c r="N88" s="7">
        <f t="shared" si="8"/>
        <v>3.45602766798419</v>
      </c>
      <c r="O88" s="7">
        <f t="shared" si="9"/>
        <v>0.430410418947165</v>
      </c>
      <c r="P88" s="8">
        <v>75482693.02</v>
      </c>
      <c r="Q88" s="8">
        <f t="shared" si="12"/>
        <v>0.464453717312344</v>
      </c>
      <c r="R88" s="9">
        <v>141.1</v>
      </c>
      <c r="S88" s="9">
        <v>3756.3</v>
      </c>
      <c r="T88" s="9">
        <v>4215.2</v>
      </c>
      <c r="U88" s="9">
        <v>61458</v>
      </c>
      <c r="V88" s="18">
        <v>0</v>
      </c>
      <c r="W88" s="18">
        <v>0</v>
      </c>
      <c r="X88" s="18">
        <f t="shared" si="13"/>
        <v>0</v>
      </c>
      <c r="Y88" s="12">
        <f t="shared" si="14"/>
        <v>2.18035126729488</v>
      </c>
      <c r="Z88" s="12">
        <f t="shared" si="15"/>
        <v>0.786982160040394</v>
      </c>
      <c r="AA88" s="19">
        <v>6995</v>
      </c>
      <c r="AB88" s="19">
        <v>2366</v>
      </c>
      <c r="AC88" s="19">
        <v>33.28</v>
      </c>
      <c r="AD88" s="19">
        <v>1105.08</v>
      </c>
      <c r="AE88" s="19">
        <v>389.79</v>
      </c>
      <c r="AF88" s="19">
        <v>419.88</v>
      </c>
      <c r="AG88" s="19">
        <v>241.12</v>
      </c>
      <c r="AH88" s="19">
        <v>74.64</v>
      </c>
      <c r="AI88" s="19">
        <v>73.56</v>
      </c>
      <c r="AJ88" s="19">
        <v>854</v>
      </c>
      <c r="AK88" s="3">
        <f t="shared" si="11"/>
        <v>0</v>
      </c>
      <c r="AL88" s="3">
        <v>1</v>
      </c>
      <c r="AM88" s="3">
        <f t="shared" si="10"/>
        <v>0</v>
      </c>
    </row>
    <row r="89" spans="1:39">
      <c r="A89" s="7">
        <v>2012</v>
      </c>
      <c r="B89" s="7" t="s">
        <v>41</v>
      </c>
      <c r="C89" s="7">
        <v>0.30563264</v>
      </c>
      <c r="D89" s="7">
        <v>0.051046</v>
      </c>
      <c r="E89" s="7">
        <v>0.013069</v>
      </c>
      <c r="F89" s="7">
        <v>0.022993</v>
      </c>
      <c r="G89" s="7">
        <v>0.008069</v>
      </c>
      <c r="H89" s="7">
        <v>0.006916</v>
      </c>
      <c r="I89" s="7">
        <v>0.053507</v>
      </c>
      <c r="J89" s="7">
        <v>0.025131</v>
      </c>
      <c r="K89" s="16">
        <v>7178</v>
      </c>
      <c r="L89" s="17">
        <v>2078</v>
      </c>
      <c r="M89" s="16">
        <v>17879.4</v>
      </c>
      <c r="N89" s="7">
        <f t="shared" si="8"/>
        <v>3.45428296438884</v>
      </c>
      <c r="O89" s="7">
        <f t="shared" si="9"/>
        <v>0.401467610769936</v>
      </c>
      <c r="P89" s="8">
        <v>78256629.41</v>
      </c>
      <c r="Q89" s="8">
        <f t="shared" si="12"/>
        <v>0.43769158590333</v>
      </c>
      <c r="R89" s="9">
        <v>147.9</v>
      </c>
      <c r="S89" s="9">
        <v>4134</v>
      </c>
      <c r="T89" s="9">
        <v>4761.1</v>
      </c>
      <c r="U89" s="9">
        <v>66517</v>
      </c>
      <c r="V89" s="18">
        <v>0</v>
      </c>
      <c r="W89" s="18">
        <v>0</v>
      </c>
      <c r="X89" s="18">
        <f t="shared" si="13"/>
        <v>0</v>
      </c>
      <c r="Y89" s="12">
        <f t="shared" si="14"/>
        <v>2.01609935715007</v>
      </c>
      <c r="Z89" s="12">
        <f t="shared" si="15"/>
        <v>0.782901777955009</v>
      </c>
      <c r="AA89" s="19">
        <v>7177.68</v>
      </c>
      <c r="AB89" s="19">
        <v>2270</v>
      </c>
      <c r="AC89" s="19">
        <v>32.27</v>
      </c>
      <c r="AD89" s="19">
        <v>1075.77</v>
      </c>
      <c r="AE89" s="19">
        <v>415.9</v>
      </c>
      <c r="AF89" s="19">
        <v>443.33</v>
      </c>
      <c r="AG89" s="19">
        <v>215.82</v>
      </c>
      <c r="AH89" s="19">
        <v>78.16</v>
      </c>
      <c r="AI89" s="19">
        <v>92.07</v>
      </c>
      <c r="AJ89" s="19">
        <v>911.94</v>
      </c>
      <c r="AK89" s="3">
        <f t="shared" si="11"/>
        <v>0</v>
      </c>
      <c r="AL89" s="3">
        <v>1</v>
      </c>
      <c r="AM89" s="3">
        <f t="shared" si="10"/>
        <v>0</v>
      </c>
    </row>
    <row r="90" spans="1:39">
      <c r="A90" s="7">
        <v>2013</v>
      </c>
      <c r="B90" s="7" t="s">
        <v>41</v>
      </c>
      <c r="C90" s="7">
        <v>0.30517614</v>
      </c>
      <c r="D90" s="7">
        <v>0.050205</v>
      </c>
      <c r="E90" s="7">
        <v>0.013001</v>
      </c>
      <c r="F90" s="7">
        <v>0.022926</v>
      </c>
      <c r="G90" s="7">
        <v>0.007452</v>
      </c>
      <c r="H90" s="7">
        <v>0.006826</v>
      </c>
      <c r="I90" s="7">
        <v>0.053561</v>
      </c>
      <c r="J90" s="7">
        <v>0.02672</v>
      </c>
      <c r="K90" s="16">
        <v>6724</v>
      </c>
      <c r="L90" s="17">
        <v>2125</v>
      </c>
      <c r="M90" s="16">
        <v>19800.81</v>
      </c>
      <c r="N90" s="7">
        <f t="shared" si="8"/>
        <v>3.16423529411765</v>
      </c>
      <c r="O90" s="7">
        <f t="shared" si="9"/>
        <v>0.339582067602285</v>
      </c>
      <c r="P90" s="8">
        <v>78033659.5</v>
      </c>
      <c r="Q90" s="8">
        <f t="shared" si="12"/>
        <v>0.394093269416756</v>
      </c>
      <c r="R90" s="9">
        <v>154.8</v>
      </c>
      <c r="S90" s="9">
        <v>4407.1</v>
      </c>
      <c r="T90" s="9">
        <v>5383.6</v>
      </c>
      <c r="U90" s="9">
        <v>71345</v>
      </c>
      <c r="V90" s="18">
        <v>0</v>
      </c>
      <c r="W90" s="18">
        <v>0</v>
      </c>
      <c r="X90" s="18">
        <f t="shared" si="13"/>
        <v>0</v>
      </c>
      <c r="Y90" s="12">
        <f t="shared" si="14"/>
        <v>1.91398219724656</v>
      </c>
      <c r="Z90" s="12">
        <f t="shared" si="15"/>
        <v>0.794097735086724</v>
      </c>
      <c r="AA90" s="19">
        <v>6724</v>
      </c>
      <c r="AB90" s="19">
        <v>2019.23</v>
      </c>
      <c r="AC90" s="19">
        <v>0.79</v>
      </c>
      <c r="AD90" s="19">
        <v>870.92</v>
      </c>
      <c r="AE90" s="19">
        <v>423.61</v>
      </c>
      <c r="AF90" s="19">
        <v>477.06</v>
      </c>
      <c r="AG90" s="19">
        <v>193.9</v>
      </c>
      <c r="AH90" s="19">
        <v>8.3</v>
      </c>
      <c r="AI90" s="19">
        <v>98.81</v>
      </c>
      <c r="AJ90" s="19">
        <v>913.11</v>
      </c>
      <c r="AK90" s="3">
        <f t="shared" si="11"/>
        <v>1</v>
      </c>
      <c r="AL90" s="3">
        <v>1</v>
      </c>
      <c r="AM90" s="3">
        <f t="shared" si="10"/>
        <v>1</v>
      </c>
    </row>
    <row r="91" spans="1:39">
      <c r="A91" s="7">
        <v>2014</v>
      </c>
      <c r="B91" s="7" t="s">
        <v>41</v>
      </c>
      <c r="C91" s="7">
        <v>0.33747034</v>
      </c>
      <c r="D91" s="7">
        <v>0.05353</v>
      </c>
      <c r="E91" s="7">
        <v>0.013538</v>
      </c>
      <c r="F91" s="7">
        <v>0.02359</v>
      </c>
      <c r="G91" s="7">
        <v>0.008416</v>
      </c>
      <c r="H91" s="7">
        <v>0.007987</v>
      </c>
      <c r="I91" s="7">
        <v>0.057259</v>
      </c>
      <c r="J91" s="7">
        <v>0.030591</v>
      </c>
      <c r="K91" s="16">
        <v>6831</v>
      </c>
      <c r="L91" s="17">
        <v>2171</v>
      </c>
      <c r="M91" s="16">
        <v>21330.83</v>
      </c>
      <c r="N91" s="7">
        <f t="shared" ref="N91:N154" si="16">K91/L91</f>
        <v>3.1464762782128</v>
      </c>
      <c r="O91" s="7">
        <f t="shared" ref="O91:O154" si="17">K91/M91</f>
        <v>0.320240703245021</v>
      </c>
      <c r="P91" s="8">
        <v>79358140.29</v>
      </c>
      <c r="Q91" s="8">
        <f t="shared" si="12"/>
        <v>0.3720349385842</v>
      </c>
      <c r="R91" s="9">
        <v>158.8</v>
      </c>
      <c r="S91" s="9">
        <v>4615.5</v>
      </c>
      <c r="T91" s="9">
        <v>5866.3</v>
      </c>
      <c r="U91" s="9">
        <v>74960</v>
      </c>
      <c r="V91" s="18">
        <v>0</v>
      </c>
      <c r="W91" s="18">
        <v>0</v>
      </c>
      <c r="X91" s="18">
        <f t="shared" si="13"/>
        <v>0</v>
      </c>
      <c r="Y91" s="12">
        <f t="shared" si="14"/>
        <v>1.79640226266579</v>
      </c>
      <c r="Z91" s="12">
        <f t="shared" si="15"/>
        <v>0.792899983307683</v>
      </c>
      <c r="AA91" s="19">
        <v>6831.23</v>
      </c>
      <c r="AB91" s="19">
        <v>1736.54</v>
      </c>
      <c r="AC91" s="19">
        <v>0.64</v>
      </c>
      <c r="AD91" s="19">
        <v>1034.62</v>
      </c>
      <c r="AE91" s="19">
        <v>440.62</v>
      </c>
      <c r="AF91" s="19">
        <v>507.58</v>
      </c>
      <c r="AG91" s="19">
        <v>196.46</v>
      </c>
      <c r="AH91" s="19">
        <v>5.63</v>
      </c>
      <c r="AI91" s="19">
        <v>113.7</v>
      </c>
      <c r="AJ91" s="19">
        <v>937.05</v>
      </c>
      <c r="AK91" s="3">
        <f t="shared" si="11"/>
        <v>1</v>
      </c>
      <c r="AL91" s="3">
        <v>1</v>
      </c>
      <c r="AM91" s="3">
        <f t="shared" si="10"/>
        <v>1</v>
      </c>
    </row>
    <row r="92" spans="1:39">
      <c r="A92" s="7">
        <v>2015</v>
      </c>
      <c r="B92" s="7" t="s">
        <v>41</v>
      </c>
      <c r="C92" s="7">
        <v>0.32274461</v>
      </c>
      <c r="D92" s="7">
        <v>0.051395</v>
      </c>
      <c r="E92" s="7">
        <v>0.01309</v>
      </c>
      <c r="F92" s="7">
        <v>0.022743</v>
      </c>
      <c r="G92" s="7">
        <v>0.007506</v>
      </c>
      <c r="H92" s="7">
        <v>0.008056</v>
      </c>
      <c r="I92" s="7">
        <v>0.056986</v>
      </c>
      <c r="J92" s="7">
        <v>0.028529</v>
      </c>
      <c r="K92" s="16">
        <v>6803</v>
      </c>
      <c r="L92" s="17">
        <v>2188</v>
      </c>
      <c r="M92" s="16">
        <v>23014.59</v>
      </c>
      <c r="N92" s="7">
        <f t="shared" si="16"/>
        <v>3.10923217550274</v>
      </c>
      <c r="O92" s="7">
        <f t="shared" si="17"/>
        <v>0.295595098587461</v>
      </c>
      <c r="P92" s="8">
        <v>80586565.38</v>
      </c>
      <c r="Q92" s="8">
        <f t="shared" si="12"/>
        <v>0.350154251629075</v>
      </c>
      <c r="R92" s="9">
        <v>162.3</v>
      </c>
      <c r="S92" s="9">
        <v>4489.6</v>
      </c>
      <c r="T92" s="9">
        <v>6227.6</v>
      </c>
      <c r="U92" s="9">
        <v>75868</v>
      </c>
      <c r="V92" s="18">
        <v>0</v>
      </c>
      <c r="W92" s="18">
        <v>0</v>
      </c>
      <c r="X92" s="18">
        <f t="shared" si="13"/>
        <v>0</v>
      </c>
      <c r="Y92" s="12">
        <f t="shared" si="14"/>
        <v>1.71577514742415</v>
      </c>
      <c r="Z92" s="12">
        <f t="shared" si="15"/>
        <v>0.79592066468922</v>
      </c>
      <c r="AA92" s="19">
        <v>6803</v>
      </c>
      <c r="AB92" s="19">
        <v>1165.18</v>
      </c>
      <c r="AC92" s="19">
        <v>0.44</v>
      </c>
      <c r="AD92" s="19">
        <v>991.54</v>
      </c>
      <c r="AE92" s="19">
        <v>462.75</v>
      </c>
      <c r="AF92" s="19">
        <v>544.38</v>
      </c>
      <c r="AG92" s="19">
        <v>182.35</v>
      </c>
      <c r="AH92" s="19">
        <v>4.91</v>
      </c>
      <c r="AI92" s="19">
        <v>146.88</v>
      </c>
      <c r="AJ92" s="19">
        <v>953</v>
      </c>
      <c r="AK92" s="3">
        <f t="shared" si="11"/>
        <v>1</v>
      </c>
      <c r="AL92" s="3">
        <v>1</v>
      </c>
      <c r="AM92" s="3">
        <f t="shared" si="10"/>
        <v>1</v>
      </c>
    </row>
    <row r="93" spans="1:39">
      <c r="A93" s="7">
        <v>2016</v>
      </c>
      <c r="B93" s="7" t="s">
        <v>41</v>
      </c>
      <c r="C93" s="7">
        <v>0.34693518</v>
      </c>
      <c r="D93" s="7">
        <v>0.054795</v>
      </c>
      <c r="E93" s="7">
        <v>0.013157</v>
      </c>
      <c r="F93" s="7">
        <v>0.025315</v>
      </c>
      <c r="G93" s="7">
        <v>0.008343</v>
      </c>
      <c r="H93" s="7">
        <v>0.00798</v>
      </c>
      <c r="I93" s="7">
        <v>0.060771</v>
      </c>
      <c r="J93" s="7">
        <v>0.031119</v>
      </c>
      <c r="K93" s="16">
        <v>6917</v>
      </c>
      <c r="L93" s="17">
        <v>2195</v>
      </c>
      <c r="M93" s="16">
        <v>25669.13</v>
      </c>
      <c r="N93" s="7">
        <f t="shared" si="16"/>
        <v>3.15125284738041</v>
      </c>
      <c r="O93" s="7">
        <f t="shared" si="17"/>
        <v>0.269467644598785</v>
      </c>
      <c r="P93" s="8">
        <v>74208997.5</v>
      </c>
      <c r="Q93" s="8">
        <f t="shared" si="12"/>
        <v>0.289098218365796</v>
      </c>
      <c r="R93" s="9">
        <v>168.5</v>
      </c>
      <c r="S93" s="9">
        <v>4368</v>
      </c>
      <c r="T93" s="9">
        <v>6940.8</v>
      </c>
      <c r="U93" s="9">
        <v>79647</v>
      </c>
      <c r="V93" s="18">
        <v>0</v>
      </c>
      <c r="W93" s="18">
        <v>0</v>
      </c>
      <c r="X93" s="18">
        <f t="shared" si="13"/>
        <v>0</v>
      </c>
      <c r="Y93" s="12">
        <f t="shared" si="14"/>
        <v>1.62438398605541</v>
      </c>
      <c r="Z93" s="12">
        <f t="shared" si="15"/>
        <v>0.822025936695035</v>
      </c>
      <c r="AA93" s="19">
        <v>6917</v>
      </c>
      <c r="AB93" s="19">
        <v>847.62</v>
      </c>
      <c r="AC93" s="19">
        <v>0.21</v>
      </c>
      <c r="AD93" s="19">
        <v>821</v>
      </c>
      <c r="AE93" s="19">
        <v>470.37</v>
      </c>
      <c r="AF93" s="19">
        <v>594.27</v>
      </c>
      <c r="AG93" s="19">
        <v>172.69</v>
      </c>
      <c r="AH93" s="19">
        <v>4.64</v>
      </c>
      <c r="AI93" s="19">
        <v>162.31</v>
      </c>
      <c r="AJ93" s="19">
        <v>1020.27</v>
      </c>
      <c r="AK93" s="3">
        <f t="shared" si="11"/>
        <v>1</v>
      </c>
      <c r="AL93" s="3">
        <v>1</v>
      </c>
      <c r="AM93" s="3">
        <f t="shared" si="10"/>
        <v>1</v>
      </c>
    </row>
    <row r="94" spans="1:39">
      <c r="A94" s="7">
        <v>2017</v>
      </c>
      <c r="B94" s="7" t="s">
        <v>41</v>
      </c>
      <c r="C94" s="7">
        <v>0.38616063</v>
      </c>
      <c r="D94" s="7">
        <v>0.06344</v>
      </c>
      <c r="E94" s="7">
        <v>0.01554</v>
      </c>
      <c r="F94" s="7">
        <v>0.028379</v>
      </c>
      <c r="G94" s="7">
        <v>0.009048</v>
      </c>
      <c r="H94" s="7">
        <v>0.010473</v>
      </c>
      <c r="I94" s="7">
        <v>0.06076</v>
      </c>
      <c r="J94" s="7">
        <v>0.031292</v>
      </c>
      <c r="K94" s="16">
        <v>7088</v>
      </c>
      <c r="L94" s="17">
        <v>2194</v>
      </c>
      <c r="M94" s="16">
        <v>28014.94</v>
      </c>
      <c r="N94" s="7">
        <f t="shared" si="16"/>
        <v>3.2306289881495</v>
      </c>
      <c r="O94" s="7">
        <f t="shared" si="17"/>
        <v>0.253007859377889</v>
      </c>
      <c r="P94" s="8">
        <v>76289375.29</v>
      </c>
      <c r="Q94" s="8">
        <f t="shared" si="12"/>
        <v>0.272316754167598</v>
      </c>
      <c r="R94" s="9">
        <v>169</v>
      </c>
      <c r="S94" s="9">
        <v>4564.1</v>
      </c>
      <c r="T94" s="9">
        <v>7717.5</v>
      </c>
      <c r="U94" s="9">
        <v>87280</v>
      </c>
      <c r="V94" s="18">
        <v>1</v>
      </c>
      <c r="W94" s="18">
        <v>0</v>
      </c>
      <c r="X94" s="18">
        <f t="shared" si="13"/>
        <v>0</v>
      </c>
      <c r="Y94" s="12">
        <f t="shared" si="14"/>
        <v>1.56738551218677</v>
      </c>
      <c r="Z94" s="12">
        <f t="shared" si="15"/>
        <v>0.826260513415318</v>
      </c>
      <c r="AA94" s="19">
        <v>7088</v>
      </c>
      <c r="AB94" s="19">
        <v>490.46</v>
      </c>
      <c r="AC94" s="19">
        <v>0.18</v>
      </c>
      <c r="AD94" s="19">
        <v>892.54</v>
      </c>
      <c r="AE94" s="19">
        <v>489.85</v>
      </c>
      <c r="AF94" s="19">
        <v>644</v>
      </c>
      <c r="AG94" s="19">
        <v>175.11</v>
      </c>
      <c r="AH94" s="19">
        <v>2.81</v>
      </c>
      <c r="AI94" s="19">
        <v>164.56</v>
      </c>
      <c r="AJ94" s="19">
        <v>1066.89</v>
      </c>
      <c r="AK94" s="3">
        <f t="shared" si="11"/>
        <v>1</v>
      </c>
      <c r="AL94" s="3">
        <v>1</v>
      </c>
      <c r="AM94" s="3">
        <f t="shared" ref="AM94:AM157" si="18">AK94*AL94</f>
        <v>1</v>
      </c>
    </row>
    <row r="95" spans="1:39">
      <c r="A95" s="7">
        <v>2018</v>
      </c>
      <c r="B95" s="7" t="s">
        <v>41</v>
      </c>
      <c r="C95" s="7">
        <v>0.37520201</v>
      </c>
      <c r="D95" s="7">
        <v>0.061512</v>
      </c>
      <c r="E95" s="7">
        <v>0.0163</v>
      </c>
      <c r="F95" s="7">
        <v>0.02769</v>
      </c>
      <c r="G95" s="7">
        <v>0.009483</v>
      </c>
      <c r="H95" s="7">
        <v>0.008039</v>
      </c>
      <c r="I95" s="7">
        <v>0.060976</v>
      </c>
      <c r="J95" s="7">
        <v>0.031406</v>
      </c>
      <c r="K95" s="16">
        <v>7270</v>
      </c>
      <c r="L95" s="17">
        <v>2192</v>
      </c>
      <c r="M95" s="16">
        <v>30319.98</v>
      </c>
      <c r="N95" s="7">
        <f t="shared" si="16"/>
        <v>3.31660583941606</v>
      </c>
      <c r="O95" s="7">
        <f t="shared" si="17"/>
        <v>0.239775883757179</v>
      </c>
      <c r="P95" s="8">
        <v>77590274.28</v>
      </c>
      <c r="Q95" s="8">
        <f t="shared" si="12"/>
        <v>0.25590476735143</v>
      </c>
      <c r="R95" s="9">
        <v>175.3</v>
      </c>
      <c r="S95" s="9">
        <v>4835.3</v>
      </c>
      <c r="T95" s="9">
        <v>8352.3</v>
      </c>
      <c r="U95" s="9">
        <v>95689</v>
      </c>
      <c r="V95" s="18">
        <v>1</v>
      </c>
      <c r="W95" s="18">
        <v>0</v>
      </c>
      <c r="X95" s="18">
        <f t="shared" si="13"/>
        <v>0</v>
      </c>
      <c r="Y95" s="12">
        <f t="shared" si="14"/>
        <v>1.51591455826218</v>
      </c>
      <c r="Z95" s="12">
        <f t="shared" si="15"/>
        <v>0.831187868764321</v>
      </c>
      <c r="AA95" s="19">
        <v>7270</v>
      </c>
      <c r="AB95" s="19">
        <v>276.19</v>
      </c>
      <c r="AC95" s="19">
        <v>0.01</v>
      </c>
      <c r="AD95" s="19">
        <v>911.78</v>
      </c>
      <c r="AE95" s="19">
        <v>493.6</v>
      </c>
      <c r="AF95" s="19">
        <v>691.03</v>
      </c>
      <c r="AG95" s="19">
        <v>178.78</v>
      </c>
      <c r="AH95" s="19">
        <v>1.54</v>
      </c>
      <c r="AI95" s="19">
        <v>187.88</v>
      </c>
      <c r="AJ95" s="19">
        <v>1142.38</v>
      </c>
      <c r="AK95" s="3">
        <f t="shared" ref="AK95:AK158" si="19">IF(A95&gt;=2013,1,0)</f>
        <v>1</v>
      </c>
      <c r="AL95" s="3">
        <v>1</v>
      </c>
      <c r="AM95" s="3">
        <f t="shared" si="18"/>
        <v>1</v>
      </c>
    </row>
    <row r="96" spans="1:39">
      <c r="A96" s="7">
        <v>2019</v>
      </c>
      <c r="B96" s="7" t="s">
        <v>41</v>
      </c>
      <c r="C96" s="7">
        <v>0.40602122</v>
      </c>
      <c r="D96" s="7">
        <v>0.067838</v>
      </c>
      <c r="E96" s="7">
        <v>0.017318</v>
      </c>
      <c r="F96" s="7">
        <v>0.03069</v>
      </c>
      <c r="G96" s="7">
        <v>0.009857</v>
      </c>
      <c r="H96" s="7">
        <v>0.009973</v>
      </c>
      <c r="I96" s="7">
        <v>0.061517</v>
      </c>
      <c r="J96" s="7">
        <v>0.032458</v>
      </c>
      <c r="K96" s="16">
        <v>7360</v>
      </c>
      <c r="L96" s="17">
        <v>2190</v>
      </c>
      <c r="M96" s="16">
        <v>35371.28</v>
      </c>
      <c r="N96" s="7">
        <f t="shared" si="16"/>
        <v>3.36073059360731</v>
      </c>
      <c r="O96" s="7">
        <f t="shared" si="17"/>
        <v>0.208078418423082</v>
      </c>
      <c r="P96" s="8">
        <v>78214222.14</v>
      </c>
      <c r="Q96" s="8">
        <f t="shared" si="12"/>
        <v>0.221123527732104</v>
      </c>
      <c r="R96" s="9">
        <v>185.4</v>
      </c>
      <c r="S96" s="9">
        <v>4947.2</v>
      </c>
      <c r="T96" s="9">
        <v>8922.9</v>
      </c>
      <c r="U96" s="9">
        <v>101557</v>
      </c>
      <c r="V96" s="18">
        <v>1</v>
      </c>
      <c r="W96" s="18">
        <v>0</v>
      </c>
      <c r="X96" s="18">
        <f t="shared" si="13"/>
        <v>0</v>
      </c>
      <c r="Y96" s="12">
        <f t="shared" si="14"/>
        <v>1.5000536746505</v>
      </c>
      <c r="Z96" s="12">
        <f t="shared" si="15"/>
        <v>0.852589589646768</v>
      </c>
      <c r="AA96" s="19">
        <v>7360</v>
      </c>
      <c r="AB96" s="19">
        <v>182.8</v>
      </c>
      <c r="AC96" s="12">
        <v>0</v>
      </c>
      <c r="AD96" s="19">
        <v>936.99</v>
      </c>
      <c r="AE96" s="19">
        <v>500.9</v>
      </c>
      <c r="AF96" s="19">
        <v>697.8</v>
      </c>
      <c r="AG96" s="19">
        <v>161.87</v>
      </c>
      <c r="AH96" s="19">
        <v>0.48</v>
      </c>
      <c r="AI96" s="19">
        <v>189.4</v>
      </c>
      <c r="AJ96" s="19">
        <v>1166.4</v>
      </c>
      <c r="AK96" s="3">
        <f t="shared" si="19"/>
        <v>1</v>
      </c>
      <c r="AL96" s="3">
        <v>1</v>
      </c>
      <c r="AM96" s="3">
        <f t="shared" si="18"/>
        <v>1</v>
      </c>
    </row>
    <row r="97" spans="1:39">
      <c r="A97" s="7">
        <v>2020</v>
      </c>
      <c r="B97" s="7" t="s">
        <v>41</v>
      </c>
      <c r="C97" s="7">
        <v>0.41015071</v>
      </c>
      <c r="D97" s="7">
        <v>0.063077</v>
      </c>
      <c r="E97" s="7">
        <v>0.015688</v>
      </c>
      <c r="F97" s="7">
        <v>0.028708</v>
      </c>
      <c r="G97" s="7">
        <v>0.009795</v>
      </c>
      <c r="H97" s="7">
        <v>0.008885</v>
      </c>
      <c r="I97" s="7">
        <v>0.067535</v>
      </c>
      <c r="J97" s="7">
        <v>0.038439</v>
      </c>
      <c r="K97" s="16">
        <v>6762.1</v>
      </c>
      <c r="L97" s="17">
        <v>2189</v>
      </c>
      <c r="M97" s="16">
        <v>36102.55</v>
      </c>
      <c r="N97" s="7">
        <f t="shared" si="16"/>
        <v>3.08912745545911</v>
      </c>
      <c r="O97" s="7">
        <f t="shared" si="17"/>
        <v>0.187302558960517</v>
      </c>
      <c r="P97" s="8">
        <v>77702847.6</v>
      </c>
      <c r="Q97" s="8">
        <f t="shared" si="12"/>
        <v>0.215228142056447</v>
      </c>
      <c r="R97" s="9">
        <v>210.3</v>
      </c>
      <c r="S97" s="9">
        <v>4911.8</v>
      </c>
      <c r="T97" s="9">
        <v>8885.9</v>
      </c>
      <c r="U97" s="9">
        <v>101068</v>
      </c>
      <c r="V97" s="18">
        <v>1</v>
      </c>
      <c r="W97" s="18">
        <v>0</v>
      </c>
      <c r="X97" s="18">
        <f t="shared" si="13"/>
        <v>0</v>
      </c>
      <c r="Y97" s="12">
        <f t="shared" si="14"/>
        <v>1.47141701078949</v>
      </c>
      <c r="Z97" s="12">
        <f t="shared" si="15"/>
        <v>0.853727297918782</v>
      </c>
      <c r="AA97" s="19">
        <v>6762</v>
      </c>
      <c r="AB97" s="19">
        <v>134.98</v>
      </c>
      <c r="AC97" s="19">
        <v>0.01</v>
      </c>
      <c r="AD97" s="19">
        <v>781.77</v>
      </c>
      <c r="AE97" s="19">
        <v>423.06</v>
      </c>
      <c r="AF97" s="19">
        <v>457.88</v>
      </c>
      <c r="AG97" s="19">
        <v>112.55</v>
      </c>
      <c r="AH97" s="19">
        <v>0.27</v>
      </c>
      <c r="AI97" s="19">
        <v>189.12</v>
      </c>
      <c r="AJ97" s="19">
        <v>1140.22</v>
      </c>
      <c r="AK97" s="3">
        <f t="shared" si="19"/>
        <v>1</v>
      </c>
      <c r="AL97" s="3">
        <v>1</v>
      </c>
      <c r="AM97" s="3">
        <f t="shared" si="18"/>
        <v>1</v>
      </c>
    </row>
    <row r="98" spans="1:39">
      <c r="A98" s="7">
        <v>2021</v>
      </c>
      <c r="B98" s="7" t="s">
        <v>41</v>
      </c>
      <c r="C98" s="7">
        <v>0.42903389</v>
      </c>
      <c r="D98" s="7">
        <v>0.067727</v>
      </c>
      <c r="E98" s="7">
        <v>0.016152</v>
      </c>
      <c r="F98" s="7">
        <v>0.030958</v>
      </c>
      <c r="G98" s="7">
        <v>0.009862</v>
      </c>
      <c r="H98" s="7">
        <v>0.010755</v>
      </c>
      <c r="I98" s="7">
        <v>0.072294</v>
      </c>
      <c r="J98" s="7">
        <v>0.034932</v>
      </c>
      <c r="K98" s="16">
        <v>7103.62</v>
      </c>
      <c r="L98" s="17">
        <v>2189</v>
      </c>
      <c r="M98" s="16">
        <v>40269.6</v>
      </c>
      <c r="N98" s="7">
        <f t="shared" si="16"/>
        <v>3.24514390132481</v>
      </c>
      <c r="O98" s="7">
        <f t="shared" si="17"/>
        <v>0.176401553529213</v>
      </c>
      <c r="P98" s="8">
        <v>80052763.58</v>
      </c>
      <c r="Q98" s="8">
        <f t="shared" si="12"/>
        <v>0.198792050529432</v>
      </c>
      <c r="R98" s="9">
        <v>265.9</v>
      </c>
      <c r="S98" s="9">
        <v>5672.7</v>
      </c>
      <c r="T98" s="9">
        <v>9746.5</v>
      </c>
      <c r="U98" s="9">
        <v>113660</v>
      </c>
      <c r="V98" s="18">
        <v>1</v>
      </c>
      <c r="W98" s="18">
        <v>0</v>
      </c>
      <c r="X98" s="18">
        <f t="shared" si="13"/>
        <v>0</v>
      </c>
      <c r="Y98" s="12">
        <f t="shared" si="14"/>
        <v>1.36781889095748</v>
      </c>
      <c r="Z98" s="12">
        <f t="shared" si="15"/>
        <v>0.854664932730767</v>
      </c>
      <c r="AA98" s="19">
        <v>7103</v>
      </c>
      <c r="AB98" s="19">
        <v>130.78</v>
      </c>
      <c r="AC98" s="12">
        <v>0</v>
      </c>
      <c r="AD98" s="19">
        <v>776.43</v>
      </c>
      <c r="AE98" s="19">
        <v>480.02</v>
      </c>
      <c r="AF98" s="19">
        <v>496.28</v>
      </c>
      <c r="AG98" s="19">
        <v>130.68</v>
      </c>
      <c r="AH98" s="19">
        <v>0.61</v>
      </c>
      <c r="AI98" s="19">
        <v>189.96</v>
      </c>
      <c r="AJ98" s="19">
        <v>1233</v>
      </c>
      <c r="AK98" s="3">
        <f t="shared" si="19"/>
        <v>1</v>
      </c>
      <c r="AL98" s="3">
        <v>1</v>
      </c>
      <c r="AM98" s="3">
        <f t="shared" si="18"/>
        <v>1</v>
      </c>
    </row>
    <row r="99" spans="1:39">
      <c r="A99" s="7">
        <v>2022</v>
      </c>
      <c r="B99" s="7" t="s">
        <v>41</v>
      </c>
      <c r="C99" s="7">
        <v>0.41694424</v>
      </c>
      <c r="D99" s="7">
        <v>0.065123</v>
      </c>
      <c r="E99" s="7">
        <v>0.01633</v>
      </c>
      <c r="F99" s="7">
        <v>0.029626</v>
      </c>
      <c r="G99" s="7">
        <v>0.00989</v>
      </c>
      <c r="H99" s="7">
        <v>0.009276</v>
      </c>
      <c r="I99" s="7">
        <v>0.068069</v>
      </c>
      <c r="J99" s="7">
        <v>0.037481</v>
      </c>
      <c r="K99" s="16">
        <v>6896.89</v>
      </c>
      <c r="L99" s="17">
        <v>2184</v>
      </c>
      <c r="M99" s="16">
        <v>41610.9</v>
      </c>
      <c r="N99" s="7">
        <f t="shared" si="16"/>
        <v>3.15791666666667</v>
      </c>
      <c r="O99" s="7">
        <f t="shared" si="17"/>
        <v>0.16574719604719</v>
      </c>
      <c r="P99" s="8">
        <v>78882821.54</v>
      </c>
      <c r="Q99" s="8">
        <f t="shared" si="12"/>
        <v>0.189572495524009</v>
      </c>
      <c r="R99" s="9">
        <v>273.2</v>
      </c>
      <c r="S99" s="9">
        <v>5982.3</v>
      </c>
      <c r="T99" s="9">
        <v>9876.7</v>
      </c>
      <c r="U99" s="9">
        <v>117925</v>
      </c>
      <c r="V99" s="18">
        <v>1</v>
      </c>
      <c r="W99" s="18">
        <v>0</v>
      </c>
      <c r="X99" s="18">
        <f t="shared" si="13"/>
        <v>0</v>
      </c>
      <c r="Y99" s="12">
        <f t="shared" si="14"/>
        <v>1.27047633725244</v>
      </c>
      <c r="Z99" s="12">
        <f t="shared" si="15"/>
        <v>0.850786283879963</v>
      </c>
      <c r="AA99" s="19">
        <v>6896.88757080913</v>
      </c>
      <c r="AB99" s="19">
        <v>79.29</v>
      </c>
      <c r="AC99" s="12">
        <v>0</v>
      </c>
      <c r="AD99" s="19">
        <v>774.92</v>
      </c>
      <c r="AE99" s="19">
        <v>374.82</v>
      </c>
      <c r="AF99" s="19">
        <v>330.32</v>
      </c>
      <c r="AG99" s="19">
        <v>125.71</v>
      </c>
      <c r="AH99" s="19">
        <v>0.2</v>
      </c>
      <c r="AI99" s="19">
        <v>197.95</v>
      </c>
      <c r="AJ99" s="19">
        <v>1280.8</v>
      </c>
      <c r="AK99" s="3">
        <f t="shared" si="19"/>
        <v>1</v>
      </c>
      <c r="AL99" s="3">
        <v>1</v>
      </c>
      <c r="AM99" s="3">
        <f t="shared" si="18"/>
        <v>1</v>
      </c>
    </row>
    <row r="100" spans="1:39">
      <c r="A100" s="7">
        <v>2023</v>
      </c>
      <c r="B100" s="7" t="s">
        <v>41</v>
      </c>
      <c r="C100" s="7">
        <v>0.51334968</v>
      </c>
      <c r="D100" s="7">
        <v>0.06787</v>
      </c>
      <c r="E100" s="7">
        <v>0.021861</v>
      </c>
      <c r="F100" s="7">
        <v>0.033646</v>
      </c>
      <c r="G100" s="7">
        <v>0.01527</v>
      </c>
      <c r="H100" s="7">
        <v>0.01315</v>
      </c>
      <c r="I100" s="7">
        <v>0.069196</v>
      </c>
      <c r="J100" s="7">
        <v>0.045382</v>
      </c>
      <c r="K100" s="16">
        <v>7571.35</v>
      </c>
      <c r="L100" s="17">
        <v>2186</v>
      </c>
      <c r="M100" s="16">
        <v>43760.7</v>
      </c>
      <c r="N100" s="7">
        <f t="shared" si="16"/>
        <v>3.46356358645929</v>
      </c>
      <c r="O100" s="7">
        <f t="shared" si="17"/>
        <v>0.173017113528806</v>
      </c>
      <c r="P100" s="8">
        <v>81035400.62</v>
      </c>
      <c r="Q100" s="8">
        <f t="shared" si="12"/>
        <v>0.185178483479469</v>
      </c>
      <c r="R100" s="9">
        <v>268.5</v>
      </c>
      <c r="S100" s="9">
        <v>5982.6</v>
      </c>
      <c r="T100" s="9">
        <v>10486.2</v>
      </c>
      <c r="U100" s="9">
        <v>122752</v>
      </c>
      <c r="V100" s="18">
        <v>1</v>
      </c>
      <c r="W100" s="18">
        <v>0</v>
      </c>
      <c r="X100" s="18">
        <f t="shared" si="13"/>
        <v>0</v>
      </c>
      <c r="Y100" s="12">
        <f t="shared" si="14"/>
        <v>1.2756783895882</v>
      </c>
      <c r="Z100" s="12">
        <f t="shared" si="15"/>
        <v>0.854839209481908</v>
      </c>
      <c r="AA100" s="12"/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3">
        <f t="shared" si="19"/>
        <v>1</v>
      </c>
      <c r="AL100" s="3">
        <v>1</v>
      </c>
      <c r="AM100" s="3">
        <f t="shared" si="18"/>
        <v>1</v>
      </c>
    </row>
    <row r="101" spans="1:39">
      <c r="A101" s="7">
        <v>2024</v>
      </c>
      <c r="B101" s="7" t="s">
        <v>41</v>
      </c>
      <c r="C101" s="7">
        <v>0.55198369</v>
      </c>
      <c r="D101" s="7">
        <v>0.069365</v>
      </c>
      <c r="E101" s="7">
        <v>0.02338</v>
      </c>
      <c r="F101" s="7">
        <v>0.035091</v>
      </c>
      <c r="G101" s="7">
        <v>0.017062</v>
      </c>
      <c r="H101" s="7">
        <v>0.014785</v>
      </c>
      <c r="I101" s="7">
        <v>0.071068</v>
      </c>
      <c r="J101" s="7">
        <v>0.049106</v>
      </c>
      <c r="K101" s="16">
        <v>7660.12</v>
      </c>
      <c r="L101" s="17">
        <v>2183</v>
      </c>
      <c r="M101" s="16">
        <v>49843.1</v>
      </c>
      <c r="N101" s="7">
        <f t="shared" si="16"/>
        <v>3.5089876316995</v>
      </c>
      <c r="O101" s="7">
        <f t="shared" si="17"/>
        <v>0.153684662470833</v>
      </c>
      <c r="P101" s="8">
        <v>80742908.89</v>
      </c>
      <c r="Q101" s="8">
        <f t="shared" si="12"/>
        <v>0.16199415543977</v>
      </c>
      <c r="R101" s="9">
        <v>284.3</v>
      </c>
      <c r="S101" s="9">
        <v>6214.3</v>
      </c>
      <c r="T101" s="9">
        <v>11525.8</v>
      </c>
      <c r="U101" s="9">
        <v>132143</v>
      </c>
      <c r="V101" s="18">
        <v>1</v>
      </c>
      <c r="W101" s="18">
        <v>0</v>
      </c>
      <c r="X101" s="18">
        <f t="shared" si="13"/>
        <v>0</v>
      </c>
      <c r="Y101" s="12">
        <f t="shared" si="14"/>
        <v>1.21200651315194</v>
      </c>
      <c r="Z101" s="12">
        <f t="shared" si="15"/>
        <v>0.866342174169932</v>
      </c>
      <c r="AA101" s="12"/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3">
        <f t="shared" si="19"/>
        <v>1</v>
      </c>
      <c r="AL101" s="3">
        <v>1</v>
      </c>
      <c r="AM101" s="3">
        <f t="shared" si="18"/>
        <v>1</v>
      </c>
    </row>
    <row r="102" spans="1:39">
      <c r="A102" s="7">
        <v>2000</v>
      </c>
      <c r="B102" s="7" t="s">
        <v>42</v>
      </c>
      <c r="C102" s="7">
        <v>0.10045388</v>
      </c>
      <c r="D102" s="7">
        <v>0.020737</v>
      </c>
      <c r="E102" s="7">
        <v>0.005218</v>
      </c>
      <c r="F102" s="7">
        <v>0.009588</v>
      </c>
      <c r="G102" s="7">
        <v>0.003294</v>
      </c>
      <c r="H102" s="7">
        <v>0.002638</v>
      </c>
      <c r="I102" s="7">
        <v>0.023826</v>
      </c>
      <c r="J102" s="7">
        <v>0.011527</v>
      </c>
      <c r="K102" s="16">
        <v>3766</v>
      </c>
      <c r="L102" s="17">
        <v>2681.7</v>
      </c>
      <c r="M102" s="16">
        <v>1821.19</v>
      </c>
      <c r="N102" s="7">
        <f t="shared" si="16"/>
        <v>1.40433307230488</v>
      </c>
      <c r="O102" s="7">
        <f t="shared" si="17"/>
        <v>2.06787869469962</v>
      </c>
      <c r="P102" s="8">
        <v>60281574.06</v>
      </c>
      <c r="Q102" s="8">
        <f t="shared" si="12"/>
        <v>3.31001016148782</v>
      </c>
      <c r="R102" s="9">
        <v>485.1</v>
      </c>
      <c r="S102" s="9">
        <v>700.8</v>
      </c>
      <c r="T102" s="9">
        <v>817.2</v>
      </c>
      <c r="U102" s="9">
        <v>4851</v>
      </c>
      <c r="V102" s="18">
        <v>0</v>
      </c>
      <c r="W102" s="18">
        <v>0</v>
      </c>
      <c r="X102" s="18">
        <f t="shared" si="13"/>
        <v>0</v>
      </c>
      <c r="Y102" s="12">
        <f t="shared" si="14"/>
        <v>4.53658228674969</v>
      </c>
      <c r="Z102" s="12">
        <f t="shared" si="15"/>
        <v>0.270373608970877</v>
      </c>
      <c r="AA102" s="19">
        <v>3766.41</v>
      </c>
      <c r="AB102" s="19">
        <v>4212.7</v>
      </c>
      <c r="AC102" s="19">
        <v>170.55</v>
      </c>
      <c r="AD102" s="19">
        <v>702.63</v>
      </c>
      <c r="AE102" s="19">
        <v>90.67</v>
      </c>
      <c r="AF102" s="19">
        <v>3.28</v>
      </c>
      <c r="AG102" s="19">
        <v>73.74</v>
      </c>
      <c r="AH102" s="19">
        <v>50.96</v>
      </c>
      <c r="AI102" s="19">
        <v>2.98</v>
      </c>
      <c r="AJ102" s="19">
        <v>291.37</v>
      </c>
      <c r="AK102" s="3">
        <f t="shared" si="19"/>
        <v>0</v>
      </c>
      <c r="AL102" s="3">
        <v>0</v>
      </c>
      <c r="AM102" s="3">
        <f t="shared" si="18"/>
        <v>0</v>
      </c>
    </row>
    <row r="103" spans="1:39">
      <c r="A103" s="7">
        <v>2001</v>
      </c>
      <c r="B103" s="7" t="s">
        <v>42</v>
      </c>
      <c r="C103" s="7">
        <v>0.09865736</v>
      </c>
      <c r="D103" s="7">
        <v>0.022254</v>
      </c>
      <c r="E103" s="7">
        <v>0.005558</v>
      </c>
      <c r="F103" s="7">
        <v>0.010404</v>
      </c>
      <c r="G103" s="7">
        <v>0.002878</v>
      </c>
      <c r="H103" s="7">
        <v>0.003414</v>
      </c>
      <c r="I103" s="7">
        <v>0.020095</v>
      </c>
      <c r="J103" s="7">
        <v>0.010503</v>
      </c>
      <c r="K103" s="16">
        <v>3863</v>
      </c>
      <c r="L103" s="17">
        <v>2690.8</v>
      </c>
      <c r="M103" s="16">
        <v>2120.35</v>
      </c>
      <c r="N103" s="7">
        <f t="shared" si="16"/>
        <v>1.43563252564293</v>
      </c>
      <c r="O103" s="7">
        <f t="shared" si="17"/>
        <v>1.82186903105619</v>
      </c>
      <c r="P103" s="8">
        <v>64918080.33</v>
      </c>
      <c r="Q103" s="8">
        <f t="shared" si="12"/>
        <v>3.06166813639258</v>
      </c>
      <c r="R103" s="9">
        <v>506</v>
      </c>
      <c r="S103" s="9">
        <v>786.1</v>
      </c>
      <c r="T103" s="9">
        <v>883.6</v>
      </c>
      <c r="U103" s="9">
        <v>5221</v>
      </c>
      <c r="V103" s="18">
        <v>0</v>
      </c>
      <c r="W103" s="18">
        <v>0</v>
      </c>
      <c r="X103" s="18">
        <f t="shared" si="13"/>
        <v>0</v>
      </c>
      <c r="Y103" s="12">
        <f t="shared" si="14"/>
        <v>4.16809156222866</v>
      </c>
      <c r="Z103" s="12">
        <f t="shared" si="15"/>
        <v>0.265450844665342</v>
      </c>
      <c r="AA103" s="19">
        <v>3863</v>
      </c>
      <c r="AB103" s="19">
        <v>4484</v>
      </c>
      <c r="AC103" s="19">
        <v>162.09</v>
      </c>
      <c r="AD103" s="19">
        <v>709.33</v>
      </c>
      <c r="AE103" s="19">
        <v>93.61</v>
      </c>
      <c r="AF103" s="19">
        <v>3.62</v>
      </c>
      <c r="AG103" s="19">
        <v>76.59</v>
      </c>
      <c r="AH103" s="19">
        <v>41.53</v>
      </c>
      <c r="AI103" s="19">
        <v>3.02</v>
      </c>
      <c r="AJ103" s="19">
        <v>323.36</v>
      </c>
      <c r="AK103" s="3">
        <f t="shared" si="19"/>
        <v>0</v>
      </c>
      <c r="AL103" s="3">
        <v>0</v>
      </c>
      <c r="AM103" s="3">
        <f t="shared" si="18"/>
        <v>0</v>
      </c>
    </row>
    <row r="104" spans="1:39">
      <c r="A104" s="7">
        <v>2002</v>
      </c>
      <c r="B104" s="7" t="s">
        <v>42</v>
      </c>
      <c r="C104" s="7">
        <v>0.11736193</v>
      </c>
      <c r="D104" s="7">
        <v>0.023287</v>
      </c>
      <c r="E104" s="7">
        <v>0.005773</v>
      </c>
      <c r="F104" s="7">
        <v>0.010506</v>
      </c>
      <c r="G104" s="7">
        <v>0.003299</v>
      </c>
      <c r="H104" s="7">
        <v>0.003709</v>
      </c>
      <c r="I104" s="7">
        <v>0.024298</v>
      </c>
      <c r="J104" s="7">
        <v>0.013263</v>
      </c>
      <c r="K104" s="16">
        <v>4531</v>
      </c>
      <c r="L104" s="17">
        <v>2699.4</v>
      </c>
      <c r="M104" s="16">
        <v>2348.54</v>
      </c>
      <c r="N104" s="7">
        <f t="shared" si="16"/>
        <v>1.67852115284878</v>
      </c>
      <c r="O104" s="7">
        <f t="shared" si="17"/>
        <v>1.929283725208</v>
      </c>
      <c r="P104" s="8">
        <v>70021018.62</v>
      </c>
      <c r="Q104" s="8">
        <f t="shared" si="12"/>
        <v>2.98147013123047</v>
      </c>
      <c r="R104" s="9">
        <v>536</v>
      </c>
      <c r="S104" s="9">
        <v>941.8</v>
      </c>
      <c r="T104" s="9">
        <v>972.7</v>
      </c>
      <c r="U104" s="9">
        <v>5829</v>
      </c>
      <c r="V104" s="18">
        <v>0</v>
      </c>
      <c r="W104" s="18">
        <v>0</v>
      </c>
      <c r="X104" s="18">
        <f t="shared" si="13"/>
        <v>0</v>
      </c>
      <c r="Y104" s="12">
        <f t="shared" si="14"/>
        <v>4.06804884448575</v>
      </c>
      <c r="Z104" s="12">
        <f t="shared" si="15"/>
        <v>0.267100704734197</v>
      </c>
      <c r="AA104" s="19">
        <v>4531</v>
      </c>
      <c r="AB104" s="19">
        <v>4664</v>
      </c>
      <c r="AC104" s="19">
        <v>191.62</v>
      </c>
      <c r="AD104" s="19">
        <v>731.42</v>
      </c>
      <c r="AE104" s="19">
        <v>96.99</v>
      </c>
      <c r="AF104" s="19">
        <v>3.89</v>
      </c>
      <c r="AG104" s="19">
        <v>85.49</v>
      </c>
      <c r="AH104" s="19">
        <v>32.03</v>
      </c>
      <c r="AI104" s="19">
        <v>3.02</v>
      </c>
      <c r="AJ104" s="19">
        <v>344.54</v>
      </c>
      <c r="AK104" s="3">
        <f t="shared" si="19"/>
        <v>0</v>
      </c>
      <c r="AL104" s="3">
        <v>0</v>
      </c>
      <c r="AM104" s="3">
        <f t="shared" si="18"/>
        <v>0</v>
      </c>
    </row>
    <row r="105" spans="1:39">
      <c r="A105" s="7">
        <v>2003</v>
      </c>
      <c r="B105" s="7" t="s">
        <v>42</v>
      </c>
      <c r="C105" s="7">
        <v>0.12314182</v>
      </c>
      <c r="D105" s="7">
        <v>0.024851</v>
      </c>
      <c r="E105" s="7">
        <v>0.006017</v>
      </c>
      <c r="F105" s="7">
        <v>0.011274</v>
      </c>
      <c r="G105" s="7">
        <v>0.004215</v>
      </c>
      <c r="H105" s="7">
        <v>0.003346</v>
      </c>
      <c r="I105" s="7">
        <v>0.024175</v>
      </c>
      <c r="J105" s="7">
        <v>0.013176</v>
      </c>
      <c r="K105" s="16">
        <v>5174</v>
      </c>
      <c r="L105" s="17">
        <v>2703.7</v>
      </c>
      <c r="M105" s="16">
        <v>2662.08</v>
      </c>
      <c r="N105" s="7">
        <f t="shared" si="16"/>
        <v>1.91367385434775</v>
      </c>
      <c r="O105" s="7">
        <f t="shared" si="17"/>
        <v>1.94359297992547</v>
      </c>
      <c r="P105" s="8">
        <v>77447694.43</v>
      </c>
      <c r="Q105" s="8">
        <f t="shared" si="12"/>
        <v>2.90929252426674</v>
      </c>
      <c r="R105" s="9">
        <v>551.5</v>
      </c>
      <c r="S105" s="9">
        <v>1204.3</v>
      </c>
      <c r="T105" s="9">
        <v>1056.9</v>
      </c>
      <c r="U105" s="9">
        <v>6636</v>
      </c>
      <c r="V105" s="18">
        <v>0</v>
      </c>
      <c r="W105" s="18">
        <v>0</v>
      </c>
      <c r="X105" s="18">
        <f t="shared" si="13"/>
        <v>0</v>
      </c>
      <c r="Y105" s="12">
        <f t="shared" si="14"/>
        <v>4.08414499624993</v>
      </c>
      <c r="Z105" s="12">
        <f t="shared" si="15"/>
        <v>0.287661792875117</v>
      </c>
      <c r="AA105" s="19">
        <v>5173.5</v>
      </c>
      <c r="AB105" s="19">
        <v>5202.06</v>
      </c>
      <c r="AC105" s="19">
        <v>231.15</v>
      </c>
      <c r="AD105" s="19">
        <v>885.24</v>
      </c>
      <c r="AE105" s="19">
        <v>103.41</v>
      </c>
      <c r="AF105" s="19">
        <v>4.07</v>
      </c>
      <c r="AG105" s="19">
        <v>92.53</v>
      </c>
      <c r="AH105" s="19">
        <v>28.95</v>
      </c>
      <c r="AI105" s="19">
        <v>3.08</v>
      </c>
      <c r="AJ105" s="19">
        <v>359.4</v>
      </c>
      <c r="AK105" s="3">
        <f t="shared" si="19"/>
        <v>0</v>
      </c>
      <c r="AL105" s="3">
        <v>0</v>
      </c>
      <c r="AM105" s="3">
        <f t="shared" si="18"/>
        <v>0</v>
      </c>
    </row>
    <row r="106" spans="1:39">
      <c r="A106" s="7">
        <v>2004</v>
      </c>
      <c r="B106" s="7" t="s">
        <v>42</v>
      </c>
      <c r="C106" s="7">
        <v>0.124638</v>
      </c>
      <c r="D106" s="7">
        <v>0.024694</v>
      </c>
      <c r="E106" s="7">
        <v>0.006149</v>
      </c>
      <c r="F106" s="7">
        <v>0.011522</v>
      </c>
      <c r="G106" s="7">
        <v>0.003809</v>
      </c>
      <c r="H106" s="7">
        <v>0.003214</v>
      </c>
      <c r="I106" s="7">
        <v>0.024621</v>
      </c>
      <c r="J106" s="7">
        <v>0.014237</v>
      </c>
      <c r="K106" s="16">
        <v>5603</v>
      </c>
      <c r="L106" s="17">
        <v>2708.5</v>
      </c>
      <c r="M106" s="16">
        <v>3122.01</v>
      </c>
      <c r="N106" s="7">
        <f t="shared" si="16"/>
        <v>2.0686726970648</v>
      </c>
      <c r="O106" s="7">
        <f t="shared" si="17"/>
        <v>1.79467714709434</v>
      </c>
      <c r="P106" s="8">
        <v>83725792.15</v>
      </c>
      <c r="Q106" s="8">
        <f t="shared" si="12"/>
        <v>2.68179128670312</v>
      </c>
      <c r="R106" s="9">
        <v>664.5</v>
      </c>
      <c r="S106" s="9">
        <v>1505.2</v>
      </c>
      <c r="T106" s="9">
        <v>1228.4</v>
      </c>
      <c r="U106" s="9">
        <v>7960</v>
      </c>
      <c r="V106" s="18">
        <v>0</v>
      </c>
      <c r="W106" s="18">
        <v>0</v>
      </c>
      <c r="X106" s="18">
        <f t="shared" si="13"/>
        <v>0</v>
      </c>
      <c r="Y106" s="12">
        <f t="shared" si="14"/>
        <v>3.89549779892895</v>
      </c>
      <c r="Z106" s="12">
        <f t="shared" si="15"/>
        <v>0.311566473624894</v>
      </c>
      <c r="AA106" s="19">
        <v>5602.51</v>
      </c>
      <c r="AB106" s="19">
        <v>5715.02</v>
      </c>
      <c r="AC106" s="19">
        <v>249.99</v>
      </c>
      <c r="AD106" s="19">
        <v>833.01</v>
      </c>
      <c r="AE106" s="19">
        <v>111.12</v>
      </c>
      <c r="AF106" s="19">
        <v>10.29</v>
      </c>
      <c r="AG106" s="19">
        <v>103.04</v>
      </c>
      <c r="AH106" s="19">
        <v>38.45</v>
      </c>
      <c r="AI106" s="19">
        <v>4</v>
      </c>
      <c r="AJ106" s="19">
        <v>383.06</v>
      </c>
      <c r="AK106" s="3">
        <f t="shared" si="19"/>
        <v>0</v>
      </c>
      <c r="AL106" s="3">
        <v>0</v>
      </c>
      <c r="AM106" s="3">
        <f t="shared" si="18"/>
        <v>0</v>
      </c>
    </row>
    <row r="107" spans="1:39">
      <c r="A107" s="7">
        <v>2005</v>
      </c>
      <c r="B107" s="7" t="s">
        <v>42</v>
      </c>
      <c r="C107" s="7">
        <v>0.14234674</v>
      </c>
      <c r="D107" s="7">
        <v>0.027448</v>
      </c>
      <c r="E107" s="7">
        <v>0.006811</v>
      </c>
      <c r="F107" s="7">
        <v>0.012325</v>
      </c>
      <c r="G107" s="7">
        <v>0.003742</v>
      </c>
      <c r="H107" s="7">
        <v>0.00457</v>
      </c>
      <c r="I107" s="7">
        <v>0.027437</v>
      </c>
      <c r="J107" s="7">
        <v>0.014312</v>
      </c>
      <c r="K107" s="16">
        <v>5315</v>
      </c>
      <c r="L107" s="17">
        <v>2716</v>
      </c>
      <c r="M107" s="16">
        <v>3620.27</v>
      </c>
      <c r="N107" s="7">
        <f t="shared" si="16"/>
        <v>1.95692194403535</v>
      </c>
      <c r="O107" s="7">
        <f t="shared" si="17"/>
        <v>1.46812254334621</v>
      </c>
      <c r="P107" s="8">
        <v>91827788.41</v>
      </c>
      <c r="Q107" s="8">
        <f t="shared" si="12"/>
        <v>2.53649005212318</v>
      </c>
      <c r="R107" s="9">
        <v>717.7</v>
      </c>
      <c r="S107" s="9">
        <v>1834.7</v>
      </c>
      <c r="T107" s="9">
        <v>1388.9</v>
      </c>
      <c r="U107" s="9">
        <v>9172</v>
      </c>
      <c r="V107" s="18">
        <v>0</v>
      </c>
      <c r="W107" s="18">
        <v>0</v>
      </c>
      <c r="X107" s="18">
        <f t="shared" si="13"/>
        <v>0</v>
      </c>
      <c r="Y107" s="12">
        <f t="shared" si="14"/>
        <v>3.71995059106252</v>
      </c>
      <c r="Z107" s="12">
        <f t="shared" si="15"/>
        <v>0.318138778988812</v>
      </c>
      <c r="AA107" s="19">
        <v>5957.6</v>
      </c>
      <c r="AB107" s="19">
        <v>6802.48</v>
      </c>
      <c r="AC107" s="19">
        <v>336.92</v>
      </c>
      <c r="AD107" s="19">
        <v>968.36</v>
      </c>
      <c r="AE107" s="19">
        <v>166.94</v>
      </c>
      <c r="AF107" s="19">
        <v>15.85</v>
      </c>
      <c r="AG107" s="19">
        <v>242.61</v>
      </c>
      <c r="AH107" s="19">
        <v>53.13</v>
      </c>
      <c r="AI107" s="19">
        <v>6.18</v>
      </c>
      <c r="AJ107" s="19">
        <v>378.23</v>
      </c>
      <c r="AK107" s="3">
        <f t="shared" si="19"/>
        <v>0</v>
      </c>
      <c r="AL107" s="3">
        <v>0</v>
      </c>
      <c r="AM107" s="3">
        <f t="shared" si="18"/>
        <v>0</v>
      </c>
    </row>
    <row r="108" spans="1:39">
      <c r="A108" s="7">
        <v>2006</v>
      </c>
      <c r="B108" s="7" t="s">
        <v>42</v>
      </c>
      <c r="C108" s="7">
        <v>0.1423867</v>
      </c>
      <c r="D108" s="7">
        <v>0.026529</v>
      </c>
      <c r="E108" s="7">
        <v>0.006126</v>
      </c>
      <c r="F108" s="7">
        <v>0.011675</v>
      </c>
      <c r="G108" s="7">
        <v>0.004349</v>
      </c>
      <c r="H108" s="7">
        <v>0.00438</v>
      </c>
      <c r="I108" s="7">
        <v>0.027925</v>
      </c>
      <c r="J108" s="7">
        <v>0.015061</v>
      </c>
      <c r="K108" s="16">
        <v>5908</v>
      </c>
      <c r="L108" s="17">
        <v>2723</v>
      </c>
      <c r="M108" s="16">
        <v>4275.12</v>
      </c>
      <c r="N108" s="7">
        <f t="shared" si="16"/>
        <v>2.16966580976864</v>
      </c>
      <c r="O108" s="7">
        <f t="shared" si="17"/>
        <v>1.3819495125283</v>
      </c>
      <c r="P108" s="8">
        <v>97564670.08</v>
      </c>
      <c r="Q108" s="8">
        <f t="shared" si="12"/>
        <v>2.28215044443197</v>
      </c>
      <c r="R108" s="9">
        <v>775.1</v>
      </c>
      <c r="S108" s="9">
        <v>2337.6</v>
      </c>
      <c r="T108" s="9">
        <v>1584.1</v>
      </c>
      <c r="U108" s="9">
        <v>10859</v>
      </c>
      <c r="V108" s="18">
        <v>0</v>
      </c>
      <c r="W108" s="18">
        <v>0</v>
      </c>
      <c r="X108" s="18">
        <f t="shared" si="13"/>
        <v>0</v>
      </c>
      <c r="Y108" s="12">
        <f t="shared" si="14"/>
        <v>3.57740717995078</v>
      </c>
      <c r="Z108" s="12">
        <f t="shared" si="15"/>
        <v>0.362065784062252</v>
      </c>
      <c r="AA108" s="19">
        <v>6622.41</v>
      </c>
      <c r="AB108" s="19">
        <v>7548.83</v>
      </c>
      <c r="AC108" s="19">
        <v>367.23</v>
      </c>
      <c r="AD108" s="19">
        <v>954.94</v>
      </c>
      <c r="AE108" s="19">
        <v>193.01</v>
      </c>
      <c r="AF108" s="19">
        <v>6.73</v>
      </c>
      <c r="AG108" s="19">
        <v>303.75</v>
      </c>
      <c r="AH108" s="19">
        <v>40.09</v>
      </c>
      <c r="AI108" s="19">
        <v>6</v>
      </c>
      <c r="AJ108" s="19">
        <v>412.45</v>
      </c>
      <c r="AK108" s="3">
        <f t="shared" si="19"/>
        <v>0</v>
      </c>
      <c r="AL108" s="3">
        <v>0</v>
      </c>
      <c r="AM108" s="3">
        <f t="shared" si="18"/>
        <v>0</v>
      </c>
    </row>
    <row r="109" spans="1:39">
      <c r="A109" s="7">
        <v>2007</v>
      </c>
      <c r="B109" s="7" t="s">
        <v>42</v>
      </c>
      <c r="C109" s="7">
        <v>0.14581867</v>
      </c>
      <c r="D109" s="7">
        <v>0.026672</v>
      </c>
      <c r="E109" s="7">
        <v>0.006195</v>
      </c>
      <c r="F109" s="7">
        <v>0.012614</v>
      </c>
      <c r="G109" s="7">
        <v>0.003675</v>
      </c>
      <c r="H109" s="7">
        <v>0.004189</v>
      </c>
      <c r="I109" s="7">
        <v>0.029814</v>
      </c>
      <c r="J109" s="7">
        <v>0.016105</v>
      </c>
      <c r="K109" s="16">
        <v>6557</v>
      </c>
      <c r="L109" s="17">
        <v>2729.82</v>
      </c>
      <c r="M109" s="16">
        <v>5284.69</v>
      </c>
      <c r="N109" s="7">
        <f t="shared" si="16"/>
        <v>2.40198987479028</v>
      </c>
      <c r="O109" s="7">
        <f t="shared" si="17"/>
        <v>1.24075395150898</v>
      </c>
      <c r="P109" s="8">
        <v>105876900.2</v>
      </c>
      <c r="Q109" s="8">
        <f t="shared" si="12"/>
        <v>2.00346472924618</v>
      </c>
      <c r="R109" s="9">
        <v>868.6</v>
      </c>
      <c r="S109" s="9">
        <v>2950.3</v>
      </c>
      <c r="T109" s="9">
        <v>1958.7</v>
      </c>
      <c r="U109" s="9">
        <v>13270</v>
      </c>
      <c r="V109" s="18">
        <v>0</v>
      </c>
      <c r="W109" s="18">
        <v>0</v>
      </c>
      <c r="X109" s="18">
        <f t="shared" si="13"/>
        <v>0</v>
      </c>
      <c r="Y109" s="12">
        <f t="shared" si="14"/>
        <v>3.23986794305777</v>
      </c>
      <c r="Z109" s="12">
        <f t="shared" si="15"/>
        <v>0.381621484437627</v>
      </c>
      <c r="AA109" s="19">
        <v>7346.11</v>
      </c>
      <c r="AB109" s="19">
        <v>7846.56</v>
      </c>
      <c r="AC109" s="19">
        <v>408.41</v>
      </c>
      <c r="AD109" s="19">
        <v>986.08</v>
      </c>
      <c r="AE109" s="19">
        <v>203.92</v>
      </c>
      <c r="AF109" s="19">
        <v>7.47</v>
      </c>
      <c r="AG109" s="19">
        <v>403.8</v>
      </c>
      <c r="AH109" s="19">
        <v>39.92</v>
      </c>
      <c r="AI109" s="19">
        <v>6.47</v>
      </c>
      <c r="AJ109" s="19">
        <v>462.64</v>
      </c>
      <c r="AK109" s="3">
        <f t="shared" si="19"/>
        <v>0</v>
      </c>
      <c r="AL109" s="3">
        <v>0</v>
      </c>
      <c r="AM109" s="3">
        <f t="shared" si="18"/>
        <v>0</v>
      </c>
    </row>
    <row r="110" spans="1:39">
      <c r="A110" s="7">
        <v>2008</v>
      </c>
      <c r="B110" s="7" t="s">
        <v>42</v>
      </c>
      <c r="C110" s="7">
        <v>0.1614856</v>
      </c>
      <c r="D110" s="7">
        <v>0.031289</v>
      </c>
      <c r="E110" s="7">
        <v>0.008115</v>
      </c>
      <c r="F110" s="7">
        <v>0.014142</v>
      </c>
      <c r="G110" s="7">
        <v>0.004369</v>
      </c>
      <c r="H110" s="7">
        <v>0.004663</v>
      </c>
      <c r="I110" s="7">
        <v>0.030938</v>
      </c>
      <c r="J110" s="7">
        <v>0.013881</v>
      </c>
      <c r="K110" s="16">
        <v>7221</v>
      </c>
      <c r="L110" s="17">
        <v>2734.21</v>
      </c>
      <c r="M110" s="16">
        <v>6426.1</v>
      </c>
      <c r="N110" s="7">
        <f t="shared" si="16"/>
        <v>2.64098222155577</v>
      </c>
      <c r="O110" s="7">
        <f t="shared" si="17"/>
        <v>1.12369866637618</v>
      </c>
      <c r="P110" s="8">
        <v>101764602.1</v>
      </c>
      <c r="Q110" s="8">
        <f t="shared" si="12"/>
        <v>1.58361373305738</v>
      </c>
      <c r="R110" s="9">
        <v>1014.5</v>
      </c>
      <c r="S110" s="9">
        <v>3518.8</v>
      </c>
      <c r="T110" s="9">
        <v>2400.9</v>
      </c>
      <c r="U110" s="9">
        <v>15816</v>
      </c>
      <c r="V110" s="18">
        <v>0</v>
      </c>
      <c r="W110" s="18">
        <v>0</v>
      </c>
      <c r="X110" s="18">
        <f t="shared" si="13"/>
        <v>0</v>
      </c>
      <c r="Y110" s="12">
        <f t="shared" si="14"/>
        <v>2.71728515287532</v>
      </c>
      <c r="Z110" s="12">
        <f t="shared" si="15"/>
        <v>0.417207380174412</v>
      </c>
      <c r="AA110" s="19">
        <v>7221</v>
      </c>
      <c r="AB110" s="19">
        <v>8367</v>
      </c>
      <c r="AC110" s="19">
        <v>541.82</v>
      </c>
      <c r="AD110" s="19">
        <v>915.24</v>
      </c>
      <c r="AE110" s="19">
        <v>130.3</v>
      </c>
      <c r="AF110" s="19">
        <v>1.18</v>
      </c>
      <c r="AG110" s="19">
        <v>312.57</v>
      </c>
      <c r="AH110" s="19">
        <v>39.84</v>
      </c>
      <c r="AI110" s="19">
        <v>13.83</v>
      </c>
      <c r="AJ110" s="19">
        <v>496.49</v>
      </c>
      <c r="AK110" s="3">
        <f t="shared" si="19"/>
        <v>0</v>
      </c>
      <c r="AL110" s="3">
        <v>0</v>
      </c>
      <c r="AM110" s="3">
        <f t="shared" si="18"/>
        <v>0</v>
      </c>
    </row>
    <row r="111" spans="1:39">
      <c r="A111" s="7">
        <v>2009</v>
      </c>
      <c r="B111" s="7" t="s">
        <v>42</v>
      </c>
      <c r="C111" s="7">
        <v>0.1506309</v>
      </c>
      <c r="D111" s="7">
        <v>0.029288</v>
      </c>
      <c r="E111" s="7">
        <v>0.007549</v>
      </c>
      <c r="F111" s="7">
        <v>0.012928</v>
      </c>
      <c r="G111" s="7">
        <v>0.00419</v>
      </c>
      <c r="H111" s="7">
        <v>0.004621</v>
      </c>
      <c r="I111" s="7">
        <v>0.028058</v>
      </c>
      <c r="J111" s="7">
        <v>0.014143</v>
      </c>
      <c r="K111" s="16">
        <v>7698</v>
      </c>
      <c r="L111" s="17">
        <v>2739.55</v>
      </c>
      <c r="M111" s="16">
        <v>7278.75</v>
      </c>
      <c r="N111" s="7">
        <f t="shared" si="16"/>
        <v>2.80995053932215</v>
      </c>
      <c r="O111" s="7">
        <f t="shared" si="17"/>
        <v>1.05759917568264</v>
      </c>
      <c r="P111" s="8">
        <v>120438560.3</v>
      </c>
      <c r="Q111" s="8">
        <f t="shared" si="12"/>
        <v>1.65465993886313</v>
      </c>
      <c r="R111" s="9">
        <v>1062.1</v>
      </c>
      <c r="S111" s="9">
        <v>3882.7</v>
      </c>
      <c r="T111" s="9">
        <v>2685.2</v>
      </c>
      <c r="U111" s="9">
        <v>17277</v>
      </c>
      <c r="V111" s="18">
        <v>0</v>
      </c>
      <c r="W111" s="18">
        <v>0</v>
      </c>
      <c r="X111" s="18">
        <f t="shared" si="13"/>
        <v>0</v>
      </c>
      <c r="Y111" s="12">
        <f t="shared" si="14"/>
        <v>2.66960201713366</v>
      </c>
      <c r="Z111" s="12">
        <f t="shared" si="15"/>
        <v>0.380184788502769</v>
      </c>
      <c r="AA111" s="19">
        <v>7698</v>
      </c>
      <c r="AB111" s="19">
        <v>8589</v>
      </c>
      <c r="AC111" s="19">
        <v>593.1</v>
      </c>
      <c r="AD111" s="19">
        <v>851.89</v>
      </c>
      <c r="AE111" s="19">
        <v>138.44</v>
      </c>
      <c r="AF111" s="19">
        <v>1.15</v>
      </c>
      <c r="AG111" s="19">
        <v>328.12</v>
      </c>
      <c r="AH111" s="19">
        <v>38.44</v>
      </c>
      <c r="AI111" s="19">
        <v>16.66</v>
      </c>
      <c r="AJ111" s="19">
        <v>515.25</v>
      </c>
      <c r="AK111" s="3">
        <f t="shared" si="19"/>
        <v>0</v>
      </c>
      <c r="AL111" s="3">
        <v>0</v>
      </c>
      <c r="AM111" s="3">
        <f t="shared" si="18"/>
        <v>0</v>
      </c>
    </row>
    <row r="112" spans="1:39">
      <c r="A112" s="7">
        <v>2010</v>
      </c>
      <c r="B112" s="7" t="s">
        <v>42</v>
      </c>
      <c r="C112" s="7">
        <v>0.16273595</v>
      </c>
      <c r="D112" s="7">
        <v>0.029499</v>
      </c>
      <c r="E112" s="7">
        <v>0.006995</v>
      </c>
      <c r="F112" s="7">
        <v>0.01355</v>
      </c>
      <c r="G112" s="7">
        <v>0.004864</v>
      </c>
      <c r="H112" s="7">
        <v>0.00409</v>
      </c>
      <c r="I112" s="7">
        <v>0.034171</v>
      </c>
      <c r="J112" s="7">
        <v>0.015371</v>
      </c>
      <c r="K112" s="16">
        <v>8297</v>
      </c>
      <c r="L112" s="17">
        <v>2746.6</v>
      </c>
      <c r="M112" s="16">
        <v>8667.58</v>
      </c>
      <c r="N112" s="7">
        <f t="shared" si="16"/>
        <v>3.02082574819777</v>
      </c>
      <c r="O112" s="7">
        <f t="shared" si="17"/>
        <v>0.957245274921028</v>
      </c>
      <c r="P112" s="8">
        <v>137452229</v>
      </c>
      <c r="Q112" s="8">
        <f t="shared" si="12"/>
        <v>1.58582013664714</v>
      </c>
      <c r="R112" s="9">
        <v>1147.6</v>
      </c>
      <c r="S112" s="9">
        <v>5083.1</v>
      </c>
      <c r="T112" s="9">
        <v>3152.5</v>
      </c>
      <c r="U112" s="9">
        <v>21099</v>
      </c>
      <c r="V112" s="18">
        <v>0</v>
      </c>
      <c r="W112" s="18">
        <v>0</v>
      </c>
      <c r="X112" s="18">
        <f t="shared" si="13"/>
        <v>0</v>
      </c>
      <c r="Y112" s="12">
        <f t="shared" si="14"/>
        <v>2.40850270516871</v>
      </c>
      <c r="Z112" s="12">
        <f t="shared" si="15"/>
        <v>0.341574276315352</v>
      </c>
      <c r="AA112" s="19">
        <v>8297.31</v>
      </c>
      <c r="AB112" s="19">
        <v>9582.66</v>
      </c>
      <c r="AC112" s="19">
        <v>640.61</v>
      </c>
      <c r="AD112" s="19">
        <v>939.97</v>
      </c>
      <c r="AE112" s="19">
        <v>166.61</v>
      </c>
      <c r="AF112" s="19">
        <v>1.21</v>
      </c>
      <c r="AG112" s="19">
        <v>363.3</v>
      </c>
      <c r="AH112" s="19">
        <v>39.96</v>
      </c>
      <c r="AI112" s="19">
        <v>22.01</v>
      </c>
      <c r="AJ112" s="19">
        <v>576.98</v>
      </c>
      <c r="AK112" s="3">
        <f t="shared" si="19"/>
        <v>0</v>
      </c>
      <c r="AL112" s="3">
        <v>0</v>
      </c>
      <c r="AM112" s="3">
        <f t="shared" si="18"/>
        <v>0</v>
      </c>
    </row>
    <row r="113" spans="1:39">
      <c r="A113" s="7">
        <v>2011</v>
      </c>
      <c r="B113" s="7" t="s">
        <v>42</v>
      </c>
      <c r="C113" s="7">
        <v>0.1817433</v>
      </c>
      <c r="D113" s="7">
        <v>0.033769</v>
      </c>
      <c r="E113" s="7">
        <v>0.008797</v>
      </c>
      <c r="F113" s="7">
        <v>0.014977</v>
      </c>
      <c r="G113" s="7">
        <v>0.005127</v>
      </c>
      <c r="H113" s="7">
        <v>0.004867</v>
      </c>
      <c r="I113" s="7">
        <v>0.030252</v>
      </c>
      <c r="J113" s="7">
        <v>0.017973</v>
      </c>
      <c r="K113" s="16">
        <v>9103</v>
      </c>
      <c r="L113" s="17">
        <v>2725</v>
      </c>
      <c r="M113" s="16">
        <v>10568.83</v>
      </c>
      <c r="N113" s="7">
        <f t="shared" si="16"/>
        <v>3.3405504587156</v>
      </c>
      <c r="O113" s="7">
        <f t="shared" si="17"/>
        <v>0.861306312997749</v>
      </c>
      <c r="P113" s="8">
        <v>152563269</v>
      </c>
      <c r="Q113" s="8">
        <f t="shared" si="12"/>
        <v>1.44352089114878</v>
      </c>
      <c r="R113" s="9">
        <v>1320.5</v>
      </c>
      <c r="S113" s="9">
        <v>6338</v>
      </c>
      <c r="T113" s="9">
        <v>3926</v>
      </c>
      <c r="U113" s="9">
        <v>25928</v>
      </c>
      <c r="V113" s="18">
        <v>0</v>
      </c>
      <c r="W113" s="18">
        <v>0</v>
      </c>
      <c r="X113" s="18">
        <f t="shared" si="13"/>
        <v>0</v>
      </c>
      <c r="Y113" s="12">
        <f t="shared" si="14"/>
        <v>2.18035126729488</v>
      </c>
      <c r="Z113" s="12">
        <f t="shared" si="15"/>
        <v>0.337941132329687</v>
      </c>
      <c r="AA113" s="19">
        <v>9103</v>
      </c>
      <c r="AB113" s="19">
        <v>11035</v>
      </c>
      <c r="AC113" s="19">
        <v>757.71</v>
      </c>
      <c r="AD113" s="19">
        <v>1064.58</v>
      </c>
      <c r="AE113" s="19">
        <v>181.51</v>
      </c>
      <c r="AF113" s="19">
        <v>1.25</v>
      </c>
      <c r="AG113" s="19">
        <v>417.47</v>
      </c>
      <c r="AH113" s="19">
        <v>37.81</v>
      </c>
      <c r="AI113" s="19">
        <v>19.38</v>
      </c>
      <c r="AJ113" s="19">
        <v>631</v>
      </c>
      <c r="AK113" s="3">
        <f t="shared" si="19"/>
        <v>0</v>
      </c>
      <c r="AL113" s="3">
        <v>0</v>
      </c>
      <c r="AM113" s="3">
        <f t="shared" si="18"/>
        <v>0</v>
      </c>
    </row>
    <row r="114" spans="1:39">
      <c r="A114" s="7">
        <v>2012</v>
      </c>
      <c r="B114" s="7" t="s">
        <v>42</v>
      </c>
      <c r="C114" s="7">
        <v>0.2018315</v>
      </c>
      <c r="D114" s="7">
        <v>0.037057</v>
      </c>
      <c r="E114" s="7">
        <v>0.009426</v>
      </c>
      <c r="F114" s="7">
        <v>0.016807</v>
      </c>
      <c r="G114" s="7">
        <v>0.005683</v>
      </c>
      <c r="H114" s="7">
        <v>0.005141</v>
      </c>
      <c r="I114" s="7">
        <v>0.03754</v>
      </c>
      <c r="J114" s="7">
        <v>0.016529</v>
      </c>
      <c r="K114" s="16">
        <v>9443</v>
      </c>
      <c r="L114" s="17">
        <v>2698</v>
      </c>
      <c r="M114" s="16">
        <v>11939.24</v>
      </c>
      <c r="N114" s="7">
        <f t="shared" si="16"/>
        <v>3.5</v>
      </c>
      <c r="O114" s="7">
        <f t="shared" si="17"/>
        <v>0.790921365179023</v>
      </c>
      <c r="P114" s="8">
        <v>155274079.8</v>
      </c>
      <c r="Q114" s="8">
        <f t="shared" si="12"/>
        <v>1.30053571081576</v>
      </c>
      <c r="R114" s="9">
        <v>1439.1</v>
      </c>
      <c r="S114" s="9">
        <v>6893.3</v>
      </c>
      <c r="T114" s="9">
        <v>4475.2</v>
      </c>
      <c r="U114" s="9">
        <v>28624</v>
      </c>
      <c r="V114" s="18">
        <v>0</v>
      </c>
      <c r="W114" s="18">
        <v>0</v>
      </c>
      <c r="X114" s="18">
        <f t="shared" si="13"/>
        <v>0</v>
      </c>
      <c r="Y114" s="12">
        <f t="shared" si="14"/>
        <v>2.01609935715007</v>
      </c>
      <c r="Z114" s="12">
        <f t="shared" si="15"/>
        <v>0.354924792667869</v>
      </c>
      <c r="AA114" s="19">
        <v>9443.04</v>
      </c>
      <c r="AB114" s="19">
        <v>11083</v>
      </c>
      <c r="AC114" s="19">
        <v>670.1</v>
      </c>
      <c r="AD114" s="19">
        <v>977.05</v>
      </c>
      <c r="AE114" s="19">
        <v>182.6</v>
      </c>
      <c r="AF114" s="19">
        <v>0.81</v>
      </c>
      <c r="AG114" s="19">
        <v>424.4</v>
      </c>
      <c r="AH114" s="19">
        <v>34.11</v>
      </c>
      <c r="AI114" s="19">
        <v>22.79</v>
      </c>
      <c r="AJ114" s="19">
        <v>787.05</v>
      </c>
      <c r="AK114" s="3">
        <f t="shared" si="19"/>
        <v>0</v>
      </c>
      <c r="AL114" s="3">
        <v>0</v>
      </c>
      <c r="AM114" s="3">
        <f t="shared" si="18"/>
        <v>0</v>
      </c>
    </row>
    <row r="115" spans="1:39">
      <c r="A115" s="7">
        <v>2013</v>
      </c>
      <c r="B115" s="7" t="s">
        <v>42</v>
      </c>
      <c r="C115" s="7">
        <v>0.17330074</v>
      </c>
      <c r="D115" s="7">
        <v>0.032628</v>
      </c>
      <c r="E115" s="7">
        <v>0.00826</v>
      </c>
      <c r="F115" s="7">
        <v>0.014481</v>
      </c>
      <c r="G115" s="7">
        <v>0.004951</v>
      </c>
      <c r="H115" s="7">
        <v>0.004937</v>
      </c>
      <c r="I115" s="7">
        <v>0.031299</v>
      </c>
      <c r="J115" s="7">
        <v>0.015721</v>
      </c>
      <c r="K115" s="16">
        <v>8645</v>
      </c>
      <c r="L115" s="17">
        <v>2668</v>
      </c>
      <c r="M115" s="16">
        <v>13046.4</v>
      </c>
      <c r="N115" s="7">
        <f t="shared" si="16"/>
        <v>3.24025487256372</v>
      </c>
      <c r="O115" s="7">
        <f t="shared" si="17"/>
        <v>0.662634903115036</v>
      </c>
      <c r="P115" s="8">
        <v>158125657.6</v>
      </c>
      <c r="Q115" s="8">
        <f t="shared" si="12"/>
        <v>1.21202521461859</v>
      </c>
      <c r="R115" s="9">
        <v>1540.7</v>
      </c>
      <c r="S115" s="9">
        <v>7661.9</v>
      </c>
      <c r="T115" s="9">
        <v>5097.7</v>
      </c>
      <c r="U115" s="9">
        <v>31952</v>
      </c>
      <c r="V115" s="18">
        <v>0</v>
      </c>
      <c r="W115" s="18">
        <v>0</v>
      </c>
      <c r="X115" s="18">
        <f t="shared" si="13"/>
        <v>0</v>
      </c>
      <c r="Y115" s="12">
        <f t="shared" si="14"/>
        <v>1.91398219724656</v>
      </c>
      <c r="Z115" s="12">
        <f t="shared" si="15"/>
        <v>0.366752096042377</v>
      </c>
      <c r="AA115" s="19">
        <v>8645</v>
      </c>
      <c r="AB115" s="19">
        <v>10413.74</v>
      </c>
      <c r="AC115" s="19">
        <v>719.77</v>
      </c>
      <c r="AD115" s="19">
        <v>1002.13</v>
      </c>
      <c r="AE115" s="19">
        <v>178.94</v>
      </c>
      <c r="AF115" s="19">
        <v>1.71</v>
      </c>
      <c r="AG115" s="19">
        <v>381.6</v>
      </c>
      <c r="AH115" s="19">
        <v>32.82</v>
      </c>
      <c r="AI115" s="19">
        <v>24.05</v>
      </c>
      <c r="AJ115" s="19">
        <v>653.85</v>
      </c>
      <c r="AK115" s="3">
        <f t="shared" si="19"/>
        <v>1</v>
      </c>
      <c r="AL115" s="3">
        <v>0</v>
      </c>
      <c r="AM115" s="3">
        <f t="shared" si="18"/>
        <v>0</v>
      </c>
    </row>
    <row r="116" spans="1:39">
      <c r="A116" s="7">
        <v>2014</v>
      </c>
      <c r="B116" s="7" t="s">
        <v>42</v>
      </c>
      <c r="C116" s="7">
        <v>0.21222928</v>
      </c>
      <c r="D116" s="7">
        <v>0.038038</v>
      </c>
      <c r="E116" s="7">
        <v>0.009896</v>
      </c>
      <c r="F116" s="7">
        <v>0.017683</v>
      </c>
      <c r="G116" s="7">
        <v>0.006007</v>
      </c>
      <c r="H116" s="7">
        <v>0.004453</v>
      </c>
      <c r="I116" s="7">
        <v>0.038027</v>
      </c>
      <c r="J116" s="7">
        <v>0.01954</v>
      </c>
      <c r="K116" s="16">
        <v>8560</v>
      </c>
      <c r="L116" s="17">
        <v>2642</v>
      </c>
      <c r="M116" s="16">
        <v>13803.14</v>
      </c>
      <c r="N116" s="7">
        <f t="shared" si="16"/>
        <v>3.23996971990916</v>
      </c>
      <c r="O116" s="7">
        <f t="shared" si="17"/>
        <v>0.620148748762963</v>
      </c>
      <c r="P116" s="8">
        <v>158236893.3</v>
      </c>
      <c r="Q116" s="8">
        <f t="shared" si="12"/>
        <v>1.14638331060904</v>
      </c>
      <c r="R116" s="9">
        <v>1626.9</v>
      </c>
      <c r="S116" s="9">
        <v>8238.7</v>
      </c>
      <c r="T116" s="9">
        <v>5802.3</v>
      </c>
      <c r="U116" s="9">
        <v>34988</v>
      </c>
      <c r="V116" s="18">
        <v>0</v>
      </c>
      <c r="W116" s="18">
        <v>0</v>
      </c>
      <c r="X116" s="18">
        <f t="shared" si="13"/>
        <v>0</v>
      </c>
      <c r="Y116" s="12">
        <f t="shared" si="14"/>
        <v>1.79640226266579</v>
      </c>
      <c r="Z116" s="12">
        <f t="shared" si="15"/>
        <v>0.361844874929152</v>
      </c>
      <c r="AA116" s="19">
        <v>8559.79</v>
      </c>
      <c r="AB116" s="19">
        <v>10379.34</v>
      </c>
      <c r="AC116" s="19">
        <v>664.72</v>
      </c>
      <c r="AD116" s="19">
        <v>999.37</v>
      </c>
      <c r="AE116" s="19">
        <v>193.36</v>
      </c>
      <c r="AF116" s="19">
        <v>1.71</v>
      </c>
      <c r="AG116" s="19">
        <v>378.42</v>
      </c>
      <c r="AH116" s="19">
        <v>31.91</v>
      </c>
      <c r="AI116" s="19">
        <v>22.58</v>
      </c>
      <c r="AJ116" s="19">
        <v>667.81</v>
      </c>
      <c r="AK116" s="3">
        <f t="shared" si="19"/>
        <v>1</v>
      </c>
      <c r="AL116" s="3">
        <v>0</v>
      </c>
      <c r="AM116" s="3">
        <f t="shared" si="18"/>
        <v>0</v>
      </c>
    </row>
    <row r="117" spans="1:39">
      <c r="A117" s="7">
        <v>2015</v>
      </c>
      <c r="B117" s="7" t="s">
        <v>42</v>
      </c>
      <c r="C117" s="7">
        <v>0.20209053</v>
      </c>
      <c r="D117" s="7">
        <v>0.036655</v>
      </c>
      <c r="E117" s="7">
        <v>0.008775</v>
      </c>
      <c r="F117" s="7">
        <v>0.017304</v>
      </c>
      <c r="G117" s="7">
        <v>0.00596</v>
      </c>
      <c r="H117" s="7">
        <v>0.004617</v>
      </c>
      <c r="I117" s="7">
        <v>0.036185</v>
      </c>
      <c r="J117" s="7">
        <v>0.018654</v>
      </c>
      <c r="K117" s="16">
        <v>7020</v>
      </c>
      <c r="L117" s="17">
        <v>2613</v>
      </c>
      <c r="M117" s="16">
        <v>14063.13</v>
      </c>
      <c r="N117" s="7">
        <f t="shared" si="16"/>
        <v>2.6865671641791</v>
      </c>
      <c r="O117" s="7">
        <f t="shared" si="17"/>
        <v>0.499177636841869</v>
      </c>
      <c r="P117" s="8">
        <v>151831412</v>
      </c>
      <c r="Q117" s="8">
        <f t="shared" si="12"/>
        <v>1.07964167294194</v>
      </c>
      <c r="R117" s="9">
        <v>1714.5</v>
      </c>
      <c r="S117" s="9">
        <v>8367.7</v>
      </c>
      <c r="T117" s="9">
        <v>6698.8</v>
      </c>
      <c r="U117" s="9">
        <v>37436</v>
      </c>
      <c r="V117" s="18">
        <v>0</v>
      </c>
      <c r="W117" s="18">
        <v>0</v>
      </c>
      <c r="X117" s="18">
        <f t="shared" si="13"/>
        <v>0</v>
      </c>
      <c r="Y117" s="12">
        <f t="shared" si="14"/>
        <v>1.71577514742415</v>
      </c>
      <c r="Z117" s="12">
        <f t="shared" si="15"/>
        <v>0.370755734186509</v>
      </c>
      <c r="AA117" s="19">
        <v>7020</v>
      </c>
      <c r="AB117" s="19">
        <v>8632.01</v>
      </c>
      <c r="AC117" s="19">
        <v>532.82</v>
      </c>
      <c r="AD117" s="19">
        <v>960.34</v>
      </c>
      <c r="AE117" s="19">
        <v>167.9</v>
      </c>
      <c r="AF117" s="19">
        <v>22.33</v>
      </c>
      <c r="AG117" s="19">
        <v>343.43</v>
      </c>
      <c r="AH117" s="19">
        <v>30.86</v>
      </c>
      <c r="AI117" s="19">
        <v>20.65</v>
      </c>
      <c r="AJ117" s="19">
        <v>652</v>
      </c>
      <c r="AK117" s="3">
        <f t="shared" si="19"/>
        <v>1</v>
      </c>
      <c r="AL117" s="3">
        <v>0</v>
      </c>
      <c r="AM117" s="3">
        <f t="shared" si="18"/>
        <v>0</v>
      </c>
    </row>
    <row r="118" spans="1:39">
      <c r="A118" s="7">
        <v>2016</v>
      </c>
      <c r="B118" s="7" t="s">
        <v>42</v>
      </c>
      <c r="C118" s="7">
        <v>0.19744256</v>
      </c>
      <c r="D118" s="7">
        <v>0.035084</v>
      </c>
      <c r="E118" s="7">
        <v>0.009025</v>
      </c>
      <c r="F118" s="7">
        <v>0.016114</v>
      </c>
      <c r="G118" s="7">
        <v>0.005309</v>
      </c>
      <c r="H118" s="7">
        <v>0.004636</v>
      </c>
      <c r="I118" s="7">
        <v>0.036103</v>
      </c>
      <c r="J118" s="7">
        <v>0.019215</v>
      </c>
      <c r="K118" s="16">
        <v>6886</v>
      </c>
      <c r="L118" s="17">
        <v>2567</v>
      </c>
      <c r="M118" s="16">
        <v>14776.8</v>
      </c>
      <c r="N118" s="7">
        <f t="shared" si="16"/>
        <v>2.68250876509544</v>
      </c>
      <c r="O118" s="7">
        <f t="shared" si="17"/>
        <v>0.466000757944887</v>
      </c>
      <c r="P118" s="8">
        <v>148934997.6</v>
      </c>
      <c r="Q118" s="8">
        <f t="shared" si="12"/>
        <v>1.00789749878187</v>
      </c>
      <c r="R118" s="9">
        <v>1794.1</v>
      </c>
      <c r="S118" s="9">
        <v>8732.5</v>
      </c>
      <c r="T118" s="9">
        <v>7862</v>
      </c>
      <c r="U118" s="9">
        <v>40950</v>
      </c>
      <c r="V118" s="18">
        <v>0</v>
      </c>
      <c r="W118" s="18">
        <v>0</v>
      </c>
      <c r="X118" s="18">
        <f t="shared" si="13"/>
        <v>0</v>
      </c>
      <c r="Y118" s="12">
        <f t="shared" si="14"/>
        <v>1.62438398605541</v>
      </c>
      <c r="Z118" s="12">
        <f t="shared" si="15"/>
        <v>0.379520170455872</v>
      </c>
      <c r="AA118" s="19">
        <v>6886</v>
      </c>
      <c r="AB118" s="19">
        <v>8349.29</v>
      </c>
      <c r="AC118" s="19">
        <v>477.62</v>
      </c>
      <c r="AD118" s="19">
        <v>1051.29</v>
      </c>
      <c r="AE118" s="19">
        <v>175.36</v>
      </c>
      <c r="AF118" s="19">
        <v>20.41</v>
      </c>
      <c r="AG118" s="19">
        <v>348.33</v>
      </c>
      <c r="AH118" s="19">
        <v>38.05</v>
      </c>
      <c r="AI118" s="19">
        <v>23</v>
      </c>
      <c r="AJ118" s="19">
        <v>667.63</v>
      </c>
      <c r="AK118" s="3">
        <f t="shared" si="19"/>
        <v>1</v>
      </c>
      <c r="AL118" s="3">
        <v>0</v>
      </c>
      <c r="AM118" s="3">
        <f t="shared" si="18"/>
        <v>0</v>
      </c>
    </row>
    <row r="119" spans="1:39">
      <c r="A119" s="7">
        <v>2017</v>
      </c>
      <c r="B119" s="7" t="s">
        <v>42</v>
      </c>
      <c r="C119" s="7">
        <v>0.19812876</v>
      </c>
      <c r="D119" s="7">
        <v>0.036739</v>
      </c>
      <c r="E119" s="7">
        <v>0.008744</v>
      </c>
      <c r="F119" s="7">
        <v>0.017029</v>
      </c>
      <c r="G119" s="7">
        <v>0.005352</v>
      </c>
      <c r="H119" s="7">
        <v>0.005614</v>
      </c>
      <c r="I119" s="7">
        <v>0.037333</v>
      </c>
      <c r="J119" s="7">
        <v>0.015658</v>
      </c>
      <c r="K119" s="16">
        <v>6881</v>
      </c>
      <c r="L119" s="17">
        <v>2526</v>
      </c>
      <c r="M119" s="16">
        <v>14944.53</v>
      </c>
      <c r="N119" s="7">
        <f t="shared" si="16"/>
        <v>2.72406967537609</v>
      </c>
      <c r="O119" s="7">
        <f t="shared" si="17"/>
        <v>0.460436025756581</v>
      </c>
      <c r="P119" s="8">
        <v>150113095.3</v>
      </c>
      <c r="Q119" s="8">
        <f t="shared" si="12"/>
        <v>1.00446849315435</v>
      </c>
      <c r="R119" s="9">
        <v>1835.3</v>
      </c>
      <c r="S119" s="9">
        <v>9444.6</v>
      </c>
      <c r="T119" s="9">
        <v>8930.9</v>
      </c>
      <c r="U119" s="9">
        <v>44878</v>
      </c>
      <c r="V119" s="18">
        <v>1</v>
      </c>
      <c r="W119" s="18">
        <v>0</v>
      </c>
      <c r="X119" s="18">
        <f t="shared" si="13"/>
        <v>0</v>
      </c>
      <c r="Y119" s="12">
        <f t="shared" si="14"/>
        <v>1.56738551218677</v>
      </c>
      <c r="Z119" s="12">
        <f t="shared" si="15"/>
        <v>0.359143946818198</v>
      </c>
      <c r="AA119" s="19">
        <v>6881</v>
      </c>
      <c r="AB119" s="19">
        <v>8270.55</v>
      </c>
      <c r="AC119" s="19">
        <v>476.07</v>
      </c>
      <c r="AD119" s="19">
        <v>1026.83</v>
      </c>
      <c r="AE119" s="19">
        <v>188.51</v>
      </c>
      <c r="AF119" s="19">
        <v>29.55</v>
      </c>
      <c r="AG119" s="19">
        <v>343.37</v>
      </c>
      <c r="AH119" s="19">
        <v>29.08</v>
      </c>
      <c r="AI119" s="19">
        <v>24.91</v>
      </c>
      <c r="AJ119" s="19">
        <v>702.98</v>
      </c>
      <c r="AK119" s="3">
        <f t="shared" si="19"/>
        <v>1</v>
      </c>
      <c r="AL119" s="3">
        <v>0</v>
      </c>
      <c r="AM119" s="3">
        <f t="shared" si="18"/>
        <v>0</v>
      </c>
    </row>
    <row r="120" spans="1:39">
      <c r="A120" s="7">
        <v>2018</v>
      </c>
      <c r="B120" s="7" t="s">
        <v>42</v>
      </c>
      <c r="C120" s="7">
        <v>0.23487881</v>
      </c>
      <c r="D120" s="7">
        <v>0.039929</v>
      </c>
      <c r="E120" s="7">
        <v>0.010123</v>
      </c>
      <c r="F120" s="7">
        <v>0.017626</v>
      </c>
      <c r="G120" s="7">
        <v>0.005506</v>
      </c>
      <c r="H120" s="7">
        <v>0.006673</v>
      </c>
      <c r="I120" s="7">
        <v>0.04491</v>
      </c>
      <c r="J120" s="7">
        <v>0.019721</v>
      </c>
      <c r="K120" s="16">
        <v>7000</v>
      </c>
      <c r="L120" s="17">
        <v>2484</v>
      </c>
      <c r="M120" s="16">
        <v>15074.62</v>
      </c>
      <c r="N120" s="7">
        <f t="shared" si="16"/>
        <v>2.81803542673108</v>
      </c>
      <c r="O120" s="7">
        <f t="shared" si="17"/>
        <v>0.46435664713273</v>
      </c>
      <c r="P120" s="8">
        <v>158410588.2</v>
      </c>
      <c r="Q120" s="8">
        <f t="shared" si="12"/>
        <v>1.05084299438394</v>
      </c>
      <c r="R120" s="9">
        <v>1877.3</v>
      </c>
      <c r="S120" s="9">
        <v>10081.2</v>
      </c>
      <c r="T120" s="9">
        <v>10758</v>
      </c>
      <c r="U120" s="9">
        <v>50347</v>
      </c>
      <c r="V120" s="18">
        <v>1</v>
      </c>
      <c r="W120" s="18">
        <v>0</v>
      </c>
      <c r="X120" s="18">
        <f t="shared" si="13"/>
        <v>0</v>
      </c>
      <c r="Y120" s="12">
        <f t="shared" si="14"/>
        <v>1.51591455826218</v>
      </c>
      <c r="Z120" s="12">
        <f t="shared" si="15"/>
        <v>0.306792728748108</v>
      </c>
      <c r="AA120" s="19">
        <v>7000</v>
      </c>
      <c r="AB120" s="19">
        <v>8553.18</v>
      </c>
      <c r="AC120" s="19">
        <v>592.83</v>
      </c>
      <c r="AD120" s="19">
        <v>935.8</v>
      </c>
      <c r="AE120" s="19">
        <v>204.68</v>
      </c>
      <c r="AF120" s="19">
        <v>32.58</v>
      </c>
      <c r="AG120" s="19">
        <v>364.61</v>
      </c>
      <c r="AH120" s="19">
        <v>25.79</v>
      </c>
      <c r="AI120" s="19">
        <v>29.71</v>
      </c>
      <c r="AJ120" s="19">
        <v>750.57</v>
      </c>
      <c r="AK120" s="3">
        <f t="shared" si="19"/>
        <v>1</v>
      </c>
      <c r="AL120" s="3">
        <v>0</v>
      </c>
      <c r="AM120" s="3">
        <f t="shared" si="18"/>
        <v>0</v>
      </c>
    </row>
    <row r="121" spans="1:39">
      <c r="A121" s="7">
        <v>2019</v>
      </c>
      <c r="B121" s="7" t="s">
        <v>42</v>
      </c>
      <c r="C121" s="7">
        <v>0.216649</v>
      </c>
      <c r="D121" s="7">
        <v>0.039267</v>
      </c>
      <c r="E121" s="7">
        <v>0.010608</v>
      </c>
      <c r="F121" s="7">
        <v>0.017798</v>
      </c>
      <c r="G121" s="7">
        <v>0.005794</v>
      </c>
      <c r="H121" s="7">
        <v>0.005066</v>
      </c>
      <c r="I121" s="7">
        <v>0.039307</v>
      </c>
      <c r="J121" s="7">
        <v>0.01814</v>
      </c>
      <c r="K121" s="16">
        <v>7132</v>
      </c>
      <c r="L121" s="17">
        <v>2448</v>
      </c>
      <c r="M121" s="16">
        <v>11726.82</v>
      </c>
      <c r="N121" s="7">
        <f t="shared" si="16"/>
        <v>2.91339869281046</v>
      </c>
      <c r="O121" s="7">
        <f t="shared" si="17"/>
        <v>0.608178517279194</v>
      </c>
      <c r="P121" s="8">
        <v>158644494.5</v>
      </c>
      <c r="Q121" s="8">
        <f t="shared" si="12"/>
        <v>1.35283473695341</v>
      </c>
      <c r="R121" s="9">
        <v>2057.7</v>
      </c>
      <c r="S121" s="9">
        <v>10820.3</v>
      </c>
      <c r="T121" s="9">
        <v>11789.3</v>
      </c>
      <c r="U121" s="9">
        <v>54640</v>
      </c>
      <c r="V121" s="18">
        <v>1</v>
      </c>
      <c r="W121" s="18">
        <v>0</v>
      </c>
      <c r="X121" s="18">
        <f t="shared" si="13"/>
        <v>0</v>
      </c>
      <c r="Y121" s="12">
        <f t="shared" si="14"/>
        <v>1.5000536746505</v>
      </c>
      <c r="Z121" s="12">
        <f t="shared" si="15"/>
        <v>0.0981424466237116</v>
      </c>
      <c r="AA121" s="19">
        <v>7132</v>
      </c>
      <c r="AB121" s="19">
        <v>8730.65</v>
      </c>
      <c r="AC121" s="19">
        <v>662.31</v>
      </c>
      <c r="AD121" s="19">
        <v>1035.48</v>
      </c>
      <c r="AE121" s="19">
        <v>182.71</v>
      </c>
      <c r="AF121" s="19">
        <v>33.68</v>
      </c>
      <c r="AG121" s="19">
        <v>346.18</v>
      </c>
      <c r="AH121" s="19">
        <v>28.15</v>
      </c>
      <c r="AI121" s="19">
        <v>30.17</v>
      </c>
      <c r="AJ121" s="19">
        <v>780.37</v>
      </c>
      <c r="AK121" s="3">
        <f t="shared" si="19"/>
        <v>1</v>
      </c>
      <c r="AL121" s="3">
        <v>0</v>
      </c>
      <c r="AM121" s="3">
        <f t="shared" si="18"/>
        <v>0</v>
      </c>
    </row>
    <row r="122" spans="1:39">
      <c r="A122" s="7">
        <v>2020</v>
      </c>
      <c r="B122" s="7" t="s">
        <v>42</v>
      </c>
      <c r="C122" s="7">
        <v>0.26262627</v>
      </c>
      <c r="D122" s="7">
        <v>0.044579</v>
      </c>
      <c r="E122" s="7">
        <v>0.010767</v>
      </c>
      <c r="F122" s="7">
        <v>0.020171</v>
      </c>
      <c r="G122" s="7">
        <v>0.006731</v>
      </c>
      <c r="H122" s="7">
        <v>0.006909</v>
      </c>
      <c r="I122" s="7">
        <v>0.044783</v>
      </c>
      <c r="J122" s="7">
        <v>0.023426</v>
      </c>
      <c r="K122" s="16">
        <v>7185.7</v>
      </c>
      <c r="L122" s="17">
        <v>2399.23</v>
      </c>
      <c r="M122" s="16">
        <v>12311.32</v>
      </c>
      <c r="N122" s="7">
        <f t="shared" si="16"/>
        <v>2.9950025633224</v>
      </c>
      <c r="O122" s="7">
        <f t="shared" si="17"/>
        <v>0.583666089420143</v>
      </c>
      <c r="P122" s="8">
        <v>156868071.7</v>
      </c>
      <c r="Q122" s="8">
        <f t="shared" si="12"/>
        <v>1.27417751873885</v>
      </c>
      <c r="R122" s="9">
        <v>2243.8</v>
      </c>
      <c r="S122" s="9">
        <v>11107.9</v>
      </c>
      <c r="T122" s="9">
        <v>12430.2</v>
      </c>
      <c r="U122" s="9">
        <v>57065</v>
      </c>
      <c r="V122" s="18">
        <v>1</v>
      </c>
      <c r="W122" s="18">
        <v>0</v>
      </c>
      <c r="X122" s="18">
        <f t="shared" si="13"/>
        <v>0</v>
      </c>
      <c r="Y122" s="12">
        <f t="shared" si="14"/>
        <v>1.47141701078949</v>
      </c>
      <c r="Z122" s="12">
        <f t="shared" si="15"/>
        <v>0.134047309908978</v>
      </c>
      <c r="AA122" s="19">
        <v>7185.7</v>
      </c>
      <c r="AB122" s="19">
        <v>8489.19</v>
      </c>
      <c r="AC122" s="19">
        <v>669.56</v>
      </c>
      <c r="AD122" s="19">
        <v>970.25</v>
      </c>
      <c r="AE122" s="19">
        <v>174.35</v>
      </c>
      <c r="AF122" s="19">
        <v>28.35</v>
      </c>
      <c r="AG122" s="19">
        <v>341.79</v>
      </c>
      <c r="AH122" s="19">
        <v>32.52</v>
      </c>
      <c r="AI122" s="19">
        <v>31.67</v>
      </c>
      <c r="AJ122" s="19">
        <v>805</v>
      </c>
      <c r="AK122" s="3">
        <f t="shared" si="19"/>
        <v>1</v>
      </c>
      <c r="AL122" s="3">
        <v>0</v>
      </c>
      <c r="AM122" s="3">
        <f t="shared" si="18"/>
        <v>0</v>
      </c>
    </row>
    <row r="123" spans="1:39">
      <c r="A123" s="7">
        <v>2021</v>
      </c>
      <c r="B123" s="7" t="s">
        <v>42</v>
      </c>
      <c r="C123" s="7">
        <v>0.25141102</v>
      </c>
      <c r="D123" s="7">
        <v>0.043045</v>
      </c>
      <c r="E123" s="7">
        <v>0.010895</v>
      </c>
      <c r="F123" s="7">
        <v>0.019925</v>
      </c>
      <c r="G123" s="7">
        <v>0.006408</v>
      </c>
      <c r="H123" s="7">
        <v>0.005817</v>
      </c>
      <c r="I123" s="7">
        <v>0.045198</v>
      </c>
      <c r="J123" s="7">
        <v>0.022253</v>
      </c>
      <c r="K123" s="16">
        <v>7287.6</v>
      </c>
      <c r="L123" s="17">
        <v>2375</v>
      </c>
      <c r="M123" s="16">
        <v>13235.5</v>
      </c>
      <c r="N123" s="7">
        <f t="shared" si="16"/>
        <v>3.06846315789474</v>
      </c>
      <c r="O123" s="7">
        <f t="shared" si="17"/>
        <v>0.550610101620642</v>
      </c>
      <c r="P123" s="8">
        <v>161511466.7</v>
      </c>
      <c r="Q123" s="8">
        <f t="shared" si="12"/>
        <v>1.22028987722413</v>
      </c>
      <c r="R123" s="9">
        <v>2334.1</v>
      </c>
      <c r="S123" s="9">
        <v>13230.7</v>
      </c>
      <c r="T123" s="9">
        <v>14263</v>
      </c>
      <c r="U123" s="9">
        <v>66020</v>
      </c>
      <c r="V123" s="18">
        <v>1</v>
      </c>
      <c r="W123" s="18">
        <v>0</v>
      </c>
      <c r="X123" s="18">
        <f t="shared" si="13"/>
        <v>0</v>
      </c>
      <c r="Y123" s="12">
        <f t="shared" si="14"/>
        <v>1.36781889095748</v>
      </c>
      <c r="Z123" s="12">
        <f t="shared" si="15"/>
        <v>0.107857125463501</v>
      </c>
      <c r="AA123" s="19">
        <v>7287.6</v>
      </c>
      <c r="AB123" s="19">
        <v>8282.83</v>
      </c>
      <c r="AC123" s="19">
        <v>674.12</v>
      </c>
      <c r="AD123" s="19">
        <v>828.91</v>
      </c>
      <c r="AE123" s="19">
        <v>163.61</v>
      </c>
      <c r="AF123" s="19">
        <v>32.73</v>
      </c>
      <c r="AG123" s="19">
        <v>398.38</v>
      </c>
      <c r="AH123" s="19">
        <v>25.76</v>
      </c>
      <c r="AI123" s="19">
        <v>35.42</v>
      </c>
      <c r="AJ123" s="19">
        <v>843</v>
      </c>
      <c r="AK123" s="3">
        <f t="shared" si="19"/>
        <v>1</v>
      </c>
      <c r="AL123" s="3">
        <v>0</v>
      </c>
      <c r="AM123" s="3">
        <f t="shared" si="18"/>
        <v>0</v>
      </c>
    </row>
    <row r="124" spans="1:39">
      <c r="A124" s="7">
        <v>2022</v>
      </c>
      <c r="B124" s="7" t="s">
        <v>42</v>
      </c>
      <c r="C124" s="7">
        <v>0.2893591</v>
      </c>
      <c r="D124" s="7">
        <v>0.04761</v>
      </c>
      <c r="E124" s="7">
        <v>0.011165</v>
      </c>
      <c r="F124" s="7">
        <v>0.02125</v>
      </c>
      <c r="G124" s="7">
        <v>0.007274</v>
      </c>
      <c r="H124" s="7">
        <v>0.007921</v>
      </c>
      <c r="I124" s="7">
        <v>0.047499</v>
      </c>
      <c r="J124" s="7">
        <v>0.026753</v>
      </c>
      <c r="K124" s="16">
        <v>7027.8</v>
      </c>
      <c r="L124" s="17">
        <v>2348</v>
      </c>
      <c r="M124" s="16">
        <v>13070.2</v>
      </c>
      <c r="N124" s="7">
        <f t="shared" si="16"/>
        <v>2.99310051107325</v>
      </c>
      <c r="O124" s="7">
        <f t="shared" si="17"/>
        <v>0.537696439228168</v>
      </c>
      <c r="P124" s="8">
        <v>159542000.5</v>
      </c>
      <c r="Q124" s="8">
        <f t="shared" si="12"/>
        <v>1.22065462272957</v>
      </c>
      <c r="R124" s="9">
        <v>2466.5</v>
      </c>
      <c r="S124" s="9">
        <v>13483</v>
      </c>
      <c r="T124" s="9">
        <v>15264.4</v>
      </c>
      <c r="U124" s="9">
        <v>69019</v>
      </c>
      <c r="V124" s="18">
        <v>1</v>
      </c>
      <c r="W124" s="18">
        <v>0</v>
      </c>
      <c r="X124" s="18">
        <f t="shared" si="13"/>
        <v>0</v>
      </c>
      <c r="Y124" s="12">
        <f t="shared" si="14"/>
        <v>1.27047633725244</v>
      </c>
      <c r="Z124" s="12">
        <f t="shared" si="15"/>
        <v>0.0392149881599628</v>
      </c>
      <c r="AA124" s="19">
        <v>7392.9500087525</v>
      </c>
      <c r="AB124" s="19">
        <v>7809.19</v>
      </c>
      <c r="AC124" s="19">
        <v>628.67</v>
      </c>
      <c r="AD124" s="19">
        <v>953.76</v>
      </c>
      <c r="AE124" s="19">
        <v>88.47</v>
      </c>
      <c r="AF124" s="19">
        <v>31.73</v>
      </c>
      <c r="AG124" s="19">
        <v>242.96</v>
      </c>
      <c r="AH124" s="19">
        <v>22.27</v>
      </c>
      <c r="AI124" s="19">
        <v>37.14</v>
      </c>
      <c r="AJ124" s="19">
        <v>887.14</v>
      </c>
      <c r="AK124" s="3">
        <f t="shared" si="19"/>
        <v>1</v>
      </c>
      <c r="AL124" s="3">
        <v>0</v>
      </c>
      <c r="AM124" s="3">
        <f t="shared" si="18"/>
        <v>0</v>
      </c>
    </row>
    <row r="125" spans="1:39">
      <c r="A125" s="7">
        <v>2023</v>
      </c>
      <c r="B125" s="7" t="s">
        <v>42</v>
      </c>
      <c r="C125" s="7">
        <v>0.49765176</v>
      </c>
      <c r="D125" s="7">
        <v>0.060579</v>
      </c>
      <c r="E125" s="7">
        <v>0.019839</v>
      </c>
      <c r="F125" s="7">
        <v>0.030979</v>
      </c>
      <c r="G125" s="7">
        <v>0.016543</v>
      </c>
      <c r="H125" s="7">
        <v>0.018427</v>
      </c>
      <c r="I125" s="7">
        <v>0.058204</v>
      </c>
      <c r="J125" s="7">
        <v>0.039656</v>
      </c>
      <c r="K125" s="16">
        <v>7434</v>
      </c>
      <c r="L125" s="17">
        <v>2339</v>
      </c>
      <c r="M125" s="16">
        <v>13531.2</v>
      </c>
      <c r="N125" s="7">
        <f t="shared" si="16"/>
        <v>3.17828131680205</v>
      </c>
      <c r="O125" s="7">
        <f t="shared" si="17"/>
        <v>0.549396949272792</v>
      </c>
      <c r="P125" s="8">
        <v>166593866.5</v>
      </c>
      <c r="Q125" s="8">
        <f t="shared" si="12"/>
        <v>1.23118323947617</v>
      </c>
      <c r="R125" s="9">
        <v>2450.4</v>
      </c>
      <c r="S125" s="9">
        <v>13706.5</v>
      </c>
      <c r="T125" s="9">
        <v>16043.2</v>
      </c>
      <c r="U125" s="9">
        <v>71216</v>
      </c>
      <c r="V125" s="18">
        <v>1</v>
      </c>
      <c r="W125" s="18">
        <v>0</v>
      </c>
      <c r="X125" s="18">
        <f t="shared" si="13"/>
        <v>0</v>
      </c>
      <c r="Y125" s="12">
        <f t="shared" si="14"/>
        <v>1.2756783895882</v>
      </c>
      <c r="Z125" s="12">
        <f t="shared" si="15"/>
        <v>0.0348795985533549</v>
      </c>
      <c r="AA125" s="12"/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3">
        <f t="shared" si="19"/>
        <v>1</v>
      </c>
      <c r="AL125" s="3">
        <v>0</v>
      </c>
      <c r="AM125" s="3">
        <f t="shared" si="18"/>
        <v>0</v>
      </c>
    </row>
    <row r="126" spans="1:39">
      <c r="A126" s="7">
        <v>2024</v>
      </c>
      <c r="B126" s="7" t="s">
        <v>42</v>
      </c>
      <c r="C126" s="7">
        <v>0.60159604</v>
      </c>
      <c r="D126" s="7">
        <v>0.066185</v>
      </c>
      <c r="E126" s="7">
        <v>0.023316</v>
      </c>
      <c r="F126" s="7">
        <v>0.035038</v>
      </c>
      <c r="G126" s="7">
        <v>0.021755</v>
      </c>
      <c r="H126" s="7">
        <v>0.02452</v>
      </c>
      <c r="I126" s="7">
        <v>0.061697</v>
      </c>
      <c r="J126" s="7">
        <v>0.046363</v>
      </c>
      <c r="K126" s="16">
        <v>7840.2</v>
      </c>
      <c r="L126" s="17">
        <v>2317</v>
      </c>
      <c r="M126" s="16">
        <v>14361.2</v>
      </c>
      <c r="N126" s="7">
        <f t="shared" si="16"/>
        <v>3.38377211911955</v>
      </c>
      <c r="O126" s="7">
        <f t="shared" si="17"/>
        <v>0.545929309528452</v>
      </c>
      <c r="P126" s="8">
        <v>164525808.9</v>
      </c>
      <c r="Q126" s="8">
        <f t="shared" si="12"/>
        <v>1.14562716834248</v>
      </c>
      <c r="R126" s="9">
        <v>2605.1</v>
      </c>
      <c r="S126" s="9">
        <v>13688.5</v>
      </c>
      <c r="T126" s="9">
        <v>17908.8</v>
      </c>
      <c r="U126" s="9">
        <v>75862</v>
      </c>
      <c r="V126" s="18">
        <v>1</v>
      </c>
      <c r="W126" s="18">
        <v>0</v>
      </c>
      <c r="X126" s="18">
        <f t="shared" si="13"/>
        <v>0</v>
      </c>
      <c r="Y126" s="12">
        <f t="shared" si="14"/>
        <v>1.21200651315194</v>
      </c>
      <c r="Z126" s="12">
        <f t="shared" si="15"/>
        <v>0.0547681419935891</v>
      </c>
      <c r="AA126" s="12"/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3">
        <f t="shared" si="19"/>
        <v>1</v>
      </c>
      <c r="AL126" s="3">
        <v>0</v>
      </c>
      <c r="AM126" s="3">
        <f t="shared" si="18"/>
        <v>0</v>
      </c>
    </row>
    <row r="127" spans="1:39">
      <c r="A127" s="7">
        <v>2000</v>
      </c>
      <c r="B127" s="7" t="s">
        <v>43</v>
      </c>
      <c r="C127" s="7">
        <v>0.09768237</v>
      </c>
      <c r="D127" s="7">
        <v>0.021448</v>
      </c>
      <c r="E127" s="7">
        <v>0.005426</v>
      </c>
      <c r="F127" s="7">
        <v>0.009832</v>
      </c>
      <c r="G127" s="7">
        <v>0.003166</v>
      </c>
      <c r="H127" s="7">
        <v>0.003023</v>
      </c>
      <c r="I127" s="7">
        <v>0.021272</v>
      </c>
      <c r="J127" s="7">
        <v>0.010629</v>
      </c>
      <c r="K127" s="16">
        <v>6518</v>
      </c>
      <c r="L127" s="17">
        <v>8329</v>
      </c>
      <c r="M127" s="16">
        <v>4010.25</v>
      </c>
      <c r="N127" s="7">
        <f t="shared" si="16"/>
        <v>0.782566934806099</v>
      </c>
      <c r="O127" s="7">
        <f t="shared" si="17"/>
        <v>1.62533507886042</v>
      </c>
      <c r="P127" s="8">
        <v>107805404.1</v>
      </c>
      <c r="Q127" s="8">
        <f t="shared" si="12"/>
        <v>2.68824647091827</v>
      </c>
      <c r="R127" s="9">
        <v>442.3</v>
      </c>
      <c r="S127" s="9">
        <v>836.2</v>
      </c>
      <c r="T127" s="9">
        <v>751.6</v>
      </c>
      <c r="U127" s="9">
        <v>4814</v>
      </c>
      <c r="V127" s="18">
        <v>0</v>
      </c>
      <c r="W127" s="18">
        <v>0</v>
      </c>
      <c r="X127" s="18">
        <f t="shared" si="13"/>
        <v>0</v>
      </c>
      <c r="Y127" s="12">
        <f t="shared" si="14"/>
        <v>4.53658228674969</v>
      </c>
      <c r="Z127" s="12">
        <f t="shared" si="15"/>
        <v>0.407429139162753</v>
      </c>
      <c r="AA127" s="19">
        <v>6517.82</v>
      </c>
      <c r="AB127" s="19">
        <v>4861.98</v>
      </c>
      <c r="AC127" s="19">
        <v>447.25</v>
      </c>
      <c r="AD127" s="19">
        <v>38.89</v>
      </c>
      <c r="AE127" s="19">
        <v>143.65</v>
      </c>
      <c r="AF127" s="19">
        <v>36.04</v>
      </c>
      <c r="AG127" s="19">
        <v>161.61</v>
      </c>
      <c r="AH127" s="19">
        <v>13.32</v>
      </c>
      <c r="AI127" s="19">
        <v>58.67</v>
      </c>
      <c r="AJ127" s="19">
        <v>521.23</v>
      </c>
      <c r="AK127" s="3">
        <f t="shared" si="19"/>
        <v>0</v>
      </c>
      <c r="AL127" s="3">
        <v>0</v>
      </c>
      <c r="AM127" s="3">
        <f t="shared" si="18"/>
        <v>0</v>
      </c>
    </row>
    <row r="128" spans="1:39">
      <c r="A128" s="7">
        <v>2001</v>
      </c>
      <c r="B128" s="7" t="s">
        <v>43</v>
      </c>
      <c r="C128" s="7">
        <v>0.10627641</v>
      </c>
      <c r="D128" s="7">
        <v>0.021831</v>
      </c>
      <c r="E128" s="7">
        <v>0.005456</v>
      </c>
      <c r="F128" s="7">
        <v>0.009959</v>
      </c>
      <c r="G128" s="7">
        <v>0.003462</v>
      </c>
      <c r="H128" s="7">
        <v>0.002954</v>
      </c>
      <c r="I128" s="7">
        <v>0.023833</v>
      </c>
      <c r="J128" s="7">
        <v>0.011831</v>
      </c>
      <c r="K128" s="16">
        <v>6810</v>
      </c>
      <c r="L128" s="17">
        <v>8143</v>
      </c>
      <c r="M128" s="16">
        <v>4293.49105</v>
      </c>
      <c r="N128" s="7">
        <f t="shared" si="16"/>
        <v>0.836301117524254</v>
      </c>
      <c r="O128" s="7">
        <f t="shared" si="17"/>
        <v>1.58612185764309</v>
      </c>
      <c r="P128" s="8">
        <v>110226027.9</v>
      </c>
      <c r="Q128" s="8">
        <f t="shared" si="12"/>
        <v>2.56728211649585</v>
      </c>
      <c r="R128" s="9">
        <v>444.4</v>
      </c>
      <c r="S128" s="9">
        <v>871.4</v>
      </c>
      <c r="T128" s="9">
        <v>843.2</v>
      </c>
      <c r="U128" s="9">
        <v>5063</v>
      </c>
      <c r="V128" s="18">
        <v>0</v>
      </c>
      <c r="W128" s="18">
        <v>0</v>
      </c>
      <c r="X128" s="18">
        <f t="shared" si="13"/>
        <v>0</v>
      </c>
      <c r="Y128" s="12">
        <f t="shared" si="14"/>
        <v>4.16809156222866</v>
      </c>
      <c r="Z128" s="12">
        <f t="shared" si="15"/>
        <v>0.384062927081397</v>
      </c>
      <c r="AA128" s="19">
        <v>6810</v>
      </c>
      <c r="AB128" s="19">
        <v>4650</v>
      </c>
      <c r="AC128" s="19">
        <v>487.81</v>
      </c>
      <c r="AD128" s="19">
        <v>55.8</v>
      </c>
      <c r="AE128" s="19">
        <v>157.96</v>
      </c>
      <c r="AF128" s="19">
        <v>43.62</v>
      </c>
      <c r="AG128" s="19">
        <v>194.86</v>
      </c>
      <c r="AH128" s="19">
        <v>11.74</v>
      </c>
      <c r="AI128" s="19">
        <v>63.07</v>
      </c>
      <c r="AJ128" s="19">
        <v>586.48</v>
      </c>
      <c r="AK128" s="3">
        <f t="shared" si="19"/>
        <v>0</v>
      </c>
      <c r="AL128" s="3">
        <v>0</v>
      </c>
      <c r="AM128" s="3">
        <f t="shared" si="18"/>
        <v>0</v>
      </c>
    </row>
    <row r="129" spans="1:39">
      <c r="A129" s="7">
        <v>2002</v>
      </c>
      <c r="B129" s="7" t="s">
        <v>43</v>
      </c>
      <c r="C129" s="7">
        <v>0.09491713</v>
      </c>
      <c r="D129" s="7">
        <v>0.021104</v>
      </c>
      <c r="E129" s="7">
        <v>0.005178</v>
      </c>
      <c r="F129" s="7">
        <v>0.009468</v>
      </c>
      <c r="G129" s="7">
        <v>0.003</v>
      </c>
      <c r="H129" s="7">
        <v>0.003458</v>
      </c>
      <c r="I129" s="7">
        <v>0.021414</v>
      </c>
      <c r="J129" s="7">
        <v>0.009581</v>
      </c>
      <c r="K129" s="16">
        <v>7510</v>
      </c>
      <c r="L129" s="17">
        <v>8110</v>
      </c>
      <c r="M129" s="16">
        <v>4725.0134</v>
      </c>
      <c r="N129" s="7">
        <f t="shared" si="16"/>
        <v>0.926017262638718</v>
      </c>
      <c r="O129" s="7">
        <f t="shared" si="17"/>
        <v>1.58941348187499</v>
      </c>
      <c r="P129" s="8">
        <v>115063670.3</v>
      </c>
      <c r="Q129" s="8">
        <f t="shared" si="12"/>
        <v>2.43520304725485</v>
      </c>
      <c r="R129" s="9">
        <v>463.4</v>
      </c>
      <c r="S129" s="9">
        <v>942.1</v>
      </c>
      <c r="T129" s="9">
        <v>953.2</v>
      </c>
      <c r="U129" s="9">
        <v>5472</v>
      </c>
      <c r="V129" s="18">
        <v>0</v>
      </c>
      <c r="W129" s="18">
        <v>0</v>
      </c>
      <c r="X129" s="18">
        <f t="shared" si="13"/>
        <v>0</v>
      </c>
      <c r="Y129" s="12">
        <f t="shared" si="14"/>
        <v>4.06804884448575</v>
      </c>
      <c r="Z129" s="12">
        <f t="shared" si="15"/>
        <v>0.401383036352729</v>
      </c>
      <c r="AA129" s="19">
        <v>7510</v>
      </c>
      <c r="AB129" s="19">
        <v>5462</v>
      </c>
      <c r="AC129" s="19">
        <v>541.2</v>
      </c>
      <c r="AD129" s="19">
        <v>57.78</v>
      </c>
      <c r="AE129" s="19">
        <v>171.47</v>
      </c>
      <c r="AF129" s="19">
        <v>56.13</v>
      </c>
      <c r="AG129" s="19">
        <v>196.43</v>
      </c>
      <c r="AH129" s="19">
        <v>12.42</v>
      </c>
      <c r="AI129" s="19">
        <v>69.96</v>
      </c>
      <c r="AJ129" s="19">
        <v>670.76</v>
      </c>
      <c r="AK129" s="3">
        <f t="shared" si="19"/>
        <v>0</v>
      </c>
      <c r="AL129" s="3">
        <v>0</v>
      </c>
      <c r="AM129" s="3">
        <f t="shared" si="18"/>
        <v>0</v>
      </c>
    </row>
    <row r="130" spans="1:39">
      <c r="A130" s="7">
        <v>2003</v>
      </c>
      <c r="B130" s="7" t="s">
        <v>43</v>
      </c>
      <c r="C130" s="7">
        <v>0.11738155</v>
      </c>
      <c r="D130" s="7">
        <v>0.023822</v>
      </c>
      <c r="E130" s="7">
        <v>0.005907</v>
      </c>
      <c r="F130" s="7">
        <v>0.010719</v>
      </c>
      <c r="G130" s="7">
        <v>0.0035</v>
      </c>
      <c r="H130" s="7">
        <v>0.003696</v>
      </c>
      <c r="I130" s="7">
        <v>0.023393</v>
      </c>
      <c r="J130" s="7">
        <v>0.012914</v>
      </c>
      <c r="K130" s="16">
        <v>9204</v>
      </c>
      <c r="L130" s="17">
        <v>8176</v>
      </c>
      <c r="M130" s="16">
        <v>5333.09</v>
      </c>
      <c r="N130" s="7">
        <f t="shared" si="16"/>
        <v>1.12573385518591</v>
      </c>
      <c r="O130" s="7">
        <f t="shared" si="17"/>
        <v>1.72582874093631</v>
      </c>
      <c r="P130" s="8">
        <v>125726453.2</v>
      </c>
      <c r="Q130" s="8">
        <f t="shared" si="12"/>
        <v>2.35747855745918</v>
      </c>
      <c r="R130" s="9">
        <v>494.6</v>
      </c>
      <c r="S130" s="9">
        <v>1059.8</v>
      </c>
      <c r="T130" s="9">
        <v>1079</v>
      </c>
      <c r="U130" s="9">
        <v>6048</v>
      </c>
      <c r="V130" s="18">
        <v>0</v>
      </c>
      <c r="W130" s="18">
        <v>0</v>
      </c>
      <c r="X130" s="18">
        <f t="shared" si="13"/>
        <v>0</v>
      </c>
      <c r="Y130" s="12">
        <f t="shared" si="14"/>
        <v>4.08414499624993</v>
      </c>
      <c r="Z130" s="12">
        <f t="shared" si="15"/>
        <v>0.422773050510249</v>
      </c>
      <c r="AA130" s="19">
        <v>9203.51</v>
      </c>
      <c r="AB130" s="19">
        <v>7254.1</v>
      </c>
      <c r="AC130" s="19">
        <v>625.58</v>
      </c>
      <c r="AD130" s="19">
        <v>75.67</v>
      </c>
      <c r="AE130" s="19">
        <v>181.66</v>
      </c>
      <c r="AF130" s="19">
        <v>72.14</v>
      </c>
      <c r="AG130" s="19">
        <v>226.98</v>
      </c>
      <c r="AH130" s="19">
        <v>11.13</v>
      </c>
      <c r="AI130" s="19">
        <v>74.68</v>
      </c>
      <c r="AJ130" s="19">
        <v>758.79</v>
      </c>
      <c r="AK130" s="3">
        <f t="shared" si="19"/>
        <v>0</v>
      </c>
      <c r="AL130" s="3">
        <v>0</v>
      </c>
      <c r="AM130" s="3">
        <f t="shared" si="18"/>
        <v>0</v>
      </c>
    </row>
    <row r="131" spans="1:39">
      <c r="A131" s="7">
        <v>2004</v>
      </c>
      <c r="B131" s="7" t="s">
        <v>43</v>
      </c>
      <c r="C131" s="7">
        <v>0.13181763</v>
      </c>
      <c r="D131" s="7">
        <v>0.027279</v>
      </c>
      <c r="E131" s="7">
        <v>0.006335</v>
      </c>
      <c r="F131" s="7">
        <v>0.012168</v>
      </c>
      <c r="G131" s="7">
        <v>0.003991</v>
      </c>
      <c r="H131" s="7">
        <v>0.004785</v>
      </c>
      <c r="I131" s="7">
        <v>0.023988</v>
      </c>
      <c r="J131" s="7">
        <v>0.012073</v>
      </c>
      <c r="K131" s="16">
        <v>10700</v>
      </c>
      <c r="L131" s="17">
        <v>8090</v>
      </c>
      <c r="M131" s="16">
        <v>6379.63</v>
      </c>
      <c r="N131" s="7">
        <f t="shared" si="16"/>
        <v>1.32262051915946</v>
      </c>
      <c r="O131" s="7">
        <f t="shared" si="17"/>
        <v>1.67721325531418</v>
      </c>
      <c r="P131" s="8">
        <v>143578127.7</v>
      </c>
      <c r="Q131" s="8">
        <f t="shared" ref="Q131:Q194" si="20">P131/10000/M131</f>
        <v>2.25057139207133</v>
      </c>
      <c r="R131" s="9">
        <v>607.8</v>
      </c>
      <c r="S131" s="9">
        <v>1267.8</v>
      </c>
      <c r="T131" s="9">
        <v>1260.8</v>
      </c>
      <c r="U131" s="9">
        <v>7136</v>
      </c>
      <c r="V131" s="18">
        <v>0</v>
      </c>
      <c r="W131" s="18">
        <v>0</v>
      </c>
      <c r="X131" s="18">
        <f t="shared" ref="X131:X194" si="21">V131*W131</f>
        <v>0</v>
      </c>
      <c r="Y131" s="12">
        <f t="shared" ref="Y131:Y194" si="22">AVERAGEIF($A:$A,$A131,$Q:$Q)</f>
        <v>3.89549779892895</v>
      </c>
      <c r="Z131" s="12">
        <f t="shared" ref="Z131:Z194" si="23">MAX(0,1-Q131/Y131)</f>
        <v>0.422263467151716</v>
      </c>
      <c r="AA131" s="19">
        <v>10699.98</v>
      </c>
      <c r="AB131" s="19">
        <v>8188.68</v>
      </c>
      <c r="AC131" s="19">
        <v>813.32</v>
      </c>
      <c r="AD131" s="19">
        <v>114.99</v>
      </c>
      <c r="AE131" s="19">
        <v>204.02</v>
      </c>
      <c r="AF131" s="19">
        <v>78.99</v>
      </c>
      <c r="AG131" s="19">
        <v>269.71</v>
      </c>
      <c r="AH131" s="19">
        <v>8.11</v>
      </c>
      <c r="AI131" s="19">
        <v>80.64</v>
      </c>
      <c r="AJ131" s="19">
        <v>857.02</v>
      </c>
      <c r="AK131" s="3">
        <f t="shared" si="19"/>
        <v>0</v>
      </c>
      <c r="AL131" s="3">
        <v>0</v>
      </c>
      <c r="AM131" s="3">
        <f t="shared" si="18"/>
        <v>0</v>
      </c>
    </row>
    <row r="132" spans="1:39">
      <c r="A132" s="7">
        <v>2005</v>
      </c>
      <c r="B132" s="7" t="s">
        <v>43</v>
      </c>
      <c r="C132" s="7">
        <v>0.1440872</v>
      </c>
      <c r="D132" s="7">
        <v>0.027249</v>
      </c>
      <c r="E132" s="7">
        <v>0.007073</v>
      </c>
      <c r="F132" s="7">
        <v>0.012232</v>
      </c>
      <c r="G132" s="7">
        <v>0.004111</v>
      </c>
      <c r="H132" s="7">
        <v>0.003834</v>
      </c>
      <c r="I132" s="7">
        <v>0.02902</v>
      </c>
      <c r="J132" s="7">
        <v>0.014733</v>
      </c>
      <c r="K132" s="16">
        <v>11816</v>
      </c>
      <c r="L132" s="17">
        <v>8212</v>
      </c>
      <c r="M132" s="16">
        <v>7385.1</v>
      </c>
      <c r="N132" s="7">
        <f t="shared" si="16"/>
        <v>1.43886994641987</v>
      </c>
      <c r="O132" s="7">
        <f t="shared" si="17"/>
        <v>1.59997833475511</v>
      </c>
      <c r="P132" s="8">
        <v>166915623.6</v>
      </c>
      <c r="Q132" s="8">
        <f t="shared" si="20"/>
        <v>2.26016741276354</v>
      </c>
      <c r="R132" s="9">
        <v>646.3</v>
      </c>
      <c r="S132" s="9">
        <v>1387.3</v>
      </c>
      <c r="T132" s="9">
        <v>1464.1</v>
      </c>
      <c r="U132" s="9">
        <v>7890</v>
      </c>
      <c r="V132" s="18">
        <v>0</v>
      </c>
      <c r="W132" s="18">
        <v>0</v>
      </c>
      <c r="X132" s="18">
        <f t="shared" si="21"/>
        <v>0</v>
      </c>
      <c r="Y132" s="12">
        <f t="shared" si="22"/>
        <v>3.71995059106252</v>
      </c>
      <c r="Z132" s="12">
        <f t="shared" si="23"/>
        <v>0.392420044988293</v>
      </c>
      <c r="AA132" s="19">
        <v>11301.1</v>
      </c>
      <c r="AB132" s="19">
        <v>7791.93</v>
      </c>
      <c r="AC132" s="19">
        <v>894.54</v>
      </c>
      <c r="AD132" s="19">
        <v>140.81</v>
      </c>
      <c r="AE132" s="19">
        <v>224.44</v>
      </c>
      <c r="AF132" s="19">
        <v>93.56</v>
      </c>
      <c r="AG132" s="19">
        <v>287.43</v>
      </c>
      <c r="AH132" s="19">
        <v>8.08</v>
      </c>
      <c r="AI132" s="19">
        <v>89.52</v>
      </c>
      <c r="AJ132" s="19">
        <v>942.59</v>
      </c>
      <c r="AK132" s="3">
        <f t="shared" si="19"/>
        <v>0</v>
      </c>
      <c r="AL132" s="3">
        <v>0</v>
      </c>
      <c r="AM132" s="3">
        <f t="shared" si="18"/>
        <v>0</v>
      </c>
    </row>
    <row r="133" spans="1:39">
      <c r="A133" s="7">
        <v>2006</v>
      </c>
      <c r="B133" s="7" t="s">
        <v>43</v>
      </c>
      <c r="C133" s="7">
        <v>0.14368185</v>
      </c>
      <c r="D133" s="7">
        <v>0.025719</v>
      </c>
      <c r="E133" s="7">
        <v>0.006444</v>
      </c>
      <c r="F133" s="7">
        <v>0.011506</v>
      </c>
      <c r="G133" s="7">
        <v>0.003985</v>
      </c>
      <c r="H133" s="7">
        <v>0.003785</v>
      </c>
      <c r="I133" s="7">
        <v>0.030091</v>
      </c>
      <c r="J133" s="7">
        <v>0.016249</v>
      </c>
      <c r="K133" s="16">
        <v>12986</v>
      </c>
      <c r="L133" s="17">
        <v>8169</v>
      </c>
      <c r="M133" s="16">
        <v>8690.24</v>
      </c>
      <c r="N133" s="7">
        <f t="shared" si="16"/>
        <v>1.58966825804872</v>
      </c>
      <c r="O133" s="7">
        <f t="shared" si="17"/>
        <v>1.49432006480834</v>
      </c>
      <c r="P133" s="8">
        <v>186491284.9</v>
      </c>
      <c r="Q133" s="8">
        <f t="shared" si="20"/>
        <v>2.14598543768642</v>
      </c>
      <c r="R133" s="9">
        <v>704.5</v>
      </c>
      <c r="S133" s="9">
        <v>1674.2</v>
      </c>
      <c r="T133" s="9">
        <v>1712</v>
      </c>
      <c r="U133" s="9">
        <v>9158</v>
      </c>
      <c r="V133" s="18">
        <v>0</v>
      </c>
      <c r="W133" s="18">
        <v>0</v>
      </c>
      <c r="X133" s="18">
        <f t="shared" si="21"/>
        <v>0</v>
      </c>
      <c r="Y133" s="12">
        <f t="shared" si="22"/>
        <v>3.57740717995078</v>
      </c>
      <c r="Z133" s="12">
        <f t="shared" si="23"/>
        <v>0.400128268955969</v>
      </c>
      <c r="AA133" s="19">
        <v>12538.5</v>
      </c>
      <c r="AB133" s="19">
        <v>8532.71</v>
      </c>
      <c r="AC133" s="19">
        <v>1003.67</v>
      </c>
      <c r="AD133" s="19">
        <v>174.94</v>
      </c>
      <c r="AE133" s="19">
        <v>269.32</v>
      </c>
      <c r="AF133" s="19">
        <v>105.83</v>
      </c>
      <c r="AG133" s="19">
        <v>354.61</v>
      </c>
      <c r="AH133" s="19">
        <v>9.5</v>
      </c>
      <c r="AI133" s="19">
        <v>106.08</v>
      </c>
      <c r="AJ133" s="19">
        <v>1059.44</v>
      </c>
      <c r="AK133" s="3">
        <f t="shared" si="19"/>
        <v>0</v>
      </c>
      <c r="AL133" s="3">
        <v>0</v>
      </c>
      <c r="AM133" s="3">
        <f t="shared" si="18"/>
        <v>0</v>
      </c>
    </row>
    <row r="134" spans="1:39">
      <c r="A134" s="7">
        <v>2007</v>
      </c>
      <c r="B134" s="7" t="s">
        <v>43</v>
      </c>
      <c r="C134" s="7">
        <v>0.14122628</v>
      </c>
      <c r="D134" s="7">
        <v>0.027423</v>
      </c>
      <c r="E134" s="7">
        <v>0.006492</v>
      </c>
      <c r="F134" s="7">
        <v>0.012314</v>
      </c>
      <c r="G134" s="7">
        <v>0.004172</v>
      </c>
      <c r="H134" s="7">
        <v>0.004444</v>
      </c>
      <c r="I134" s="7">
        <v>0.027713</v>
      </c>
      <c r="J134" s="7">
        <v>0.013608</v>
      </c>
      <c r="K134" s="16">
        <v>14214</v>
      </c>
      <c r="L134" s="17">
        <v>8127</v>
      </c>
      <c r="M134" s="16">
        <v>10562.39</v>
      </c>
      <c r="N134" s="7">
        <f t="shared" si="16"/>
        <v>1.74898486526394</v>
      </c>
      <c r="O134" s="7">
        <f t="shared" si="17"/>
        <v>1.34571815659145</v>
      </c>
      <c r="P134" s="8">
        <v>208402071.8</v>
      </c>
      <c r="Q134" s="8">
        <f t="shared" si="20"/>
        <v>1.97305791397591</v>
      </c>
      <c r="R134" s="9">
        <v>849.6</v>
      </c>
      <c r="S134" s="9">
        <v>2057.4</v>
      </c>
      <c r="T134" s="9">
        <v>2170.4</v>
      </c>
      <c r="U134" s="9">
        <v>11287</v>
      </c>
      <c r="V134" s="18">
        <v>0</v>
      </c>
      <c r="W134" s="18">
        <v>0</v>
      </c>
      <c r="X134" s="18">
        <f t="shared" si="21"/>
        <v>0</v>
      </c>
      <c r="Y134" s="12">
        <f t="shared" si="22"/>
        <v>3.23986794305777</v>
      </c>
      <c r="Z134" s="12">
        <f t="shared" si="23"/>
        <v>0.391006686490515</v>
      </c>
      <c r="AA134" s="19">
        <v>13685.19</v>
      </c>
      <c r="AB134" s="19">
        <v>9450.11</v>
      </c>
      <c r="AC134" s="19">
        <v>1144.05</v>
      </c>
      <c r="AD134" s="19">
        <v>239.95</v>
      </c>
      <c r="AE134" s="19">
        <v>330.44</v>
      </c>
      <c r="AF134" s="19">
        <v>128.62</v>
      </c>
      <c r="AG134" s="19">
        <v>394.23</v>
      </c>
      <c r="AH134" s="19">
        <v>7.17</v>
      </c>
      <c r="AI134" s="19">
        <v>112.15</v>
      </c>
      <c r="AJ134" s="19">
        <v>1177.5</v>
      </c>
      <c r="AK134" s="3">
        <f t="shared" si="19"/>
        <v>0</v>
      </c>
      <c r="AL134" s="3">
        <v>0</v>
      </c>
      <c r="AM134" s="3">
        <f t="shared" si="18"/>
        <v>0</v>
      </c>
    </row>
    <row r="135" spans="1:39">
      <c r="A135" s="7">
        <v>2008</v>
      </c>
      <c r="B135" s="7" t="s">
        <v>43</v>
      </c>
      <c r="C135" s="7">
        <v>0.13927213</v>
      </c>
      <c r="D135" s="7">
        <v>0.026864</v>
      </c>
      <c r="E135" s="7">
        <v>0.00684</v>
      </c>
      <c r="F135" s="7">
        <v>0.012241</v>
      </c>
      <c r="G135" s="7">
        <v>0.004164</v>
      </c>
      <c r="H135" s="7">
        <v>0.00362</v>
      </c>
      <c r="I135" s="7">
        <v>0.029041</v>
      </c>
      <c r="J135" s="7">
        <v>0.013616</v>
      </c>
      <c r="K135" s="16">
        <v>15145</v>
      </c>
      <c r="L135" s="17">
        <v>8138</v>
      </c>
      <c r="M135" s="16">
        <v>12601.23</v>
      </c>
      <c r="N135" s="7">
        <f t="shared" si="16"/>
        <v>1.86102236421725</v>
      </c>
      <c r="O135" s="7">
        <f t="shared" si="17"/>
        <v>1.20186680189156</v>
      </c>
      <c r="P135" s="8">
        <v>209387634.1</v>
      </c>
      <c r="Q135" s="8">
        <f t="shared" si="20"/>
        <v>1.66164441169632</v>
      </c>
      <c r="R135" s="9">
        <v>1001.9</v>
      </c>
      <c r="S135" s="9">
        <v>2476.1</v>
      </c>
      <c r="T135" s="9">
        <v>2538.6</v>
      </c>
      <c r="U135" s="9">
        <v>13286</v>
      </c>
      <c r="V135" s="18">
        <v>0</v>
      </c>
      <c r="W135" s="18">
        <v>0</v>
      </c>
      <c r="X135" s="18">
        <f t="shared" si="21"/>
        <v>0</v>
      </c>
      <c r="Y135" s="12">
        <f t="shared" si="22"/>
        <v>2.71728515287532</v>
      </c>
      <c r="Z135" s="12">
        <f t="shared" si="23"/>
        <v>0.388490968664795</v>
      </c>
      <c r="AA135" s="19">
        <v>15145</v>
      </c>
      <c r="AB135" s="19">
        <v>10727</v>
      </c>
      <c r="AC135" s="19">
        <v>1119.1</v>
      </c>
      <c r="AD135" s="19">
        <v>285.49</v>
      </c>
      <c r="AE135" s="19">
        <v>375.92</v>
      </c>
      <c r="AF135" s="19">
        <v>126.61</v>
      </c>
      <c r="AG135" s="19">
        <v>473.94</v>
      </c>
      <c r="AH135" s="19">
        <v>12.6</v>
      </c>
      <c r="AI135" s="19">
        <v>108.94</v>
      </c>
      <c r="AJ135" s="19">
        <v>1213.29</v>
      </c>
      <c r="AK135" s="3">
        <f t="shared" si="19"/>
        <v>0</v>
      </c>
      <c r="AL135" s="3">
        <v>0</v>
      </c>
      <c r="AM135" s="3">
        <f t="shared" si="18"/>
        <v>0</v>
      </c>
    </row>
    <row r="136" spans="1:39">
      <c r="A136" s="7">
        <v>2009</v>
      </c>
      <c r="B136" s="7" t="s">
        <v>43</v>
      </c>
      <c r="C136" s="7">
        <v>0.15821499</v>
      </c>
      <c r="D136" s="7">
        <v>0.030341</v>
      </c>
      <c r="E136" s="7">
        <v>0.00782</v>
      </c>
      <c r="F136" s="7">
        <v>0.013997</v>
      </c>
      <c r="G136" s="7">
        <v>0.004394</v>
      </c>
      <c r="H136" s="7">
        <v>0.00413</v>
      </c>
      <c r="I136" s="7">
        <v>0.030734</v>
      </c>
      <c r="J136" s="7">
        <v>0.014646</v>
      </c>
      <c r="K136" s="16">
        <v>16322</v>
      </c>
      <c r="L136" s="17">
        <v>8185</v>
      </c>
      <c r="M136" s="16">
        <v>14151.28</v>
      </c>
      <c r="N136" s="7">
        <f t="shared" si="16"/>
        <v>1.99413561392792</v>
      </c>
      <c r="O136" s="7">
        <f t="shared" si="17"/>
        <v>1.15339389793715</v>
      </c>
      <c r="P136" s="8">
        <v>215846443.7</v>
      </c>
      <c r="Q136" s="8">
        <f t="shared" si="20"/>
        <v>1.52527858752</v>
      </c>
      <c r="R136" s="9">
        <v>1049.7</v>
      </c>
      <c r="S136" s="9">
        <v>2605.4</v>
      </c>
      <c r="T136" s="9">
        <v>2919.3</v>
      </c>
      <c r="U136" s="9">
        <v>14427</v>
      </c>
      <c r="V136" s="18">
        <v>0</v>
      </c>
      <c r="W136" s="18">
        <v>0</v>
      </c>
      <c r="X136" s="18">
        <f t="shared" si="21"/>
        <v>0</v>
      </c>
      <c r="Y136" s="12">
        <f t="shared" si="22"/>
        <v>2.66960201713366</v>
      </c>
      <c r="Z136" s="12">
        <f t="shared" si="23"/>
        <v>0.428649447471692</v>
      </c>
      <c r="AA136" s="19">
        <v>16322</v>
      </c>
      <c r="AB136" s="19">
        <v>12147</v>
      </c>
      <c r="AC136" s="19">
        <v>1121.99</v>
      </c>
      <c r="AD136" s="19">
        <v>315.68</v>
      </c>
      <c r="AE136" s="19">
        <v>462.92</v>
      </c>
      <c r="AF136" s="19">
        <v>155.07</v>
      </c>
      <c r="AG136" s="19">
        <v>538.46</v>
      </c>
      <c r="AH136" s="19">
        <v>13.34</v>
      </c>
      <c r="AI136" s="19">
        <v>126.99</v>
      </c>
      <c r="AJ136" s="19">
        <v>1361.87</v>
      </c>
      <c r="AK136" s="3">
        <f t="shared" si="19"/>
        <v>0</v>
      </c>
      <c r="AL136" s="3">
        <v>0</v>
      </c>
      <c r="AM136" s="3">
        <f t="shared" si="18"/>
        <v>0</v>
      </c>
    </row>
    <row r="137" spans="1:39">
      <c r="A137" s="7">
        <v>2010</v>
      </c>
      <c r="B137" s="7" t="s">
        <v>43</v>
      </c>
      <c r="C137" s="7">
        <v>0.16333483</v>
      </c>
      <c r="D137" s="7">
        <v>0.029283</v>
      </c>
      <c r="E137" s="7">
        <v>0.007384</v>
      </c>
      <c r="F137" s="7">
        <v>0.012815</v>
      </c>
      <c r="G137" s="7">
        <v>0.004218</v>
      </c>
      <c r="H137" s="7">
        <v>0.004866</v>
      </c>
      <c r="I137" s="7">
        <v>0.032567</v>
      </c>
      <c r="J137" s="7">
        <v>0.016252</v>
      </c>
      <c r="K137" s="16">
        <v>17892</v>
      </c>
      <c r="L137" s="17">
        <v>8044.92</v>
      </c>
      <c r="M137" s="16">
        <v>17185.48</v>
      </c>
      <c r="N137" s="7">
        <f t="shared" si="16"/>
        <v>2.22401217165615</v>
      </c>
      <c r="O137" s="7">
        <f t="shared" si="17"/>
        <v>1.0411114498984</v>
      </c>
      <c r="P137" s="8">
        <v>226354139.9</v>
      </c>
      <c r="Q137" s="8">
        <f t="shared" si="20"/>
        <v>1.3171243392678</v>
      </c>
      <c r="R137" s="9">
        <v>1090.3</v>
      </c>
      <c r="S137" s="9">
        <v>3267.7</v>
      </c>
      <c r="T137" s="9">
        <v>3377.3</v>
      </c>
      <c r="U137" s="9">
        <v>16866</v>
      </c>
      <c r="V137" s="18">
        <v>0</v>
      </c>
      <c r="W137" s="18">
        <v>0</v>
      </c>
      <c r="X137" s="18">
        <f t="shared" si="21"/>
        <v>0</v>
      </c>
      <c r="Y137" s="12">
        <f t="shared" si="22"/>
        <v>2.40850270516871</v>
      </c>
      <c r="Z137" s="12">
        <f t="shared" si="23"/>
        <v>0.45313561971875</v>
      </c>
      <c r="AA137" s="19">
        <v>17891.83</v>
      </c>
      <c r="AB137" s="19">
        <v>11520.4</v>
      </c>
      <c r="AC137" s="19">
        <v>1353.64</v>
      </c>
      <c r="AD137" s="19">
        <v>351.76</v>
      </c>
      <c r="AE137" s="19">
        <v>541.82</v>
      </c>
      <c r="AF137" s="19">
        <v>173.31</v>
      </c>
      <c r="AG137" s="19">
        <v>525.1</v>
      </c>
      <c r="AH137" s="19">
        <v>62.82</v>
      </c>
      <c r="AI137" s="19">
        <v>175.26</v>
      </c>
      <c r="AJ137" s="19">
        <v>1549.03</v>
      </c>
      <c r="AK137" s="3">
        <f t="shared" si="19"/>
        <v>0</v>
      </c>
      <c r="AL137" s="3">
        <v>0</v>
      </c>
      <c r="AM137" s="3">
        <f t="shared" si="18"/>
        <v>0</v>
      </c>
    </row>
    <row r="138" spans="1:39">
      <c r="A138" s="7">
        <v>2011</v>
      </c>
      <c r="B138" s="7" t="s">
        <v>43</v>
      </c>
      <c r="C138" s="7">
        <v>0.1776285</v>
      </c>
      <c r="D138" s="7">
        <v>0.034703</v>
      </c>
      <c r="E138" s="7">
        <v>0.008487</v>
      </c>
      <c r="F138" s="7">
        <v>0.015681</v>
      </c>
      <c r="G138" s="7">
        <v>0.00498</v>
      </c>
      <c r="H138" s="7">
        <v>0.005555</v>
      </c>
      <c r="I138" s="7">
        <v>0.030308</v>
      </c>
      <c r="J138" s="7">
        <v>0.014649</v>
      </c>
      <c r="K138" s="16">
        <v>19696</v>
      </c>
      <c r="L138" s="17">
        <v>8064</v>
      </c>
      <c r="M138" s="16">
        <v>21026.68</v>
      </c>
      <c r="N138" s="7">
        <f t="shared" si="16"/>
        <v>2.44246031746032</v>
      </c>
      <c r="O138" s="7">
        <f t="shared" si="17"/>
        <v>0.936714688196139</v>
      </c>
      <c r="P138" s="8">
        <v>254049391.1</v>
      </c>
      <c r="Q138" s="8">
        <f t="shared" si="20"/>
        <v>1.20822398543184</v>
      </c>
      <c r="R138" s="9">
        <v>1396.6</v>
      </c>
      <c r="S138" s="9">
        <v>3811.4</v>
      </c>
      <c r="T138" s="9">
        <v>4315.1</v>
      </c>
      <c r="U138" s="9">
        <v>20653</v>
      </c>
      <c r="V138" s="18">
        <v>0</v>
      </c>
      <c r="W138" s="18">
        <v>0</v>
      </c>
      <c r="X138" s="18">
        <f t="shared" si="21"/>
        <v>0</v>
      </c>
      <c r="Y138" s="12">
        <f t="shared" si="22"/>
        <v>2.18035126729488</v>
      </c>
      <c r="Z138" s="12">
        <f t="shared" si="23"/>
        <v>0.445858103895864</v>
      </c>
      <c r="AA138" s="19">
        <v>19696</v>
      </c>
      <c r="AB138" s="19">
        <v>11454</v>
      </c>
      <c r="AC138" s="19">
        <v>1438.85</v>
      </c>
      <c r="AD138" s="19">
        <v>361.75</v>
      </c>
      <c r="AE138" s="19">
        <v>642.08</v>
      </c>
      <c r="AF138" s="19">
        <v>206.24</v>
      </c>
      <c r="AG138" s="19">
        <v>576.52</v>
      </c>
      <c r="AH138" s="19">
        <v>70.45</v>
      </c>
      <c r="AI138" s="19">
        <v>156.08</v>
      </c>
      <c r="AJ138" s="19">
        <v>1963</v>
      </c>
      <c r="AK138" s="3">
        <f t="shared" si="19"/>
        <v>0</v>
      </c>
      <c r="AL138" s="3">
        <v>0</v>
      </c>
      <c r="AM138" s="3">
        <f t="shared" si="18"/>
        <v>0</v>
      </c>
    </row>
    <row r="139" spans="1:39">
      <c r="A139" s="7">
        <v>2012</v>
      </c>
      <c r="B139" s="7" t="s">
        <v>43</v>
      </c>
      <c r="C139" s="7">
        <v>0.17528388</v>
      </c>
      <c r="D139" s="7">
        <v>0.033854</v>
      </c>
      <c r="E139" s="7">
        <v>0.008295</v>
      </c>
      <c r="F139" s="7">
        <v>0.015255</v>
      </c>
      <c r="G139" s="7">
        <v>0.005199</v>
      </c>
      <c r="H139" s="7">
        <v>0.005106</v>
      </c>
      <c r="I139" s="7">
        <v>0.03111</v>
      </c>
      <c r="J139" s="7">
        <v>0.014691</v>
      </c>
      <c r="K139" s="16">
        <v>20575</v>
      </c>
      <c r="L139" s="17">
        <v>8085</v>
      </c>
      <c r="M139" s="16">
        <v>23872.8</v>
      </c>
      <c r="N139" s="7">
        <f t="shared" si="16"/>
        <v>2.54483611626469</v>
      </c>
      <c r="O139" s="7">
        <f t="shared" si="17"/>
        <v>0.861859522133977</v>
      </c>
      <c r="P139" s="8">
        <v>258826777.5</v>
      </c>
      <c r="Q139" s="8">
        <f t="shared" si="20"/>
        <v>1.08419111918166</v>
      </c>
      <c r="R139" s="9">
        <v>1640.4</v>
      </c>
      <c r="S139" s="9">
        <v>4458.4</v>
      </c>
      <c r="T139" s="9">
        <v>4998.6</v>
      </c>
      <c r="U139" s="9">
        <v>23992</v>
      </c>
      <c r="V139" s="18">
        <v>0</v>
      </c>
      <c r="W139" s="18">
        <v>0</v>
      </c>
      <c r="X139" s="18">
        <f t="shared" si="21"/>
        <v>0</v>
      </c>
      <c r="Y139" s="12">
        <f t="shared" si="22"/>
        <v>2.01609935715007</v>
      </c>
      <c r="Z139" s="12">
        <f t="shared" si="23"/>
        <v>0.462233289576435</v>
      </c>
      <c r="AA139" s="19">
        <v>20575</v>
      </c>
      <c r="AB139" s="19">
        <v>11872</v>
      </c>
      <c r="AC139" s="19">
        <v>1562.85</v>
      </c>
      <c r="AD139" s="19">
        <v>351.47</v>
      </c>
      <c r="AE139" s="19">
        <v>700</v>
      </c>
      <c r="AF139" s="19">
        <v>205.44</v>
      </c>
      <c r="AG139" s="19">
        <v>643.4</v>
      </c>
      <c r="AH139" s="19">
        <v>75.21</v>
      </c>
      <c r="AI139" s="19">
        <v>153</v>
      </c>
      <c r="AJ139" s="19">
        <v>2009.6</v>
      </c>
      <c r="AK139" s="3">
        <f t="shared" si="19"/>
        <v>0</v>
      </c>
      <c r="AL139" s="3">
        <v>0</v>
      </c>
      <c r="AM139" s="3">
        <f t="shared" si="18"/>
        <v>0</v>
      </c>
    </row>
    <row r="140" spans="1:39">
      <c r="A140" s="7">
        <v>2013</v>
      </c>
      <c r="B140" s="7" t="s">
        <v>43</v>
      </c>
      <c r="C140" s="7">
        <v>0.17749134</v>
      </c>
      <c r="D140" s="7">
        <v>0.032792</v>
      </c>
      <c r="E140" s="7">
        <v>0.008212</v>
      </c>
      <c r="F140" s="7">
        <v>0.014507</v>
      </c>
      <c r="G140" s="7">
        <v>0.005129</v>
      </c>
      <c r="H140" s="7">
        <v>0.004944</v>
      </c>
      <c r="I140" s="7">
        <v>0.034179</v>
      </c>
      <c r="J140" s="7">
        <v>0.015314</v>
      </c>
      <c r="K140" s="16">
        <v>19212</v>
      </c>
      <c r="L140" s="17">
        <v>8109</v>
      </c>
      <c r="M140" s="16">
        <v>26392.07</v>
      </c>
      <c r="N140" s="7">
        <f t="shared" si="16"/>
        <v>2.36921938586755</v>
      </c>
      <c r="O140" s="7">
        <f t="shared" si="17"/>
        <v>0.727945932244041</v>
      </c>
      <c r="P140" s="8">
        <v>265764633.2</v>
      </c>
      <c r="Q140" s="8">
        <f t="shared" si="20"/>
        <v>1.00698669410925</v>
      </c>
      <c r="R140" s="9">
        <v>1878.5</v>
      </c>
      <c r="S140" s="9">
        <v>5000.5</v>
      </c>
      <c r="T140" s="9">
        <v>5946.5</v>
      </c>
      <c r="U140" s="9">
        <v>27665</v>
      </c>
      <c r="V140" s="18">
        <v>0</v>
      </c>
      <c r="W140" s="18">
        <v>0</v>
      </c>
      <c r="X140" s="18">
        <f t="shared" si="21"/>
        <v>0</v>
      </c>
      <c r="Y140" s="12">
        <f t="shared" si="22"/>
        <v>1.91398219724656</v>
      </c>
      <c r="Z140" s="12">
        <f t="shared" si="23"/>
        <v>0.473878756261216</v>
      </c>
      <c r="AA140" s="19">
        <v>19212</v>
      </c>
      <c r="AB140" s="19">
        <v>11678.55</v>
      </c>
      <c r="AC140" s="19">
        <v>1760.13</v>
      </c>
      <c r="AD140" s="19">
        <v>306.49</v>
      </c>
      <c r="AE140" s="19">
        <v>818.47</v>
      </c>
      <c r="AF140" s="19">
        <v>239.76</v>
      </c>
      <c r="AG140" s="19">
        <v>754.04</v>
      </c>
      <c r="AH140" s="19">
        <v>87.9</v>
      </c>
      <c r="AI140" s="19">
        <v>148.3</v>
      </c>
      <c r="AJ140" s="19">
        <v>1948.95</v>
      </c>
      <c r="AK140" s="3">
        <f t="shared" si="19"/>
        <v>1</v>
      </c>
      <c r="AL140" s="3">
        <v>0</v>
      </c>
      <c r="AM140" s="3">
        <f t="shared" si="18"/>
        <v>0</v>
      </c>
    </row>
    <row r="141" spans="1:39">
      <c r="A141" s="7">
        <v>2014</v>
      </c>
      <c r="B141" s="7" t="s">
        <v>43</v>
      </c>
      <c r="C141" s="7">
        <v>0.18563432</v>
      </c>
      <c r="D141" s="7">
        <v>0.034352</v>
      </c>
      <c r="E141" s="7">
        <v>0.008295</v>
      </c>
      <c r="F141" s="7">
        <v>0.015693</v>
      </c>
      <c r="G141" s="7">
        <v>0.005163</v>
      </c>
      <c r="H141" s="7">
        <v>0.005201</v>
      </c>
      <c r="I141" s="7">
        <v>0.033955</v>
      </c>
      <c r="J141" s="7">
        <v>0.016453</v>
      </c>
      <c r="K141" s="16">
        <v>19879</v>
      </c>
      <c r="L141" s="17">
        <v>8139</v>
      </c>
      <c r="M141" s="16">
        <v>28536.66</v>
      </c>
      <c r="N141" s="7">
        <f t="shared" si="16"/>
        <v>2.44243764590244</v>
      </c>
      <c r="O141" s="7">
        <f t="shared" si="17"/>
        <v>0.69661270800437</v>
      </c>
      <c r="P141" s="8">
        <v>263170033.9</v>
      </c>
      <c r="Q141" s="8">
        <f t="shared" si="20"/>
        <v>0.922217364961422</v>
      </c>
      <c r="R141" s="9">
        <v>2007.4</v>
      </c>
      <c r="S141" s="9">
        <v>5376.5</v>
      </c>
      <c r="T141" s="9">
        <v>6657.7</v>
      </c>
      <c r="U141" s="9">
        <v>30217</v>
      </c>
      <c r="V141" s="18">
        <v>0</v>
      </c>
      <c r="W141" s="18">
        <v>0</v>
      </c>
      <c r="X141" s="18">
        <f t="shared" si="21"/>
        <v>0</v>
      </c>
      <c r="Y141" s="12">
        <f t="shared" si="22"/>
        <v>1.79640226266579</v>
      </c>
      <c r="Z141" s="12">
        <f t="shared" si="23"/>
        <v>0.48663092664285</v>
      </c>
      <c r="AA141" s="19">
        <v>19878.66</v>
      </c>
      <c r="AB141" s="19">
        <v>11045.39</v>
      </c>
      <c r="AC141" s="19">
        <v>1863.88</v>
      </c>
      <c r="AD141" s="19">
        <v>865.4</v>
      </c>
      <c r="AE141" s="19">
        <v>829.84</v>
      </c>
      <c r="AF141" s="19">
        <v>250.54</v>
      </c>
      <c r="AG141" s="19">
        <v>748.57</v>
      </c>
      <c r="AH141" s="19">
        <v>125.72</v>
      </c>
      <c r="AI141" s="19">
        <v>165.17</v>
      </c>
      <c r="AJ141" s="19">
        <v>2014.79</v>
      </c>
      <c r="AK141" s="3">
        <f t="shared" si="19"/>
        <v>1</v>
      </c>
      <c r="AL141" s="3">
        <v>0</v>
      </c>
      <c r="AM141" s="3">
        <f t="shared" si="18"/>
        <v>0</v>
      </c>
    </row>
    <row r="142" spans="1:39">
      <c r="A142" s="7">
        <v>2015</v>
      </c>
      <c r="B142" s="7" t="s">
        <v>43</v>
      </c>
      <c r="C142" s="7">
        <v>0.19596193</v>
      </c>
      <c r="D142" s="7">
        <v>0.035957</v>
      </c>
      <c r="E142" s="7">
        <v>0.009101</v>
      </c>
      <c r="F142" s="7">
        <v>0.01621</v>
      </c>
      <c r="G142" s="7">
        <v>0.00546</v>
      </c>
      <c r="H142" s="7">
        <v>0.005185</v>
      </c>
      <c r="I142" s="7">
        <v>0.034755</v>
      </c>
      <c r="J142" s="7">
        <v>0.017475</v>
      </c>
      <c r="K142" s="16">
        <v>18306</v>
      </c>
      <c r="L142" s="17">
        <v>8196</v>
      </c>
      <c r="M142" s="16">
        <v>30053.1</v>
      </c>
      <c r="N142" s="7">
        <f t="shared" si="16"/>
        <v>2.23352855051245</v>
      </c>
      <c r="O142" s="7">
        <f t="shared" si="17"/>
        <v>0.609121854317857</v>
      </c>
      <c r="P142" s="8">
        <v>256845145.9</v>
      </c>
      <c r="Q142" s="8">
        <f t="shared" si="20"/>
        <v>0.854637777467216</v>
      </c>
      <c r="R142" s="9">
        <v>2079.3</v>
      </c>
      <c r="S142" s="9">
        <v>5491.7</v>
      </c>
      <c r="T142" s="9">
        <v>7389</v>
      </c>
      <c r="U142" s="9">
        <v>32117</v>
      </c>
      <c r="V142" s="18">
        <v>0</v>
      </c>
      <c r="W142" s="18">
        <v>0</v>
      </c>
      <c r="X142" s="18">
        <f t="shared" si="21"/>
        <v>0</v>
      </c>
      <c r="Y142" s="12">
        <f t="shared" si="22"/>
        <v>1.71577514742415</v>
      </c>
      <c r="Z142" s="12">
        <f t="shared" si="23"/>
        <v>0.501894068840976</v>
      </c>
      <c r="AA142" s="19">
        <v>18306</v>
      </c>
      <c r="AB142" s="19">
        <v>8824.34</v>
      </c>
      <c r="AC142" s="19">
        <v>1152.08</v>
      </c>
      <c r="AD142" s="19">
        <v>989.56</v>
      </c>
      <c r="AE142" s="19">
        <v>767.06</v>
      </c>
      <c r="AF142" s="19">
        <v>194.76</v>
      </c>
      <c r="AG142" s="19">
        <v>842.41</v>
      </c>
      <c r="AH142" s="19">
        <v>24.91</v>
      </c>
      <c r="AI142" s="19">
        <v>196.92</v>
      </c>
      <c r="AJ142" s="19">
        <v>1992</v>
      </c>
      <c r="AK142" s="3">
        <f t="shared" si="19"/>
        <v>1</v>
      </c>
      <c r="AL142" s="3">
        <v>0</v>
      </c>
      <c r="AM142" s="3">
        <f t="shared" si="18"/>
        <v>0</v>
      </c>
    </row>
    <row r="143" spans="1:39">
      <c r="A143" s="7">
        <v>2016</v>
      </c>
      <c r="B143" s="7" t="s">
        <v>43</v>
      </c>
      <c r="C143" s="7">
        <v>0.20900404</v>
      </c>
      <c r="D143" s="7">
        <v>0.036803</v>
      </c>
      <c r="E143" s="7">
        <v>0.009363</v>
      </c>
      <c r="F143" s="7">
        <v>0.016159</v>
      </c>
      <c r="G143" s="7">
        <v>0.005611</v>
      </c>
      <c r="H143" s="7">
        <v>0.005669</v>
      </c>
      <c r="I143" s="7">
        <v>0.036974</v>
      </c>
      <c r="J143" s="7">
        <v>0.019397</v>
      </c>
      <c r="K143" s="16">
        <v>18756</v>
      </c>
      <c r="L143" s="17">
        <v>8251</v>
      </c>
      <c r="M143" s="16">
        <v>32934.54</v>
      </c>
      <c r="N143" s="7">
        <f t="shared" si="16"/>
        <v>2.27317900860502</v>
      </c>
      <c r="O143" s="7">
        <f t="shared" si="17"/>
        <v>0.569493303990279</v>
      </c>
      <c r="P143" s="8">
        <v>252149056.3</v>
      </c>
      <c r="Q143" s="8">
        <f t="shared" si="20"/>
        <v>0.765606734753241</v>
      </c>
      <c r="R143" s="9">
        <v>2225.5</v>
      </c>
      <c r="S143" s="9">
        <v>5747.4</v>
      </c>
      <c r="T143" s="9">
        <v>8396.1</v>
      </c>
      <c r="U143" s="9">
        <v>35051</v>
      </c>
      <c r="V143" s="18">
        <v>0</v>
      </c>
      <c r="W143" s="18">
        <v>0</v>
      </c>
      <c r="X143" s="18">
        <f t="shared" si="21"/>
        <v>0</v>
      </c>
      <c r="Y143" s="12">
        <f t="shared" si="22"/>
        <v>1.62438398605541</v>
      </c>
      <c r="Z143" s="12">
        <f t="shared" si="23"/>
        <v>0.528678722933971</v>
      </c>
      <c r="AA143" s="19">
        <v>18756</v>
      </c>
      <c r="AB143" s="19">
        <v>8467.99</v>
      </c>
      <c r="AC143" s="19">
        <v>1129.38</v>
      </c>
      <c r="AD143" s="19">
        <v>902.77</v>
      </c>
      <c r="AE143" s="19">
        <v>800.62</v>
      </c>
      <c r="AF143" s="19">
        <v>210</v>
      </c>
      <c r="AG143" s="19">
        <v>862.64</v>
      </c>
      <c r="AH143" s="19">
        <v>69.61</v>
      </c>
      <c r="AI143" s="19">
        <v>202.69</v>
      </c>
      <c r="AJ143" s="19">
        <v>2101.02</v>
      </c>
      <c r="AK143" s="3">
        <f t="shared" si="19"/>
        <v>1</v>
      </c>
      <c r="AL143" s="3">
        <v>0</v>
      </c>
      <c r="AM143" s="3">
        <f t="shared" si="18"/>
        <v>0</v>
      </c>
    </row>
    <row r="144" spans="1:39">
      <c r="A144" s="7">
        <v>2017</v>
      </c>
      <c r="B144" s="7" t="s">
        <v>43</v>
      </c>
      <c r="C144" s="7">
        <v>0.23955938</v>
      </c>
      <c r="D144" s="7">
        <v>0.04193</v>
      </c>
      <c r="E144" s="7">
        <v>0.010349</v>
      </c>
      <c r="F144" s="7">
        <v>0.018764</v>
      </c>
      <c r="G144" s="7">
        <v>0.006323</v>
      </c>
      <c r="H144" s="7">
        <v>0.006493</v>
      </c>
      <c r="I144" s="7">
        <v>0.041813</v>
      </c>
      <c r="J144" s="7">
        <v>0.020324</v>
      </c>
      <c r="K144" s="16">
        <v>19229</v>
      </c>
      <c r="L144" s="17">
        <v>8289</v>
      </c>
      <c r="M144" s="16">
        <v>36980.22</v>
      </c>
      <c r="N144" s="7">
        <f t="shared" si="16"/>
        <v>2.31982145011461</v>
      </c>
      <c r="O144" s="7">
        <f t="shared" si="17"/>
        <v>0.519980681564361</v>
      </c>
      <c r="P144" s="8">
        <v>251637199.4</v>
      </c>
      <c r="Q144" s="8">
        <f t="shared" si="20"/>
        <v>0.680464311461641</v>
      </c>
      <c r="R144" s="9">
        <v>2338.4</v>
      </c>
      <c r="S144" s="9">
        <v>6317.8</v>
      </c>
      <c r="T144" s="9">
        <v>9829.8</v>
      </c>
      <c r="U144" s="9">
        <v>39458</v>
      </c>
      <c r="V144" s="18">
        <v>1</v>
      </c>
      <c r="W144" s="18">
        <v>0</v>
      </c>
      <c r="X144" s="18">
        <f t="shared" si="21"/>
        <v>0</v>
      </c>
      <c r="Y144" s="12">
        <f t="shared" si="22"/>
        <v>1.56738551218677</v>
      </c>
      <c r="Z144" s="12">
        <f t="shared" si="23"/>
        <v>0.565860277404072</v>
      </c>
      <c r="AA144" s="19">
        <v>19229</v>
      </c>
      <c r="AB144" s="19">
        <v>7815.38</v>
      </c>
      <c r="AC144" s="19">
        <v>1127.09</v>
      </c>
      <c r="AD144" s="19">
        <v>956.37</v>
      </c>
      <c r="AE144" s="19">
        <v>828.14</v>
      </c>
      <c r="AF144" s="19">
        <v>205.94</v>
      </c>
      <c r="AG144" s="19">
        <v>888.45</v>
      </c>
      <c r="AH144" s="19">
        <v>65.54</v>
      </c>
      <c r="AI144" s="19">
        <v>216.26</v>
      </c>
      <c r="AJ144" s="19">
        <v>2205.18</v>
      </c>
      <c r="AK144" s="3">
        <f t="shared" si="19"/>
        <v>1</v>
      </c>
      <c r="AL144" s="3">
        <v>0</v>
      </c>
      <c r="AM144" s="3">
        <f t="shared" si="18"/>
        <v>0</v>
      </c>
    </row>
    <row r="145" spans="1:39">
      <c r="A145" s="7">
        <v>2018</v>
      </c>
      <c r="B145" s="7" t="s">
        <v>43</v>
      </c>
      <c r="C145" s="7">
        <v>0.22514089</v>
      </c>
      <c r="D145" s="7">
        <v>0.03952</v>
      </c>
      <c r="E145" s="7">
        <v>0.009595</v>
      </c>
      <c r="F145" s="7">
        <v>0.018339</v>
      </c>
      <c r="G145" s="7">
        <v>0.006183</v>
      </c>
      <c r="H145" s="7">
        <v>0.005403</v>
      </c>
      <c r="I145" s="7">
        <v>0.040767</v>
      </c>
      <c r="J145" s="7">
        <v>0.020034</v>
      </c>
      <c r="K145" s="16">
        <v>19916</v>
      </c>
      <c r="L145" s="17">
        <v>8321</v>
      </c>
      <c r="M145" s="16">
        <v>40678.13</v>
      </c>
      <c r="N145" s="7">
        <f t="shared" si="16"/>
        <v>2.39346232423987</v>
      </c>
      <c r="O145" s="7">
        <f t="shared" si="17"/>
        <v>0.4895996939879</v>
      </c>
      <c r="P145" s="8">
        <v>255717920.3</v>
      </c>
      <c r="Q145" s="8">
        <f t="shared" si="20"/>
        <v>0.628637354519492</v>
      </c>
      <c r="R145" s="9">
        <v>2498.7</v>
      </c>
      <c r="S145" s="9">
        <v>7267.5</v>
      </c>
      <c r="T145" s="9">
        <v>11114.5</v>
      </c>
      <c r="U145" s="9">
        <v>44446</v>
      </c>
      <c r="V145" s="18">
        <v>1</v>
      </c>
      <c r="W145" s="18">
        <v>0</v>
      </c>
      <c r="X145" s="18">
        <f t="shared" si="21"/>
        <v>0</v>
      </c>
      <c r="Y145" s="12">
        <f t="shared" si="22"/>
        <v>1.51591455826218</v>
      </c>
      <c r="Z145" s="12">
        <f t="shared" si="23"/>
        <v>0.585308188318903</v>
      </c>
      <c r="AA145" s="19">
        <v>19916</v>
      </c>
      <c r="AB145" s="19">
        <v>7495.78</v>
      </c>
      <c r="AC145" s="19">
        <v>1165.88</v>
      </c>
      <c r="AD145" s="19">
        <v>719.82</v>
      </c>
      <c r="AE145" s="19">
        <v>874.13</v>
      </c>
      <c r="AF145" s="19">
        <v>209.47</v>
      </c>
      <c r="AG145" s="19">
        <v>902.12</v>
      </c>
      <c r="AH145" s="19">
        <v>33.33</v>
      </c>
      <c r="AI145" s="19">
        <v>237</v>
      </c>
      <c r="AJ145" s="19">
        <v>2459.49</v>
      </c>
      <c r="AK145" s="3">
        <f t="shared" si="19"/>
        <v>1</v>
      </c>
      <c r="AL145" s="3">
        <v>0</v>
      </c>
      <c r="AM145" s="3">
        <f t="shared" si="18"/>
        <v>0</v>
      </c>
    </row>
    <row r="146" spans="1:39">
      <c r="A146" s="7">
        <v>2019</v>
      </c>
      <c r="B146" s="7" t="s">
        <v>43</v>
      </c>
      <c r="C146" s="7">
        <v>0.21101126</v>
      </c>
      <c r="D146" s="7">
        <v>0.037347</v>
      </c>
      <c r="E146" s="7">
        <v>0.009316</v>
      </c>
      <c r="F146" s="7">
        <v>0.016886</v>
      </c>
      <c r="G146" s="7">
        <v>0.005772</v>
      </c>
      <c r="H146" s="7">
        <v>0.005373</v>
      </c>
      <c r="I146" s="7">
        <v>0.038441</v>
      </c>
      <c r="J146" s="7">
        <v>0.01895</v>
      </c>
      <c r="K146" s="16">
        <v>20791</v>
      </c>
      <c r="L146" s="17">
        <v>8351</v>
      </c>
      <c r="M146" s="16">
        <v>46615.82</v>
      </c>
      <c r="N146" s="7">
        <f t="shared" si="16"/>
        <v>2.48964195904682</v>
      </c>
      <c r="O146" s="7">
        <f t="shared" si="17"/>
        <v>0.446007385475575</v>
      </c>
      <c r="P146" s="8">
        <v>251665563</v>
      </c>
      <c r="Q146" s="8">
        <f t="shared" si="20"/>
        <v>0.539871577932127</v>
      </c>
      <c r="R146" s="9">
        <v>3037.7</v>
      </c>
      <c r="S146" s="9">
        <v>8060.4</v>
      </c>
      <c r="T146" s="9">
        <v>12125.7</v>
      </c>
      <c r="U146" s="9">
        <v>49323</v>
      </c>
      <c r="V146" s="18">
        <v>1</v>
      </c>
      <c r="W146" s="18">
        <v>0</v>
      </c>
      <c r="X146" s="18">
        <f t="shared" si="21"/>
        <v>0</v>
      </c>
      <c r="Y146" s="12">
        <f t="shared" si="22"/>
        <v>1.5000536746505</v>
      </c>
      <c r="Z146" s="12">
        <f t="shared" si="23"/>
        <v>0.640098493103646</v>
      </c>
      <c r="AA146" s="19">
        <v>20791</v>
      </c>
      <c r="AB146" s="19">
        <v>7713.47</v>
      </c>
      <c r="AC146" s="19">
        <v>1302.68</v>
      </c>
      <c r="AD146" s="19">
        <v>1010.17</v>
      </c>
      <c r="AE146" s="19">
        <v>916.97</v>
      </c>
      <c r="AF146" s="19">
        <v>214.2</v>
      </c>
      <c r="AG146" s="19">
        <v>912.92</v>
      </c>
      <c r="AH146" s="19">
        <v>50.06</v>
      </c>
      <c r="AI146" s="19">
        <v>254.38</v>
      </c>
      <c r="AJ146" s="19">
        <v>2635.83</v>
      </c>
      <c r="AK146" s="3">
        <f t="shared" si="19"/>
        <v>1</v>
      </c>
      <c r="AL146" s="3">
        <v>0</v>
      </c>
      <c r="AM146" s="3">
        <f t="shared" si="18"/>
        <v>0</v>
      </c>
    </row>
    <row r="147" spans="1:39">
      <c r="A147" s="7">
        <v>2020</v>
      </c>
      <c r="B147" s="7" t="s">
        <v>43</v>
      </c>
      <c r="C147" s="7">
        <v>0.24168768</v>
      </c>
      <c r="D147" s="7">
        <v>0.041492</v>
      </c>
      <c r="E147" s="7">
        <v>0.010243</v>
      </c>
      <c r="F147" s="7">
        <v>0.018706</v>
      </c>
      <c r="G147" s="7">
        <v>0.006815</v>
      </c>
      <c r="H147" s="7">
        <v>0.005728</v>
      </c>
      <c r="I147" s="7">
        <v>0.043281</v>
      </c>
      <c r="J147" s="7">
        <v>0.021348</v>
      </c>
      <c r="K147" s="16">
        <v>16355</v>
      </c>
      <c r="L147" s="17">
        <v>8370.7</v>
      </c>
      <c r="M147" s="16">
        <v>48598.76</v>
      </c>
      <c r="N147" s="7">
        <f t="shared" si="16"/>
        <v>1.95383898598683</v>
      </c>
      <c r="O147" s="7">
        <f t="shared" si="17"/>
        <v>0.336531220138127</v>
      </c>
      <c r="P147" s="8">
        <v>246645703.3</v>
      </c>
      <c r="Q147" s="8">
        <f t="shared" si="20"/>
        <v>0.507514396046319</v>
      </c>
      <c r="R147" s="9">
        <v>3611.8</v>
      </c>
      <c r="S147" s="9">
        <v>8387.5</v>
      </c>
      <c r="T147" s="9">
        <v>12556.5</v>
      </c>
      <c r="U147" s="9">
        <v>52047</v>
      </c>
      <c r="V147" s="18">
        <v>1</v>
      </c>
      <c r="W147" s="18">
        <v>0</v>
      </c>
      <c r="X147" s="18">
        <f t="shared" si="21"/>
        <v>0</v>
      </c>
      <c r="Y147" s="12">
        <f t="shared" si="22"/>
        <v>1.47141701078949</v>
      </c>
      <c r="Z147" s="12">
        <f t="shared" si="23"/>
        <v>0.655084593745446</v>
      </c>
      <c r="AA147" s="19">
        <v>21185.9</v>
      </c>
      <c r="AB147" s="19">
        <v>7501.62</v>
      </c>
      <c r="AC147" s="19">
        <v>1215.66</v>
      </c>
      <c r="AD147" s="19">
        <v>955.15</v>
      </c>
      <c r="AE147" s="19">
        <v>955.15</v>
      </c>
      <c r="AF147" s="19">
        <v>897.18</v>
      </c>
      <c r="AG147" s="19">
        <v>160.07</v>
      </c>
      <c r="AH147" s="19">
        <v>898.65</v>
      </c>
      <c r="AI147" s="19">
        <v>250.59</v>
      </c>
      <c r="AJ147" s="19">
        <v>2865</v>
      </c>
      <c r="AK147" s="3">
        <f t="shared" si="19"/>
        <v>1</v>
      </c>
      <c r="AL147" s="3">
        <v>0</v>
      </c>
      <c r="AM147" s="3">
        <f t="shared" si="18"/>
        <v>0</v>
      </c>
    </row>
    <row r="148" spans="1:39">
      <c r="A148" s="7">
        <v>2021</v>
      </c>
      <c r="B148" s="7" t="s">
        <v>43</v>
      </c>
      <c r="C148" s="7">
        <v>0.22252936</v>
      </c>
      <c r="D148" s="7">
        <v>0.040642</v>
      </c>
      <c r="E148" s="7">
        <v>0.009855</v>
      </c>
      <c r="F148" s="7">
        <v>0.018355</v>
      </c>
      <c r="G148" s="7">
        <v>0.006176</v>
      </c>
      <c r="H148" s="7">
        <v>0.006256</v>
      </c>
      <c r="I148" s="7">
        <v>0.040069</v>
      </c>
      <c r="J148" s="7">
        <v>0.016841</v>
      </c>
      <c r="K148" s="16">
        <v>17241.3</v>
      </c>
      <c r="L148" s="17">
        <v>8372</v>
      </c>
      <c r="M148" s="16">
        <v>53850.8</v>
      </c>
      <c r="N148" s="7">
        <f t="shared" si="16"/>
        <v>2.05940038222647</v>
      </c>
      <c r="O148" s="7">
        <f t="shared" si="17"/>
        <v>0.320167945508702</v>
      </c>
      <c r="P148" s="8">
        <v>265188890.3</v>
      </c>
      <c r="Q148" s="8">
        <f t="shared" si="20"/>
        <v>0.492451161914029</v>
      </c>
      <c r="R148" s="9">
        <v>3831.3</v>
      </c>
      <c r="S148" s="9">
        <v>9537.2</v>
      </c>
      <c r="T148" s="9">
        <v>13793.1</v>
      </c>
      <c r="U148" s="9">
        <v>57717</v>
      </c>
      <c r="V148" s="18">
        <v>1</v>
      </c>
      <c r="W148" s="18">
        <v>0</v>
      </c>
      <c r="X148" s="18">
        <f t="shared" si="21"/>
        <v>0</v>
      </c>
      <c r="Y148" s="12">
        <f t="shared" si="22"/>
        <v>1.36781889095748</v>
      </c>
      <c r="Z148" s="12">
        <f t="shared" si="23"/>
        <v>0.639973416678496</v>
      </c>
      <c r="AA148" s="19">
        <v>22569.4</v>
      </c>
      <c r="AB148" s="19">
        <v>7675.75</v>
      </c>
      <c r="AC148" s="19">
        <v>1188.62</v>
      </c>
      <c r="AD148" s="19">
        <v>1024.84</v>
      </c>
      <c r="AE148" s="19">
        <v>934.8</v>
      </c>
      <c r="AF148" s="19">
        <v>169.26</v>
      </c>
      <c r="AG148" s="19">
        <v>925.67</v>
      </c>
      <c r="AH148" s="19">
        <v>52.36</v>
      </c>
      <c r="AI148" s="19">
        <v>274.38</v>
      </c>
      <c r="AJ148" s="19">
        <v>3275</v>
      </c>
      <c r="AK148" s="3">
        <f t="shared" si="19"/>
        <v>1</v>
      </c>
      <c r="AL148" s="3">
        <v>0</v>
      </c>
      <c r="AM148" s="3">
        <f t="shared" si="18"/>
        <v>0</v>
      </c>
    </row>
    <row r="149" spans="1:39">
      <c r="A149" s="7">
        <v>2022</v>
      </c>
      <c r="B149" s="7" t="s">
        <v>43</v>
      </c>
      <c r="C149" s="7">
        <v>0.24886149</v>
      </c>
      <c r="D149" s="7">
        <v>0.043622</v>
      </c>
      <c r="E149" s="7">
        <v>0.010796</v>
      </c>
      <c r="F149" s="7">
        <v>0.019496</v>
      </c>
      <c r="G149" s="7">
        <v>0.00633</v>
      </c>
      <c r="H149" s="7">
        <v>0.006999</v>
      </c>
      <c r="I149" s="7">
        <v>0.043201</v>
      </c>
      <c r="J149" s="7">
        <v>0.020311</v>
      </c>
      <c r="K149" s="16">
        <v>17196.117213</v>
      </c>
      <c r="L149" s="17">
        <v>8374</v>
      </c>
      <c r="M149" s="16">
        <v>56749.8</v>
      </c>
      <c r="N149" s="7">
        <f t="shared" si="16"/>
        <v>2.05351292249821</v>
      </c>
      <c r="O149" s="7">
        <f t="shared" si="17"/>
        <v>0.303016349185372</v>
      </c>
      <c r="P149" s="8">
        <v>259310270.9</v>
      </c>
      <c r="Q149" s="8">
        <f t="shared" si="20"/>
        <v>0.45693600840884</v>
      </c>
      <c r="R149" s="9">
        <v>4001.9</v>
      </c>
      <c r="S149" s="9">
        <v>10120.3</v>
      </c>
      <c r="T149" s="9">
        <v>14433.9</v>
      </c>
      <c r="U149" s="9">
        <v>60868</v>
      </c>
      <c r="V149" s="18">
        <v>1</v>
      </c>
      <c r="W149" s="18">
        <v>0</v>
      </c>
      <c r="X149" s="18">
        <f t="shared" si="21"/>
        <v>0</v>
      </c>
      <c r="Y149" s="12">
        <f t="shared" si="22"/>
        <v>1.27047633725244</v>
      </c>
      <c r="Z149" s="12">
        <f t="shared" si="23"/>
        <v>0.640342763567702</v>
      </c>
      <c r="AA149" s="19">
        <v>22545.0234567858</v>
      </c>
      <c r="AB149" s="19">
        <v>7622.39</v>
      </c>
      <c r="AC149" s="19">
        <v>1117.54</v>
      </c>
      <c r="AD149" s="19">
        <v>1008.78</v>
      </c>
      <c r="AE149" s="19">
        <v>985.82</v>
      </c>
      <c r="AF149" s="19">
        <v>167.49</v>
      </c>
      <c r="AG149" s="19">
        <v>955.19</v>
      </c>
      <c r="AH149" s="19">
        <v>25.84</v>
      </c>
      <c r="AI149" s="19">
        <v>275.9</v>
      </c>
      <c r="AJ149" s="19">
        <v>3447.12</v>
      </c>
      <c r="AK149" s="3">
        <f t="shared" si="19"/>
        <v>1</v>
      </c>
      <c r="AL149" s="3">
        <v>0</v>
      </c>
      <c r="AM149" s="3">
        <f t="shared" si="18"/>
        <v>0</v>
      </c>
    </row>
    <row r="150" spans="1:39">
      <c r="A150" s="7">
        <v>2023</v>
      </c>
      <c r="B150" s="7" t="s">
        <v>43</v>
      </c>
      <c r="C150" s="7">
        <v>0.44042969</v>
      </c>
      <c r="D150" s="7">
        <v>0.054752</v>
      </c>
      <c r="E150" s="7">
        <v>0.019888</v>
      </c>
      <c r="F150" s="7">
        <v>0.028788</v>
      </c>
      <c r="G150" s="7">
        <v>0.014636</v>
      </c>
      <c r="H150" s="7">
        <v>0.015894</v>
      </c>
      <c r="I150" s="7">
        <v>0.054483</v>
      </c>
      <c r="J150" s="7">
        <v>0.031931</v>
      </c>
      <c r="K150" s="16">
        <v>17150.934426</v>
      </c>
      <c r="L150" s="17">
        <v>8368</v>
      </c>
      <c r="M150" s="16">
        <v>60132.9</v>
      </c>
      <c r="N150" s="7">
        <f t="shared" si="16"/>
        <v>2.0495858539675</v>
      </c>
      <c r="O150" s="7">
        <f t="shared" si="17"/>
        <v>0.285217151110291</v>
      </c>
      <c r="P150" s="8">
        <v>265536910.5</v>
      </c>
      <c r="Q150" s="8">
        <f t="shared" si="20"/>
        <v>0.441583410246304</v>
      </c>
      <c r="R150" s="9">
        <v>4206.6</v>
      </c>
      <c r="S150" s="9">
        <v>10256.3</v>
      </c>
      <c r="T150" s="9">
        <v>15558.2</v>
      </c>
      <c r="U150" s="9">
        <v>64107</v>
      </c>
      <c r="V150" s="18">
        <v>1</v>
      </c>
      <c r="W150" s="18">
        <v>0</v>
      </c>
      <c r="X150" s="18">
        <f t="shared" si="21"/>
        <v>0</v>
      </c>
      <c r="Y150" s="12">
        <f t="shared" si="22"/>
        <v>1.2756783895882</v>
      </c>
      <c r="Z150" s="12">
        <f t="shared" si="23"/>
        <v>0.653844249577002</v>
      </c>
      <c r="AA150" s="12"/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3">
        <f t="shared" si="19"/>
        <v>1</v>
      </c>
      <c r="AL150" s="3">
        <v>0</v>
      </c>
      <c r="AM150" s="3">
        <f t="shared" si="18"/>
        <v>0</v>
      </c>
    </row>
    <row r="151" spans="1:39">
      <c r="A151" s="7">
        <v>2024</v>
      </c>
      <c r="B151" s="7" t="s">
        <v>43</v>
      </c>
      <c r="C151" s="7">
        <v>0.52376571</v>
      </c>
      <c r="D151" s="7">
        <v>0.058738</v>
      </c>
      <c r="E151" s="7">
        <v>0.023747</v>
      </c>
      <c r="F151" s="7">
        <v>0.031946</v>
      </c>
      <c r="G151" s="7">
        <v>0.018609</v>
      </c>
      <c r="H151" s="7">
        <v>0.020797</v>
      </c>
      <c r="I151" s="7">
        <v>0.058122</v>
      </c>
      <c r="J151" s="7">
        <v>0.036015</v>
      </c>
      <c r="K151" s="16">
        <v>17105.751639</v>
      </c>
      <c r="L151" s="17">
        <v>8364</v>
      </c>
      <c r="M151" s="16">
        <v>64697</v>
      </c>
      <c r="N151" s="7">
        <f t="shared" si="16"/>
        <v>2.04516399318508</v>
      </c>
      <c r="O151" s="7">
        <f t="shared" si="17"/>
        <v>0.2643979108614</v>
      </c>
      <c r="P151" s="8">
        <v>270294726</v>
      </c>
      <c r="Q151" s="8">
        <f t="shared" si="20"/>
        <v>0.417785563472804</v>
      </c>
      <c r="R151" s="9">
        <v>4192.9</v>
      </c>
      <c r="S151" s="9">
        <v>10330</v>
      </c>
      <c r="T151" s="9">
        <v>17011.1</v>
      </c>
      <c r="U151" s="9">
        <v>67612</v>
      </c>
      <c r="V151" s="18">
        <v>1</v>
      </c>
      <c r="W151" s="18">
        <v>0</v>
      </c>
      <c r="X151" s="18">
        <f t="shared" si="21"/>
        <v>0</v>
      </c>
      <c r="Y151" s="12">
        <f t="shared" si="22"/>
        <v>1.21200651315194</v>
      </c>
      <c r="Z151" s="12">
        <f t="shared" si="23"/>
        <v>0.655294291788654</v>
      </c>
      <c r="AA151" s="12"/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3">
        <f t="shared" si="19"/>
        <v>1</v>
      </c>
      <c r="AL151" s="3">
        <v>0</v>
      </c>
      <c r="AM151" s="3">
        <f t="shared" si="18"/>
        <v>0</v>
      </c>
    </row>
    <row r="152" spans="1:39">
      <c r="A152" s="7">
        <v>2000</v>
      </c>
      <c r="B152" s="7" t="s">
        <v>44</v>
      </c>
      <c r="C152" s="7">
        <v>0.10164596</v>
      </c>
      <c r="D152" s="7">
        <v>0.02174</v>
      </c>
      <c r="E152" s="7">
        <v>0.005368</v>
      </c>
      <c r="F152" s="7">
        <v>0.009959</v>
      </c>
      <c r="G152" s="7">
        <v>0.003353</v>
      </c>
      <c r="H152" s="7">
        <v>0.00306</v>
      </c>
      <c r="I152" s="7">
        <v>0.022048</v>
      </c>
      <c r="J152" s="7">
        <v>0.011182</v>
      </c>
      <c r="K152" s="16">
        <v>2794</v>
      </c>
      <c r="L152" s="17">
        <v>1001.14</v>
      </c>
      <c r="M152" s="16">
        <v>1639.36</v>
      </c>
      <c r="N152" s="7">
        <f t="shared" si="16"/>
        <v>2.79081846694768</v>
      </c>
      <c r="O152" s="7">
        <f t="shared" si="17"/>
        <v>1.70432363849307</v>
      </c>
      <c r="P152" s="8">
        <v>47680363.68</v>
      </c>
      <c r="Q152" s="8">
        <f t="shared" si="20"/>
        <v>2.90847426312707</v>
      </c>
      <c r="R152" s="9">
        <v>35.4</v>
      </c>
      <c r="S152" s="9">
        <v>27.1</v>
      </c>
      <c r="T152" s="9">
        <v>55.3</v>
      </c>
      <c r="U152" s="9">
        <v>4572</v>
      </c>
      <c r="V152" s="18">
        <v>0</v>
      </c>
      <c r="W152" s="18">
        <v>0</v>
      </c>
      <c r="X152" s="18">
        <f t="shared" si="21"/>
        <v>0</v>
      </c>
      <c r="Y152" s="12">
        <f t="shared" si="22"/>
        <v>4.53658228674969</v>
      </c>
      <c r="Z152" s="12">
        <f t="shared" si="23"/>
        <v>0.358884270297036</v>
      </c>
      <c r="AA152" s="19">
        <v>2793.71</v>
      </c>
      <c r="AB152" s="19">
        <v>2472.71</v>
      </c>
      <c r="AC152" s="19">
        <v>143.68</v>
      </c>
      <c r="AD152" s="19">
        <v>709.76</v>
      </c>
      <c r="AE152" s="19">
        <v>112.43</v>
      </c>
      <c r="AF152" s="19">
        <v>18.82</v>
      </c>
      <c r="AG152" s="19">
        <v>197.6</v>
      </c>
      <c r="AH152" s="19">
        <v>79.51</v>
      </c>
      <c r="AI152" s="19">
        <v>5.4</v>
      </c>
      <c r="AJ152" s="19">
        <v>234.05</v>
      </c>
      <c r="AK152" s="3">
        <f t="shared" si="19"/>
        <v>0</v>
      </c>
      <c r="AL152" s="3">
        <v>1</v>
      </c>
      <c r="AM152" s="3">
        <f t="shared" si="18"/>
        <v>0</v>
      </c>
    </row>
    <row r="153" spans="1:39">
      <c r="A153" s="7">
        <v>2001</v>
      </c>
      <c r="B153" s="7" t="s">
        <v>44</v>
      </c>
      <c r="C153" s="7">
        <v>0.11036006</v>
      </c>
      <c r="D153" s="7">
        <v>0.023377</v>
      </c>
      <c r="E153" s="7">
        <v>0.006274</v>
      </c>
      <c r="F153" s="7">
        <v>0.010528</v>
      </c>
      <c r="G153" s="7">
        <v>0.003473</v>
      </c>
      <c r="H153" s="7">
        <v>0.003102</v>
      </c>
      <c r="I153" s="7">
        <v>0.022697</v>
      </c>
      <c r="J153" s="7">
        <v>0.01168</v>
      </c>
      <c r="K153" s="16">
        <v>2918</v>
      </c>
      <c r="L153" s="17">
        <v>1004.06</v>
      </c>
      <c r="M153" s="16">
        <v>1919.09</v>
      </c>
      <c r="N153" s="7">
        <f t="shared" si="16"/>
        <v>2.90620082465191</v>
      </c>
      <c r="O153" s="7">
        <f t="shared" si="17"/>
        <v>1.52051232615458</v>
      </c>
      <c r="P153" s="8">
        <v>51129812.52</v>
      </c>
      <c r="Q153" s="8">
        <f t="shared" si="20"/>
        <v>2.66427382353094</v>
      </c>
      <c r="R153" s="9">
        <v>36.5</v>
      </c>
      <c r="S153" s="9">
        <v>32</v>
      </c>
      <c r="T153" s="9">
        <v>70.7</v>
      </c>
      <c r="U153" s="9">
        <v>5318</v>
      </c>
      <c r="V153" s="18">
        <v>0</v>
      </c>
      <c r="W153" s="18">
        <v>0</v>
      </c>
      <c r="X153" s="18">
        <f t="shared" si="21"/>
        <v>0</v>
      </c>
      <c r="Y153" s="12">
        <f t="shared" si="22"/>
        <v>4.16809156222866</v>
      </c>
      <c r="Z153" s="12">
        <f t="shared" si="23"/>
        <v>0.360792875167464</v>
      </c>
      <c r="AA153" s="19">
        <v>2918</v>
      </c>
      <c r="AB153" s="19">
        <v>2635</v>
      </c>
      <c r="AC153" s="19">
        <v>128.77</v>
      </c>
      <c r="AD153" s="19">
        <v>749.35</v>
      </c>
      <c r="AE153" s="19">
        <v>116.27</v>
      </c>
      <c r="AF153" s="19">
        <v>11.42</v>
      </c>
      <c r="AG153" s="19">
        <v>183.42</v>
      </c>
      <c r="AH153" s="19">
        <v>87.46</v>
      </c>
      <c r="AI153" s="19">
        <v>7.89</v>
      </c>
      <c r="AJ153" s="19">
        <v>250.47</v>
      </c>
      <c r="AK153" s="3">
        <f t="shared" si="19"/>
        <v>0</v>
      </c>
      <c r="AL153" s="3">
        <v>1</v>
      </c>
      <c r="AM153" s="3">
        <f t="shared" si="18"/>
        <v>0</v>
      </c>
    </row>
    <row r="154" spans="1:39">
      <c r="A154" s="7">
        <v>2002</v>
      </c>
      <c r="B154" s="7" t="s">
        <v>44</v>
      </c>
      <c r="C154" s="7">
        <v>0.10683369</v>
      </c>
      <c r="D154" s="7">
        <v>0.0228</v>
      </c>
      <c r="E154" s="7">
        <v>0.005783</v>
      </c>
      <c r="F154" s="7">
        <v>0.010106</v>
      </c>
      <c r="G154" s="7">
        <v>0.003525</v>
      </c>
      <c r="H154" s="7">
        <v>0.003386</v>
      </c>
      <c r="I154" s="7">
        <v>0.022527</v>
      </c>
      <c r="J154" s="7">
        <v>0.010881</v>
      </c>
      <c r="K154" s="16">
        <v>3022</v>
      </c>
      <c r="L154" s="17">
        <v>1007.18</v>
      </c>
      <c r="M154" s="16">
        <v>2150.76337</v>
      </c>
      <c r="N154" s="7">
        <f t="shared" si="16"/>
        <v>3.00045672074505</v>
      </c>
      <c r="O154" s="7">
        <f t="shared" si="17"/>
        <v>1.40508251263364</v>
      </c>
      <c r="P154" s="8">
        <v>53044949.76</v>
      </c>
      <c r="Q154" s="8">
        <f t="shared" si="20"/>
        <v>2.46633128032118</v>
      </c>
      <c r="R154" s="9">
        <v>38.7</v>
      </c>
      <c r="S154" s="9">
        <v>32.7</v>
      </c>
      <c r="T154" s="9">
        <v>90.6</v>
      </c>
      <c r="U154" s="9">
        <v>6094</v>
      </c>
      <c r="V154" s="18">
        <v>0</v>
      </c>
      <c r="W154" s="18">
        <v>0</v>
      </c>
      <c r="X154" s="18">
        <f t="shared" si="21"/>
        <v>0</v>
      </c>
      <c r="Y154" s="12">
        <f t="shared" si="22"/>
        <v>4.06804884448575</v>
      </c>
      <c r="Z154" s="12">
        <f t="shared" si="23"/>
        <v>0.393731153532166</v>
      </c>
      <c r="AA154" s="19">
        <v>3022</v>
      </c>
      <c r="AB154" s="19">
        <v>2929</v>
      </c>
      <c r="AC154" s="19">
        <v>149.49</v>
      </c>
      <c r="AD154" s="19">
        <v>675.58</v>
      </c>
      <c r="AE154" s="19">
        <v>94.76</v>
      </c>
      <c r="AF154" s="19">
        <v>15.63</v>
      </c>
      <c r="AG154" s="19">
        <v>183.81</v>
      </c>
      <c r="AH154" s="19">
        <v>88.98</v>
      </c>
      <c r="AI154" s="19">
        <v>6.48</v>
      </c>
      <c r="AJ154" s="19">
        <v>281</v>
      </c>
      <c r="AK154" s="3">
        <f t="shared" si="19"/>
        <v>0</v>
      </c>
      <c r="AL154" s="3">
        <v>1</v>
      </c>
      <c r="AM154" s="3">
        <f t="shared" si="18"/>
        <v>0</v>
      </c>
    </row>
    <row r="155" spans="1:39">
      <c r="A155" s="7">
        <v>2003</v>
      </c>
      <c r="B155" s="7" t="s">
        <v>44</v>
      </c>
      <c r="C155" s="7">
        <v>0.11946653</v>
      </c>
      <c r="D155" s="7">
        <v>0.025336</v>
      </c>
      <c r="E155" s="7">
        <v>0.006404</v>
      </c>
      <c r="F155" s="7">
        <v>0.011326</v>
      </c>
      <c r="G155" s="7">
        <v>0.003779</v>
      </c>
      <c r="H155" s="7">
        <v>0.003828</v>
      </c>
      <c r="I155" s="7">
        <v>0.02308</v>
      </c>
      <c r="J155" s="7">
        <v>0.011428</v>
      </c>
      <c r="K155" s="16">
        <v>3215</v>
      </c>
      <c r="L155" s="17">
        <v>1011.3</v>
      </c>
      <c r="M155" s="16">
        <v>2578.03</v>
      </c>
      <c r="N155" s="7">
        <f t="shared" ref="N155:N218" si="24">K155/L155</f>
        <v>3.17907643627015</v>
      </c>
      <c r="O155" s="7">
        <f t="shared" ref="O155:O218" si="25">K155/M155</f>
        <v>1.24707625590082</v>
      </c>
      <c r="P155" s="8">
        <v>57326449.79</v>
      </c>
      <c r="Q155" s="8">
        <f t="shared" si="20"/>
        <v>2.22365332404976</v>
      </c>
      <c r="R155" s="9">
        <v>39.6</v>
      </c>
      <c r="S155" s="9">
        <v>47.5</v>
      </c>
      <c r="T155" s="9">
        <v>98.9</v>
      </c>
      <c r="U155" s="9">
        <v>6883</v>
      </c>
      <c r="V155" s="18">
        <v>0</v>
      </c>
      <c r="W155" s="18">
        <v>0</v>
      </c>
      <c r="X155" s="18">
        <f t="shared" si="21"/>
        <v>0</v>
      </c>
      <c r="Y155" s="12">
        <f t="shared" si="22"/>
        <v>4.08414499624993</v>
      </c>
      <c r="Z155" s="12">
        <f t="shared" si="23"/>
        <v>0.455540063809801</v>
      </c>
      <c r="AA155" s="19">
        <v>3214.97</v>
      </c>
      <c r="AB155" s="19">
        <v>3205.34</v>
      </c>
      <c r="AC155" s="19">
        <v>143.15</v>
      </c>
      <c r="AD155" s="19">
        <v>750.95</v>
      </c>
      <c r="AE155" s="19">
        <v>106.42</v>
      </c>
      <c r="AF155" s="19">
        <v>18.61</v>
      </c>
      <c r="AG155" s="19">
        <v>193.79</v>
      </c>
      <c r="AH155" s="19">
        <v>113.48</v>
      </c>
      <c r="AI155" s="19">
        <v>7.26</v>
      </c>
      <c r="AJ155" s="19">
        <v>313</v>
      </c>
      <c r="AK155" s="3">
        <f t="shared" si="19"/>
        <v>0</v>
      </c>
      <c r="AL155" s="3">
        <v>1</v>
      </c>
      <c r="AM155" s="3">
        <f t="shared" si="18"/>
        <v>0</v>
      </c>
    </row>
    <row r="156" spans="1:39">
      <c r="A156" s="7">
        <v>2004</v>
      </c>
      <c r="B156" s="7" t="s">
        <v>44</v>
      </c>
      <c r="C156" s="7">
        <v>0.13748772</v>
      </c>
      <c r="D156" s="7">
        <v>0.026866</v>
      </c>
      <c r="E156" s="7">
        <v>0.006639</v>
      </c>
      <c r="F156" s="7">
        <v>0.011793</v>
      </c>
      <c r="G156" s="7">
        <v>0.004304</v>
      </c>
      <c r="H156" s="7">
        <v>0.00413</v>
      </c>
      <c r="I156" s="7">
        <v>0.025856</v>
      </c>
      <c r="J156" s="7">
        <v>0.014056</v>
      </c>
      <c r="K156" s="16">
        <v>3697</v>
      </c>
      <c r="L156" s="17">
        <v>1023.67</v>
      </c>
      <c r="M156" s="16">
        <v>3110.97</v>
      </c>
      <c r="N156" s="7">
        <f t="shared" si="24"/>
        <v>3.61151542977717</v>
      </c>
      <c r="O156" s="7">
        <f t="shared" si="25"/>
        <v>1.18837532988103</v>
      </c>
      <c r="P156" s="8">
        <v>62247092.5</v>
      </c>
      <c r="Q156" s="8">
        <f t="shared" si="20"/>
        <v>2.00089015644638</v>
      </c>
      <c r="R156" s="9">
        <v>42.1</v>
      </c>
      <c r="S156" s="9">
        <v>51.3</v>
      </c>
      <c r="T156" s="9">
        <v>124.5</v>
      </c>
      <c r="U156" s="9">
        <v>7946</v>
      </c>
      <c r="V156" s="18">
        <v>0</v>
      </c>
      <c r="W156" s="18">
        <v>0</v>
      </c>
      <c r="X156" s="18">
        <f t="shared" si="21"/>
        <v>0</v>
      </c>
      <c r="Y156" s="12">
        <f t="shared" si="22"/>
        <v>3.89549779892895</v>
      </c>
      <c r="Z156" s="12">
        <f t="shared" si="23"/>
        <v>0.48635828853593</v>
      </c>
      <c r="AA156" s="19">
        <v>3696.68</v>
      </c>
      <c r="AB156" s="19">
        <v>3508.57</v>
      </c>
      <c r="AC156" s="19">
        <v>328.04</v>
      </c>
      <c r="AD156" s="19">
        <v>786.57</v>
      </c>
      <c r="AE156" s="19">
        <v>118.71</v>
      </c>
      <c r="AF156" s="19">
        <v>15.02</v>
      </c>
      <c r="AG156" s="19">
        <v>226.03</v>
      </c>
      <c r="AH156" s="19">
        <v>113.9</v>
      </c>
      <c r="AI156" s="19">
        <v>8.55</v>
      </c>
      <c r="AJ156" s="19">
        <v>350.97</v>
      </c>
      <c r="AK156" s="3">
        <f t="shared" si="19"/>
        <v>0</v>
      </c>
      <c r="AL156" s="3">
        <v>1</v>
      </c>
      <c r="AM156" s="3">
        <f t="shared" si="18"/>
        <v>0</v>
      </c>
    </row>
    <row r="157" spans="1:39">
      <c r="A157" s="7">
        <v>2005</v>
      </c>
      <c r="B157" s="7" t="s">
        <v>44</v>
      </c>
      <c r="C157" s="7">
        <v>0.11774743</v>
      </c>
      <c r="D157" s="7">
        <v>0.024432</v>
      </c>
      <c r="E157" s="7">
        <v>0.005649</v>
      </c>
      <c r="F157" s="7">
        <v>0.010941</v>
      </c>
      <c r="G157" s="7">
        <v>0.003695</v>
      </c>
      <c r="H157" s="7">
        <v>0.004146</v>
      </c>
      <c r="I157" s="7">
        <v>0.023602</v>
      </c>
      <c r="J157" s="7">
        <v>0.011561</v>
      </c>
      <c r="K157" s="16">
        <v>4085</v>
      </c>
      <c r="L157" s="17">
        <v>1043</v>
      </c>
      <c r="M157" s="16">
        <v>3905.64</v>
      </c>
      <c r="N157" s="7">
        <f t="shared" si="24"/>
        <v>3.91658676893576</v>
      </c>
      <c r="O157" s="7">
        <f t="shared" si="25"/>
        <v>1.04592333138743</v>
      </c>
      <c r="P157" s="8">
        <v>81893459.46</v>
      </c>
      <c r="Q157" s="8">
        <f t="shared" si="20"/>
        <v>2.09679999846376</v>
      </c>
      <c r="R157" s="9">
        <v>44.9</v>
      </c>
      <c r="S157" s="9">
        <v>60.5</v>
      </c>
      <c r="T157" s="9">
        <v>137.7</v>
      </c>
      <c r="U157" s="9">
        <v>8733</v>
      </c>
      <c r="V157" s="18">
        <v>0</v>
      </c>
      <c r="W157" s="18">
        <v>0</v>
      </c>
      <c r="X157" s="18">
        <f t="shared" si="21"/>
        <v>0</v>
      </c>
      <c r="Y157" s="12">
        <f t="shared" si="22"/>
        <v>3.71995059106252</v>
      </c>
      <c r="Z157" s="12">
        <f t="shared" si="23"/>
        <v>0.436336599872727</v>
      </c>
      <c r="AA157" s="19">
        <v>4115.2</v>
      </c>
      <c r="AB157" s="19">
        <v>3801.45</v>
      </c>
      <c r="AC157" s="19">
        <v>329.75</v>
      </c>
      <c r="AD157" s="19">
        <v>863.14</v>
      </c>
      <c r="AE157" s="19">
        <v>118.96</v>
      </c>
      <c r="AF157" s="19">
        <v>15.12</v>
      </c>
      <c r="AG157" s="19">
        <v>243.14</v>
      </c>
      <c r="AH157" s="19">
        <v>112.69</v>
      </c>
      <c r="AI157" s="19">
        <v>9.04</v>
      </c>
      <c r="AJ157" s="19">
        <v>384.84</v>
      </c>
      <c r="AK157" s="3">
        <f t="shared" si="19"/>
        <v>0</v>
      </c>
      <c r="AL157" s="3">
        <v>1</v>
      </c>
      <c r="AM157" s="3">
        <f t="shared" si="18"/>
        <v>0</v>
      </c>
    </row>
    <row r="158" spans="1:39">
      <c r="A158" s="7">
        <v>2006</v>
      </c>
      <c r="B158" s="7" t="s">
        <v>44</v>
      </c>
      <c r="C158" s="7">
        <v>0.12876925</v>
      </c>
      <c r="D158" s="7">
        <v>0.025584</v>
      </c>
      <c r="E158" s="7">
        <v>0.006285</v>
      </c>
      <c r="F158" s="7">
        <v>0.011486</v>
      </c>
      <c r="G158" s="7">
        <v>0.003921</v>
      </c>
      <c r="H158" s="7">
        <v>0.003893</v>
      </c>
      <c r="I158" s="7">
        <v>0.025661</v>
      </c>
      <c r="J158" s="7">
        <v>0.013128</v>
      </c>
      <c r="K158" s="16">
        <v>4500</v>
      </c>
      <c r="L158" s="17">
        <v>1075</v>
      </c>
      <c r="M158" s="16">
        <v>4462.74</v>
      </c>
      <c r="N158" s="7">
        <f t="shared" si="24"/>
        <v>4.18604651162791</v>
      </c>
      <c r="O158" s="7">
        <f t="shared" si="25"/>
        <v>1.00834913080305</v>
      </c>
      <c r="P158" s="8">
        <v>83745506.55</v>
      </c>
      <c r="Q158" s="8">
        <f t="shared" si="20"/>
        <v>1.87654908307452</v>
      </c>
      <c r="R158" s="9">
        <v>47.6</v>
      </c>
      <c r="S158" s="9">
        <v>76.1</v>
      </c>
      <c r="T158" s="9">
        <v>162.2</v>
      </c>
      <c r="U158" s="9">
        <v>10112</v>
      </c>
      <c r="V158" s="18">
        <v>0</v>
      </c>
      <c r="W158" s="18">
        <v>0</v>
      </c>
      <c r="X158" s="18">
        <f t="shared" si="21"/>
        <v>0</v>
      </c>
      <c r="Y158" s="12">
        <f t="shared" si="22"/>
        <v>3.57740717995078</v>
      </c>
      <c r="Z158" s="12">
        <f t="shared" si="23"/>
        <v>0.475444368314725</v>
      </c>
      <c r="AA158" s="19">
        <v>4525.14</v>
      </c>
      <c r="AB158" s="19">
        <v>3809.31</v>
      </c>
      <c r="AC158" s="19">
        <v>541.1</v>
      </c>
      <c r="AD158" s="19">
        <v>900.49</v>
      </c>
      <c r="AE158" s="19">
        <v>127.84</v>
      </c>
      <c r="AF158" s="19">
        <v>16.36</v>
      </c>
      <c r="AG158" s="19">
        <v>247.03</v>
      </c>
      <c r="AH158" s="19">
        <v>107.12</v>
      </c>
      <c r="AI158" s="19">
        <v>11.22</v>
      </c>
      <c r="AJ158" s="19">
        <v>445.73</v>
      </c>
      <c r="AK158" s="3">
        <f t="shared" si="19"/>
        <v>0</v>
      </c>
      <c r="AL158" s="3">
        <v>1</v>
      </c>
      <c r="AM158" s="3">
        <f t="shared" ref="AM158:AM221" si="26">AK158*AL158</f>
        <v>0</v>
      </c>
    </row>
    <row r="159" spans="1:39">
      <c r="A159" s="7">
        <v>2007</v>
      </c>
      <c r="B159" s="7" t="s">
        <v>44</v>
      </c>
      <c r="C159" s="7">
        <v>0.14090325</v>
      </c>
      <c r="D159" s="7">
        <v>0.028737</v>
      </c>
      <c r="E159" s="7">
        <v>0.007082</v>
      </c>
      <c r="F159" s="7">
        <v>0.012915</v>
      </c>
      <c r="G159" s="7">
        <v>0.004</v>
      </c>
      <c r="H159" s="7">
        <v>0.00474</v>
      </c>
      <c r="I159" s="7">
        <v>0.027384</v>
      </c>
      <c r="J159" s="7">
        <v>0.011631</v>
      </c>
      <c r="K159" s="16">
        <v>4943</v>
      </c>
      <c r="L159" s="17">
        <v>1115</v>
      </c>
      <c r="M159" s="16">
        <v>5252.76</v>
      </c>
      <c r="N159" s="7">
        <f t="shared" si="24"/>
        <v>4.43318385650224</v>
      </c>
      <c r="O159" s="7">
        <f t="shared" si="25"/>
        <v>0.941029097084199</v>
      </c>
      <c r="P159" s="8">
        <v>85546770.04</v>
      </c>
      <c r="Q159" s="8">
        <f t="shared" si="20"/>
        <v>1.628606104981</v>
      </c>
      <c r="R159" s="9">
        <v>52.3</v>
      </c>
      <c r="S159" s="9">
        <v>95.2</v>
      </c>
      <c r="T159" s="9">
        <v>196.6</v>
      </c>
      <c r="U159" s="9">
        <v>11991</v>
      </c>
      <c r="V159" s="18">
        <v>0</v>
      </c>
      <c r="W159" s="18">
        <v>0</v>
      </c>
      <c r="X159" s="18">
        <f t="shared" si="21"/>
        <v>0</v>
      </c>
      <c r="Y159" s="12">
        <f t="shared" si="22"/>
        <v>3.23986794305777</v>
      </c>
      <c r="Z159" s="12">
        <f t="shared" si="23"/>
        <v>0.497323306503681</v>
      </c>
      <c r="AA159" s="19">
        <v>4944.49</v>
      </c>
      <c r="AB159" s="19">
        <v>3926.7</v>
      </c>
      <c r="AC159" s="19">
        <v>667.75</v>
      </c>
      <c r="AD159" s="19">
        <v>950.14</v>
      </c>
      <c r="AE159" s="19">
        <v>140.15</v>
      </c>
      <c r="AF159" s="19">
        <v>19.38</v>
      </c>
      <c r="AG159" s="19">
        <v>260.84</v>
      </c>
      <c r="AH159" s="19">
        <v>89.63</v>
      </c>
      <c r="AI159" s="19">
        <v>14.27</v>
      </c>
      <c r="AJ159" s="19">
        <v>510.68</v>
      </c>
      <c r="AK159" s="3">
        <f t="shared" ref="AK159:AK222" si="27">IF(A159&gt;=2013,1,0)</f>
        <v>0</v>
      </c>
      <c r="AL159" s="3">
        <v>1</v>
      </c>
      <c r="AM159" s="3">
        <f t="shared" si="26"/>
        <v>0</v>
      </c>
    </row>
    <row r="160" spans="1:39">
      <c r="A160" s="7">
        <v>2008</v>
      </c>
      <c r="B160" s="7" t="s">
        <v>44</v>
      </c>
      <c r="C160" s="7">
        <v>0.1409482</v>
      </c>
      <c r="D160" s="7">
        <v>0.027196</v>
      </c>
      <c r="E160" s="7">
        <v>0.006378</v>
      </c>
      <c r="F160" s="7">
        <v>0.012125</v>
      </c>
      <c r="G160" s="7">
        <v>0.003828</v>
      </c>
      <c r="H160" s="7">
        <v>0.004864</v>
      </c>
      <c r="I160" s="7">
        <v>0.027254</v>
      </c>
      <c r="J160" s="7">
        <v>0.013905</v>
      </c>
      <c r="K160" s="16">
        <v>5364</v>
      </c>
      <c r="L160" s="17">
        <v>1176</v>
      </c>
      <c r="M160" s="16">
        <v>6719.01</v>
      </c>
      <c r="N160" s="7">
        <f t="shared" si="24"/>
        <v>4.56122448979592</v>
      </c>
      <c r="O160" s="7">
        <f t="shared" si="25"/>
        <v>0.798331897109842</v>
      </c>
      <c r="P160" s="8">
        <v>87992904.18</v>
      </c>
      <c r="Q160" s="8">
        <f t="shared" si="20"/>
        <v>1.30961115074989</v>
      </c>
      <c r="R160" s="9">
        <v>57.6</v>
      </c>
      <c r="S160" s="9">
        <v>110.8</v>
      </c>
      <c r="T160" s="9">
        <v>229.8</v>
      </c>
      <c r="U160" s="9">
        <v>13703</v>
      </c>
      <c r="V160" s="18">
        <v>0</v>
      </c>
      <c r="W160" s="18">
        <v>0</v>
      </c>
      <c r="X160" s="18">
        <f t="shared" si="21"/>
        <v>0</v>
      </c>
      <c r="Y160" s="12">
        <f t="shared" si="22"/>
        <v>2.71728515287532</v>
      </c>
      <c r="Z160" s="12">
        <f t="shared" si="23"/>
        <v>0.518044269529786</v>
      </c>
      <c r="AA160" s="19">
        <v>5364</v>
      </c>
      <c r="AB160" s="19">
        <v>3973</v>
      </c>
      <c r="AC160" s="19">
        <v>719.23</v>
      </c>
      <c r="AD160" s="19">
        <v>790.33</v>
      </c>
      <c r="AE160" s="19">
        <v>148.76</v>
      </c>
      <c r="AF160" s="19">
        <v>18.13</v>
      </c>
      <c r="AG160" s="19">
        <v>289.76</v>
      </c>
      <c r="AH160" s="19">
        <v>92.49</v>
      </c>
      <c r="AI160" s="19">
        <v>16.84</v>
      </c>
      <c r="AJ160" s="19">
        <v>535.26</v>
      </c>
      <c r="AK160" s="3">
        <f t="shared" si="27"/>
        <v>0</v>
      </c>
      <c r="AL160" s="3">
        <v>1</v>
      </c>
      <c r="AM160" s="3">
        <f t="shared" si="26"/>
        <v>0</v>
      </c>
    </row>
    <row r="161" spans="1:39">
      <c r="A161" s="7">
        <v>2009</v>
      </c>
      <c r="B161" s="7" t="s">
        <v>44</v>
      </c>
      <c r="C161" s="7">
        <v>0.15564408</v>
      </c>
      <c r="D161" s="7">
        <v>0.029767</v>
      </c>
      <c r="E161" s="7">
        <v>0.007569</v>
      </c>
      <c r="F161" s="7">
        <v>0.013491</v>
      </c>
      <c r="G161" s="7">
        <v>0.004368</v>
      </c>
      <c r="H161" s="7">
        <v>0.004339</v>
      </c>
      <c r="I161" s="7">
        <v>0.030224</v>
      </c>
      <c r="J161" s="7">
        <v>0.014473</v>
      </c>
      <c r="K161" s="16">
        <v>5874</v>
      </c>
      <c r="L161" s="17">
        <v>1228.16</v>
      </c>
      <c r="M161" s="16">
        <v>7521.85</v>
      </c>
      <c r="N161" s="7">
        <f t="shared" si="24"/>
        <v>4.78276446065659</v>
      </c>
      <c r="O161" s="7">
        <f t="shared" si="25"/>
        <v>0.780924905442145</v>
      </c>
      <c r="P161" s="8">
        <v>106890568.5</v>
      </c>
      <c r="Q161" s="8">
        <f t="shared" si="20"/>
        <v>1.42106753657677</v>
      </c>
      <c r="R161" s="9">
        <v>60.5</v>
      </c>
      <c r="S161" s="9">
        <v>130.1</v>
      </c>
      <c r="T161" s="9">
        <v>255.1</v>
      </c>
      <c r="U161" s="9">
        <v>15154</v>
      </c>
      <c r="V161" s="18">
        <v>0</v>
      </c>
      <c r="W161" s="18">
        <v>0</v>
      </c>
      <c r="X161" s="18">
        <f t="shared" si="21"/>
        <v>0</v>
      </c>
      <c r="Y161" s="12">
        <f t="shared" si="22"/>
        <v>2.66960201713366</v>
      </c>
      <c r="Z161" s="12">
        <f t="shared" si="23"/>
        <v>0.467685622255198</v>
      </c>
      <c r="AA161" s="19">
        <v>5874</v>
      </c>
      <c r="AB161" s="19">
        <v>4120</v>
      </c>
      <c r="AC161" s="19">
        <v>868.65</v>
      </c>
      <c r="AD161" s="19">
        <v>844.64</v>
      </c>
      <c r="AE161" s="19">
        <v>181.03</v>
      </c>
      <c r="AF161" s="19">
        <v>20.73</v>
      </c>
      <c r="AG161" s="19">
        <v>303.57</v>
      </c>
      <c r="AH161" s="19">
        <v>94.65</v>
      </c>
      <c r="AI161" s="19">
        <v>18.12</v>
      </c>
      <c r="AJ161" s="19">
        <v>576.92</v>
      </c>
      <c r="AK161" s="3">
        <f t="shared" si="27"/>
        <v>0</v>
      </c>
      <c r="AL161" s="3">
        <v>1</v>
      </c>
      <c r="AM161" s="3">
        <f t="shared" si="26"/>
        <v>0</v>
      </c>
    </row>
    <row r="162" spans="1:39">
      <c r="A162" s="7">
        <v>2010</v>
      </c>
      <c r="B162" s="7" t="s">
        <v>44</v>
      </c>
      <c r="C162" s="7">
        <v>0.17882825</v>
      </c>
      <c r="D162" s="7">
        <v>0.033374</v>
      </c>
      <c r="E162" s="7">
        <v>0.008572</v>
      </c>
      <c r="F162" s="7">
        <v>0.015045</v>
      </c>
      <c r="G162" s="7">
        <v>0.0051</v>
      </c>
      <c r="H162" s="7">
        <v>0.004656</v>
      </c>
      <c r="I162" s="7">
        <v>0.032866</v>
      </c>
      <c r="J162" s="7">
        <v>0.01617</v>
      </c>
      <c r="K162" s="16">
        <v>6818</v>
      </c>
      <c r="L162" s="17">
        <v>1299.29</v>
      </c>
      <c r="M162" s="16">
        <v>9224.46</v>
      </c>
      <c r="N162" s="7">
        <f t="shared" si="24"/>
        <v>5.24748131671913</v>
      </c>
      <c r="O162" s="7">
        <f t="shared" si="25"/>
        <v>0.739121856455554</v>
      </c>
      <c r="P162" s="8">
        <v>118617239.5</v>
      </c>
      <c r="Q162" s="8">
        <f t="shared" si="20"/>
        <v>1.28589900655431</v>
      </c>
      <c r="R162" s="9">
        <v>64.8</v>
      </c>
      <c r="S162" s="9">
        <v>155</v>
      </c>
      <c r="T162" s="9">
        <v>293.1</v>
      </c>
      <c r="U162" s="9">
        <v>17209</v>
      </c>
      <c r="V162" s="18">
        <v>0</v>
      </c>
      <c r="W162" s="18">
        <v>0</v>
      </c>
      <c r="X162" s="18">
        <f t="shared" si="21"/>
        <v>0</v>
      </c>
      <c r="Y162" s="12">
        <f t="shared" si="22"/>
        <v>2.40850270516871</v>
      </c>
      <c r="Z162" s="12">
        <f t="shared" si="23"/>
        <v>0.466100244025162</v>
      </c>
      <c r="AA162" s="19">
        <v>6818.08</v>
      </c>
      <c r="AB162" s="19">
        <v>4806.79</v>
      </c>
      <c r="AC162" s="19">
        <v>663.91</v>
      </c>
      <c r="AD162" s="19">
        <v>1566.79</v>
      </c>
      <c r="AE162" s="19">
        <v>205.12</v>
      </c>
      <c r="AF162" s="19">
        <v>21.4</v>
      </c>
      <c r="AG162" s="19">
        <v>333.54</v>
      </c>
      <c r="AH162" s="19">
        <v>143.69</v>
      </c>
      <c r="AI162" s="19">
        <v>22.93</v>
      </c>
      <c r="AJ162" s="19">
        <v>645.74</v>
      </c>
      <c r="AK162" s="3">
        <f t="shared" si="27"/>
        <v>0</v>
      </c>
      <c r="AL162" s="3">
        <v>1</v>
      </c>
      <c r="AM162" s="3">
        <f t="shared" si="26"/>
        <v>0</v>
      </c>
    </row>
    <row r="163" spans="1:39">
      <c r="A163" s="7">
        <v>2011</v>
      </c>
      <c r="B163" s="7" t="s">
        <v>44</v>
      </c>
      <c r="C163" s="7">
        <v>0.17050266</v>
      </c>
      <c r="D163" s="7">
        <v>0.032471</v>
      </c>
      <c r="E163" s="7">
        <v>0.008576</v>
      </c>
      <c r="F163" s="7">
        <v>0.014724</v>
      </c>
      <c r="G163" s="7">
        <v>0.004789</v>
      </c>
      <c r="H163" s="7">
        <v>0.004382</v>
      </c>
      <c r="I163" s="7">
        <v>0.030922</v>
      </c>
      <c r="J163" s="7">
        <v>0.015765</v>
      </c>
      <c r="K163" s="16">
        <v>7598</v>
      </c>
      <c r="L163" s="17">
        <v>1341</v>
      </c>
      <c r="M163" s="16">
        <v>11307.28</v>
      </c>
      <c r="N163" s="7">
        <f t="shared" si="24"/>
        <v>5.66592095451156</v>
      </c>
      <c r="O163" s="7">
        <f t="shared" si="25"/>
        <v>0.67195647405919</v>
      </c>
      <c r="P163" s="8">
        <v>123694165.5</v>
      </c>
      <c r="Q163" s="8">
        <f t="shared" si="20"/>
        <v>1.09393386826894</v>
      </c>
      <c r="R163" s="9">
        <v>69.8</v>
      </c>
      <c r="S163" s="9">
        <v>195.6</v>
      </c>
      <c r="T163" s="9">
        <v>346.1</v>
      </c>
      <c r="U163" s="9">
        <v>20083</v>
      </c>
      <c r="V163" s="18">
        <v>0</v>
      </c>
      <c r="W163" s="18">
        <v>0</v>
      </c>
      <c r="X163" s="18">
        <f t="shared" si="21"/>
        <v>0</v>
      </c>
      <c r="Y163" s="12">
        <f t="shared" si="22"/>
        <v>2.18035126729488</v>
      </c>
      <c r="Z163" s="12">
        <f t="shared" si="23"/>
        <v>0.498276316904586</v>
      </c>
      <c r="AA163" s="19">
        <v>7598</v>
      </c>
      <c r="AB163" s="19">
        <v>5262</v>
      </c>
      <c r="AC163" s="19">
        <v>709.48</v>
      </c>
      <c r="AD163" s="19">
        <v>1754.02</v>
      </c>
      <c r="AE163" s="19">
        <v>222.57</v>
      </c>
      <c r="AF163" s="19">
        <v>24.53</v>
      </c>
      <c r="AG163" s="19">
        <v>360.66</v>
      </c>
      <c r="AH163" s="19">
        <v>149.96</v>
      </c>
      <c r="AI163" s="19">
        <v>26.02</v>
      </c>
      <c r="AJ163" s="19">
        <v>727</v>
      </c>
      <c r="AK163" s="3">
        <f t="shared" si="27"/>
        <v>0</v>
      </c>
      <c r="AL163" s="3">
        <v>1</v>
      </c>
      <c r="AM163" s="3">
        <f t="shared" si="26"/>
        <v>0</v>
      </c>
    </row>
    <row r="164" spans="1:39">
      <c r="A164" s="7">
        <v>2012</v>
      </c>
      <c r="B164" s="7" t="s">
        <v>44</v>
      </c>
      <c r="C164" s="7">
        <v>0.18321026</v>
      </c>
      <c r="D164" s="7">
        <v>0.033549</v>
      </c>
      <c r="E164" s="7">
        <v>0.008446</v>
      </c>
      <c r="F164" s="7">
        <v>0.015316</v>
      </c>
      <c r="G164" s="7">
        <v>0.005009</v>
      </c>
      <c r="H164" s="7">
        <v>0.004778</v>
      </c>
      <c r="I164" s="7">
        <v>0.034243</v>
      </c>
      <c r="J164" s="7">
        <v>0.016898</v>
      </c>
      <c r="K164" s="16">
        <v>8208</v>
      </c>
      <c r="L164" s="17">
        <v>1378</v>
      </c>
      <c r="M164" s="16">
        <v>12893.88</v>
      </c>
      <c r="N164" s="7">
        <f t="shared" si="24"/>
        <v>5.95645863570392</v>
      </c>
      <c r="O164" s="7">
        <f t="shared" si="25"/>
        <v>0.63658107567311</v>
      </c>
      <c r="P164" s="8">
        <v>125802821.2</v>
      </c>
      <c r="Q164" s="8">
        <f t="shared" si="20"/>
        <v>0.975678548272514</v>
      </c>
      <c r="R164" s="9">
        <v>75.3</v>
      </c>
      <c r="S164" s="9">
        <v>226.1</v>
      </c>
      <c r="T164" s="9">
        <v>408.8</v>
      </c>
      <c r="U164" s="9">
        <v>22762</v>
      </c>
      <c r="V164" s="18">
        <v>0</v>
      </c>
      <c r="W164" s="18">
        <v>0</v>
      </c>
      <c r="X164" s="18">
        <f t="shared" si="21"/>
        <v>0</v>
      </c>
      <c r="Y164" s="12">
        <f t="shared" si="22"/>
        <v>2.01609935715007</v>
      </c>
      <c r="Z164" s="12">
        <f t="shared" si="23"/>
        <v>0.516056316960629</v>
      </c>
      <c r="AA164" s="19">
        <v>8208.01</v>
      </c>
      <c r="AB164" s="19">
        <v>5298</v>
      </c>
      <c r="AC164" s="19">
        <v>882.72</v>
      </c>
      <c r="AD164" s="19">
        <v>1544.62</v>
      </c>
      <c r="AE164" s="19">
        <v>253.75</v>
      </c>
      <c r="AF164" s="19">
        <v>29.41</v>
      </c>
      <c r="AG164" s="19">
        <v>378.17</v>
      </c>
      <c r="AH164" s="19">
        <v>122.33</v>
      </c>
      <c r="AI164" s="19">
        <v>32.58</v>
      </c>
      <c r="AJ164" s="19">
        <v>767.13</v>
      </c>
      <c r="AK164" s="3">
        <f t="shared" si="27"/>
        <v>0</v>
      </c>
      <c r="AL164" s="3">
        <v>1</v>
      </c>
      <c r="AM164" s="3">
        <f t="shared" si="26"/>
        <v>0</v>
      </c>
    </row>
    <row r="165" spans="1:39">
      <c r="A165" s="7">
        <v>2013</v>
      </c>
      <c r="B165" s="7" t="s">
        <v>44</v>
      </c>
      <c r="C165" s="7">
        <v>0.19382457</v>
      </c>
      <c r="D165" s="7">
        <v>0.035551</v>
      </c>
      <c r="E165" s="7">
        <v>0.008739</v>
      </c>
      <c r="F165" s="7">
        <v>0.015852</v>
      </c>
      <c r="G165" s="7">
        <v>0.005303</v>
      </c>
      <c r="H165" s="7">
        <v>0.005658</v>
      </c>
      <c r="I165" s="7">
        <v>0.03522</v>
      </c>
      <c r="J165" s="7">
        <v>0.016559</v>
      </c>
      <c r="K165" s="16">
        <v>7882</v>
      </c>
      <c r="L165" s="17">
        <v>1410</v>
      </c>
      <c r="M165" s="16">
        <v>14442.01</v>
      </c>
      <c r="N165" s="7">
        <f t="shared" si="24"/>
        <v>5.59007092198582</v>
      </c>
      <c r="O165" s="7">
        <f t="shared" si="25"/>
        <v>0.545768906128718</v>
      </c>
      <c r="P165" s="8">
        <v>129211063.8</v>
      </c>
      <c r="Q165" s="8">
        <f t="shared" si="20"/>
        <v>0.894688923494721</v>
      </c>
      <c r="R165" s="9">
        <v>81.2</v>
      </c>
      <c r="S165" s="9">
        <v>270.8</v>
      </c>
      <c r="T165" s="9">
        <v>476.2</v>
      </c>
      <c r="U165" s="9">
        <v>26209</v>
      </c>
      <c r="V165" s="18">
        <v>0</v>
      </c>
      <c r="W165" s="18">
        <v>0</v>
      </c>
      <c r="X165" s="18">
        <f t="shared" si="21"/>
        <v>0</v>
      </c>
      <c r="Y165" s="12">
        <f t="shared" si="22"/>
        <v>1.91398219724656</v>
      </c>
      <c r="Z165" s="12">
        <f t="shared" si="23"/>
        <v>0.532551073472985</v>
      </c>
      <c r="AA165" s="19">
        <v>7882</v>
      </c>
      <c r="AB165" s="19">
        <v>5278.67</v>
      </c>
      <c r="AC165" s="19">
        <v>955.48</v>
      </c>
      <c r="AD165" s="19">
        <v>1759.15</v>
      </c>
      <c r="AE165" s="19">
        <v>212.24</v>
      </c>
      <c r="AF165" s="19">
        <v>56.12</v>
      </c>
      <c r="AG165" s="19">
        <v>324.65</v>
      </c>
      <c r="AH165" s="19">
        <v>86.93</v>
      </c>
      <c r="AI165" s="19">
        <v>37.79</v>
      </c>
      <c r="AJ165" s="19">
        <v>774.49</v>
      </c>
      <c r="AK165" s="3">
        <f t="shared" si="27"/>
        <v>1</v>
      </c>
      <c r="AL165" s="3">
        <v>1</v>
      </c>
      <c r="AM165" s="3">
        <f t="shared" si="26"/>
        <v>1</v>
      </c>
    </row>
    <row r="166" spans="1:39">
      <c r="A166" s="7">
        <v>2014</v>
      </c>
      <c r="B166" s="7" t="s">
        <v>44</v>
      </c>
      <c r="C166" s="7">
        <v>0.18348397</v>
      </c>
      <c r="D166" s="7">
        <v>0.034307</v>
      </c>
      <c r="E166" s="7">
        <v>0.008641</v>
      </c>
      <c r="F166" s="7">
        <v>0.015014</v>
      </c>
      <c r="G166" s="7">
        <v>0.005218</v>
      </c>
      <c r="H166" s="7">
        <v>0.005435</v>
      </c>
      <c r="I166" s="7">
        <v>0.032696</v>
      </c>
      <c r="J166" s="7">
        <v>0.015828</v>
      </c>
      <c r="K166" s="16">
        <v>8145</v>
      </c>
      <c r="L166" s="17">
        <v>1429</v>
      </c>
      <c r="M166" s="16">
        <v>15726.93</v>
      </c>
      <c r="N166" s="7">
        <f t="shared" si="24"/>
        <v>5.69979006298111</v>
      </c>
      <c r="O166" s="7">
        <f t="shared" si="25"/>
        <v>0.517901459471111</v>
      </c>
      <c r="P166" s="8">
        <v>133566584.8</v>
      </c>
      <c r="Q166" s="8">
        <f t="shared" si="20"/>
        <v>0.849285809754351</v>
      </c>
      <c r="R166" s="9">
        <v>88.1</v>
      </c>
      <c r="S166" s="9">
        <v>310.3</v>
      </c>
      <c r="T166" s="9">
        <v>541.3</v>
      </c>
      <c r="U166" s="9">
        <v>29275</v>
      </c>
      <c r="V166" s="18">
        <v>0</v>
      </c>
      <c r="W166" s="18">
        <v>0</v>
      </c>
      <c r="X166" s="18">
        <f t="shared" si="21"/>
        <v>0</v>
      </c>
      <c r="Y166" s="12">
        <f t="shared" si="22"/>
        <v>1.79640226266579</v>
      </c>
      <c r="Z166" s="12">
        <f t="shared" si="23"/>
        <v>0.527229603633406</v>
      </c>
      <c r="AA166" s="19">
        <v>8145.06</v>
      </c>
      <c r="AB166" s="19">
        <v>5027.28</v>
      </c>
      <c r="AC166" s="19">
        <v>954.39</v>
      </c>
      <c r="AD166" s="19">
        <v>1603.17</v>
      </c>
      <c r="AE166" s="19">
        <v>226.82</v>
      </c>
      <c r="AF166" s="19">
        <v>59.85</v>
      </c>
      <c r="AG166" s="19">
        <v>334.43</v>
      </c>
      <c r="AH166" s="19">
        <v>78.2</v>
      </c>
      <c r="AI166" s="19">
        <v>45.49</v>
      </c>
      <c r="AJ166" s="19">
        <v>794.36</v>
      </c>
      <c r="AK166" s="3">
        <f t="shared" si="27"/>
        <v>1</v>
      </c>
      <c r="AL166" s="3">
        <v>1</v>
      </c>
      <c r="AM166" s="3">
        <f t="shared" si="26"/>
        <v>1</v>
      </c>
    </row>
    <row r="167" spans="1:39">
      <c r="A167" s="7">
        <v>2015</v>
      </c>
      <c r="B167" s="7" t="s">
        <v>44</v>
      </c>
      <c r="C167" s="7">
        <v>0.19861336</v>
      </c>
      <c r="D167" s="7">
        <v>0.037034</v>
      </c>
      <c r="E167" s="7">
        <v>0.009446</v>
      </c>
      <c r="F167" s="7">
        <v>0.016652</v>
      </c>
      <c r="G167" s="7">
        <v>0.005681</v>
      </c>
      <c r="H167" s="7">
        <v>0.005255</v>
      </c>
      <c r="I167" s="7">
        <v>0.035287</v>
      </c>
      <c r="J167" s="7">
        <v>0.016448</v>
      </c>
      <c r="K167" s="16">
        <v>8319</v>
      </c>
      <c r="L167" s="17">
        <v>1439</v>
      </c>
      <c r="M167" s="16">
        <v>16538.19</v>
      </c>
      <c r="N167" s="7">
        <f t="shared" si="24"/>
        <v>5.78109798471161</v>
      </c>
      <c r="O167" s="7">
        <f t="shared" si="25"/>
        <v>0.503017561172051</v>
      </c>
      <c r="P167" s="8">
        <v>128589778.8</v>
      </c>
      <c r="Q167" s="8">
        <f t="shared" si="20"/>
        <v>0.777532358740588</v>
      </c>
      <c r="R167" s="9">
        <v>93.6</v>
      </c>
      <c r="S167" s="9">
        <v>341.8</v>
      </c>
      <c r="T167" s="9">
        <v>607.6</v>
      </c>
      <c r="U167" s="9">
        <v>31847</v>
      </c>
      <c r="V167" s="18">
        <v>0</v>
      </c>
      <c r="W167" s="18">
        <v>0</v>
      </c>
      <c r="X167" s="18">
        <f t="shared" si="21"/>
        <v>0</v>
      </c>
      <c r="Y167" s="12">
        <f t="shared" si="22"/>
        <v>1.71577514742415</v>
      </c>
      <c r="Z167" s="12">
        <f t="shared" si="23"/>
        <v>0.546833185042994</v>
      </c>
      <c r="AA167" s="19">
        <v>8319</v>
      </c>
      <c r="AB167" s="19">
        <v>4538.83</v>
      </c>
      <c r="AC167" s="19">
        <v>904.69</v>
      </c>
      <c r="AD167" s="19">
        <v>1616.72</v>
      </c>
      <c r="AE167" s="19">
        <v>267.22</v>
      </c>
      <c r="AF167" s="19">
        <v>65.78</v>
      </c>
      <c r="AG167" s="19">
        <v>390.57</v>
      </c>
      <c r="AH167" s="19">
        <v>94.14</v>
      </c>
      <c r="AI167" s="19">
        <v>63.98</v>
      </c>
      <c r="AJ167" s="19">
        <v>801</v>
      </c>
      <c r="AK167" s="3">
        <f t="shared" si="27"/>
        <v>1</v>
      </c>
      <c r="AL167" s="3">
        <v>1</v>
      </c>
      <c r="AM167" s="3">
        <f t="shared" si="26"/>
        <v>1</v>
      </c>
    </row>
    <row r="168" spans="1:39">
      <c r="A168" s="7">
        <v>2016</v>
      </c>
      <c r="B168" s="7" t="s">
        <v>44</v>
      </c>
      <c r="C168" s="7">
        <v>0.21586185</v>
      </c>
      <c r="D168" s="7">
        <v>0.037517</v>
      </c>
      <c r="E168" s="7">
        <v>0.009652</v>
      </c>
      <c r="F168" s="7">
        <v>0.01671</v>
      </c>
      <c r="G168" s="7">
        <v>0.005705</v>
      </c>
      <c r="H168" s="7">
        <v>0.005449</v>
      </c>
      <c r="I168" s="7">
        <v>0.03848</v>
      </c>
      <c r="J168" s="7">
        <v>0.020437</v>
      </c>
      <c r="K168" s="16">
        <v>8078</v>
      </c>
      <c r="L168" s="17">
        <v>1443</v>
      </c>
      <c r="M168" s="16">
        <v>17885.39</v>
      </c>
      <c r="N168" s="7">
        <f t="shared" si="24"/>
        <v>5.5980595980596</v>
      </c>
      <c r="O168" s="7">
        <f t="shared" si="25"/>
        <v>0.451653556338442</v>
      </c>
      <c r="P168" s="8">
        <v>124786068.7</v>
      </c>
      <c r="Q168" s="8">
        <f t="shared" si="20"/>
        <v>0.69769833758168</v>
      </c>
      <c r="R168" s="9">
        <v>110.5</v>
      </c>
      <c r="S168" s="9">
        <v>390.4</v>
      </c>
      <c r="T168" s="9">
        <v>672.1</v>
      </c>
      <c r="U168" s="9">
        <v>35015</v>
      </c>
      <c r="V168" s="18">
        <v>0</v>
      </c>
      <c r="W168" s="18">
        <v>0</v>
      </c>
      <c r="X168" s="18">
        <f t="shared" si="21"/>
        <v>0</v>
      </c>
      <c r="Y168" s="12">
        <f t="shared" si="22"/>
        <v>1.62438398605541</v>
      </c>
      <c r="Z168" s="12">
        <f t="shared" si="23"/>
        <v>0.570484353717409</v>
      </c>
      <c r="AA168" s="19">
        <v>8078</v>
      </c>
      <c r="AB168" s="19">
        <v>4230.16</v>
      </c>
      <c r="AC168" s="19">
        <v>887.29</v>
      </c>
      <c r="AD168" s="19">
        <v>1433.6</v>
      </c>
      <c r="AE168" s="19">
        <v>274.79</v>
      </c>
      <c r="AF168" s="19">
        <v>82.02</v>
      </c>
      <c r="AG168" s="19">
        <v>371.76</v>
      </c>
      <c r="AH168" s="19">
        <v>45.33</v>
      </c>
      <c r="AI168" s="19">
        <v>74.53</v>
      </c>
      <c r="AJ168" s="19">
        <v>807.93</v>
      </c>
      <c r="AK168" s="3">
        <f t="shared" si="27"/>
        <v>1</v>
      </c>
      <c r="AL168" s="3">
        <v>1</v>
      </c>
      <c r="AM168" s="3">
        <f t="shared" si="26"/>
        <v>1</v>
      </c>
    </row>
    <row r="169" spans="1:39">
      <c r="A169" s="7">
        <v>2017</v>
      </c>
      <c r="B169" s="7" t="s">
        <v>44</v>
      </c>
      <c r="C169" s="7">
        <v>0.21217997</v>
      </c>
      <c r="D169" s="7">
        <v>0.037866</v>
      </c>
      <c r="E169" s="7">
        <v>0.0095</v>
      </c>
      <c r="F169" s="7">
        <v>0.016927</v>
      </c>
      <c r="G169" s="7">
        <v>0.005304</v>
      </c>
      <c r="H169" s="7">
        <v>0.006135</v>
      </c>
      <c r="I169" s="7">
        <v>0.038704</v>
      </c>
      <c r="J169" s="7">
        <v>0.018052</v>
      </c>
      <c r="K169" s="16">
        <v>7832</v>
      </c>
      <c r="L169" s="17">
        <v>1410</v>
      </c>
      <c r="M169" s="16">
        <v>18549.19</v>
      </c>
      <c r="N169" s="7">
        <f t="shared" si="24"/>
        <v>5.55460992907801</v>
      </c>
      <c r="O169" s="7">
        <f t="shared" si="25"/>
        <v>0.422228679527246</v>
      </c>
      <c r="P169" s="8">
        <v>125899974.7</v>
      </c>
      <c r="Q169" s="8">
        <f t="shared" si="20"/>
        <v>0.678735700588543</v>
      </c>
      <c r="R169" s="9">
        <v>118.2</v>
      </c>
      <c r="S169" s="9">
        <v>469.6</v>
      </c>
      <c r="T169" s="9">
        <v>761.2</v>
      </c>
      <c r="U169" s="9">
        <v>39158</v>
      </c>
      <c r="V169" s="18">
        <v>1</v>
      </c>
      <c r="W169" s="18">
        <v>0</v>
      </c>
      <c r="X169" s="18">
        <f t="shared" si="21"/>
        <v>0</v>
      </c>
      <c r="Y169" s="12">
        <f t="shared" si="22"/>
        <v>1.56738551218677</v>
      </c>
      <c r="Z169" s="12">
        <f t="shared" si="23"/>
        <v>0.56696314001168</v>
      </c>
      <c r="AA169" s="19">
        <v>7832</v>
      </c>
      <c r="AB169" s="19">
        <v>3875.61</v>
      </c>
      <c r="AC169" s="19">
        <v>808.7</v>
      </c>
      <c r="AD169" s="19">
        <v>1624.85</v>
      </c>
      <c r="AE169" s="19">
        <v>274.16</v>
      </c>
      <c r="AF169" s="19">
        <v>101.5</v>
      </c>
      <c r="AG169" s="19">
        <v>349.11</v>
      </c>
      <c r="AH169" s="19">
        <v>40.68</v>
      </c>
      <c r="AI169" s="19">
        <v>83.31</v>
      </c>
      <c r="AJ169" s="19">
        <v>805.59</v>
      </c>
      <c r="AK169" s="3">
        <f t="shared" si="27"/>
        <v>1</v>
      </c>
      <c r="AL169" s="3">
        <v>1</v>
      </c>
      <c r="AM169" s="3">
        <f t="shared" si="26"/>
        <v>1</v>
      </c>
    </row>
    <row r="170" spans="1:39">
      <c r="A170" s="7">
        <v>2018</v>
      </c>
      <c r="B170" s="7" t="s">
        <v>44</v>
      </c>
      <c r="C170" s="7">
        <v>0.20457732</v>
      </c>
      <c r="D170" s="7">
        <v>0.035163</v>
      </c>
      <c r="E170" s="7">
        <v>0.008738</v>
      </c>
      <c r="F170" s="7">
        <v>0.015727</v>
      </c>
      <c r="G170" s="7">
        <v>0.005123</v>
      </c>
      <c r="H170" s="7">
        <v>0.005576</v>
      </c>
      <c r="I170" s="7">
        <v>0.038014</v>
      </c>
      <c r="J170" s="7">
        <v>0.019922</v>
      </c>
      <c r="K170" s="16">
        <v>7973</v>
      </c>
      <c r="L170" s="17">
        <v>1383</v>
      </c>
      <c r="M170" s="16">
        <v>18809.64</v>
      </c>
      <c r="N170" s="7">
        <f t="shared" si="24"/>
        <v>5.76500361532899</v>
      </c>
      <c r="O170" s="7">
        <f t="shared" si="25"/>
        <v>0.423878394270172</v>
      </c>
      <c r="P170" s="8">
        <v>136199726</v>
      </c>
      <c r="Q170" s="8">
        <f t="shared" si="20"/>
        <v>0.724095336221214</v>
      </c>
      <c r="R170" s="9">
        <v>128.3</v>
      </c>
      <c r="S170" s="9">
        <v>582.7</v>
      </c>
      <c r="T170" s="9">
        <v>837.3</v>
      </c>
      <c r="U170" s="9">
        <v>44051</v>
      </c>
      <c r="V170" s="18">
        <v>1</v>
      </c>
      <c r="W170" s="18">
        <v>0</v>
      </c>
      <c r="X170" s="18">
        <f t="shared" si="21"/>
        <v>0</v>
      </c>
      <c r="Y170" s="12">
        <f t="shared" si="22"/>
        <v>1.51591455826218</v>
      </c>
      <c r="Z170" s="12">
        <f t="shared" si="23"/>
        <v>0.522337632899768</v>
      </c>
      <c r="AA170" s="19">
        <v>7973</v>
      </c>
      <c r="AB170" s="19">
        <v>3832.89</v>
      </c>
      <c r="AC170" s="19">
        <v>867.23</v>
      </c>
      <c r="AD170" s="19">
        <v>1688.23</v>
      </c>
      <c r="AE170" s="19">
        <v>273.65</v>
      </c>
      <c r="AF170" s="19">
        <v>108.92</v>
      </c>
      <c r="AG170" s="19">
        <v>326.06</v>
      </c>
      <c r="AH170" s="19">
        <v>46.99</v>
      </c>
      <c r="AI170" s="19">
        <v>104.03</v>
      </c>
      <c r="AJ170" s="19">
        <v>861.44</v>
      </c>
      <c r="AK170" s="3">
        <f t="shared" si="27"/>
        <v>1</v>
      </c>
      <c r="AL170" s="3">
        <v>1</v>
      </c>
      <c r="AM170" s="3">
        <f t="shared" si="26"/>
        <v>1</v>
      </c>
    </row>
    <row r="171" spans="1:39">
      <c r="A171" s="7">
        <v>2019</v>
      </c>
      <c r="B171" s="7" t="s">
        <v>44</v>
      </c>
      <c r="C171" s="7">
        <v>0.22071847</v>
      </c>
      <c r="D171" s="7">
        <v>0.040011</v>
      </c>
      <c r="E171" s="7">
        <v>0.010172</v>
      </c>
      <c r="F171" s="7">
        <v>0.018334</v>
      </c>
      <c r="G171" s="7">
        <v>0.006146</v>
      </c>
      <c r="H171" s="7">
        <v>0.005359</v>
      </c>
      <c r="I171" s="7">
        <v>0.038094</v>
      </c>
      <c r="J171" s="7">
        <v>0.019074</v>
      </c>
      <c r="K171" s="16">
        <v>8241</v>
      </c>
      <c r="L171" s="17">
        <v>1385</v>
      </c>
      <c r="M171" s="16">
        <v>14104.28</v>
      </c>
      <c r="N171" s="7">
        <f t="shared" si="24"/>
        <v>5.95018050541516</v>
      </c>
      <c r="O171" s="7">
        <f t="shared" si="25"/>
        <v>0.584290725935673</v>
      </c>
      <c r="P171" s="8">
        <v>142123146.6</v>
      </c>
      <c r="Q171" s="8">
        <f t="shared" si="20"/>
        <v>1.00765970754977</v>
      </c>
      <c r="R171" s="9">
        <v>138.2</v>
      </c>
      <c r="S171" s="9">
        <v>635.6</v>
      </c>
      <c r="T171" s="9">
        <v>924</v>
      </c>
      <c r="U171" s="9">
        <v>47491</v>
      </c>
      <c r="V171" s="18">
        <v>1</v>
      </c>
      <c r="W171" s="18">
        <v>0</v>
      </c>
      <c r="X171" s="18">
        <f t="shared" si="21"/>
        <v>0</v>
      </c>
      <c r="Y171" s="12">
        <f t="shared" si="22"/>
        <v>1.5000536746505</v>
      </c>
      <c r="Z171" s="12">
        <f t="shared" si="23"/>
        <v>0.32825089889897</v>
      </c>
      <c r="AA171" s="19">
        <v>8241</v>
      </c>
      <c r="AB171" s="19">
        <v>3766.11</v>
      </c>
      <c r="AC171" s="19">
        <v>903.99</v>
      </c>
      <c r="AD171" s="19">
        <v>1693.35</v>
      </c>
      <c r="AE171" s="19">
        <v>284.46</v>
      </c>
      <c r="AF171" s="19">
        <v>110.58</v>
      </c>
      <c r="AG171" s="19">
        <v>316.92</v>
      </c>
      <c r="AH171" s="19">
        <v>50</v>
      </c>
      <c r="AI171" s="19">
        <v>110.61</v>
      </c>
      <c r="AJ171" s="19">
        <v>878.43</v>
      </c>
      <c r="AK171" s="3">
        <f t="shared" si="27"/>
        <v>1</v>
      </c>
      <c r="AL171" s="3">
        <v>1</v>
      </c>
      <c r="AM171" s="3">
        <f t="shared" si="26"/>
        <v>1</v>
      </c>
    </row>
    <row r="172" spans="1:39">
      <c r="A172" s="7">
        <v>2020</v>
      </c>
      <c r="B172" s="7" t="s">
        <v>44</v>
      </c>
      <c r="C172" s="7">
        <v>0.25151895</v>
      </c>
      <c r="D172" s="7">
        <v>0.044127</v>
      </c>
      <c r="E172" s="7">
        <v>0.010533</v>
      </c>
      <c r="F172" s="7">
        <v>0.020151</v>
      </c>
      <c r="G172" s="7">
        <v>0.006298</v>
      </c>
      <c r="H172" s="7">
        <v>0.007145</v>
      </c>
      <c r="I172" s="7">
        <v>0.04425</v>
      </c>
      <c r="J172" s="7">
        <v>0.020151</v>
      </c>
      <c r="K172" s="16">
        <v>8104.6</v>
      </c>
      <c r="L172" s="17">
        <v>1386.6</v>
      </c>
      <c r="M172" s="16">
        <v>14083.73</v>
      </c>
      <c r="N172" s="7">
        <f t="shared" si="24"/>
        <v>5.84494446848406</v>
      </c>
      <c r="O172" s="7">
        <f t="shared" si="25"/>
        <v>0.575458348037061</v>
      </c>
      <c r="P172" s="8">
        <v>139913364.4</v>
      </c>
      <c r="Q172" s="8">
        <f t="shared" si="20"/>
        <v>0.99343969530799</v>
      </c>
      <c r="R172" s="9">
        <v>150.3</v>
      </c>
      <c r="S172" s="9">
        <v>714.9</v>
      </c>
      <c r="T172" s="9">
        <v>1037.5</v>
      </c>
      <c r="U172" s="9">
        <v>52280</v>
      </c>
      <c r="V172" s="18">
        <v>1</v>
      </c>
      <c r="W172" s="18">
        <v>0</v>
      </c>
      <c r="X172" s="18">
        <f t="shared" si="21"/>
        <v>0</v>
      </c>
      <c r="Y172" s="12">
        <f t="shared" si="22"/>
        <v>1.47141701078949</v>
      </c>
      <c r="Z172" s="12">
        <f t="shared" si="23"/>
        <v>0.324841504465849</v>
      </c>
      <c r="AA172" s="19">
        <v>8104.6</v>
      </c>
      <c r="AB172" s="19">
        <v>3745.28</v>
      </c>
      <c r="AC172" s="19">
        <v>929.37</v>
      </c>
      <c r="AD172" s="19">
        <v>1394.16</v>
      </c>
      <c r="AE172" s="19">
        <v>284.73</v>
      </c>
      <c r="AF172" s="19">
        <v>85.32</v>
      </c>
      <c r="AG172" s="19">
        <v>325.05</v>
      </c>
      <c r="AH172" s="19">
        <v>52.61</v>
      </c>
      <c r="AI172" s="19">
        <v>117.03</v>
      </c>
      <c r="AJ172" s="19">
        <v>875</v>
      </c>
      <c r="AK172" s="3">
        <f t="shared" si="27"/>
        <v>1</v>
      </c>
      <c r="AL172" s="3">
        <v>1</v>
      </c>
      <c r="AM172" s="3">
        <f t="shared" si="26"/>
        <v>1</v>
      </c>
    </row>
    <row r="173" spans="1:39">
      <c r="A173" s="7">
        <v>2021</v>
      </c>
      <c r="B173" s="7" t="s">
        <v>44</v>
      </c>
      <c r="C173" s="7">
        <v>0.24575624</v>
      </c>
      <c r="D173" s="7">
        <v>0.041247</v>
      </c>
      <c r="E173" s="7">
        <v>0.010403</v>
      </c>
      <c r="F173" s="7">
        <v>0.018254</v>
      </c>
      <c r="G173" s="7">
        <v>0.005786</v>
      </c>
      <c r="H173" s="7">
        <v>0.006804</v>
      </c>
      <c r="I173" s="7">
        <v>0.044486</v>
      </c>
      <c r="J173" s="7">
        <v>0.022127</v>
      </c>
      <c r="K173" s="16">
        <v>8205.69</v>
      </c>
      <c r="L173" s="17">
        <v>1373</v>
      </c>
      <c r="M173" s="16">
        <v>15695</v>
      </c>
      <c r="N173" s="7">
        <f t="shared" si="24"/>
        <v>5.97646758922069</v>
      </c>
      <c r="O173" s="7">
        <f t="shared" si="25"/>
        <v>0.522821917808219</v>
      </c>
      <c r="P173" s="8">
        <v>144733441.7</v>
      </c>
      <c r="Q173" s="8">
        <f t="shared" si="20"/>
        <v>0.922162737814591</v>
      </c>
      <c r="R173" s="9">
        <v>164.1</v>
      </c>
      <c r="S173" s="9">
        <v>757.3</v>
      </c>
      <c r="T173" s="9">
        <v>1158.8</v>
      </c>
      <c r="U173" s="9">
        <v>56831</v>
      </c>
      <c r="V173" s="18">
        <v>1</v>
      </c>
      <c r="W173" s="18">
        <v>0</v>
      </c>
      <c r="X173" s="18">
        <f t="shared" si="21"/>
        <v>0</v>
      </c>
      <c r="Y173" s="12">
        <f t="shared" si="22"/>
        <v>1.36781889095748</v>
      </c>
      <c r="Z173" s="12">
        <f t="shared" si="23"/>
        <v>0.325815176328589</v>
      </c>
      <c r="AA173" s="19">
        <v>8205.69</v>
      </c>
      <c r="AB173" s="19">
        <v>3723.27</v>
      </c>
      <c r="AC173" s="19">
        <v>752.06</v>
      </c>
      <c r="AD173" s="19">
        <v>1722.47</v>
      </c>
      <c r="AE173" s="19">
        <v>291.12</v>
      </c>
      <c r="AF173" s="19">
        <v>93.83</v>
      </c>
      <c r="AG173" s="19">
        <v>338.18</v>
      </c>
      <c r="AH173" s="19">
        <v>47.23</v>
      </c>
      <c r="AI173" s="19">
        <v>123.45</v>
      </c>
      <c r="AJ173" s="19">
        <v>982</v>
      </c>
      <c r="AK173" s="3">
        <f t="shared" si="27"/>
        <v>1</v>
      </c>
      <c r="AL173" s="3">
        <v>1</v>
      </c>
      <c r="AM173" s="3">
        <f t="shared" si="26"/>
        <v>1</v>
      </c>
    </row>
    <row r="174" spans="1:39">
      <c r="A174" s="7">
        <v>2022</v>
      </c>
      <c r="B174" s="7" t="s">
        <v>44</v>
      </c>
      <c r="C174" s="7">
        <v>0.29955411</v>
      </c>
      <c r="D174" s="7">
        <v>0.050651</v>
      </c>
      <c r="E174" s="7">
        <v>0.012215</v>
      </c>
      <c r="F174" s="7">
        <v>0.022241</v>
      </c>
      <c r="G174" s="7">
        <v>0.007364</v>
      </c>
      <c r="H174" s="7">
        <v>0.00883</v>
      </c>
      <c r="I174" s="7">
        <v>0.048059</v>
      </c>
      <c r="J174" s="7">
        <v>0.025067</v>
      </c>
      <c r="K174" s="16">
        <v>8121.77</v>
      </c>
      <c r="L174" s="17">
        <v>1363</v>
      </c>
      <c r="M174" s="16">
        <v>16311.3</v>
      </c>
      <c r="N174" s="7">
        <f t="shared" si="24"/>
        <v>5.95874541452678</v>
      </c>
      <c r="O174" s="7">
        <f t="shared" si="25"/>
        <v>0.497922912336846</v>
      </c>
      <c r="P174" s="8">
        <v>144468457.1</v>
      </c>
      <c r="Q174" s="8">
        <f t="shared" si="20"/>
        <v>0.885695542967145</v>
      </c>
      <c r="R174" s="9">
        <v>186.2</v>
      </c>
      <c r="S174" s="9">
        <v>787.1</v>
      </c>
      <c r="T174" s="9">
        <v>1176.8</v>
      </c>
      <c r="U174" s="9">
        <v>58908</v>
      </c>
      <c r="V174" s="18">
        <v>1</v>
      </c>
      <c r="W174" s="18">
        <v>0</v>
      </c>
      <c r="X174" s="18">
        <f t="shared" si="21"/>
        <v>0</v>
      </c>
      <c r="Y174" s="12">
        <f t="shared" si="22"/>
        <v>1.27047633725244</v>
      </c>
      <c r="Z174" s="12">
        <f t="shared" si="23"/>
        <v>0.302863408788414</v>
      </c>
      <c r="AA174" s="19">
        <v>8121.77</v>
      </c>
      <c r="AB174" s="19">
        <v>3314.72</v>
      </c>
      <c r="AC174" s="19">
        <v>704.72</v>
      </c>
      <c r="AD174" s="19">
        <v>1660.88</v>
      </c>
      <c r="AE174" s="19">
        <v>269.19</v>
      </c>
      <c r="AF174" s="19">
        <v>75.62</v>
      </c>
      <c r="AG174" s="19">
        <v>340.15</v>
      </c>
      <c r="AH174" s="19">
        <v>52.08</v>
      </c>
      <c r="AI174" s="19">
        <v>127.52</v>
      </c>
      <c r="AJ174" s="19">
        <v>1057.17</v>
      </c>
      <c r="AK174" s="3">
        <f t="shared" si="27"/>
        <v>1</v>
      </c>
      <c r="AL174" s="3">
        <v>1</v>
      </c>
      <c r="AM174" s="3">
        <f t="shared" si="26"/>
        <v>1</v>
      </c>
    </row>
    <row r="175" spans="1:39">
      <c r="A175" s="7">
        <v>2023</v>
      </c>
      <c r="B175" s="7" t="s">
        <v>44</v>
      </c>
      <c r="C175" s="7">
        <v>0.49322792</v>
      </c>
      <c r="D175" s="7">
        <v>0.066956</v>
      </c>
      <c r="E175" s="7">
        <v>0.020927</v>
      </c>
      <c r="F175" s="7">
        <v>0.033129</v>
      </c>
      <c r="G175" s="7">
        <v>0.015842</v>
      </c>
      <c r="H175" s="7">
        <v>0.017757</v>
      </c>
      <c r="I175" s="7">
        <v>0.058532</v>
      </c>
      <c r="J175" s="7">
        <v>0.034907</v>
      </c>
      <c r="K175" s="16">
        <v>8493.12</v>
      </c>
      <c r="L175" s="17">
        <v>1364</v>
      </c>
      <c r="M175" s="16">
        <v>16737.3</v>
      </c>
      <c r="N175" s="7">
        <f t="shared" si="24"/>
        <v>6.22662756598241</v>
      </c>
      <c r="O175" s="7">
        <f t="shared" si="25"/>
        <v>0.507436683336022</v>
      </c>
      <c r="P175" s="8">
        <v>149619508.8</v>
      </c>
      <c r="Q175" s="8">
        <f t="shared" si="20"/>
        <v>0.893928583463283</v>
      </c>
      <c r="R175" s="9">
        <v>215</v>
      </c>
      <c r="S175" s="9">
        <v>883</v>
      </c>
      <c r="T175" s="9">
        <v>1294.7</v>
      </c>
      <c r="U175" s="9">
        <v>65642</v>
      </c>
      <c r="V175" s="18">
        <v>1</v>
      </c>
      <c r="W175" s="18">
        <v>0</v>
      </c>
      <c r="X175" s="18">
        <f t="shared" si="21"/>
        <v>0</v>
      </c>
      <c r="Y175" s="12">
        <f t="shared" si="22"/>
        <v>1.2756783895882</v>
      </c>
      <c r="Z175" s="12">
        <f t="shared" si="23"/>
        <v>0.299252389348813</v>
      </c>
      <c r="AA175" s="12"/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3">
        <f t="shared" si="27"/>
        <v>1</v>
      </c>
      <c r="AL175" s="3">
        <v>1</v>
      </c>
      <c r="AM175" s="3">
        <f t="shared" si="26"/>
        <v>1</v>
      </c>
    </row>
    <row r="176" spans="1:39">
      <c r="A176" s="7">
        <v>2024</v>
      </c>
      <c r="B176" s="7" t="s">
        <v>44</v>
      </c>
      <c r="C176" s="7">
        <v>0.60100363</v>
      </c>
      <c r="D176" s="7">
        <v>0.076669</v>
      </c>
      <c r="E176" s="7">
        <v>0.025426</v>
      </c>
      <c r="F176" s="7">
        <v>0.038951</v>
      </c>
      <c r="G176" s="7">
        <v>0.020808</v>
      </c>
      <c r="H176" s="7">
        <v>0.02328</v>
      </c>
      <c r="I176" s="7">
        <v>0.064002</v>
      </c>
      <c r="J176" s="7">
        <v>0.039356</v>
      </c>
      <c r="K176" s="16">
        <v>8706</v>
      </c>
      <c r="L176" s="17">
        <v>1364</v>
      </c>
      <c r="M176" s="16">
        <v>18024.3</v>
      </c>
      <c r="N176" s="7">
        <f t="shared" si="24"/>
        <v>6.38269794721408</v>
      </c>
      <c r="O176" s="7">
        <f t="shared" si="25"/>
        <v>0.48301459696077</v>
      </c>
      <c r="P176" s="8">
        <v>149048395.6</v>
      </c>
      <c r="Q176" s="8">
        <f t="shared" si="20"/>
        <v>0.826930286335669</v>
      </c>
      <c r="R176" s="9">
        <v>247.5</v>
      </c>
      <c r="S176" s="9">
        <v>1016.1</v>
      </c>
      <c r="T176" s="9">
        <v>1501.4</v>
      </c>
      <c r="U176" s="9">
        <v>75237</v>
      </c>
      <c r="V176" s="18">
        <v>1</v>
      </c>
      <c r="W176" s="18">
        <v>0</v>
      </c>
      <c r="X176" s="18">
        <f t="shared" si="21"/>
        <v>0</v>
      </c>
      <c r="Y176" s="12">
        <f t="shared" si="22"/>
        <v>1.21200651315194</v>
      </c>
      <c r="Z176" s="12">
        <f t="shared" si="23"/>
        <v>0.317717951708727</v>
      </c>
      <c r="AA176" s="12"/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3">
        <f t="shared" si="27"/>
        <v>1</v>
      </c>
      <c r="AL176" s="3">
        <v>1</v>
      </c>
      <c r="AM176" s="3">
        <f t="shared" si="26"/>
        <v>1</v>
      </c>
    </row>
    <row r="177" spans="1:39">
      <c r="A177" s="7">
        <v>2000</v>
      </c>
      <c r="B177" s="7" t="s">
        <v>45</v>
      </c>
      <c r="C177" s="7">
        <v>0.0013746</v>
      </c>
      <c r="D177" s="7">
        <v>0.006574</v>
      </c>
      <c r="E177" s="7">
        <v>0.001713</v>
      </c>
      <c r="F177" s="7">
        <v>0.002792</v>
      </c>
      <c r="G177" s="7">
        <v>0.000964</v>
      </c>
      <c r="H177" s="7">
        <v>0.001105</v>
      </c>
      <c r="I177" s="7">
        <v>0.008978</v>
      </c>
      <c r="J177" s="7">
        <v>0.003867</v>
      </c>
      <c r="K177" s="16">
        <v>1179</v>
      </c>
      <c r="L177" s="17">
        <v>554</v>
      </c>
      <c r="M177" s="16">
        <v>265.57</v>
      </c>
      <c r="N177" s="7">
        <f t="shared" si="24"/>
        <v>2.12815884476534</v>
      </c>
      <c r="O177" s="7">
        <f t="shared" si="25"/>
        <v>4.43950747448884</v>
      </c>
      <c r="P177" s="8">
        <v>31352590.61</v>
      </c>
      <c r="Q177" s="8">
        <f t="shared" si="20"/>
        <v>11.8057727190571</v>
      </c>
      <c r="R177" s="9">
        <v>986.3</v>
      </c>
      <c r="S177" s="9">
        <v>5042.8</v>
      </c>
      <c r="T177" s="9">
        <v>4781.2</v>
      </c>
      <c r="U177" s="9">
        <v>12817</v>
      </c>
      <c r="V177" s="18">
        <v>0</v>
      </c>
      <c r="W177" s="18">
        <v>0</v>
      </c>
      <c r="X177" s="18">
        <f t="shared" si="21"/>
        <v>0</v>
      </c>
      <c r="Y177" s="12">
        <f t="shared" si="22"/>
        <v>4.53658228674969</v>
      </c>
      <c r="Z177" s="12">
        <f t="shared" si="23"/>
        <v>0</v>
      </c>
      <c r="AA177" s="19">
        <v>1179.43</v>
      </c>
      <c r="AB177" s="19">
        <v>1041.89</v>
      </c>
      <c r="AC177" s="19">
        <v>28.91</v>
      </c>
      <c r="AD177" s="19">
        <v>92.62</v>
      </c>
      <c r="AE177" s="19">
        <v>10.5</v>
      </c>
      <c r="AF177" s="19">
        <v>0.04</v>
      </c>
      <c r="AG177" s="19">
        <v>11.22</v>
      </c>
      <c r="AH177" s="19">
        <v>33.13</v>
      </c>
      <c r="AI177" s="19">
        <v>0.12</v>
      </c>
      <c r="AJ177" s="19">
        <v>136.17</v>
      </c>
      <c r="AK177" s="3">
        <f t="shared" si="27"/>
        <v>0</v>
      </c>
      <c r="AL177" s="3">
        <v>0</v>
      </c>
      <c r="AM177" s="3">
        <f t="shared" si="26"/>
        <v>0</v>
      </c>
    </row>
    <row r="178" spans="1:39">
      <c r="A178" s="7">
        <v>2001</v>
      </c>
      <c r="B178" s="7" t="s">
        <v>45</v>
      </c>
      <c r="C178" s="7">
        <v>0.01183629</v>
      </c>
      <c r="D178" s="7">
        <v>0.008552</v>
      </c>
      <c r="E178" s="7">
        <v>0.00223</v>
      </c>
      <c r="F178" s="7">
        <v>0.003682</v>
      </c>
      <c r="G178" s="7">
        <v>0.001311</v>
      </c>
      <c r="H178" s="7">
        <v>0.00133</v>
      </c>
      <c r="I178" s="7">
        <v>0.008604</v>
      </c>
      <c r="J178" s="7">
        <v>0.004993</v>
      </c>
      <c r="K178" s="16">
        <v>1278.5</v>
      </c>
      <c r="L178" s="17">
        <v>563.22</v>
      </c>
      <c r="M178" s="16">
        <v>337.44467</v>
      </c>
      <c r="N178" s="7">
        <f t="shared" si="24"/>
        <v>2.26998331025177</v>
      </c>
      <c r="O178" s="7">
        <f t="shared" si="25"/>
        <v>3.7887692817907</v>
      </c>
      <c r="P178" s="8">
        <v>32504740.92</v>
      </c>
      <c r="Q178" s="8">
        <f t="shared" si="20"/>
        <v>9.63261352446314</v>
      </c>
      <c r="R178" s="9">
        <v>988.8</v>
      </c>
      <c r="S178" s="9">
        <v>5564.7</v>
      </c>
      <c r="T178" s="9">
        <v>5573.1</v>
      </c>
      <c r="U178" s="9">
        <v>13952</v>
      </c>
      <c r="V178" s="18">
        <v>0</v>
      </c>
      <c r="W178" s="18">
        <v>0</v>
      </c>
      <c r="X178" s="18">
        <f t="shared" si="21"/>
        <v>0</v>
      </c>
      <c r="Y178" s="12">
        <f t="shared" si="22"/>
        <v>4.16809156222866</v>
      </c>
      <c r="Z178" s="12">
        <f t="shared" si="23"/>
        <v>0</v>
      </c>
      <c r="AA178" s="19">
        <v>1228.4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9">
        <v>151.81</v>
      </c>
      <c r="AK178" s="3">
        <f t="shared" si="27"/>
        <v>0</v>
      </c>
      <c r="AL178" s="3">
        <v>0</v>
      </c>
      <c r="AM178" s="3">
        <f t="shared" si="26"/>
        <v>0</v>
      </c>
    </row>
    <row r="179" spans="1:39">
      <c r="A179" s="7">
        <v>2002</v>
      </c>
      <c r="B179" s="7" t="s">
        <v>45</v>
      </c>
      <c r="C179" s="7">
        <v>0.01739103</v>
      </c>
      <c r="D179" s="7">
        <v>0.009319</v>
      </c>
      <c r="E179" s="7">
        <v>0.002342</v>
      </c>
      <c r="F179" s="7">
        <v>0.004031</v>
      </c>
      <c r="G179" s="7">
        <v>0.001353</v>
      </c>
      <c r="H179" s="7">
        <v>0.001593</v>
      </c>
      <c r="I179" s="7">
        <v>0.010047</v>
      </c>
      <c r="J179" s="7">
        <v>0.004999</v>
      </c>
      <c r="K179" s="16">
        <v>1378</v>
      </c>
      <c r="L179" s="17">
        <v>571.54</v>
      </c>
      <c r="M179" s="16">
        <v>377.15519</v>
      </c>
      <c r="N179" s="7">
        <f t="shared" si="24"/>
        <v>2.41102984917941</v>
      </c>
      <c r="O179" s="7">
        <f t="shared" si="25"/>
        <v>3.65366840106323</v>
      </c>
      <c r="P179" s="8">
        <v>36865678.12</v>
      </c>
      <c r="Q179" s="8">
        <f t="shared" si="20"/>
        <v>9.77467077146678</v>
      </c>
      <c r="R179" s="9">
        <v>1015.1</v>
      </c>
      <c r="S179" s="9">
        <v>6209.1</v>
      </c>
      <c r="T179" s="9">
        <v>6377.8</v>
      </c>
      <c r="U179" s="9">
        <v>15478</v>
      </c>
      <c r="V179" s="18">
        <v>0</v>
      </c>
      <c r="W179" s="18">
        <v>0</v>
      </c>
      <c r="X179" s="18">
        <f t="shared" si="21"/>
        <v>0</v>
      </c>
      <c r="Y179" s="12">
        <f t="shared" si="22"/>
        <v>4.06804884448575</v>
      </c>
      <c r="Z179" s="12">
        <f t="shared" si="23"/>
        <v>0</v>
      </c>
      <c r="AA179" s="19">
        <v>1378</v>
      </c>
      <c r="AB179" s="19">
        <v>0</v>
      </c>
      <c r="AC179" s="12">
        <v>0</v>
      </c>
      <c r="AD179" s="19">
        <v>200.4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9">
        <v>178.76</v>
      </c>
      <c r="AK179" s="3">
        <f t="shared" si="27"/>
        <v>0</v>
      </c>
      <c r="AL179" s="3">
        <v>0</v>
      </c>
      <c r="AM179" s="3">
        <f t="shared" si="26"/>
        <v>0</v>
      </c>
    </row>
    <row r="180" spans="1:39">
      <c r="A180" s="7">
        <v>2003</v>
      </c>
      <c r="B180" s="7" t="s">
        <v>45</v>
      </c>
      <c r="C180" s="7">
        <v>0.02814423</v>
      </c>
      <c r="D180" s="7">
        <v>0.010539</v>
      </c>
      <c r="E180" s="7">
        <v>0.002811</v>
      </c>
      <c r="F180" s="7">
        <v>0.004801</v>
      </c>
      <c r="G180" s="7">
        <v>0.001455</v>
      </c>
      <c r="H180" s="7">
        <v>0.001472</v>
      </c>
      <c r="I180" s="7">
        <v>0.012082</v>
      </c>
      <c r="J180" s="7">
        <v>0.006448</v>
      </c>
      <c r="K180" s="16">
        <v>2015</v>
      </c>
      <c r="L180" s="17">
        <v>580.19</v>
      </c>
      <c r="M180" s="16">
        <v>445.36</v>
      </c>
      <c r="N180" s="7">
        <f t="shared" si="24"/>
        <v>3.47300022406453</v>
      </c>
      <c r="O180" s="7">
        <f t="shared" si="25"/>
        <v>4.52442967486977</v>
      </c>
      <c r="P180" s="8">
        <v>44539173.33</v>
      </c>
      <c r="Q180" s="8">
        <f t="shared" si="20"/>
        <v>10.0007125314352</v>
      </c>
      <c r="R180" s="9">
        <v>1072.9</v>
      </c>
      <c r="S180" s="9">
        <v>7684.4</v>
      </c>
      <c r="T180" s="9">
        <v>7222.4</v>
      </c>
      <c r="U180" s="9">
        <v>17950</v>
      </c>
      <c r="V180" s="18">
        <v>0</v>
      </c>
      <c r="W180" s="18">
        <v>0</v>
      </c>
      <c r="X180" s="18">
        <f t="shared" si="21"/>
        <v>0</v>
      </c>
      <c r="Y180" s="12">
        <f t="shared" si="22"/>
        <v>4.08414499624993</v>
      </c>
      <c r="Z180" s="12">
        <f t="shared" si="23"/>
        <v>0</v>
      </c>
      <c r="AA180" s="19">
        <v>2014.82</v>
      </c>
      <c r="AB180" s="19">
        <v>2965.1</v>
      </c>
      <c r="AC180" s="19">
        <v>52</v>
      </c>
      <c r="AD180" s="19">
        <v>200.4</v>
      </c>
      <c r="AE180" s="19">
        <v>22.6</v>
      </c>
      <c r="AF180" s="12">
        <v>0</v>
      </c>
      <c r="AG180" s="19">
        <v>53.04</v>
      </c>
      <c r="AH180" s="19">
        <v>12</v>
      </c>
      <c r="AI180" s="19">
        <v>10.1</v>
      </c>
      <c r="AJ180" s="19">
        <v>212</v>
      </c>
      <c r="AK180" s="3">
        <f t="shared" si="27"/>
        <v>0</v>
      </c>
      <c r="AL180" s="3">
        <v>0</v>
      </c>
      <c r="AM180" s="3">
        <f t="shared" si="26"/>
        <v>0</v>
      </c>
    </row>
    <row r="181" spans="1:39">
      <c r="A181" s="7">
        <v>2004</v>
      </c>
      <c r="B181" s="7" t="s">
        <v>45</v>
      </c>
      <c r="C181" s="7">
        <v>0.02143858</v>
      </c>
      <c r="D181" s="7">
        <v>0.011034</v>
      </c>
      <c r="E181" s="7">
        <v>0.002899</v>
      </c>
      <c r="F181" s="7">
        <v>0.004864</v>
      </c>
      <c r="G181" s="7">
        <v>0.001885</v>
      </c>
      <c r="H181" s="7">
        <v>0.001387</v>
      </c>
      <c r="I181" s="7">
        <v>0.009462</v>
      </c>
      <c r="J181" s="7">
        <v>0.004362</v>
      </c>
      <c r="K181" s="16">
        <v>2322</v>
      </c>
      <c r="L181" s="17">
        <v>587.71</v>
      </c>
      <c r="M181" s="16">
        <v>537.16</v>
      </c>
      <c r="N181" s="7">
        <f t="shared" si="24"/>
        <v>3.95092817886372</v>
      </c>
      <c r="O181" s="7">
        <f t="shared" si="25"/>
        <v>4.32273438081763</v>
      </c>
      <c r="P181" s="8">
        <v>50556796.14</v>
      </c>
      <c r="Q181" s="8">
        <f t="shared" si="20"/>
        <v>9.41186911534738</v>
      </c>
      <c r="R181" s="9">
        <v>1219.8</v>
      </c>
      <c r="S181" s="9">
        <v>9191.7</v>
      </c>
      <c r="T181" s="9">
        <v>8246.8</v>
      </c>
      <c r="U181" s="9">
        <v>20647</v>
      </c>
      <c r="V181" s="18">
        <v>0</v>
      </c>
      <c r="W181" s="18">
        <v>0</v>
      </c>
      <c r="X181" s="18">
        <f t="shared" si="21"/>
        <v>0</v>
      </c>
      <c r="Y181" s="12">
        <f t="shared" si="22"/>
        <v>3.89549779892895</v>
      </c>
      <c r="Z181" s="12">
        <f t="shared" si="23"/>
        <v>0</v>
      </c>
      <c r="AA181" s="19">
        <v>2322.23</v>
      </c>
      <c r="AB181" s="19">
        <v>2761.19</v>
      </c>
      <c r="AC181" s="19">
        <v>114.83</v>
      </c>
      <c r="AD181" s="19">
        <v>159.1</v>
      </c>
      <c r="AE181" s="19">
        <v>35.49</v>
      </c>
      <c r="AF181" s="19">
        <v>4.13</v>
      </c>
      <c r="AG181" s="19">
        <v>68.94</v>
      </c>
      <c r="AH181" s="19">
        <v>3.98</v>
      </c>
      <c r="AI181" s="19">
        <v>6.77</v>
      </c>
      <c r="AJ181" s="19">
        <v>272.83</v>
      </c>
      <c r="AK181" s="3">
        <f t="shared" si="27"/>
        <v>0</v>
      </c>
      <c r="AL181" s="3">
        <v>0</v>
      </c>
      <c r="AM181" s="3">
        <f t="shared" si="26"/>
        <v>0</v>
      </c>
    </row>
    <row r="182" spans="1:39">
      <c r="A182" s="7">
        <v>2005</v>
      </c>
      <c r="B182" s="7" t="s">
        <v>45</v>
      </c>
      <c r="C182" s="7">
        <v>0.02779348</v>
      </c>
      <c r="D182" s="7">
        <v>0.010726</v>
      </c>
      <c r="E182" s="7">
        <v>0.00295</v>
      </c>
      <c r="F182" s="7">
        <v>0.004756</v>
      </c>
      <c r="G182" s="7">
        <v>0.001585</v>
      </c>
      <c r="H182" s="7">
        <v>0.001435</v>
      </c>
      <c r="I182" s="7">
        <v>0.012599</v>
      </c>
      <c r="J182" s="7">
        <v>0.005618</v>
      </c>
      <c r="K182" s="16">
        <v>2536</v>
      </c>
      <c r="L182" s="17">
        <v>596.2</v>
      </c>
      <c r="M182" s="16">
        <v>612.61</v>
      </c>
      <c r="N182" s="7">
        <f t="shared" si="24"/>
        <v>4.25360617242536</v>
      </c>
      <c r="O182" s="7">
        <f t="shared" si="25"/>
        <v>4.13966471327598</v>
      </c>
      <c r="P182" s="8">
        <v>55448966.45</v>
      </c>
      <c r="Q182" s="8">
        <f t="shared" si="20"/>
        <v>9.05126694797669</v>
      </c>
      <c r="R182" s="9">
        <v>1395.2</v>
      </c>
      <c r="S182" s="9">
        <v>11049.2</v>
      </c>
      <c r="T182" s="9">
        <v>9518.6</v>
      </c>
      <c r="U182" s="9">
        <v>23997</v>
      </c>
      <c r="V182" s="18">
        <v>0</v>
      </c>
      <c r="W182" s="18">
        <v>0</v>
      </c>
      <c r="X182" s="18">
        <f t="shared" si="21"/>
        <v>0</v>
      </c>
      <c r="Y182" s="12">
        <f t="shared" si="22"/>
        <v>3.71995059106252</v>
      </c>
      <c r="Z182" s="12">
        <f t="shared" si="23"/>
        <v>0</v>
      </c>
      <c r="AA182" s="19">
        <v>2509.6</v>
      </c>
      <c r="AB182" s="19">
        <v>3248.93</v>
      </c>
      <c r="AC182" s="19">
        <v>69.72</v>
      </c>
      <c r="AD182" s="19">
        <v>167.05</v>
      </c>
      <c r="AE182" s="19">
        <v>24.89</v>
      </c>
      <c r="AF182" s="19">
        <v>2.01</v>
      </c>
      <c r="AG182" s="19">
        <v>63.04</v>
      </c>
      <c r="AH182" s="19">
        <v>1.8</v>
      </c>
      <c r="AI182" s="19">
        <v>6.63</v>
      </c>
      <c r="AJ182" s="19">
        <v>302.88</v>
      </c>
      <c r="AK182" s="3">
        <f t="shared" si="27"/>
        <v>0</v>
      </c>
      <c r="AL182" s="3">
        <v>0</v>
      </c>
      <c r="AM182" s="3">
        <f t="shared" si="26"/>
        <v>0</v>
      </c>
    </row>
    <row r="183" spans="1:39">
      <c r="A183" s="7">
        <v>2006</v>
      </c>
      <c r="B183" s="7" t="s">
        <v>45</v>
      </c>
      <c r="C183" s="7">
        <v>0.02824514</v>
      </c>
      <c r="D183" s="7">
        <v>0.011966</v>
      </c>
      <c r="E183" s="7">
        <v>0.003198</v>
      </c>
      <c r="F183" s="7">
        <v>0.005334</v>
      </c>
      <c r="G183" s="7">
        <v>0.001695</v>
      </c>
      <c r="H183" s="7">
        <v>0.001738</v>
      </c>
      <c r="I183" s="7">
        <v>0.010281</v>
      </c>
      <c r="J183" s="7">
        <v>0.005075</v>
      </c>
      <c r="K183" s="16">
        <v>2830</v>
      </c>
      <c r="L183" s="17">
        <v>603.73</v>
      </c>
      <c r="M183" s="16">
        <v>725.9</v>
      </c>
      <c r="N183" s="7">
        <f t="shared" si="24"/>
        <v>4.68752588077452</v>
      </c>
      <c r="O183" s="7">
        <f t="shared" si="25"/>
        <v>3.89860862377738</v>
      </c>
      <c r="P183" s="8">
        <v>69573678.63</v>
      </c>
      <c r="Q183" s="8">
        <f t="shared" si="20"/>
        <v>9.58447150158424</v>
      </c>
      <c r="R183" s="9">
        <v>1494.7</v>
      </c>
      <c r="S183" s="9">
        <v>13158</v>
      </c>
      <c r="T183" s="9">
        <v>11308.5</v>
      </c>
      <c r="U183" s="9">
        <v>27861</v>
      </c>
      <c r="V183" s="18">
        <v>0</v>
      </c>
      <c r="W183" s="18">
        <v>0</v>
      </c>
      <c r="X183" s="18">
        <f t="shared" si="21"/>
        <v>0</v>
      </c>
      <c r="Y183" s="12">
        <f t="shared" si="22"/>
        <v>3.57740717995078</v>
      </c>
      <c r="Z183" s="12">
        <f t="shared" si="23"/>
        <v>0</v>
      </c>
      <c r="AA183" s="19">
        <v>2801.53</v>
      </c>
      <c r="AB183" s="19">
        <v>3489.61</v>
      </c>
      <c r="AC183" s="19">
        <v>126.16</v>
      </c>
      <c r="AD183" s="19">
        <v>174.42</v>
      </c>
      <c r="AE183" s="19">
        <v>18.97</v>
      </c>
      <c r="AF183" s="19">
        <v>2.25</v>
      </c>
      <c r="AG183" s="19">
        <v>78.14</v>
      </c>
      <c r="AH183" s="19">
        <v>0.98</v>
      </c>
      <c r="AI183" s="19">
        <v>7.94</v>
      </c>
      <c r="AJ183" s="19">
        <v>377.85</v>
      </c>
      <c r="AK183" s="3">
        <f t="shared" si="27"/>
        <v>0</v>
      </c>
      <c r="AL183" s="3">
        <v>0</v>
      </c>
      <c r="AM183" s="3">
        <f t="shared" si="26"/>
        <v>0</v>
      </c>
    </row>
    <row r="184" spans="1:39">
      <c r="A184" s="7">
        <v>2007</v>
      </c>
      <c r="B184" s="7" t="s">
        <v>45</v>
      </c>
      <c r="C184" s="7">
        <v>0.03254358</v>
      </c>
      <c r="D184" s="7">
        <v>0.012364</v>
      </c>
      <c r="E184" s="7">
        <v>0.002978</v>
      </c>
      <c r="F184" s="7">
        <v>0.005562</v>
      </c>
      <c r="G184" s="7">
        <v>0.001901</v>
      </c>
      <c r="H184" s="7">
        <v>0.001922</v>
      </c>
      <c r="I184" s="7">
        <v>0.011275</v>
      </c>
      <c r="J184" s="7">
        <v>0.005385</v>
      </c>
      <c r="K184" s="16">
        <v>3077</v>
      </c>
      <c r="L184" s="17">
        <v>610.25</v>
      </c>
      <c r="M184" s="16">
        <v>919.11</v>
      </c>
      <c r="N184" s="7">
        <f t="shared" si="24"/>
        <v>5.04219582138468</v>
      </c>
      <c r="O184" s="7">
        <f t="shared" si="25"/>
        <v>3.34780385372806</v>
      </c>
      <c r="P184" s="8">
        <v>75580440.56</v>
      </c>
      <c r="Q184" s="8">
        <f t="shared" si="20"/>
        <v>8.22322035012131</v>
      </c>
      <c r="R184" s="9">
        <v>1663.5</v>
      </c>
      <c r="S184" s="9">
        <v>16022.6</v>
      </c>
      <c r="T184" s="9">
        <v>14056.6</v>
      </c>
      <c r="U184" s="9">
        <v>33236</v>
      </c>
      <c r="V184" s="18">
        <v>0</v>
      </c>
      <c r="W184" s="18">
        <v>0</v>
      </c>
      <c r="X184" s="18">
        <f t="shared" si="21"/>
        <v>0</v>
      </c>
      <c r="Y184" s="12">
        <f t="shared" si="22"/>
        <v>3.23986794305777</v>
      </c>
      <c r="Z184" s="12">
        <f t="shared" si="23"/>
        <v>0</v>
      </c>
      <c r="AA184" s="19">
        <v>3047</v>
      </c>
      <c r="AB184" s="19">
        <v>4135</v>
      </c>
      <c r="AC184" s="19">
        <v>65.08</v>
      </c>
      <c r="AD184" s="19">
        <v>156.78</v>
      </c>
      <c r="AE184" s="19">
        <v>19.16</v>
      </c>
      <c r="AF184" s="19">
        <v>2.79</v>
      </c>
      <c r="AG184" s="19">
        <v>86.7</v>
      </c>
      <c r="AH184" s="19">
        <v>0.53</v>
      </c>
      <c r="AI184" s="19">
        <v>8.99</v>
      </c>
      <c r="AJ184" s="19">
        <v>439.78</v>
      </c>
      <c r="AK184" s="3">
        <f t="shared" si="27"/>
        <v>0</v>
      </c>
      <c r="AL184" s="3">
        <v>0</v>
      </c>
      <c r="AM184" s="3">
        <f t="shared" si="26"/>
        <v>0</v>
      </c>
    </row>
    <row r="185" spans="1:39">
      <c r="A185" s="7">
        <v>2008</v>
      </c>
      <c r="B185" s="7" t="s">
        <v>45</v>
      </c>
      <c r="C185" s="7">
        <v>0.04189234</v>
      </c>
      <c r="D185" s="7">
        <v>0.013558</v>
      </c>
      <c r="E185" s="7">
        <v>0.003549</v>
      </c>
      <c r="F185" s="7">
        <v>0.006014</v>
      </c>
      <c r="G185" s="7">
        <v>0.002158</v>
      </c>
      <c r="H185" s="7">
        <v>0.001837</v>
      </c>
      <c r="I185" s="7">
        <v>0.012261</v>
      </c>
      <c r="J185" s="7">
        <v>0.006647</v>
      </c>
      <c r="K185" s="16">
        <v>3229</v>
      </c>
      <c r="L185" s="17">
        <v>617.69</v>
      </c>
      <c r="M185" s="16">
        <v>1203.92</v>
      </c>
      <c r="N185" s="7">
        <f t="shared" si="24"/>
        <v>5.22754132331752</v>
      </c>
      <c r="O185" s="7">
        <f t="shared" si="25"/>
        <v>2.68207189846501</v>
      </c>
      <c r="P185" s="8">
        <v>74729353.28</v>
      </c>
      <c r="Q185" s="8">
        <f t="shared" si="20"/>
        <v>6.20716935344541</v>
      </c>
      <c r="R185" s="9">
        <v>1920.8</v>
      </c>
      <c r="S185" s="9">
        <v>18519.4</v>
      </c>
      <c r="T185" s="9">
        <v>16264</v>
      </c>
      <c r="U185" s="9">
        <v>37543</v>
      </c>
      <c r="V185" s="18">
        <v>0</v>
      </c>
      <c r="W185" s="18">
        <v>0</v>
      </c>
      <c r="X185" s="18">
        <f t="shared" si="21"/>
        <v>0</v>
      </c>
      <c r="Y185" s="12">
        <f t="shared" si="22"/>
        <v>2.71728515287532</v>
      </c>
      <c r="Z185" s="12">
        <f t="shared" si="23"/>
        <v>0</v>
      </c>
      <c r="AA185" s="19">
        <v>3229</v>
      </c>
      <c r="AB185" s="19">
        <v>4287</v>
      </c>
      <c r="AC185" s="19">
        <v>237.98</v>
      </c>
      <c r="AD185" s="19">
        <v>183.75</v>
      </c>
      <c r="AE185" s="19">
        <v>20.66</v>
      </c>
      <c r="AF185" s="19">
        <v>3.72</v>
      </c>
      <c r="AG185" s="19">
        <v>96.51</v>
      </c>
      <c r="AH185" s="19">
        <v>1.98</v>
      </c>
      <c r="AI185" s="19">
        <v>11</v>
      </c>
      <c r="AJ185" s="19">
        <v>439.62</v>
      </c>
      <c r="AK185" s="3">
        <f t="shared" si="27"/>
        <v>0</v>
      </c>
      <c r="AL185" s="3">
        <v>0</v>
      </c>
      <c r="AM185" s="3">
        <f t="shared" si="26"/>
        <v>0</v>
      </c>
    </row>
    <row r="186" spans="1:39">
      <c r="A186" s="7">
        <v>2009</v>
      </c>
      <c r="B186" s="7" t="s">
        <v>45</v>
      </c>
      <c r="C186" s="7">
        <v>0.0377164</v>
      </c>
      <c r="D186" s="7">
        <v>0.011682</v>
      </c>
      <c r="E186" s="7">
        <v>0.002745</v>
      </c>
      <c r="F186" s="7">
        <v>0.005382</v>
      </c>
      <c r="G186" s="7">
        <v>0.001681</v>
      </c>
      <c r="H186" s="7">
        <v>0.001875</v>
      </c>
      <c r="I186" s="7">
        <v>0.01403</v>
      </c>
      <c r="J186" s="7">
        <v>0.007025</v>
      </c>
      <c r="K186" s="16">
        <v>3388</v>
      </c>
      <c r="L186" s="17">
        <v>625.2</v>
      </c>
      <c r="M186" s="16">
        <v>1353.31</v>
      </c>
      <c r="N186" s="7">
        <f t="shared" si="24"/>
        <v>5.41906589891235</v>
      </c>
      <c r="O186" s="7">
        <f t="shared" si="25"/>
        <v>2.50349143950758</v>
      </c>
      <c r="P186" s="8">
        <v>81341102.58</v>
      </c>
      <c r="Q186" s="8">
        <f t="shared" si="20"/>
        <v>6.01052992884114</v>
      </c>
      <c r="R186" s="9">
        <v>1946</v>
      </c>
      <c r="S186" s="9">
        <v>19439.7</v>
      </c>
      <c r="T186" s="9">
        <v>18079</v>
      </c>
      <c r="U186" s="9">
        <v>39418</v>
      </c>
      <c r="V186" s="18">
        <v>0</v>
      </c>
      <c r="W186" s="18">
        <v>0</v>
      </c>
      <c r="X186" s="18">
        <f t="shared" si="21"/>
        <v>0</v>
      </c>
      <c r="Y186" s="12">
        <f t="shared" si="22"/>
        <v>2.66960201713366</v>
      </c>
      <c r="Z186" s="12">
        <f t="shared" si="23"/>
        <v>0</v>
      </c>
      <c r="AA186" s="19">
        <v>3388</v>
      </c>
      <c r="AB186" s="19">
        <v>4781</v>
      </c>
      <c r="AC186" s="19">
        <v>251</v>
      </c>
      <c r="AD186" s="19">
        <v>182.65</v>
      </c>
      <c r="AE186" s="19">
        <v>20.95</v>
      </c>
      <c r="AF186" s="19">
        <v>4.23</v>
      </c>
      <c r="AG186" s="19">
        <v>98.57</v>
      </c>
      <c r="AH186" s="19">
        <v>0.52</v>
      </c>
      <c r="AI186" s="19">
        <v>11.98</v>
      </c>
      <c r="AJ186" s="19">
        <v>470.32</v>
      </c>
      <c r="AK186" s="3">
        <f t="shared" si="27"/>
        <v>0</v>
      </c>
      <c r="AL186" s="3">
        <v>0</v>
      </c>
      <c r="AM186" s="3">
        <f t="shared" si="26"/>
        <v>0</v>
      </c>
    </row>
    <row r="187" spans="1:39">
      <c r="A187" s="7">
        <v>2010</v>
      </c>
      <c r="B187" s="7" t="s">
        <v>45</v>
      </c>
      <c r="C187" s="7">
        <v>0.04468532</v>
      </c>
      <c r="D187" s="7">
        <v>0.014865</v>
      </c>
      <c r="E187" s="7">
        <v>0.003428</v>
      </c>
      <c r="F187" s="7">
        <v>0.006574</v>
      </c>
      <c r="G187" s="7">
        <v>0.002326</v>
      </c>
      <c r="H187" s="7">
        <v>0.002537</v>
      </c>
      <c r="I187" s="7">
        <v>0.011293</v>
      </c>
      <c r="J187" s="7">
        <v>0.005769</v>
      </c>
      <c r="K187" s="16">
        <v>3681</v>
      </c>
      <c r="L187" s="17">
        <v>632.96</v>
      </c>
      <c r="M187" s="16">
        <v>1689.65</v>
      </c>
      <c r="N187" s="7">
        <f t="shared" si="24"/>
        <v>5.81553336703741</v>
      </c>
      <c r="O187" s="7">
        <f t="shared" si="25"/>
        <v>2.17855768946231</v>
      </c>
      <c r="P187" s="8">
        <v>106389397.5</v>
      </c>
      <c r="Q187" s="8">
        <f t="shared" si="20"/>
        <v>6.29653463735093</v>
      </c>
      <c r="R187" s="9">
        <v>2199.6</v>
      </c>
      <c r="S187" s="9">
        <v>22917.4</v>
      </c>
      <c r="T187" s="9">
        <v>20827.6</v>
      </c>
      <c r="U187" s="9">
        <v>44669</v>
      </c>
      <c r="V187" s="18">
        <v>0</v>
      </c>
      <c r="W187" s="18">
        <v>0</v>
      </c>
      <c r="X187" s="18">
        <f t="shared" si="21"/>
        <v>0</v>
      </c>
      <c r="Y187" s="12">
        <f t="shared" si="22"/>
        <v>2.40850270516871</v>
      </c>
      <c r="Z187" s="12">
        <f t="shared" si="23"/>
        <v>0</v>
      </c>
      <c r="AA187" s="19">
        <v>3681.1</v>
      </c>
      <c r="AB187" s="19">
        <v>5764.92</v>
      </c>
      <c r="AC187" s="19">
        <v>228.9</v>
      </c>
      <c r="AD187" s="19">
        <v>175.77</v>
      </c>
      <c r="AE187" s="19">
        <v>22.68</v>
      </c>
      <c r="AF187" s="19">
        <v>5.16</v>
      </c>
      <c r="AG187" s="19">
        <v>105.82</v>
      </c>
      <c r="AH187" s="19">
        <v>39.76</v>
      </c>
      <c r="AI187" s="19">
        <v>15.48</v>
      </c>
      <c r="AJ187" s="19">
        <v>546.77</v>
      </c>
      <c r="AK187" s="3">
        <f t="shared" si="27"/>
        <v>0</v>
      </c>
      <c r="AL187" s="3">
        <v>0</v>
      </c>
      <c r="AM187" s="3">
        <f t="shared" si="26"/>
        <v>0</v>
      </c>
    </row>
    <row r="188" spans="1:39">
      <c r="A188" s="7">
        <v>2011</v>
      </c>
      <c r="B188" s="7" t="s">
        <v>45</v>
      </c>
      <c r="C188" s="7">
        <v>0.04451429</v>
      </c>
      <c r="D188" s="7">
        <v>0.014855</v>
      </c>
      <c r="E188" s="7">
        <v>0.003593</v>
      </c>
      <c r="F188" s="7">
        <v>0.007174</v>
      </c>
      <c r="G188" s="7">
        <v>0.002155</v>
      </c>
      <c r="H188" s="7">
        <v>0.001932</v>
      </c>
      <c r="I188" s="7">
        <v>0.012688</v>
      </c>
      <c r="J188" s="7">
        <v>0.005799</v>
      </c>
      <c r="K188" s="16">
        <v>4316</v>
      </c>
      <c r="L188" s="17">
        <v>648</v>
      </c>
      <c r="M188" s="16">
        <v>2102.21</v>
      </c>
      <c r="N188" s="7">
        <f t="shared" si="24"/>
        <v>6.66049382716049</v>
      </c>
      <c r="O188" s="7">
        <f t="shared" si="25"/>
        <v>2.053077475609</v>
      </c>
      <c r="P188" s="8">
        <v>126210511.9</v>
      </c>
      <c r="Q188" s="8">
        <f t="shared" si="20"/>
        <v>6.00370619015227</v>
      </c>
      <c r="R188" s="9">
        <v>2553.2</v>
      </c>
      <c r="S188" s="9">
        <v>26161.1</v>
      </c>
      <c r="T188" s="9">
        <v>24358.5</v>
      </c>
      <c r="U188" s="9">
        <v>50076</v>
      </c>
      <c r="V188" s="18">
        <v>0</v>
      </c>
      <c r="W188" s="18">
        <v>0</v>
      </c>
      <c r="X188" s="18">
        <f t="shared" si="21"/>
        <v>0</v>
      </c>
      <c r="Y188" s="12">
        <f t="shared" si="22"/>
        <v>2.18035126729488</v>
      </c>
      <c r="Z188" s="12">
        <f t="shared" si="23"/>
        <v>0</v>
      </c>
      <c r="AA188" s="19">
        <v>4316</v>
      </c>
      <c r="AB188" s="19">
        <v>7947</v>
      </c>
      <c r="AC188" s="19">
        <v>357.44</v>
      </c>
      <c r="AD188" s="19">
        <v>91.71</v>
      </c>
      <c r="AE188" s="19">
        <v>20.8</v>
      </c>
      <c r="AF188" s="19">
        <v>6.58</v>
      </c>
      <c r="AG188" s="19">
        <v>104.04</v>
      </c>
      <c r="AH188" s="19">
        <v>36.66</v>
      </c>
      <c r="AI188" s="19">
        <v>18.58</v>
      </c>
      <c r="AJ188" s="19">
        <v>725</v>
      </c>
      <c r="AK188" s="3">
        <f t="shared" si="27"/>
        <v>0</v>
      </c>
      <c r="AL188" s="3">
        <v>0</v>
      </c>
      <c r="AM188" s="3">
        <f t="shared" si="26"/>
        <v>0</v>
      </c>
    </row>
    <row r="189" spans="1:39">
      <c r="A189" s="7">
        <v>2012</v>
      </c>
      <c r="B189" s="7" t="s">
        <v>45</v>
      </c>
      <c r="C189" s="7">
        <v>0.07642037</v>
      </c>
      <c r="D189" s="7">
        <v>0.017483</v>
      </c>
      <c r="E189" s="7">
        <v>0.004416</v>
      </c>
      <c r="F189" s="7">
        <v>0.007786</v>
      </c>
      <c r="G189" s="7">
        <v>0.00222</v>
      </c>
      <c r="H189" s="7">
        <v>0.003061</v>
      </c>
      <c r="I189" s="7">
        <v>0.018828</v>
      </c>
      <c r="J189" s="7">
        <v>0.009749</v>
      </c>
      <c r="K189" s="16">
        <v>4562</v>
      </c>
      <c r="L189" s="17">
        <v>659</v>
      </c>
      <c r="M189" s="16">
        <v>2341.29</v>
      </c>
      <c r="N189" s="7">
        <f t="shared" si="24"/>
        <v>6.92261001517451</v>
      </c>
      <c r="O189" s="7">
        <f t="shared" si="25"/>
        <v>1.94849847733514</v>
      </c>
      <c r="P189" s="8">
        <v>123787775.9</v>
      </c>
      <c r="Q189" s="8">
        <f t="shared" si="20"/>
        <v>5.28716117610377</v>
      </c>
      <c r="R189" s="9">
        <v>2711.3</v>
      </c>
      <c r="S189" s="9">
        <v>27346.1</v>
      </c>
      <c r="T189" s="9">
        <v>26950.3</v>
      </c>
      <c r="U189" s="9">
        <v>52308</v>
      </c>
      <c r="V189" s="18">
        <v>0</v>
      </c>
      <c r="W189" s="18">
        <v>0</v>
      </c>
      <c r="X189" s="18">
        <f t="shared" si="21"/>
        <v>0</v>
      </c>
      <c r="Y189" s="12">
        <f t="shared" si="22"/>
        <v>2.01609935715007</v>
      </c>
      <c r="Z189" s="12">
        <f t="shared" si="23"/>
        <v>0</v>
      </c>
      <c r="AA189" s="19">
        <v>4562.39</v>
      </c>
      <c r="AB189" s="19">
        <v>8055</v>
      </c>
      <c r="AC189" s="19">
        <v>377.55</v>
      </c>
      <c r="AD189" s="19">
        <v>424.12</v>
      </c>
      <c r="AE189" s="19">
        <v>23.36</v>
      </c>
      <c r="AF189" s="19">
        <v>7.32</v>
      </c>
      <c r="AG189" s="19">
        <v>111.32</v>
      </c>
      <c r="AH189" s="19">
        <v>20.62</v>
      </c>
      <c r="AI189" s="19">
        <v>20.48</v>
      </c>
      <c r="AJ189" s="19">
        <v>741.8</v>
      </c>
      <c r="AK189" s="3">
        <f t="shared" si="27"/>
        <v>0</v>
      </c>
      <c r="AL189" s="3">
        <v>0</v>
      </c>
      <c r="AM189" s="3">
        <f t="shared" si="26"/>
        <v>0</v>
      </c>
    </row>
    <row r="190" spans="1:39">
      <c r="A190" s="7">
        <v>2013</v>
      </c>
      <c r="B190" s="7" t="s">
        <v>45</v>
      </c>
      <c r="C190" s="7">
        <v>0.05643281</v>
      </c>
      <c r="D190" s="7">
        <v>0.015762</v>
      </c>
      <c r="E190" s="7">
        <v>0.004344</v>
      </c>
      <c r="F190" s="7">
        <v>0.007332</v>
      </c>
      <c r="G190" s="7">
        <v>0.002514</v>
      </c>
      <c r="H190" s="7">
        <v>0.001572</v>
      </c>
      <c r="I190" s="7">
        <v>0.015588</v>
      </c>
      <c r="J190" s="7">
        <v>0.007437</v>
      </c>
      <c r="K190" s="16">
        <v>4781</v>
      </c>
      <c r="L190" s="17">
        <v>666</v>
      </c>
      <c r="M190" s="16">
        <v>2577.57</v>
      </c>
      <c r="N190" s="7">
        <f t="shared" si="24"/>
        <v>7.17867867867868</v>
      </c>
      <c r="O190" s="7">
        <f t="shared" si="25"/>
        <v>1.8548477829894</v>
      </c>
      <c r="P190" s="8">
        <v>127779347.4</v>
      </c>
      <c r="Q190" s="8">
        <f t="shared" si="20"/>
        <v>4.95735702231171</v>
      </c>
      <c r="R190" s="9">
        <v>2876.4</v>
      </c>
      <c r="S190" s="9">
        <v>29343</v>
      </c>
      <c r="T190" s="9">
        <v>30284</v>
      </c>
      <c r="U190" s="9">
        <v>56029</v>
      </c>
      <c r="V190" s="18">
        <v>0</v>
      </c>
      <c r="W190" s="18">
        <v>0</v>
      </c>
      <c r="X190" s="18">
        <f t="shared" si="21"/>
        <v>0</v>
      </c>
      <c r="Y190" s="12">
        <f t="shared" si="22"/>
        <v>1.91398219724656</v>
      </c>
      <c r="Z190" s="12">
        <f t="shared" si="23"/>
        <v>0</v>
      </c>
      <c r="AA190" s="19">
        <v>4781</v>
      </c>
      <c r="AB190" s="19">
        <v>8533.51</v>
      </c>
      <c r="AC190" s="19">
        <v>417.96</v>
      </c>
      <c r="AD190" s="19">
        <v>463.31</v>
      </c>
      <c r="AE190" s="19">
        <v>20.04</v>
      </c>
      <c r="AF190" s="19">
        <v>0.12</v>
      </c>
      <c r="AG190" s="19">
        <v>117.91</v>
      </c>
      <c r="AH190" s="19">
        <v>39.51</v>
      </c>
      <c r="AI190" s="19">
        <v>19.57</v>
      </c>
      <c r="AJ190" s="19">
        <v>811.18</v>
      </c>
      <c r="AK190" s="3">
        <f t="shared" si="27"/>
        <v>1</v>
      </c>
      <c r="AL190" s="3">
        <v>0</v>
      </c>
      <c r="AM190" s="3">
        <f t="shared" si="26"/>
        <v>0</v>
      </c>
    </row>
    <row r="191" spans="1:39">
      <c r="A191" s="7">
        <v>2014</v>
      </c>
      <c r="B191" s="7" t="s">
        <v>45</v>
      </c>
      <c r="C191" s="7">
        <v>0.04873935</v>
      </c>
      <c r="D191" s="7">
        <v>0.0139</v>
      </c>
      <c r="E191" s="7">
        <v>0.003624</v>
      </c>
      <c r="F191" s="7">
        <v>0.006658</v>
      </c>
      <c r="G191" s="7">
        <v>0.001961</v>
      </c>
      <c r="H191" s="7">
        <v>0.001657</v>
      </c>
      <c r="I191" s="7">
        <v>0.014902</v>
      </c>
      <c r="J191" s="7">
        <v>0.007828</v>
      </c>
      <c r="K191" s="16">
        <v>4946</v>
      </c>
      <c r="L191" s="17">
        <v>678</v>
      </c>
      <c r="M191" s="16">
        <v>2752.1</v>
      </c>
      <c r="N191" s="7">
        <f t="shared" si="24"/>
        <v>7.29498525073746</v>
      </c>
      <c r="O191" s="7">
        <f t="shared" si="25"/>
        <v>1.7971730678391</v>
      </c>
      <c r="P191" s="8">
        <v>124469623.5</v>
      </c>
      <c r="Q191" s="8">
        <f t="shared" si="20"/>
        <v>4.52271441808074</v>
      </c>
      <c r="R191" s="9">
        <v>3038.7</v>
      </c>
      <c r="S191" s="9">
        <v>31930.4</v>
      </c>
      <c r="T191" s="9">
        <v>33204</v>
      </c>
      <c r="U191" s="9">
        <v>59909</v>
      </c>
      <c r="V191" s="18">
        <v>0</v>
      </c>
      <c r="W191" s="18">
        <v>0</v>
      </c>
      <c r="X191" s="18">
        <f t="shared" si="21"/>
        <v>0</v>
      </c>
      <c r="Y191" s="12">
        <f t="shared" si="22"/>
        <v>1.79640226266579</v>
      </c>
      <c r="Z191" s="12">
        <f t="shared" si="23"/>
        <v>0</v>
      </c>
      <c r="AA191" s="19">
        <v>4946.1</v>
      </c>
      <c r="AB191" s="19">
        <v>8857</v>
      </c>
      <c r="AC191" s="19">
        <v>386.87</v>
      </c>
      <c r="AD191" s="19">
        <v>426.15</v>
      </c>
      <c r="AE191" s="19">
        <v>21.77</v>
      </c>
      <c r="AF191" s="19">
        <v>0.03</v>
      </c>
      <c r="AG191" s="19">
        <v>123.38</v>
      </c>
      <c r="AH191" s="19">
        <v>30.19</v>
      </c>
      <c r="AI191" s="19">
        <v>17.88</v>
      </c>
      <c r="AJ191" s="19">
        <v>848.75</v>
      </c>
      <c r="AK191" s="3">
        <f t="shared" si="27"/>
        <v>1</v>
      </c>
      <c r="AL191" s="3">
        <v>0</v>
      </c>
      <c r="AM191" s="3">
        <f t="shared" si="26"/>
        <v>0</v>
      </c>
    </row>
    <row r="192" spans="1:39">
      <c r="A192" s="7">
        <v>2015</v>
      </c>
      <c r="B192" s="7" t="s">
        <v>45</v>
      </c>
      <c r="C192" s="7">
        <v>0.05828273</v>
      </c>
      <c r="D192" s="7">
        <v>0.015413</v>
      </c>
      <c r="E192" s="7">
        <v>0.003864</v>
      </c>
      <c r="F192" s="7">
        <v>0.00691</v>
      </c>
      <c r="G192" s="7">
        <v>0.002231</v>
      </c>
      <c r="H192" s="7">
        <v>0.002408</v>
      </c>
      <c r="I192" s="7">
        <v>0.016718</v>
      </c>
      <c r="J192" s="7">
        <v>0.007359</v>
      </c>
      <c r="K192" s="16">
        <v>5438</v>
      </c>
      <c r="L192" s="17">
        <v>684</v>
      </c>
      <c r="M192" s="16">
        <v>2911.77</v>
      </c>
      <c r="N192" s="7">
        <f t="shared" si="24"/>
        <v>7.95029239766082</v>
      </c>
      <c r="O192" s="7">
        <f t="shared" si="25"/>
        <v>1.86759256397312</v>
      </c>
      <c r="P192" s="8">
        <v>119601873.3</v>
      </c>
      <c r="Q192" s="8">
        <f t="shared" si="20"/>
        <v>4.107531614791</v>
      </c>
      <c r="R192" s="9">
        <v>3189.8</v>
      </c>
      <c r="S192" s="9">
        <v>33913.8</v>
      </c>
      <c r="T192" s="9">
        <v>37628.9</v>
      </c>
      <c r="U192" s="9">
        <v>64516</v>
      </c>
      <c r="V192" s="18">
        <v>0</v>
      </c>
      <c r="W192" s="18">
        <v>0</v>
      </c>
      <c r="X192" s="18">
        <f t="shared" si="21"/>
        <v>0</v>
      </c>
      <c r="Y192" s="12">
        <f t="shared" si="22"/>
        <v>1.71577514742415</v>
      </c>
      <c r="Z192" s="12">
        <f t="shared" si="23"/>
        <v>0</v>
      </c>
      <c r="AA192" s="19">
        <v>5438</v>
      </c>
      <c r="AB192" s="19">
        <v>8928.41</v>
      </c>
      <c r="AC192" s="19">
        <v>488.53</v>
      </c>
      <c r="AD192" s="19">
        <v>477.12</v>
      </c>
      <c r="AE192" s="19">
        <v>37.08</v>
      </c>
      <c r="AF192" s="19">
        <v>0.02</v>
      </c>
      <c r="AG192" s="19">
        <v>119.25</v>
      </c>
      <c r="AH192" s="19">
        <v>50.83</v>
      </c>
      <c r="AI192" s="19">
        <v>20.05</v>
      </c>
      <c r="AJ192" s="19">
        <v>878</v>
      </c>
      <c r="AK192" s="3">
        <f t="shared" si="27"/>
        <v>1</v>
      </c>
      <c r="AL192" s="3">
        <v>0</v>
      </c>
      <c r="AM192" s="3">
        <f t="shared" si="26"/>
        <v>0</v>
      </c>
    </row>
    <row r="193" spans="1:39">
      <c r="A193" s="7">
        <v>2016</v>
      </c>
      <c r="B193" s="7" t="s">
        <v>45</v>
      </c>
      <c r="C193" s="7">
        <v>0.04713581</v>
      </c>
      <c r="D193" s="7">
        <v>0.013415</v>
      </c>
      <c r="E193" s="7">
        <v>0.003238</v>
      </c>
      <c r="F193" s="7">
        <v>0.005969</v>
      </c>
      <c r="G193" s="7">
        <v>0.002129</v>
      </c>
      <c r="H193" s="7">
        <v>0.002078</v>
      </c>
      <c r="I193" s="7">
        <v>0.015474</v>
      </c>
      <c r="J193" s="7">
        <v>0.006875</v>
      </c>
      <c r="K193" s="16">
        <v>5591</v>
      </c>
      <c r="L193" s="17">
        <v>695</v>
      </c>
      <c r="M193" s="16">
        <v>3168.59</v>
      </c>
      <c r="N193" s="7">
        <f t="shared" si="24"/>
        <v>8.04460431654676</v>
      </c>
      <c r="O193" s="7">
        <f t="shared" si="25"/>
        <v>1.76450724139128</v>
      </c>
      <c r="P193" s="8">
        <v>121513570.8</v>
      </c>
      <c r="Q193" s="8">
        <f t="shared" si="20"/>
        <v>3.83494143451819</v>
      </c>
      <c r="R193" s="9">
        <v>3500.5</v>
      </c>
      <c r="S193" s="9">
        <v>35499.2</v>
      </c>
      <c r="T193" s="9">
        <v>43163.5</v>
      </c>
      <c r="U193" s="9">
        <v>69671</v>
      </c>
      <c r="V193" s="18">
        <v>0</v>
      </c>
      <c r="W193" s="18">
        <v>0</v>
      </c>
      <c r="X193" s="18">
        <f t="shared" si="21"/>
        <v>0</v>
      </c>
      <c r="Y193" s="12">
        <f t="shared" si="22"/>
        <v>1.62438398605541</v>
      </c>
      <c r="Z193" s="12">
        <f t="shared" si="23"/>
        <v>0</v>
      </c>
      <c r="AA193" s="19">
        <v>5591</v>
      </c>
      <c r="AB193" s="19">
        <v>8680.01</v>
      </c>
      <c r="AC193" s="19">
        <v>450.61</v>
      </c>
      <c r="AD193" s="19">
        <v>576.35</v>
      </c>
      <c r="AE193" s="19">
        <v>23.19</v>
      </c>
      <c r="AF193" s="19">
        <v>0.02</v>
      </c>
      <c r="AG193" s="19">
        <v>115.4</v>
      </c>
      <c r="AH193" s="19">
        <v>82.15</v>
      </c>
      <c r="AI193" s="19">
        <v>22.4</v>
      </c>
      <c r="AJ193" s="19">
        <v>886.91</v>
      </c>
      <c r="AK193" s="3">
        <f t="shared" si="27"/>
        <v>1</v>
      </c>
      <c r="AL193" s="3">
        <v>0</v>
      </c>
      <c r="AM193" s="3">
        <f t="shared" si="26"/>
        <v>0</v>
      </c>
    </row>
    <row r="194" spans="1:39">
      <c r="A194" s="7">
        <v>2017</v>
      </c>
      <c r="B194" s="7" t="s">
        <v>45</v>
      </c>
      <c r="C194" s="7">
        <v>0.05745789</v>
      </c>
      <c r="D194" s="7">
        <v>0.016184</v>
      </c>
      <c r="E194" s="7">
        <v>0.004051</v>
      </c>
      <c r="F194" s="7">
        <v>0.007305</v>
      </c>
      <c r="G194" s="7">
        <v>0.002385</v>
      </c>
      <c r="H194" s="7">
        <v>0.002443</v>
      </c>
      <c r="I194" s="7">
        <v>0.014817</v>
      </c>
      <c r="J194" s="7">
        <v>0.006949</v>
      </c>
      <c r="K194" s="16">
        <v>6461</v>
      </c>
      <c r="L194" s="17">
        <v>705</v>
      </c>
      <c r="M194" s="16">
        <v>3443.56</v>
      </c>
      <c r="N194" s="7">
        <f t="shared" si="24"/>
        <v>9.1645390070922</v>
      </c>
      <c r="O194" s="7">
        <f t="shared" si="25"/>
        <v>1.87625596766137</v>
      </c>
      <c r="P194" s="8">
        <v>141477024.1</v>
      </c>
      <c r="Q194" s="8">
        <f t="shared" si="20"/>
        <v>4.10845241842744</v>
      </c>
      <c r="R194" s="9">
        <v>3611.4</v>
      </c>
      <c r="S194" s="9">
        <v>38536.6</v>
      </c>
      <c r="T194" s="9">
        <v>49500.7</v>
      </c>
      <c r="U194" s="9">
        <v>76218</v>
      </c>
      <c r="V194" s="18">
        <v>1</v>
      </c>
      <c r="W194" s="18">
        <v>0</v>
      </c>
      <c r="X194" s="18">
        <f t="shared" si="21"/>
        <v>0</v>
      </c>
      <c r="Y194" s="12">
        <f t="shared" si="22"/>
        <v>1.56738551218677</v>
      </c>
      <c r="Z194" s="12">
        <f t="shared" si="23"/>
        <v>0</v>
      </c>
      <c r="AA194" s="19">
        <v>6461</v>
      </c>
      <c r="AB194" s="19">
        <v>11046.2</v>
      </c>
      <c r="AC194" s="19">
        <v>524.01</v>
      </c>
      <c r="AD194" s="19">
        <v>591.37</v>
      </c>
      <c r="AE194" s="19">
        <v>21</v>
      </c>
      <c r="AF194" s="19">
        <v>0.01</v>
      </c>
      <c r="AG194" s="19">
        <v>120.2</v>
      </c>
      <c r="AH194" s="19">
        <v>87.37</v>
      </c>
      <c r="AI194" s="19">
        <v>19.99</v>
      </c>
      <c r="AJ194" s="19">
        <v>978.3</v>
      </c>
      <c r="AK194" s="3">
        <f t="shared" si="27"/>
        <v>1</v>
      </c>
      <c r="AL194" s="3">
        <v>0</v>
      </c>
      <c r="AM194" s="3">
        <f t="shared" si="26"/>
        <v>0</v>
      </c>
    </row>
    <row r="195" spans="1:39">
      <c r="A195" s="7">
        <v>2018</v>
      </c>
      <c r="B195" s="7" t="s">
        <v>45</v>
      </c>
      <c r="C195" s="7">
        <v>0.06112574</v>
      </c>
      <c r="D195" s="7">
        <v>0.015925</v>
      </c>
      <c r="E195" s="7">
        <v>0.003574</v>
      </c>
      <c r="F195" s="7">
        <v>0.007278</v>
      </c>
      <c r="G195" s="7">
        <v>0.002701</v>
      </c>
      <c r="H195" s="7">
        <v>0.002372</v>
      </c>
      <c r="I195" s="7">
        <v>0.01596</v>
      </c>
      <c r="J195" s="7">
        <v>0.008037</v>
      </c>
      <c r="K195" s="16">
        <v>7100</v>
      </c>
      <c r="L195" s="17">
        <v>710</v>
      </c>
      <c r="M195" s="16">
        <v>3705.18</v>
      </c>
      <c r="N195" s="7">
        <f t="shared" si="24"/>
        <v>10</v>
      </c>
      <c r="O195" s="7">
        <f t="shared" si="25"/>
        <v>1.91623618825536</v>
      </c>
      <c r="P195" s="8">
        <v>153896847.4</v>
      </c>
      <c r="Q195" s="8">
        <f t="shared" ref="Q195:Q258" si="28">P195/10000/M195</f>
        <v>4.15355927107455</v>
      </c>
      <c r="R195" s="9">
        <v>3836.4</v>
      </c>
      <c r="S195" s="9">
        <v>41398.5</v>
      </c>
      <c r="T195" s="9">
        <v>54710.4</v>
      </c>
      <c r="U195" s="9">
        <v>81625</v>
      </c>
      <c r="V195" s="18">
        <v>1</v>
      </c>
      <c r="W195" s="18">
        <v>0</v>
      </c>
      <c r="X195" s="18">
        <f t="shared" ref="X195:X258" si="29">V195*W195</f>
        <v>0</v>
      </c>
      <c r="Y195" s="12">
        <f t="shared" ref="Y195:Y258" si="30">AVERAGEIF($A:$A,$A195,$Q:$Q)</f>
        <v>1.51591455826218</v>
      </c>
      <c r="Z195" s="12">
        <f t="shared" ref="Z195:Z258" si="31">MAX(0,1-Q195/Y195)</f>
        <v>0</v>
      </c>
      <c r="AA195" s="19">
        <v>7100</v>
      </c>
      <c r="AB195" s="19">
        <v>12711.22</v>
      </c>
      <c r="AC195" s="19">
        <v>578.06</v>
      </c>
      <c r="AD195" s="19">
        <v>448.7</v>
      </c>
      <c r="AE195" s="19">
        <v>18.77</v>
      </c>
      <c r="AF195" s="19">
        <v>0.02</v>
      </c>
      <c r="AG195" s="19">
        <v>117.63</v>
      </c>
      <c r="AH195" s="19">
        <v>80.48</v>
      </c>
      <c r="AI195" s="19">
        <v>20.96</v>
      </c>
      <c r="AJ195" s="19">
        <v>1064.85</v>
      </c>
      <c r="AK195" s="3">
        <f t="shared" si="27"/>
        <v>1</v>
      </c>
      <c r="AL195" s="3">
        <v>0</v>
      </c>
      <c r="AM195" s="3">
        <f t="shared" si="26"/>
        <v>0</v>
      </c>
    </row>
    <row r="196" spans="1:39">
      <c r="A196" s="7">
        <v>2019</v>
      </c>
      <c r="B196" s="7" t="s">
        <v>45</v>
      </c>
      <c r="C196" s="7">
        <v>0.07524264</v>
      </c>
      <c r="D196" s="7">
        <v>0.017736</v>
      </c>
      <c r="E196" s="7">
        <v>0.00421</v>
      </c>
      <c r="F196" s="7">
        <v>0.00776</v>
      </c>
      <c r="G196" s="7">
        <v>0.002954</v>
      </c>
      <c r="H196" s="7">
        <v>0.002811</v>
      </c>
      <c r="I196" s="7">
        <v>0.017613</v>
      </c>
      <c r="J196" s="7">
        <v>0.009352</v>
      </c>
      <c r="K196" s="16">
        <v>7648</v>
      </c>
      <c r="L196" s="17">
        <v>717</v>
      </c>
      <c r="M196" s="16">
        <v>3748.48</v>
      </c>
      <c r="N196" s="7">
        <f t="shared" si="24"/>
        <v>10.6666666666667</v>
      </c>
      <c r="O196" s="7">
        <f t="shared" si="25"/>
        <v>2.04029366569916</v>
      </c>
      <c r="P196" s="8">
        <v>173024988</v>
      </c>
      <c r="Q196" s="8">
        <f t="shared" si="28"/>
        <v>4.61587064623527</v>
      </c>
      <c r="R196" s="9">
        <v>4350.6</v>
      </c>
      <c r="S196" s="9">
        <v>43368.2</v>
      </c>
      <c r="T196" s="9">
        <v>60268.1</v>
      </c>
      <c r="U196" s="9">
        <v>86956</v>
      </c>
      <c r="V196" s="18">
        <v>1</v>
      </c>
      <c r="W196" s="18">
        <v>0</v>
      </c>
      <c r="X196" s="18">
        <f t="shared" si="29"/>
        <v>0</v>
      </c>
      <c r="Y196" s="12">
        <f t="shared" si="30"/>
        <v>1.5000536746505</v>
      </c>
      <c r="Z196" s="12">
        <f t="shared" si="31"/>
        <v>0</v>
      </c>
      <c r="AA196" s="19">
        <v>7648</v>
      </c>
      <c r="AB196" s="19">
        <v>13724.01</v>
      </c>
      <c r="AC196" s="19">
        <v>626.57</v>
      </c>
      <c r="AD196" s="19">
        <v>459.61</v>
      </c>
      <c r="AE196" s="19">
        <v>19.63</v>
      </c>
      <c r="AF196" s="19">
        <v>0.01</v>
      </c>
      <c r="AG196" s="19">
        <v>120.58</v>
      </c>
      <c r="AH196" s="19">
        <v>141.05</v>
      </c>
      <c r="AI196" s="19">
        <v>25.35</v>
      </c>
      <c r="AJ196" s="19">
        <v>1083.9</v>
      </c>
      <c r="AK196" s="3">
        <f t="shared" si="27"/>
        <v>1</v>
      </c>
      <c r="AL196" s="3">
        <v>0</v>
      </c>
      <c r="AM196" s="3">
        <f t="shared" si="26"/>
        <v>0</v>
      </c>
    </row>
    <row r="197" spans="1:39">
      <c r="A197" s="7">
        <v>2020</v>
      </c>
      <c r="B197" s="7" t="s">
        <v>45</v>
      </c>
      <c r="C197" s="7">
        <v>0.04963975</v>
      </c>
      <c r="D197" s="7">
        <v>0.013331</v>
      </c>
      <c r="E197" s="7">
        <v>0.0033</v>
      </c>
      <c r="F197" s="7">
        <v>0.006127</v>
      </c>
      <c r="G197" s="7">
        <v>0.002258</v>
      </c>
      <c r="H197" s="7">
        <v>0.001646</v>
      </c>
      <c r="I197" s="7">
        <v>0.016437</v>
      </c>
      <c r="J197" s="7">
        <v>0.007799</v>
      </c>
      <c r="K197" s="16">
        <v>8581.8</v>
      </c>
      <c r="L197" s="17">
        <v>720.93</v>
      </c>
      <c r="M197" s="16">
        <v>3920.55</v>
      </c>
      <c r="N197" s="7">
        <f t="shared" si="24"/>
        <v>11.9037909367068</v>
      </c>
      <c r="O197" s="7">
        <f t="shared" si="25"/>
        <v>2.18892757393733</v>
      </c>
      <c r="P197" s="8">
        <v>172993401.8</v>
      </c>
      <c r="Q197" s="8">
        <f t="shared" si="28"/>
        <v>4.41247788703116</v>
      </c>
      <c r="R197" s="9">
        <v>4732.7</v>
      </c>
      <c r="S197" s="9">
        <v>43868.1</v>
      </c>
      <c r="T197" s="9">
        <v>62550.8</v>
      </c>
      <c r="U197" s="9">
        <v>88521</v>
      </c>
      <c r="V197" s="18">
        <v>1</v>
      </c>
      <c r="W197" s="18">
        <v>0</v>
      </c>
      <c r="X197" s="18">
        <f t="shared" si="29"/>
        <v>0</v>
      </c>
      <c r="Y197" s="12">
        <f t="shared" si="30"/>
        <v>1.47141701078949</v>
      </c>
      <c r="Z197" s="12">
        <f t="shared" si="31"/>
        <v>0</v>
      </c>
      <c r="AA197" s="19">
        <v>7933</v>
      </c>
      <c r="AB197" s="19">
        <v>14628.85</v>
      </c>
      <c r="AC197" s="19">
        <v>764.82</v>
      </c>
      <c r="AD197" s="19">
        <v>380.97</v>
      </c>
      <c r="AE197" s="19">
        <v>20.88</v>
      </c>
      <c r="AF197" s="19">
        <v>0.01</v>
      </c>
      <c r="AG197" s="19">
        <v>115.94</v>
      </c>
      <c r="AH197" s="19">
        <v>155.98</v>
      </c>
      <c r="AI197" s="19">
        <v>29.39</v>
      </c>
      <c r="AJ197" s="19">
        <v>1038</v>
      </c>
      <c r="AK197" s="3">
        <f t="shared" si="27"/>
        <v>1</v>
      </c>
      <c r="AL197" s="3">
        <v>0</v>
      </c>
      <c r="AM197" s="3">
        <f t="shared" si="26"/>
        <v>0</v>
      </c>
    </row>
    <row r="198" spans="1:39">
      <c r="A198" s="7">
        <v>2021</v>
      </c>
      <c r="B198" s="7" t="s">
        <v>45</v>
      </c>
      <c r="C198" s="7">
        <v>0.0697382</v>
      </c>
      <c r="D198" s="7">
        <v>0.017324</v>
      </c>
      <c r="E198" s="7">
        <v>0.004854</v>
      </c>
      <c r="F198" s="7">
        <v>0.00775</v>
      </c>
      <c r="G198" s="7">
        <v>0.002804</v>
      </c>
      <c r="H198" s="7">
        <v>0.001916</v>
      </c>
      <c r="I198" s="7">
        <v>0.018351</v>
      </c>
      <c r="J198" s="7">
        <v>0.008221</v>
      </c>
      <c r="K198" s="16">
        <v>8636.8</v>
      </c>
      <c r="L198" s="17">
        <v>725</v>
      </c>
      <c r="M198" s="16">
        <v>4522.3</v>
      </c>
      <c r="N198" s="7">
        <f t="shared" si="24"/>
        <v>11.9128275862069</v>
      </c>
      <c r="O198" s="7">
        <f t="shared" si="25"/>
        <v>1.90982464675055</v>
      </c>
      <c r="P198" s="8">
        <v>187212024.4</v>
      </c>
      <c r="Q198" s="8">
        <f t="shared" si="28"/>
        <v>4.13975243570749</v>
      </c>
      <c r="R198" s="9">
        <v>4984.7</v>
      </c>
      <c r="S198" s="9">
        <v>50555.8</v>
      </c>
      <c r="T198" s="9">
        <v>69179</v>
      </c>
      <c r="U198" s="9">
        <v>98561</v>
      </c>
      <c r="V198" s="18">
        <v>1</v>
      </c>
      <c r="W198" s="18">
        <v>0</v>
      </c>
      <c r="X198" s="18">
        <f t="shared" si="29"/>
        <v>0</v>
      </c>
      <c r="Y198" s="12">
        <f t="shared" si="30"/>
        <v>1.36781889095748</v>
      </c>
      <c r="Z198" s="12">
        <f t="shared" si="31"/>
        <v>0</v>
      </c>
      <c r="AA198" s="19">
        <v>8047.9</v>
      </c>
      <c r="AB198" s="19">
        <v>15181</v>
      </c>
      <c r="AC198" s="19">
        <v>820.95</v>
      </c>
      <c r="AD198" s="19">
        <v>556.71</v>
      </c>
      <c r="AE198" s="19">
        <v>21.05</v>
      </c>
      <c r="AF198" s="19">
        <v>0.05</v>
      </c>
      <c r="AG198" s="19">
        <v>121.48</v>
      </c>
      <c r="AH198" s="19">
        <v>143.17</v>
      </c>
      <c r="AI198" s="19">
        <v>28.37</v>
      </c>
      <c r="AJ198" s="19">
        <v>1158</v>
      </c>
      <c r="AK198" s="3">
        <f t="shared" si="27"/>
        <v>1</v>
      </c>
      <c r="AL198" s="3">
        <v>0</v>
      </c>
      <c r="AM198" s="3">
        <f t="shared" si="26"/>
        <v>0</v>
      </c>
    </row>
    <row r="199" spans="1:39">
      <c r="A199" s="7">
        <v>2022</v>
      </c>
      <c r="B199" s="7" t="s">
        <v>45</v>
      </c>
      <c r="C199" s="7">
        <v>0.0635827</v>
      </c>
      <c r="D199" s="7">
        <v>0.017483</v>
      </c>
      <c r="E199" s="7">
        <v>0.004366</v>
      </c>
      <c r="F199" s="7">
        <v>0.007876</v>
      </c>
      <c r="G199" s="7">
        <v>0.002463</v>
      </c>
      <c r="H199" s="7">
        <v>0.002777</v>
      </c>
      <c r="I199" s="7">
        <v>0.015143</v>
      </c>
      <c r="J199" s="7">
        <v>0.006982</v>
      </c>
      <c r="K199" s="16">
        <v>9283.7</v>
      </c>
      <c r="L199" s="17">
        <v>728</v>
      </c>
      <c r="M199" s="16">
        <v>5069.6</v>
      </c>
      <c r="N199" s="7">
        <f t="shared" si="24"/>
        <v>12.7523351648352</v>
      </c>
      <c r="O199" s="7">
        <f t="shared" si="25"/>
        <v>1.83124901372889</v>
      </c>
      <c r="P199" s="8">
        <v>189278041.1</v>
      </c>
      <c r="Q199" s="8">
        <f t="shared" si="28"/>
        <v>3.73358925950765</v>
      </c>
      <c r="R199" s="9">
        <v>5350.1</v>
      </c>
      <c r="S199" s="9">
        <v>52620.7</v>
      </c>
      <c r="T199" s="9">
        <v>71542.7</v>
      </c>
      <c r="U199" s="9">
        <v>102217</v>
      </c>
      <c r="V199" s="18">
        <v>1</v>
      </c>
      <c r="W199" s="18">
        <v>0</v>
      </c>
      <c r="X199" s="18">
        <f t="shared" si="29"/>
        <v>0</v>
      </c>
      <c r="Y199" s="12">
        <f t="shared" si="30"/>
        <v>1.27047633725244</v>
      </c>
      <c r="Z199" s="12">
        <f t="shared" si="31"/>
        <v>0</v>
      </c>
      <c r="AA199" s="19">
        <v>8679</v>
      </c>
      <c r="AB199" s="19">
        <v>16307.45</v>
      </c>
      <c r="AC199" s="19">
        <v>841.95</v>
      </c>
      <c r="AD199" s="19">
        <v>459.84</v>
      </c>
      <c r="AE199" s="19">
        <v>18.85</v>
      </c>
      <c r="AF199" s="19">
        <v>0.15</v>
      </c>
      <c r="AG199" s="19">
        <v>115.13</v>
      </c>
      <c r="AH199" s="19">
        <v>134.57</v>
      </c>
      <c r="AI199" s="19">
        <v>26.67</v>
      </c>
      <c r="AJ199" s="19">
        <v>1361.43</v>
      </c>
      <c r="AK199" s="3">
        <f t="shared" si="27"/>
        <v>1</v>
      </c>
      <c r="AL199" s="3">
        <v>0</v>
      </c>
      <c r="AM199" s="3">
        <f t="shared" si="26"/>
        <v>0</v>
      </c>
    </row>
    <row r="200" spans="1:39">
      <c r="A200" s="7">
        <v>2023</v>
      </c>
      <c r="B200" s="7" t="s">
        <v>45</v>
      </c>
      <c r="C200" s="7">
        <v>0.25451038</v>
      </c>
      <c r="D200" s="7">
        <v>0.027363</v>
      </c>
      <c r="E200" s="7">
        <v>0.0136</v>
      </c>
      <c r="F200" s="7">
        <v>0.017723</v>
      </c>
      <c r="G200" s="7">
        <v>0.011844</v>
      </c>
      <c r="H200" s="7">
        <v>0.013361</v>
      </c>
      <c r="I200" s="7">
        <v>0.021656</v>
      </c>
      <c r="J200" s="7">
        <v>0.015466</v>
      </c>
      <c r="K200" s="16">
        <v>9930.6</v>
      </c>
      <c r="L200" s="17">
        <v>729</v>
      </c>
      <c r="M200" s="16">
        <v>5315</v>
      </c>
      <c r="N200" s="7">
        <f t="shared" si="24"/>
        <v>13.6222222222222</v>
      </c>
      <c r="O200" s="7">
        <f t="shared" si="25"/>
        <v>1.86841015992474</v>
      </c>
      <c r="P200" s="8">
        <v>197795587.7</v>
      </c>
      <c r="Q200" s="8">
        <f t="shared" si="28"/>
        <v>3.72145978739417</v>
      </c>
      <c r="R200" s="9">
        <v>5540.7</v>
      </c>
      <c r="S200" s="9">
        <v>54437.3</v>
      </c>
      <c r="T200" s="9">
        <v>75695.2</v>
      </c>
      <c r="U200" s="9">
        <v>106985</v>
      </c>
      <c r="V200" s="18">
        <v>1</v>
      </c>
      <c r="W200" s="18">
        <v>0</v>
      </c>
      <c r="X200" s="18">
        <f t="shared" si="29"/>
        <v>0</v>
      </c>
      <c r="Y200" s="12">
        <f t="shared" si="30"/>
        <v>1.2756783895882</v>
      </c>
      <c r="Z200" s="12">
        <f t="shared" si="31"/>
        <v>0</v>
      </c>
      <c r="AA200" s="12"/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3">
        <f t="shared" si="27"/>
        <v>1</v>
      </c>
      <c r="AL200" s="3">
        <v>0</v>
      </c>
      <c r="AM200" s="3">
        <f t="shared" si="26"/>
        <v>0</v>
      </c>
    </row>
    <row r="201" spans="1:39">
      <c r="A201" s="7">
        <v>2024</v>
      </c>
      <c r="B201" s="7" t="s">
        <v>45</v>
      </c>
      <c r="C201" s="7">
        <v>0.40332391</v>
      </c>
      <c r="D201" s="7">
        <v>0.031408</v>
      </c>
      <c r="E201" s="7">
        <v>0.020257</v>
      </c>
      <c r="F201" s="7">
        <v>0.022641</v>
      </c>
      <c r="G201" s="7">
        <v>0.020814</v>
      </c>
      <c r="H201" s="7">
        <v>0.024572</v>
      </c>
      <c r="I201" s="7">
        <v>0.023426</v>
      </c>
      <c r="J201" s="7">
        <v>0.018918</v>
      </c>
      <c r="K201" s="16">
        <v>10577.5</v>
      </c>
      <c r="L201" s="17">
        <v>729</v>
      </c>
      <c r="M201" s="16">
        <v>5502.8</v>
      </c>
      <c r="N201" s="7">
        <f t="shared" si="24"/>
        <v>14.5096021947874</v>
      </c>
      <c r="O201" s="7">
        <f t="shared" si="25"/>
        <v>1.9222032419859</v>
      </c>
      <c r="P201" s="8">
        <v>195765705.7</v>
      </c>
      <c r="Q201" s="8">
        <f t="shared" si="28"/>
        <v>3.55756534309806</v>
      </c>
      <c r="R201" s="9">
        <v>5837</v>
      </c>
      <c r="S201" s="9">
        <v>54365.5</v>
      </c>
      <c r="T201" s="9">
        <v>81431.3</v>
      </c>
      <c r="U201" s="9">
        <v>111146</v>
      </c>
      <c r="V201" s="18">
        <v>1</v>
      </c>
      <c r="W201" s="18">
        <v>0</v>
      </c>
      <c r="X201" s="18">
        <f t="shared" si="29"/>
        <v>0</v>
      </c>
      <c r="Y201" s="12">
        <f t="shared" si="30"/>
        <v>1.21200651315194</v>
      </c>
      <c r="Z201" s="12">
        <f t="shared" si="31"/>
        <v>0</v>
      </c>
      <c r="AA201" s="12"/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3">
        <f t="shared" si="27"/>
        <v>1</v>
      </c>
      <c r="AL201" s="3">
        <v>0</v>
      </c>
      <c r="AM201" s="3">
        <f t="shared" si="26"/>
        <v>0</v>
      </c>
    </row>
    <row r="202" spans="1:39">
      <c r="A202" s="7">
        <v>2000</v>
      </c>
      <c r="B202" s="7" t="s">
        <v>46</v>
      </c>
      <c r="C202" s="7">
        <v>0.1057666</v>
      </c>
      <c r="D202" s="7">
        <v>0.022731</v>
      </c>
      <c r="E202" s="7">
        <v>0.005437</v>
      </c>
      <c r="F202" s="7">
        <v>0.010033</v>
      </c>
      <c r="G202" s="7">
        <v>0.003448</v>
      </c>
      <c r="H202" s="7">
        <v>0.003813</v>
      </c>
      <c r="I202" s="7">
        <v>0.021265</v>
      </c>
      <c r="J202" s="7">
        <v>0.010983</v>
      </c>
      <c r="K202" s="16">
        <v>4879</v>
      </c>
      <c r="L202" s="17">
        <v>6093</v>
      </c>
      <c r="M202" s="16">
        <v>3038.23588</v>
      </c>
      <c r="N202" s="7">
        <f t="shared" si="24"/>
        <v>0.800754964713606</v>
      </c>
      <c r="O202" s="7">
        <f t="shared" si="25"/>
        <v>1.60586609884944</v>
      </c>
      <c r="P202" s="8">
        <v>143527215.7</v>
      </c>
      <c r="Q202" s="8">
        <f t="shared" si="28"/>
        <v>4.72403135796026</v>
      </c>
      <c r="R202" s="9">
        <v>79.3</v>
      </c>
      <c r="S202" s="9">
        <v>1023.7</v>
      </c>
      <c r="T202" s="9">
        <v>2174.9</v>
      </c>
      <c r="U202" s="9">
        <v>25014</v>
      </c>
      <c r="V202" s="18">
        <v>0</v>
      </c>
      <c r="W202" s="18">
        <v>0</v>
      </c>
      <c r="X202" s="18">
        <f t="shared" si="29"/>
        <v>0</v>
      </c>
      <c r="Y202" s="12">
        <f t="shared" si="30"/>
        <v>4.53658228674969</v>
      </c>
      <c r="Z202" s="12">
        <f t="shared" si="31"/>
        <v>0</v>
      </c>
      <c r="AA202" s="19">
        <v>4878.82</v>
      </c>
      <c r="AB202" s="19">
        <v>5909.39</v>
      </c>
      <c r="AC202" s="19">
        <v>533.27</v>
      </c>
      <c r="AD202" s="19">
        <v>345.06</v>
      </c>
      <c r="AE202" s="19">
        <v>68.54</v>
      </c>
      <c r="AF202" s="19">
        <v>2.56</v>
      </c>
      <c r="AG202" s="19">
        <v>142.12</v>
      </c>
      <c r="AH202" s="19">
        <v>46.91</v>
      </c>
      <c r="AI202" s="12">
        <v>0</v>
      </c>
      <c r="AJ202" s="19">
        <v>338.93</v>
      </c>
      <c r="AK202" s="3">
        <f t="shared" si="27"/>
        <v>0</v>
      </c>
      <c r="AL202" s="3">
        <v>0</v>
      </c>
      <c r="AM202" s="3">
        <f t="shared" si="26"/>
        <v>0</v>
      </c>
    </row>
    <row r="203" spans="1:39">
      <c r="A203" s="7">
        <v>2001</v>
      </c>
      <c r="B203" s="7" t="s">
        <v>46</v>
      </c>
      <c r="C203" s="7">
        <v>0.10203729</v>
      </c>
      <c r="D203" s="7">
        <v>0.021977</v>
      </c>
      <c r="E203" s="7">
        <v>0.00549</v>
      </c>
      <c r="F203" s="7">
        <v>0.009758</v>
      </c>
      <c r="G203" s="7">
        <v>0.003495</v>
      </c>
      <c r="H203" s="7">
        <v>0.003234</v>
      </c>
      <c r="I203" s="7">
        <v>0.021656</v>
      </c>
      <c r="J203" s="7">
        <v>0.010837</v>
      </c>
      <c r="K203" s="16">
        <v>5118</v>
      </c>
      <c r="L203" s="17">
        <v>6128</v>
      </c>
      <c r="M203" s="16">
        <v>3246.71456</v>
      </c>
      <c r="N203" s="7">
        <f t="shared" si="24"/>
        <v>0.835182767624021</v>
      </c>
      <c r="O203" s="7">
        <f t="shared" si="25"/>
        <v>1.57636278318227</v>
      </c>
      <c r="P203" s="8">
        <v>151753718.9</v>
      </c>
      <c r="Q203" s="8">
        <f t="shared" si="28"/>
        <v>4.67407023609738</v>
      </c>
      <c r="R203" s="9">
        <v>80.8</v>
      </c>
      <c r="S203" s="9">
        <v>1127.2</v>
      </c>
      <c r="T203" s="9">
        <v>2653.6</v>
      </c>
      <c r="U203" s="9">
        <v>28097</v>
      </c>
      <c r="V203" s="18">
        <v>0</v>
      </c>
      <c r="W203" s="18">
        <v>0</v>
      </c>
      <c r="X203" s="18">
        <f t="shared" si="29"/>
        <v>0</v>
      </c>
      <c r="Y203" s="12">
        <f t="shared" si="30"/>
        <v>4.16809156222866</v>
      </c>
      <c r="Z203" s="12">
        <f t="shared" si="31"/>
        <v>0</v>
      </c>
      <c r="AA203" s="19">
        <v>5118</v>
      </c>
      <c r="AB203" s="19">
        <v>6366</v>
      </c>
      <c r="AC203" s="19">
        <v>542.67</v>
      </c>
      <c r="AD203" s="19">
        <v>288.27</v>
      </c>
      <c r="AE203" s="19">
        <v>70.35</v>
      </c>
      <c r="AF203" s="19">
        <v>2.7</v>
      </c>
      <c r="AG203" s="19">
        <v>147.77</v>
      </c>
      <c r="AH203" s="19">
        <v>47.26</v>
      </c>
      <c r="AI203" s="12">
        <v>0</v>
      </c>
      <c r="AJ203" s="19">
        <v>359.62</v>
      </c>
      <c r="AK203" s="3">
        <f t="shared" si="27"/>
        <v>0</v>
      </c>
      <c r="AL203" s="3">
        <v>0</v>
      </c>
      <c r="AM203" s="3">
        <f t="shared" si="26"/>
        <v>0</v>
      </c>
    </row>
    <row r="204" spans="1:39">
      <c r="A204" s="7">
        <v>2002</v>
      </c>
      <c r="B204" s="7" t="s">
        <v>46</v>
      </c>
      <c r="C204" s="7">
        <v>0.11612747</v>
      </c>
      <c r="D204" s="7">
        <v>0.024593</v>
      </c>
      <c r="E204" s="7">
        <v>0.006249</v>
      </c>
      <c r="F204" s="7">
        <v>0.010729</v>
      </c>
      <c r="G204" s="7">
        <v>0.00384</v>
      </c>
      <c r="H204" s="7">
        <v>0.003775</v>
      </c>
      <c r="I204" s="7">
        <v>0.021735</v>
      </c>
      <c r="J204" s="7">
        <v>0.011841</v>
      </c>
      <c r="K204" s="16">
        <v>5316</v>
      </c>
      <c r="L204" s="17">
        <v>6144</v>
      </c>
      <c r="M204" s="16">
        <v>3519.71951</v>
      </c>
      <c r="N204" s="7">
        <f t="shared" si="24"/>
        <v>0.865234375</v>
      </c>
      <c r="O204" s="7">
        <f t="shared" si="25"/>
        <v>1.51034762426282</v>
      </c>
      <c r="P204" s="8">
        <v>159049900.3</v>
      </c>
      <c r="Q204" s="8">
        <f t="shared" si="28"/>
        <v>4.51882315758735</v>
      </c>
      <c r="R204" s="9">
        <v>82.4</v>
      </c>
      <c r="S204" s="9">
        <v>1235.1</v>
      </c>
      <c r="T204" s="9">
        <v>3208.2</v>
      </c>
      <c r="U204" s="9">
        <v>32231</v>
      </c>
      <c r="V204" s="18">
        <v>0</v>
      </c>
      <c r="W204" s="18">
        <v>0</v>
      </c>
      <c r="X204" s="18">
        <f t="shared" si="29"/>
        <v>0</v>
      </c>
      <c r="Y204" s="12">
        <f t="shared" si="30"/>
        <v>4.06804884448575</v>
      </c>
      <c r="Z204" s="12">
        <f t="shared" si="31"/>
        <v>0</v>
      </c>
      <c r="AA204" s="19">
        <v>5316</v>
      </c>
      <c r="AB204" s="19">
        <v>6679</v>
      </c>
      <c r="AC204" s="19">
        <v>556.2</v>
      </c>
      <c r="AD204" s="19">
        <v>307.99</v>
      </c>
      <c r="AE204" s="19">
        <v>73.9</v>
      </c>
      <c r="AF204" s="19">
        <v>2.7</v>
      </c>
      <c r="AG204" s="19">
        <v>155.89</v>
      </c>
      <c r="AH204" s="19">
        <v>47.52</v>
      </c>
      <c r="AI204" s="12">
        <v>0</v>
      </c>
      <c r="AJ204" s="19">
        <v>389.94</v>
      </c>
      <c r="AK204" s="3">
        <f t="shared" si="27"/>
        <v>0</v>
      </c>
      <c r="AL204" s="3">
        <v>0</v>
      </c>
      <c r="AM204" s="3">
        <f t="shared" si="26"/>
        <v>0</v>
      </c>
    </row>
    <row r="205" spans="1:39">
      <c r="A205" s="7">
        <v>2003</v>
      </c>
      <c r="B205" s="7" t="s">
        <v>46</v>
      </c>
      <c r="C205" s="7">
        <v>0.10521313</v>
      </c>
      <c r="D205" s="7">
        <v>0.022396</v>
      </c>
      <c r="E205" s="7">
        <v>0.005779</v>
      </c>
      <c r="F205" s="7">
        <v>0.010175</v>
      </c>
      <c r="G205" s="7">
        <v>0.003694</v>
      </c>
      <c r="H205" s="7">
        <v>0.002748</v>
      </c>
      <c r="I205" s="7">
        <v>0.022537</v>
      </c>
      <c r="J205" s="7">
        <v>0.011369</v>
      </c>
      <c r="K205" s="16">
        <v>5457</v>
      </c>
      <c r="L205" s="17">
        <v>6163</v>
      </c>
      <c r="M205" s="16">
        <v>3923.1</v>
      </c>
      <c r="N205" s="7">
        <f t="shared" si="24"/>
        <v>0.885445399967548</v>
      </c>
      <c r="O205" s="7">
        <f t="shared" si="25"/>
        <v>1.39099181769519</v>
      </c>
      <c r="P205" s="8">
        <v>176590054.8</v>
      </c>
      <c r="Q205" s="8">
        <f t="shared" si="28"/>
        <v>4.50128864418445</v>
      </c>
      <c r="R205" s="9">
        <v>84.1</v>
      </c>
      <c r="S205" s="9">
        <v>1456.4</v>
      </c>
      <c r="T205" s="9">
        <v>3726.7</v>
      </c>
      <c r="U205" s="9">
        <v>36583</v>
      </c>
      <c r="V205" s="18">
        <v>0</v>
      </c>
      <c r="W205" s="18">
        <v>0</v>
      </c>
      <c r="X205" s="18">
        <f t="shared" si="29"/>
        <v>0</v>
      </c>
      <c r="Y205" s="12">
        <f t="shared" si="30"/>
        <v>4.08414499624993</v>
      </c>
      <c r="Z205" s="12">
        <f t="shared" si="31"/>
        <v>0</v>
      </c>
      <c r="AA205" s="19">
        <v>5457.09</v>
      </c>
      <c r="AB205" s="19">
        <v>7488.61</v>
      </c>
      <c r="AC205" s="19">
        <v>599.66</v>
      </c>
      <c r="AD205" s="19">
        <v>334.92</v>
      </c>
      <c r="AE205" s="19">
        <v>76.7</v>
      </c>
      <c r="AF205" s="19">
        <v>7.53</v>
      </c>
      <c r="AG205" s="19">
        <v>173.71</v>
      </c>
      <c r="AH205" s="19">
        <v>53.81</v>
      </c>
      <c r="AI205" s="12">
        <v>0</v>
      </c>
      <c r="AJ205" s="19">
        <v>445.44</v>
      </c>
      <c r="AK205" s="3">
        <f t="shared" si="27"/>
        <v>0</v>
      </c>
      <c r="AL205" s="3">
        <v>0</v>
      </c>
      <c r="AM205" s="3">
        <f t="shared" si="26"/>
        <v>0</v>
      </c>
    </row>
    <row r="206" spans="1:39">
      <c r="A206" s="7">
        <v>2004</v>
      </c>
      <c r="B206" s="7" t="s">
        <v>46</v>
      </c>
      <c r="C206" s="7">
        <v>0.13787856</v>
      </c>
      <c r="D206" s="7">
        <v>0.027161</v>
      </c>
      <c r="E206" s="7">
        <v>0.006959</v>
      </c>
      <c r="F206" s="7">
        <v>0.012269</v>
      </c>
      <c r="G206" s="7">
        <v>0.004258</v>
      </c>
      <c r="H206" s="7">
        <v>0.003675</v>
      </c>
      <c r="I206" s="7">
        <v>0.026633</v>
      </c>
      <c r="J206" s="7">
        <v>0.013899</v>
      </c>
      <c r="K206" s="16">
        <v>6017</v>
      </c>
      <c r="L206" s="17">
        <v>6228</v>
      </c>
      <c r="M206" s="16">
        <v>4759.32</v>
      </c>
      <c r="N206" s="7">
        <f t="shared" si="24"/>
        <v>0.966120745022479</v>
      </c>
      <c r="O206" s="7">
        <f t="shared" si="25"/>
        <v>1.26425623828614</v>
      </c>
      <c r="P206" s="8">
        <v>196165959.5</v>
      </c>
      <c r="Q206" s="8">
        <f t="shared" si="28"/>
        <v>4.12172242042981</v>
      </c>
      <c r="R206" s="9">
        <v>85.4</v>
      </c>
      <c r="S206" s="9">
        <v>1773.7</v>
      </c>
      <c r="T206" s="9">
        <v>4393.4</v>
      </c>
      <c r="U206" s="9">
        <v>42402</v>
      </c>
      <c r="V206" s="18">
        <v>0</v>
      </c>
      <c r="W206" s="18">
        <v>0</v>
      </c>
      <c r="X206" s="18">
        <f t="shared" si="29"/>
        <v>0</v>
      </c>
      <c r="Y206" s="12">
        <f t="shared" si="30"/>
        <v>3.89549779892895</v>
      </c>
      <c r="Z206" s="12">
        <f t="shared" si="31"/>
        <v>0</v>
      </c>
      <c r="AA206" s="19">
        <v>6016.89</v>
      </c>
      <c r="AB206" s="19">
        <v>7823.06</v>
      </c>
      <c r="AC206" s="19">
        <v>544.29</v>
      </c>
      <c r="AD206" s="19">
        <v>419.79</v>
      </c>
      <c r="AE206" s="19">
        <v>78.18</v>
      </c>
      <c r="AF206" s="19">
        <v>8.49</v>
      </c>
      <c r="AG206" s="19">
        <v>189.48</v>
      </c>
      <c r="AH206" s="19">
        <v>23.92</v>
      </c>
      <c r="AI206" s="19">
        <v>0.15</v>
      </c>
      <c r="AJ206" s="19">
        <v>515.94</v>
      </c>
      <c r="AK206" s="3">
        <f t="shared" si="27"/>
        <v>0</v>
      </c>
      <c r="AL206" s="3">
        <v>0</v>
      </c>
      <c r="AM206" s="3">
        <f t="shared" si="26"/>
        <v>0</v>
      </c>
    </row>
    <row r="207" spans="1:39">
      <c r="A207" s="7">
        <v>2005</v>
      </c>
      <c r="B207" s="7" t="s">
        <v>46</v>
      </c>
      <c r="C207" s="7">
        <v>0.12099445</v>
      </c>
      <c r="D207" s="7">
        <v>0.025647</v>
      </c>
      <c r="E207" s="7">
        <v>0.00637</v>
      </c>
      <c r="F207" s="7">
        <v>0.011506</v>
      </c>
      <c r="G207" s="7">
        <v>0.003793</v>
      </c>
      <c r="H207" s="7">
        <v>0.003979</v>
      </c>
      <c r="I207" s="7">
        <v>0.023787</v>
      </c>
      <c r="J207" s="7">
        <v>0.01106</v>
      </c>
      <c r="K207" s="16">
        <v>6506</v>
      </c>
      <c r="L207" s="17">
        <v>6120.09</v>
      </c>
      <c r="M207" s="16">
        <v>5350.17</v>
      </c>
      <c r="N207" s="7">
        <f t="shared" si="24"/>
        <v>1.06305626224451</v>
      </c>
      <c r="O207" s="7">
        <f t="shared" si="25"/>
        <v>1.21603612595488</v>
      </c>
      <c r="P207" s="8">
        <v>225146692.3</v>
      </c>
      <c r="Q207" s="8">
        <f t="shared" si="28"/>
        <v>4.20821566978246</v>
      </c>
      <c r="R207" s="9">
        <v>86.9</v>
      </c>
      <c r="S207" s="9">
        <v>1907.4</v>
      </c>
      <c r="T207" s="9">
        <v>5155.5</v>
      </c>
      <c r="U207" s="9">
        <v>47182</v>
      </c>
      <c r="V207" s="18">
        <v>0</v>
      </c>
      <c r="W207" s="18">
        <v>0</v>
      </c>
      <c r="X207" s="18">
        <f t="shared" si="29"/>
        <v>0</v>
      </c>
      <c r="Y207" s="12">
        <f t="shared" si="30"/>
        <v>3.71995059106252</v>
      </c>
      <c r="Z207" s="12">
        <f t="shared" si="31"/>
        <v>0</v>
      </c>
      <c r="AA207" s="19">
        <v>6518</v>
      </c>
      <c r="AB207" s="19">
        <v>8339.64</v>
      </c>
      <c r="AC207" s="19">
        <v>538.39</v>
      </c>
      <c r="AD207" s="19">
        <v>414.49</v>
      </c>
      <c r="AE207" s="19">
        <v>86.41</v>
      </c>
      <c r="AF207" s="19">
        <v>10.52</v>
      </c>
      <c r="AG207" s="19">
        <v>210.07</v>
      </c>
      <c r="AH207" s="19">
        <v>23.88</v>
      </c>
      <c r="AI207" s="19">
        <v>0.85</v>
      </c>
      <c r="AJ207" s="19">
        <v>582.16</v>
      </c>
      <c r="AK207" s="3">
        <f t="shared" si="27"/>
        <v>0</v>
      </c>
      <c r="AL207" s="3">
        <v>0</v>
      </c>
      <c r="AM207" s="3">
        <f t="shared" si="26"/>
        <v>0</v>
      </c>
    </row>
    <row r="208" spans="1:39">
      <c r="A208" s="7">
        <v>2006</v>
      </c>
      <c r="B208" s="7" t="s">
        <v>46</v>
      </c>
      <c r="C208" s="7">
        <v>0.13794014</v>
      </c>
      <c r="D208" s="7">
        <v>0.026822</v>
      </c>
      <c r="E208" s="7">
        <v>0.006455</v>
      </c>
      <c r="F208" s="7">
        <v>0.011777</v>
      </c>
      <c r="G208" s="7">
        <v>0.003691</v>
      </c>
      <c r="H208" s="7">
        <v>0.004899</v>
      </c>
      <c r="I208" s="7">
        <v>0.027266</v>
      </c>
      <c r="J208" s="7">
        <v>0.013198</v>
      </c>
      <c r="K208" s="16">
        <v>7069</v>
      </c>
      <c r="L208" s="17">
        <v>6110</v>
      </c>
      <c r="M208" s="16">
        <v>6112.5</v>
      </c>
      <c r="N208" s="7">
        <f t="shared" si="24"/>
        <v>1.1569558101473</v>
      </c>
      <c r="O208" s="7">
        <f t="shared" si="25"/>
        <v>1.15648261758691</v>
      </c>
      <c r="P208" s="8">
        <v>247336379.2</v>
      </c>
      <c r="Q208" s="8">
        <f t="shared" si="28"/>
        <v>4.04640293169734</v>
      </c>
      <c r="R208" s="9">
        <v>87.2</v>
      </c>
      <c r="S208" s="9">
        <v>2072.1</v>
      </c>
      <c r="T208" s="9">
        <v>6227.7</v>
      </c>
      <c r="U208" s="9">
        <v>53438</v>
      </c>
      <c r="V208" s="18">
        <v>0</v>
      </c>
      <c r="W208" s="18">
        <v>0</v>
      </c>
      <c r="X208" s="18">
        <f t="shared" si="29"/>
        <v>0</v>
      </c>
      <c r="Y208" s="12">
        <f t="shared" si="30"/>
        <v>3.57740717995078</v>
      </c>
      <c r="Z208" s="12">
        <f t="shared" si="31"/>
        <v>0</v>
      </c>
      <c r="AA208" s="19">
        <v>7096.39</v>
      </c>
      <c r="AB208" s="19">
        <v>8830.52</v>
      </c>
      <c r="AC208" s="19">
        <v>652.22</v>
      </c>
      <c r="AD208" s="19">
        <v>445.4</v>
      </c>
      <c r="AE208" s="19">
        <v>97.8</v>
      </c>
      <c r="AF208" s="19">
        <v>10.6</v>
      </c>
      <c r="AG208" s="19">
        <v>239.9</v>
      </c>
      <c r="AH208" s="19">
        <v>21.62</v>
      </c>
      <c r="AI208" s="19">
        <v>1.95</v>
      </c>
      <c r="AJ208" s="19">
        <v>662.4</v>
      </c>
      <c r="AK208" s="3">
        <f t="shared" si="27"/>
        <v>0</v>
      </c>
      <c r="AL208" s="3">
        <v>0</v>
      </c>
      <c r="AM208" s="3">
        <f t="shared" si="26"/>
        <v>0</v>
      </c>
    </row>
    <row r="209" spans="1:39">
      <c r="A209" s="7">
        <v>2007</v>
      </c>
      <c r="B209" s="7" t="s">
        <v>46</v>
      </c>
      <c r="C209" s="7">
        <v>0.14654118</v>
      </c>
      <c r="D209" s="7">
        <v>0.027599</v>
      </c>
      <c r="E209" s="7">
        <v>0.00671</v>
      </c>
      <c r="F209" s="7">
        <v>0.012494</v>
      </c>
      <c r="G209" s="7">
        <v>0.003912</v>
      </c>
      <c r="H209" s="7">
        <v>0.004483</v>
      </c>
      <c r="I209" s="7">
        <v>0.028127</v>
      </c>
      <c r="J209" s="7">
        <v>0.01538</v>
      </c>
      <c r="K209" s="16">
        <v>7739</v>
      </c>
      <c r="L209" s="17">
        <v>6118</v>
      </c>
      <c r="M209" s="16">
        <v>7360.92</v>
      </c>
      <c r="N209" s="7">
        <f t="shared" si="24"/>
        <v>1.2649558679307</v>
      </c>
      <c r="O209" s="7">
        <f t="shared" si="25"/>
        <v>1.05136314482429</v>
      </c>
      <c r="P209" s="8">
        <v>284014229.7</v>
      </c>
      <c r="Q209" s="8">
        <f t="shared" si="28"/>
        <v>3.85840668965292</v>
      </c>
      <c r="R209" s="9">
        <v>99.4</v>
      </c>
      <c r="S209" s="9">
        <v>2413.4</v>
      </c>
      <c r="T209" s="9">
        <v>7912.8</v>
      </c>
      <c r="U209" s="9">
        <v>63629</v>
      </c>
      <c r="V209" s="18">
        <v>0</v>
      </c>
      <c r="W209" s="18">
        <v>0</v>
      </c>
      <c r="X209" s="18">
        <f t="shared" si="29"/>
        <v>0</v>
      </c>
      <c r="Y209" s="12">
        <f t="shared" si="30"/>
        <v>3.23986794305777</v>
      </c>
      <c r="Z209" s="12">
        <f t="shared" si="31"/>
        <v>0</v>
      </c>
      <c r="AA209" s="19">
        <v>7752.06</v>
      </c>
      <c r="AB209" s="19">
        <v>9783.74</v>
      </c>
      <c r="AC209" s="19">
        <v>809.7</v>
      </c>
      <c r="AD209" s="19">
        <v>451.08</v>
      </c>
      <c r="AE209" s="19">
        <v>114.91</v>
      </c>
      <c r="AF209" s="19">
        <v>11.34</v>
      </c>
      <c r="AG209" s="19">
        <v>259.16</v>
      </c>
      <c r="AH209" s="19">
        <v>13.24</v>
      </c>
      <c r="AI209" s="19">
        <v>4.03</v>
      </c>
      <c r="AJ209" s="19">
        <v>768.7</v>
      </c>
      <c r="AK209" s="3">
        <f t="shared" si="27"/>
        <v>0</v>
      </c>
      <c r="AL209" s="3">
        <v>0</v>
      </c>
      <c r="AM209" s="3">
        <f t="shared" si="26"/>
        <v>0</v>
      </c>
    </row>
    <row r="210" spans="1:39">
      <c r="A210" s="7">
        <v>2008</v>
      </c>
      <c r="B210" s="7" t="s">
        <v>46</v>
      </c>
      <c r="C210" s="7">
        <v>0.13759932</v>
      </c>
      <c r="D210" s="7">
        <v>0.025814</v>
      </c>
      <c r="E210" s="7">
        <v>0.006468</v>
      </c>
      <c r="F210" s="7">
        <v>0.011667</v>
      </c>
      <c r="G210" s="7">
        <v>0.004169</v>
      </c>
      <c r="H210" s="7">
        <v>0.003509</v>
      </c>
      <c r="I210" s="7">
        <v>0.028728</v>
      </c>
      <c r="J210" s="7">
        <v>0.014692</v>
      </c>
      <c r="K210" s="16">
        <v>8325</v>
      </c>
      <c r="L210" s="17">
        <v>6135</v>
      </c>
      <c r="M210" s="16">
        <v>8851.66</v>
      </c>
      <c r="N210" s="7">
        <f t="shared" si="24"/>
        <v>1.35696821515892</v>
      </c>
      <c r="O210" s="7">
        <f t="shared" si="25"/>
        <v>0.940501555640411</v>
      </c>
      <c r="P210" s="8">
        <v>320979251.5</v>
      </c>
      <c r="Q210" s="8">
        <f t="shared" si="28"/>
        <v>3.62620402839693</v>
      </c>
      <c r="R210" s="9">
        <v>111.4</v>
      </c>
      <c r="S210" s="9">
        <v>2526.7</v>
      </c>
      <c r="T210" s="9">
        <v>9175.1</v>
      </c>
      <c r="U210" s="9">
        <v>68541</v>
      </c>
      <c r="V210" s="18">
        <v>0</v>
      </c>
      <c r="W210" s="18">
        <v>0</v>
      </c>
      <c r="X210" s="18">
        <f t="shared" si="29"/>
        <v>0</v>
      </c>
      <c r="Y210" s="12">
        <f t="shared" si="30"/>
        <v>2.71728515287532</v>
      </c>
      <c r="Z210" s="12">
        <f t="shared" si="31"/>
        <v>0</v>
      </c>
      <c r="AA210" s="19">
        <v>8325</v>
      </c>
      <c r="AB210" s="19">
        <v>11377</v>
      </c>
      <c r="AC210" s="19">
        <v>851.22</v>
      </c>
      <c r="AD210" s="19">
        <v>426.34</v>
      </c>
      <c r="AE210" s="19">
        <v>127.37</v>
      </c>
      <c r="AF210" s="19">
        <v>11.02</v>
      </c>
      <c r="AG210" s="19">
        <v>309.63</v>
      </c>
      <c r="AH210" s="19">
        <v>15.6</v>
      </c>
      <c r="AI210" s="19">
        <v>7.17</v>
      </c>
      <c r="AJ210" s="19">
        <v>858.87</v>
      </c>
      <c r="AK210" s="3">
        <f t="shared" si="27"/>
        <v>0</v>
      </c>
      <c r="AL210" s="3">
        <v>0</v>
      </c>
      <c r="AM210" s="3">
        <f t="shared" si="26"/>
        <v>0</v>
      </c>
    </row>
    <row r="211" spans="1:39">
      <c r="A211" s="7">
        <v>2009</v>
      </c>
      <c r="B211" s="7" t="s">
        <v>46</v>
      </c>
      <c r="C211" s="7">
        <v>0.15911936</v>
      </c>
      <c r="D211" s="7">
        <v>0.030119</v>
      </c>
      <c r="E211" s="7">
        <v>0.007415</v>
      </c>
      <c r="F211" s="7">
        <v>0.013734</v>
      </c>
      <c r="G211" s="7">
        <v>0.004684</v>
      </c>
      <c r="H211" s="7">
        <v>0.004285</v>
      </c>
      <c r="I211" s="7">
        <v>0.030949</v>
      </c>
      <c r="J211" s="7">
        <v>0.014829</v>
      </c>
      <c r="K211" s="16">
        <v>8896</v>
      </c>
      <c r="L211" s="17">
        <v>6131</v>
      </c>
      <c r="M211" s="16">
        <v>10062.82</v>
      </c>
      <c r="N211" s="7">
        <f t="shared" si="24"/>
        <v>1.45098678845213</v>
      </c>
      <c r="O211" s="7">
        <f t="shared" si="25"/>
        <v>0.884046420387128</v>
      </c>
      <c r="P211" s="8">
        <v>333559092.1</v>
      </c>
      <c r="Q211" s="8">
        <f t="shared" si="28"/>
        <v>3.31476755124309</v>
      </c>
      <c r="R211" s="9">
        <v>116.8</v>
      </c>
      <c r="S211" s="9">
        <v>2736.4</v>
      </c>
      <c r="T211" s="9">
        <v>10047.7</v>
      </c>
      <c r="U211" s="9">
        <v>71059</v>
      </c>
      <c r="V211" s="18">
        <v>0</v>
      </c>
      <c r="W211" s="18">
        <v>0</v>
      </c>
      <c r="X211" s="18">
        <f t="shared" si="29"/>
        <v>0</v>
      </c>
      <c r="Y211" s="12">
        <f t="shared" si="30"/>
        <v>2.66960201713366</v>
      </c>
      <c r="Z211" s="12">
        <f t="shared" si="31"/>
        <v>0</v>
      </c>
      <c r="AA211" s="19">
        <v>8896</v>
      </c>
      <c r="AB211" s="19">
        <v>12666</v>
      </c>
      <c r="AC211" s="19">
        <v>856.28</v>
      </c>
      <c r="AD211" s="19">
        <v>454.13</v>
      </c>
      <c r="AE211" s="19">
        <v>140.4</v>
      </c>
      <c r="AF211" s="19">
        <v>13.23</v>
      </c>
      <c r="AG211" s="19">
        <v>329.14</v>
      </c>
      <c r="AH211" s="19">
        <v>14.26</v>
      </c>
      <c r="AI211" s="19">
        <v>9.77</v>
      </c>
      <c r="AJ211" s="19">
        <v>952.3</v>
      </c>
      <c r="AK211" s="3">
        <f t="shared" si="27"/>
        <v>0</v>
      </c>
      <c r="AL211" s="3">
        <v>0</v>
      </c>
      <c r="AM211" s="3">
        <f t="shared" si="26"/>
        <v>0</v>
      </c>
    </row>
    <row r="212" spans="1:39">
      <c r="A212" s="7">
        <v>2010</v>
      </c>
      <c r="B212" s="7" t="s">
        <v>46</v>
      </c>
      <c r="C212" s="7">
        <v>0.16426943</v>
      </c>
      <c r="D212" s="7">
        <v>0.029946</v>
      </c>
      <c r="E212" s="7">
        <v>0.007543</v>
      </c>
      <c r="F212" s="7">
        <v>0.013653</v>
      </c>
      <c r="G212" s="7">
        <v>0.003995</v>
      </c>
      <c r="H212" s="7">
        <v>0.004754</v>
      </c>
      <c r="I212" s="7">
        <v>0.031742</v>
      </c>
      <c r="J212" s="7">
        <v>0.016655</v>
      </c>
      <c r="K212" s="16">
        <v>9707</v>
      </c>
      <c r="L212" s="17">
        <v>5956.7</v>
      </c>
      <c r="M212" s="16">
        <v>12359.33</v>
      </c>
      <c r="N212" s="7">
        <f t="shared" si="24"/>
        <v>1.62959356690785</v>
      </c>
      <c r="O212" s="7">
        <f t="shared" si="25"/>
        <v>0.78539856124887</v>
      </c>
      <c r="P212" s="8">
        <v>357302789.1</v>
      </c>
      <c r="Q212" s="8">
        <f t="shared" si="28"/>
        <v>2.89095597495981</v>
      </c>
      <c r="R212" s="9">
        <v>122.8</v>
      </c>
      <c r="S212" s="9">
        <v>3233.1</v>
      </c>
      <c r="T212" s="9">
        <v>11608.1</v>
      </c>
      <c r="U212" s="9">
        <v>78307</v>
      </c>
      <c r="V212" s="18">
        <v>0</v>
      </c>
      <c r="W212" s="18">
        <v>0</v>
      </c>
      <c r="X212" s="18">
        <f t="shared" si="29"/>
        <v>0</v>
      </c>
      <c r="Y212" s="12">
        <f t="shared" si="30"/>
        <v>2.40850270516871</v>
      </c>
      <c r="Z212" s="12">
        <f t="shared" si="31"/>
        <v>0</v>
      </c>
      <c r="AA212" s="19">
        <v>9706.6</v>
      </c>
      <c r="AB212" s="19">
        <v>13375.7</v>
      </c>
      <c r="AC212" s="19">
        <v>910.17</v>
      </c>
      <c r="AD212" s="19">
        <v>477.57</v>
      </c>
      <c r="AE212" s="19">
        <v>157.4</v>
      </c>
      <c r="AF212" s="19">
        <v>8.41</v>
      </c>
      <c r="AG212" s="19">
        <v>365.75</v>
      </c>
      <c r="AH212" s="19">
        <v>11.73</v>
      </c>
      <c r="AI212" s="19">
        <v>12.48</v>
      </c>
      <c r="AJ212" s="19">
        <v>1077.91</v>
      </c>
      <c r="AK212" s="3">
        <f t="shared" si="27"/>
        <v>0</v>
      </c>
      <c r="AL212" s="3">
        <v>0</v>
      </c>
      <c r="AM212" s="3">
        <f t="shared" si="26"/>
        <v>0</v>
      </c>
    </row>
    <row r="213" spans="1:39">
      <c r="A213" s="7">
        <v>2011</v>
      </c>
      <c r="B213" s="7" t="s">
        <v>46</v>
      </c>
      <c r="C213" s="7">
        <v>0.17656968</v>
      </c>
      <c r="D213" s="7">
        <v>0.032815</v>
      </c>
      <c r="E213" s="7">
        <v>0.008556</v>
      </c>
      <c r="F213" s="7">
        <v>0.015038</v>
      </c>
      <c r="G213" s="7">
        <v>0.005164</v>
      </c>
      <c r="H213" s="7">
        <v>0.004057</v>
      </c>
      <c r="I213" s="7">
        <v>0.033595</v>
      </c>
      <c r="J213" s="7">
        <v>0.016231</v>
      </c>
      <c r="K213" s="16">
        <v>10570</v>
      </c>
      <c r="L213" s="17">
        <v>5972</v>
      </c>
      <c r="M213" s="16">
        <v>15300.65</v>
      </c>
      <c r="N213" s="7">
        <f t="shared" si="24"/>
        <v>1.76992632283992</v>
      </c>
      <c r="O213" s="7">
        <f t="shared" si="25"/>
        <v>0.690820324626732</v>
      </c>
      <c r="P213" s="8">
        <v>387934241.1</v>
      </c>
      <c r="Q213" s="8">
        <f t="shared" si="28"/>
        <v>2.53541020218095</v>
      </c>
      <c r="R213" s="9">
        <v>134.5</v>
      </c>
      <c r="S213" s="9">
        <v>3563.3</v>
      </c>
      <c r="T213" s="9">
        <v>13491</v>
      </c>
      <c r="U213" s="9">
        <v>86246</v>
      </c>
      <c r="V213" s="18">
        <v>0</v>
      </c>
      <c r="W213" s="18">
        <v>0</v>
      </c>
      <c r="X213" s="18">
        <f t="shared" si="29"/>
        <v>0</v>
      </c>
      <c r="Y213" s="12">
        <f t="shared" si="30"/>
        <v>2.18035126729488</v>
      </c>
      <c r="Z213" s="12">
        <f t="shared" si="31"/>
        <v>0</v>
      </c>
      <c r="AA213" s="19">
        <v>10570</v>
      </c>
      <c r="AB213" s="19">
        <v>14538</v>
      </c>
      <c r="AC213" s="19">
        <v>948.12</v>
      </c>
      <c r="AD213" s="19">
        <v>484.13</v>
      </c>
      <c r="AE213" s="19">
        <v>176.16</v>
      </c>
      <c r="AF213" s="19">
        <v>9.09</v>
      </c>
      <c r="AG213" s="19">
        <v>416.69</v>
      </c>
      <c r="AH213" s="19">
        <v>11.31</v>
      </c>
      <c r="AI213" s="19">
        <v>20.14</v>
      </c>
      <c r="AJ213" s="19">
        <v>1221</v>
      </c>
      <c r="AK213" s="3">
        <f t="shared" si="27"/>
        <v>0</v>
      </c>
      <c r="AL213" s="3">
        <v>0</v>
      </c>
      <c r="AM213" s="3">
        <f t="shared" si="26"/>
        <v>0</v>
      </c>
    </row>
    <row r="214" spans="1:39">
      <c r="A214" s="7">
        <v>2012</v>
      </c>
      <c r="B214" s="7" t="s">
        <v>46</v>
      </c>
      <c r="C214" s="7">
        <v>0.16838194</v>
      </c>
      <c r="D214" s="7">
        <v>0.030893</v>
      </c>
      <c r="E214" s="7">
        <v>0.007539</v>
      </c>
      <c r="F214" s="7">
        <v>0.013889</v>
      </c>
      <c r="G214" s="7">
        <v>0.004945</v>
      </c>
      <c r="H214" s="7">
        <v>0.004519</v>
      </c>
      <c r="I214" s="7">
        <v>0.033537</v>
      </c>
      <c r="J214" s="7">
        <v>0.015412</v>
      </c>
      <c r="K214" s="16">
        <v>11358</v>
      </c>
      <c r="L214" s="17">
        <v>5978</v>
      </c>
      <c r="M214" s="16">
        <v>17212.05</v>
      </c>
      <c r="N214" s="7">
        <f t="shared" si="24"/>
        <v>1.89996654399465</v>
      </c>
      <c r="O214" s="7">
        <f t="shared" si="25"/>
        <v>0.659886532981254</v>
      </c>
      <c r="P214" s="8">
        <v>401706234.3</v>
      </c>
      <c r="Q214" s="8">
        <f t="shared" si="28"/>
        <v>2.33386629890106</v>
      </c>
      <c r="R214" s="9">
        <v>148.4</v>
      </c>
      <c r="S214" s="9">
        <v>3856</v>
      </c>
      <c r="T214" s="9">
        <v>15020.3</v>
      </c>
      <c r="U214" s="9">
        <v>92758</v>
      </c>
      <c r="V214" s="18">
        <v>0</v>
      </c>
      <c r="W214" s="18">
        <v>0</v>
      </c>
      <c r="X214" s="18">
        <f t="shared" si="29"/>
        <v>0</v>
      </c>
      <c r="Y214" s="12">
        <f t="shared" si="30"/>
        <v>2.01609935715007</v>
      </c>
      <c r="Z214" s="12">
        <f t="shared" si="31"/>
        <v>0</v>
      </c>
      <c r="AA214" s="19">
        <v>11357.95</v>
      </c>
      <c r="AB214" s="19">
        <v>14704</v>
      </c>
      <c r="AC214" s="19">
        <v>996.44</v>
      </c>
      <c r="AD214" s="19">
        <v>421.38</v>
      </c>
      <c r="AE214" s="19">
        <v>250.64</v>
      </c>
      <c r="AF214" s="19">
        <v>10.77</v>
      </c>
      <c r="AG214" s="19">
        <v>578.31</v>
      </c>
      <c r="AH214" s="19">
        <v>11.08</v>
      </c>
      <c r="AI214" s="19">
        <v>24.9</v>
      </c>
      <c r="AJ214" s="19">
        <v>1361.1</v>
      </c>
      <c r="AK214" s="3">
        <f t="shared" si="27"/>
        <v>0</v>
      </c>
      <c r="AL214" s="3">
        <v>0</v>
      </c>
      <c r="AM214" s="3">
        <f t="shared" si="26"/>
        <v>0</v>
      </c>
    </row>
    <row r="215" spans="1:39">
      <c r="A215" s="7">
        <v>2013</v>
      </c>
      <c r="B215" s="7" t="s">
        <v>46</v>
      </c>
      <c r="C215" s="7">
        <v>0.20985552</v>
      </c>
      <c r="D215" s="7">
        <v>0.037462</v>
      </c>
      <c r="E215" s="7">
        <v>0.009502</v>
      </c>
      <c r="F215" s="7">
        <v>0.016957</v>
      </c>
      <c r="G215" s="7">
        <v>0.005523</v>
      </c>
      <c r="H215" s="7">
        <v>0.005481</v>
      </c>
      <c r="I215" s="7">
        <v>0.036858</v>
      </c>
      <c r="J215" s="7">
        <v>0.01932</v>
      </c>
      <c r="K215" s="16">
        <v>11696</v>
      </c>
      <c r="L215" s="17">
        <v>5988</v>
      </c>
      <c r="M215" s="16">
        <v>19229.34</v>
      </c>
      <c r="N215" s="7">
        <f t="shared" si="24"/>
        <v>1.95323981295925</v>
      </c>
      <c r="O215" s="7">
        <f t="shared" si="25"/>
        <v>0.608237204189015</v>
      </c>
      <c r="P215" s="8">
        <v>430774933.8</v>
      </c>
      <c r="Q215" s="8">
        <f t="shared" si="28"/>
        <v>2.24019614713766</v>
      </c>
      <c r="R215" s="9">
        <v>159.8</v>
      </c>
      <c r="S215" s="9">
        <v>4168.3</v>
      </c>
      <c r="T215" s="9">
        <v>16806.5</v>
      </c>
      <c r="U215" s="9">
        <v>100569</v>
      </c>
      <c r="V215" s="18">
        <v>0</v>
      </c>
      <c r="W215" s="18">
        <v>0</v>
      </c>
      <c r="X215" s="18">
        <f t="shared" si="29"/>
        <v>0</v>
      </c>
      <c r="Y215" s="12">
        <f t="shared" si="30"/>
        <v>1.91398219724656</v>
      </c>
      <c r="Z215" s="12">
        <f t="shared" si="31"/>
        <v>0</v>
      </c>
      <c r="AA215" s="19">
        <v>11696</v>
      </c>
      <c r="AB215" s="19">
        <v>15665.08</v>
      </c>
      <c r="AC215" s="19">
        <v>1049.41</v>
      </c>
      <c r="AD215" s="19">
        <v>551.67</v>
      </c>
      <c r="AE215" s="19">
        <v>319.33</v>
      </c>
      <c r="AF215" s="19">
        <v>9.46</v>
      </c>
      <c r="AG215" s="19">
        <v>626.32</v>
      </c>
      <c r="AH215" s="19">
        <v>9.8</v>
      </c>
      <c r="AI215" s="19">
        <v>27.81</v>
      </c>
      <c r="AJ215" s="19">
        <v>1528.07</v>
      </c>
      <c r="AK215" s="3">
        <f t="shared" si="27"/>
        <v>1</v>
      </c>
      <c r="AL215" s="3">
        <v>0</v>
      </c>
      <c r="AM215" s="3">
        <f t="shared" si="26"/>
        <v>0</v>
      </c>
    </row>
    <row r="216" spans="1:39">
      <c r="A216" s="7">
        <v>2014</v>
      </c>
      <c r="B216" s="7" t="s">
        <v>46</v>
      </c>
      <c r="C216" s="7">
        <v>0.20086672</v>
      </c>
      <c r="D216" s="7">
        <v>0.03483</v>
      </c>
      <c r="E216" s="7">
        <v>0.00872</v>
      </c>
      <c r="F216" s="7">
        <v>0.015964</v>
      </c>
      <c r="G216" s="7">
        <v>0.005015</v>
      </c>
      <c r="H216" s="7">
        <v>0.005131</v>
      </c>
      <c r="I216" s="7">
        <v>0.037214</v>
      </c>
      <c r="J216" s="7">
        <v>0.020035</v>
      </c>
      <c r="K216" s="16">
        <v>12011</v>
      </c>
      <c r="L216" s="17">
        <v>5997</v>
      </c>
      <c r="M216" s="16">
        <v>20848.75</v>
      </c>
      <c r="N216" s="7">
        <f t="shared" si="24"/>
        <v>2.00283475070869</v>
      </c>
      <c r="O216" s="7">
        <f t="shared" si="25"/>
        <v>0.576101684753283</v>
      </c>
      <c r="P216" s="8">
        <v>438211174.8</v>
      </c>
      <c r="Q216" s="8">
        <f t="shared" si="28"/>
        <v>2.1018582639247</v>
      </c>
      <c r="R216" s="9">
        <v>159.2</v>
      </c>
      <c r="S216" s="9">
        <v>4433</v>
      </c>
      <c r="T216" s="9">
        <v>18333.9</v>
      </c>
      <c r="U216" s="9">
        <v>106732</v>
      </c>
      <c r="V216" s="18">
        <v>0</v>
      </c>
      <c r="W216" s="18">
        <v>0</v>
      </c>
      <c r="X216" s="18">
        <f t="shared" si="29"/>
        <v>0</v>
      </c>
      <c r="Y216" s="12">
        <f t="shared" si="30"/>
        <v>1.79640226266579</v>
      </c>
      <c r="Z216" s="12">
        <f t="shared" si="31"/>
        <v>0</v>
      </c>
      <c r="AA216" s="19">
        <v>12011.02</v>
      </c>
      <c r="AB216" s="19">
        <v>15786.98</v>
      </c>
      <c r="AC216" s="19">
        <v>1064.73</v>
      </c>
      <c r="AD216" s="19">
        <v>749.22</v>
      </c>
      <c r="AE216" s="19">
        <v>352.68</v>
      </c>
      <c r="AF216" s="19">
        <v>10.56</v>
      </c>
      <c r="AG216" s="19">
        <v>663.02</v>
      </c>
      <c r="AH216" s="19">
        <v>10.25</v>
      </c>
      <c r="AI216" s="19">
        <v>34.46</v>
      </c>
      <c r="AJ216" s="19">
        <v>1585.18</v>
      </c>
      <c r="AK216" s="3">
        <f t="shared" si="27"/>
        <v>1</v>
      </c>
      <c r="AL216" s="3">
        <v>0</v>
      </c>
      <c r="AM216" s="3">
        <f t="shared" si="26"/>
        <v>0</v>
      </c>
    </row>
    <row r="217" spans="1:39">
      <c r="A217" s="7">
        <v>2015</v>
      </c>
      <c r="B217" s="7" t="s">
        <v>46</v>
      </c>
      <c r="C217" s="7">
        <v>0.20461051</v>
      </c>
      <c r="D217" s="7">
        <v>0.035566</v>
      </c>
      <c r="E217" s="7">
        <v>0.009189</v>
      </c>
      <c r="F217" s="7">
        <v>0.016194</v>
      </c>
      <c r="G217" s="7">
        <v>0.005393</v>
      </c>
      <c r="H217" s="7">
        <v>0.00479</v>
      </c>
      <c r="I217" s="7">
        <v>0.038693</v>
      </c>
      <c r="J217" s="7">
        <v>0.019582</v>
      </c>
      <c r="K217" s="16">
        <v>12301</v>
      </c>
      <c r="L217" s="17">
        <v>6011</v>
      </c>
      <c r="M217" s="16">
        <v>22005.63</v>
      </c>
      <c r="N217" s="7">
        <f t="shared" si="24"/>
        <v>2.04641490600566</v>
      </c>
      <c r="O217" s="7">
        <f t="shared" si="25"/>
        <v>0.558993312166023</v>
      </c>
      <c r="P217" s="8">
        <v>443094940.2</v>
      </c>
      <c r="Q217" s="8">
        <f t="shared" si="28"/>
        <v>2.0135526235786</v>
      </c>
      <c r="R217" s="9">
        <v>140.4</v>
      </c>
      <c r="S217" s="9">
        <v>4419.8</v>
      </c>
      <c r="T217" s="9">
        <v>20218.9</v>
      </c>
      <c r="U217" s="9">
        <v>113692</v>
      </c>
      <c r="V217" s="18">
        <v>0</v>
      </c>
      <c r="W217" s="18">
        <v>0</v>
      </c>
      <c r="X217" s="18">
        <f t="shared" si="29"/>
        <v>0</v>
      </c>
      <c r="Y217" s="12">
        <f t="shared" si="30"/>
        <v>1.71577514742415</v>
      </c>
      <c r="Z217" s="12">
        <f t="shared" si="31"/>
        <v>0</v>
      </c>
      <c r="AA217" s="19">
        <v>12301</v>
      </c>
      <c r="AB217" s="19">
        <v>15673.49</v>
      </c>
      <c r="AC217" s="19">
        <v>1164.77</v>
      </c>
      <c r="AD217" s="19">
        <v>690.59</v>
      </c>
      <c r="AE217" s="19">
        <v>456.6</v>
      </c>
      <c r="AF217" s="19">
        <v>14.08</v>
      </c>
      <c r="AG217" s="19">
        <v>611.8</v>
      </c>
      <c r="AH217" s="19">
        <v>13.44</v>
      </c>
      <c r="AI217" s="19">
        <v>34.83</v>
      </c>
      <c r="AJ217" s="19">
        <v>1640</v>
      </c>
      <c r="AK217" s="3">
        <f t="shared" si="27"/>
        <v>1</v>
      </c>
      <c r="AL217" s="3">
        <v>0</v>
      </c>
      <c r="AM217" s="3">
        <f t="shared" si="26"/>
        <v>0</v>
      </c>
    </row>
    <row r="218" spans="1:39">
      <c r="A218" s="7">
        <v>2016</v>
      </c>
      <c r="B218" s="7" t="s">
        <v>46</v>
      </c>
      <c r="C218" s="7">
        <v>0.21249778</v>
      </c>
      <c r="D218" s="7">
        <v>0.037564</v>
      </c>
      <c r="E218" s="7">
        <v>0.009545</v>
      </c>
      <c r="F218" s="7">
        <v>0.016574</v>
      </c>
      <c r="G218" s="7">
        <v>0.005708</v>
      </c>
      <c r="H218" s="7">
        <v>0.005737</v>
      </c>
      <c r="I218" s="7">
        <v>0.038824</v>
      </c>
      <c r="J218" s="7">
        <v>0.018518</v>
      </c>
      <c r="K218" s="16">
        <v>12663</v>
      </c>
      <c r="L218" s="17">
        <v>6033</v>
      </c>
      <c r="M218" s="16">
        <v>24407.62</v>
      </c>
      <c r="N218" s="7">
        <f t="shared" si="24"/>
        <v>2.09895574341124</v>
      </c>
      <c r="O218" s="7">
        <f t="shared" si="25"/>
        <v>0.518813386966857</v>
      </c>
      <c r="P218" s="8">
        <v>446248043.7</v>
      </c>
      <c r="Q218" s="8">
        <f t="shared" si="28"/>
        <v>1.82831445138854</v>
      </c>
      <c r="R218" s="9">
        <v>129.8</v>
      </c>
      <c r="S218" s="9">
        <v>4665.8</v>
      </c>
      <c r="T218" s="9">
        <v>22245.7</v>
      </c>
      <c r="U218" s="9">
        <v>123391</v>
      </c>
      <c r="V218" s="18">
        <v>0</v>
      </c>
      <c r="W218" s="18">
        <v>0</v>
      </c>
      <c r="X218" s="18">
        <f t="shared" si="29"/>
        <v>0</v>
      </c>
      <c r="Y218" s="12">
        <f t="shared" si="30"/>
        <v>1.62438398605541</v>
      </c>
      <c r="Z218" s="12">
        <f t="shared" si="31"/>
        <v>0</v>
      </c>
      <c r="AA218" s="19">
        <v>12663</v>
      </c>
      <c r="AB218" s="19">
        <v>15706.17</v>
      </c>
      <c r="AC218" s="19">
        <v>1164.64</v>
      </c>
      <c r="AD218" s="19">
        <v>539.21</v>
      </c>
      <c r="AE218" s="19">
        <v>509.87</v>
      </c>
      <c r="AF218" s="19">
        <v>15.98</v>
      </c>
      <c r="AG218" s="19">
        <v>622.69</v>
      </c>
      <c r="AH218" s="19">
        <v>21.21</v>
      </c>
      <c r="AI218" s="19">
        <v>39.18</v>
      </c>
      <c r="AJ218" s="19">
        <v>1794.98</v>
      </c>
      <c r="AK218" s="3">
        <f t="shared" si="27"/>
        <v>1</v>
      </c>
      <c r="AL218" s="3">
        <v>0</v>
      </c>
      <c r="AM218" s="3">
        <f t="shared" si="26"/>
        <v>0</v>
      </c>
    </row>
    <row r="219" spans="1:39">
      <c r="A219" s="7">
        <v>2017</v>
      </c>
      <c r="B219" s="7" t="s">
        <v>46</v>
      </c>
      <c r="C219" s="7">
        <v>0.23499853</v>
      </c>
      <c r="D219" s="7">
        <v>0.040622</v>
      </c>
      <c r="E219" s="7">
        <v>0.009933</v>
      </c>
      <c r="F219" s="7">
        <v>0.018334</v>
      </c>
      <c r="G219" s="7">
        <v>0.005712</v>
      </c>
      <c r="H219" s="7">
        <v>0.006643</v>
      </c>
      <c r="I219" s="7">
        <v>0.04137</v>
      </c>
      <c r="J219" s="7">
        <v>0.020982</v>
      </c>
      <c r="K219" s="16">
        <v>13019</v>
      </c>
      <c r="L219" s="17">
        <v>6057</v>
      </c>
      <c r="M219" s="16">
        <v>27018</v>
      </c>
      <c r="N219" s="7">
        <f t="shared" ref="N219:N282" si="32">K219/L219</f>
        <v>2.14941390127126</v>
      </c>
      <c r="O219" s="7">
        <f t="shared" ref="O219:O282" si="33">K219/M219</f>
        <v>0.481863942556814</v>
      </c>
      <c r="P219" s="8">
        <v>452225122.8</v>
      </c>
      <c r="Q219" s="8">
        <f t="shared" si="28"/>
        <v>1.6737920008883</v>
      </c>
      <c r="R219" s="9">
        <v>121.9</v>
      </c>
      <c r="S219" s="9">
        <v>5049.4</v>
      </c>
      <c r="T219" s="9">
        <v>24711.7</v>
      </c>
      <c r="U219" s="9">
        <v>136172</v>
      </c>
      <c r="V219" s="18">
        <v>1</v>
      </c>
      <c r="W219" s="18">
        <v>0</v>
      </c>
      <c r="X219" s="18">
        <f t="shared" si="29"/>
        <v>0</v>
      </c>
      <c r="Y219" s="12">
        <f t="shared" si="30"/>
        <v>1.56738551218677</v>
      </c>
      <c r="Z219" s="12">
        <f t="shared" si="31"/>
        <v>0</v>
      </c>
      <c r="AA219" s="19">
        <v>13019</v>
      </c>
      <c r="AB219" s="19">
        <v>16082.22</v>
      </c>
      <c r="AC219" s="19">
        <v>1048.94</v>
      </c>
      <c r="AD219" s="19">
        <v>751.59</v>
      </c>
      <c r="AE219" s="19">
        <v>574.66</v>
      </c>
      <c r="AF219" s="19">
        <v>15.53</v>
      </c>
      <c r="AG219" s="19">
        <v>631.56</v>
      </c>
      <c r="AH219" s="19">
        <v>22.81</v>
      </c>
      <c r="AI219" s="19">
        <v>44.37</v>
      </c>
      <c r="AJ219" s="19">
        <v>1921.48</v>
      </c>
      <c r="AK219" s="3">
        <f t="shared" si="27"/>
        <v>1</v>
      </c>
      <c r="AL219" s="3">
        <v>0</v>
      </c>
      <c r="AM219" s="3">
        <f t="shared" si="26"/>
        <v>0</v>
      </c>
    </row>
    <row r="220" spans="1:39">
      <c r="A220" s="7">
        <v>2018</v>
      </c>
      <c r="B220" s="7" t="s">
        <v>46</v>
      </c>
      <c r="C220" s="7">
        <v>0.2279038</v>
      </c>
      <c r="D220" s="7">
        <v>0.040416</v>
      </c>
      <c r="E220" s="7">
        <v>0.010039</v>
      </c>
      <c r="F220" s="7">
        <v>0.018273</v>
      </c>
      <c r="G220" s="7">
        <v>0.005917</v>
      </c>
      <c r="H220" s="7">
        <v>0.006187</v>
      </c>
      <c r="I220" s="7">
        <v>0.038892</v>
      </c>
      <c r="J220" s="7">
        <v>0.020197</v>
      </c>
      <c r="K220" s="16">
        <v>13295</v>
      </c>
      <c r="L220" s="17">
        <v>6076</v>
      </c>
      <c r="M220" s="16">
        <v>30006.82</v>
      </c>
      <c r="N220" s="7">
        <f t="shared" si="32"/>
        <v>2.18811718235681</v>
      </c>
      <c r="O220" s="7">
        <f t="shared" si="33"/>
        <v>0.443065943008956</v>
      </c>
      <c r="P220" s="8">
        <v>490278200.2</v>
      </c>
      <c r="Q220" s="8">
        <f t="shared" si="28"/>
        <v>1.63388922984841</v>
      </c>
      <c r="R220" s="9">
        <v>120.6</v>
      </c>
      <c r="S220" s="9">
        <v>5477.4</v>
      </c>
      <c r="T220" s="9">
        <v>27508.1</v>
      </c>
      <c r="U220" s="9">
        <v>150962</v>
      </c>
      <c r="V220" s="18">
        <v>1</v>
      </c>
      <c r="W220" s="18">
        <v>0</v>
      </c>
      <c r="X220" s="18">
        <f t="shared" si="29"/>
        <v>0</v>
      </c>
      <c r="Y220" s="12">
        <f t="shared" si="30"/>
        <v>1.51591455826218</v>
      </c>
      <c r="Z220" s="12">
        <f t="shared" si="31"/>
        <v>0</v>
      </c>
      <c r="AA220" s="19">
        <v>13295</v>
      </c>
      <c r="AB220" s="19">
        <v>16673.06</v>
      </c>
      <c r="AC220" s="19">
        <v>1104.44</v>
      </c>
      <c r="AD220" s="19">
        <v>728.34</v>
      </c>
      <c r="AE220" s="19">
        <v>626.42</v>
      </c>
      <c r="AF220" s="19">
        <v>15.48</v>
      </c>
      <c r="AG220" s="19">
        <v>653.4</v>
      </c>
      <c r="AH220" s="19">
        <v>22.14</v>
      </c>
      <c r="AI220" s="19">
        <v>53.01</v>
      </c>
      <c r="AJ220" s="19">
        <v>2135.07</v>
      </c>
      <c r="AK220" s="3">
        <f t="shared" si="27"/>
        <v>1</v>
      </c>
      <c r="AL220" s="3">
        <v>0</v>
      </c>
      <c r="AM220" s="3">
        <f t="shared" si="26"/>
        <v>0</v>
      </c>
    </row>
    <row r="221" spans="1:39">
      <c r="A221" s="7">
        <v>2019</v>
      </c>
      <c r="B221" s="7" t="s">
        <v>46</v>
      </c>
      <c r="C221" s="7">
        <v>0.23168542</v>
      </c>
      <c r="D221" s="7">
        <v>0.040227</v>
      </c>
      <c r="E221" s="7">
        <v>0.01022</v>
      </c>
      <c r="F221" s="7">
        <v>0.018037</v>
      </c>
      <c r="G221" s="7">
        <v>0.006665</v>
      </c>
      <c r="H221" s="7">
        <v>0.005305</v>
      </c>
      <c r="I221" s="7">
        <v>0.041914</v>
      </c>
      <c r="J221" s="7">
        <v>0.020391</v>
      </c>
      <c r="K221" s="16">
        <v>13870</v>
      </c>
      <c r="L221" s="17">
        <v>6092</v>
      </c>
      <c r="M221" s="16">
        <v>37113.98</v>
      </c>
      <c r="N221" s="7">
        <f t="shared" si="32"/>
        <v>2.27675640183848</v>
      </c>
      <c r="O221" s="7">
        <f t="shared" si="33"/>
        <v>0.37371362489283</v>
      </c>
      <c r="P221" s="8">
        <v>491573860.9</v>
      </c>
      <c r="Q221" s="8">
        <f t="shared" si="28"/>
        <v>1.32449783316152</v>
      </c>
      <c r="R221" s="9">
        <v>114.4</v>
      </c>
      <c r="S221" s="9">
        <v>5667.4</v>
      </c>
      <c r="T221" s="9">
        <v>29663.4</v>
      </c>
      <c r="U221" s="9">
        <v>161776</v>
      </c>
      <c r="V221" s="18">
        <v>1</v>
      </c>
      <c r="W221" s="18">
        <v>0</v>
      </c>
      <c r="X221" s="18">
        <f t="shared" si="29"/>
        <v>0</v>
      </c>
      <c r="Y221" s="12">
        <f t="shared" si="30"/>
        <v>1.5000536746505</v>
      </c>
      <c r="Z221" s="12">
        <f t="shared" si="31"/>
        <v>0.117033039854312</v>
      </c>
      <c r="AA221" s="19">
        <v>13870</v>
      </c>
      <c r="AB221" s="19">
        <v>16699.74</v>
      </c>
      <c r="AC221" s="19">
        <v>1161.43</v>
      </c>
      <c r="AD221" s="19">
        <v>658.92</v>
      </c>
      <c r="AE221" s="19">
        <v>655.95</v>
      </c>
      <c r="AF221" s="19">
        <v>16.59</v>
      </c>
      <c r="AG221" s="19">
        <v>689.1</v>
      </c>
      <c r="AH221" s="19">
        <v>21.49</v>
      </c>
      <c r="AI221" s="19">
        <v>59.64</v>
      </c>
      <c r="AJ221" s="19">
        <v>2300.68</v>
      </c>
      <c r="AK221" s="3">
        <f t="shared" si="27"/>
        <v>1</v>
      </c>
      <c r="AL221" s="3">
        <v>0</v>
      </c>
      <c r="AM221" s="3">
        <f t="shared" si="26"/>
        <v>0</v>
      </c>
    </row>
    <row r="222" spans="1:39">
      <c r="A222" s="7">
        <v>2020</v>
      </c>
      <c r="B222" s="7" t="s">
        <v>46</v>
      </c>
      <c r="C222" s="7">
        <v>0.23425719</v>
      </c>
      <c r="D222" s="7">
        <v>0.040406</v>
      </c>
      <c r="E222" s="7">
        <v>0.009902</v>
      </c>
      <c r="F222" s="7">
        <v>0.017861</v>
      </c>
      <c r="G222" s="7">
        <v>0.005909</v>
      </c>
      <c r="H222" s="7">
        <v>0.006733</v>
      </c>
      <c r="I222" s="7">
        <v>0.041728</v>
      </c>
      <c r="J222" s="7">
        <v>0.020403</v>
      </c>
      <c r="K222" s="16">
        <v>14746</v>
      </c>
      <c r="L222" s="17">
        <v>6104.76</v>
      </c>
      <c r="M222" s="16">
        <v>38680.63</v>
      </c>
      <c r="N222" s="7">
        <f t="shared" si="32"/>
        <v>2.41549217332049</v>
      </c>
      <c r="O222" s="7">
        <f t="shared" si="33"/>
        <v>0.381224400946934</v>
      </c>
      <c r="P222" s="8">
        <v>489453674.4</v>
      </c>
      <c r="Q222" s="8">
        <f t="shared" si="28"/>
        <v>1.26537151644117</v>
      </c>
      <c r="R222" s="9">
        <v>108.3</v>
      </c>
      <c r="S222" s="9">
        <v>5739.1</v>
      </c>
      <c r="T222" s="9">
        <v>30095.9</v>
      </c>
      <c r="U222" s="9">
        <v>164158</v>
      </c>
      <c r="V222" s="18">
        <v>1</v>
      </c>
      <c r="W222" s="18">
        <v>0</v>
      </c>
      <c r="X222" s="18">
        <f t="shared" si="29"/>
        <v>0</v>
      </c>
      <c r="Y222" s="12">
        <f t="shared" si="30"/>
        <v>1.47141701078949</v>
      </c>
      <c r="Z222" s="12">
        <f t="shared" si="31"/>
        <v>0.140032018685013</v>
      </c>
      <c r="AA222" s="19">
        <v>14697.9</v>
      </c>
      <c r="AB222" s="19">
        <v>16887.03</v>
      </c>
      <c r="AC222" s="19">
        <v>1321</v>
      </c>
      <c r="AD222" s="19">
        <v>711.03</v>
      </c>
      <c r="AE222" s="19">
        <v>689.7</v>
      </c>
      <c r="AF222" s="19">
        <v>11.65</v>
      </c>
      <c r="AG222" s="19">
        <v>649.37</v>
      </c>
      <c r="AH222" s="19">
        <v>20.22</v>
      </c>
      <c r="AI222" s="19">
        <v>66.52</v>
      </c>
      <c r="AJ222" s="19">
        <v>2428</v>
      </c>
      <c r="AK222" s="3">
        <f t="shared" si="27"/>
        <v>1</v>
      </c>
      <c r="AL222" s="3">
        <v>0</v>
      </c>
      <c r="AM222" s="3">
        <f t="shared" ref="AM222:AM285" si="34">AK222*AL222</f>
        <v>0</v>
      </c>
    </row>
    <row r="223" spans="1:39">
      <c r="A223" s="7">
        <v>2021</v>
      </c>
      <c r="B223" s="7" t="s">
        <v>46</v>
      </c>
      <c r="C223" s="7">
        <v>0.24878972</v>
      </c>
      <c r="D223" s="7">
        <v>0.043384</v>
      </c>
      <c r="E223" s="7">
        <v>0.010423</v>
      </c>
      <c r="F223" s="7">
        <v>0.019228</v>
      </c>
      <c r="G223" s="7">
        <v>0.006907</v>
      </c>
      <c r="H223" s="7">
        <v>0.006827</v>
      </c>
      <c r="I223" s="7">
        <v>0.041267</v>
      </c>
      <c r="J223" s="7">
        <v>0.021499</v>
      </c>
      <c r="K223" s="16">
        <v>15485</v>
      </c>
      <c r="L223" s="17">
        <v>6113</v>
      </c>
      <c r="M223" s="16">
        <v>42959.2</v>
      </c>
      <c r="N223" s="7">
        <f t="shared" si="32"/>
        <v>2.53312612465238</v>
      </c>
      <c r="O223" s="7">
        <f t="shared" si="33"/>
        <v>0.360458295312762</v>
      </c>
      <c r="P223" s="8">
        <v>515038965.9</v>
      </c>
      <c r="Q223" s="8">
        <f t="shared" si="28"/>
        <v>1.19890260037431</v>
      </c>
      <c r="R223" s="9">
        <v>111.4</v>
      </c>
      <c r="S223" s="9">
        <v>7389</v>
      </c>
      <c r="T223" s="9">
        <v>33545.2</v>
      </c>
      <c r="U223" s="9">
        <v>187526</v>
      </c>
      <c r="V223" s="18">
        <v>1</v>
      </c>
      <c r="W223" s="18">
        <v>0</v>
      </c>
      <c r="X223" s="18">
        <f t="shared" si="29"/>
        <v>0</v>
      </c>
      <c r="Y223" s="12">
        <f t="shared" si="30"/>
        <v>1.36781889095748</v>
      </c>
      <c r="Z223" s="12">
        <f t="shared" si="31"/>
        <v>0.12349316981938</v>
      </c>
      <c r="AA223" s="19">
        <v>15342.63</v>
      </c>
      <c r="AB223" s="19">
        <v>18897.66</v>
      </c>
      <c r="AC223" s="19">
        <v>1362.69</v>
      </c>
      <c r="AD223" s="19">
        <v>752.66</v>
      </c>
      <c r="AE223" s="19">
        <v>698.65</v>
      </c>
      <c r="AF223" s="19">
        <v>12.37</v>
      </c>
      <c r="AG223" s="19">
        <v>722.77</v>
      </c>
      <c r="AH223" s="19">
        <v>22.65</v>
      </c>
      <c r="AI223" s="19">
        <v>60.19</v>
      </c>
      <c r="AJ223" s="19">
        <v>2715</v>
      </c>
      <c r="AK223" s="3">
        <f t="shared" ref="AK223:AK286" si="35">IF(A223&gt;=2013,1,0)</f>
        <v>1</v>
      </c>
      <c r="AL223" s="3">
        <v>0</v>
      </c>
      <c r="AM223" s="3">
        <f t="shared" si="34"/>
        <v>0</v>
      </c>
    </row>
    <row r="224" spans="1:39">
      <c r="A224" s="7">
        <v>2022</v>
      </c>
      <c r="B224" s="7" t="s">
        <v>46</v>
      </c>
      <c r="C224" s="7">
        <v>0.26513981</v>
      </c>
      <c r="D224" s="7">
        <v>0.046306</v>
      </c>
      <c r="E224" s="7">
        <v>0.011952</v>
      </c>
      <c r="F224" s="7">
        <v>0.020282</v>
      </c>
      <c r="G224" s="7">
        <v>0.006718</v>
      </c>
      <c r="H224" s="7">
        <v>0.007354</v>
      </c>
      <c r="I224" s="7">
        <v>0.043226</v>
      </c>
      <c r="J224" s="7">
        <v>0.022116</v>
      </c>
      <c r="K224" s="16">
        <v>16062</v>
      </c>
      <c r="L224" s="17">
        <v>6127</v>
      </c>
      <c r="M224" s="16">
        <v>45045</v>
      </c>
      <c r="N224" s="7">
        <f t="shared" si="32"/>
        <v>2.62151134323486</v>
      </c>
      <c r="O224" s="7">
        <f t="shared" si="33"/>
        <v>0.356576756576757</v>
      </c>
      <c r="P224" s="8">
        <v>521270362.5</v>
      </c>
      <c r="Q224" s="8">
        <f t="shared" si="28"/>
        <v>1.15722136197136</v>
      </c>
      <c r="R224" s="9">
        <v>111.5</v>
      </c>
      <c r="S224" s="9">
        <v>6635.6</v>
      </c>
      <c r="T224" s="9">
        <v>34793.7</v>
      </c>
      <c r="U224" s="9">
        <v>189988</v>
      </c>
      <c r="V224" s="18">
        <v>1</v>
      </c>
      <c r="W224" s="18">
        <v>0</v>
      </c>
      <c r="X224" s="18">
        <f t="shared" si="29"/>
        <v>0</v>
      </c>
      <c r="Y224" s="12">
        <f t="shared" si="30"/>
        <v>1.27047633725244</v>
      </c>
      <c r="Z224" s="12">
        <f t="shared" si="31"/>
        <v>0.0891437108746198</v>
      </c>
      <c r="AA224" s="19">
        <v>15882.66</v>
      </c>
      <c r="AB224" s="19">
        <v>19911.05</v>
      </c>
      <c r="AC224" s="19">
        <v>1276.05</v>
      </c>
      <c r="AD224" s="19">
        <v>579.56</v>
      </c>
      <c r="AE224" s="19">
        <v>599.57</v>
      </c>
      <c r="AF224" s="19">
        <v>7.16</v>
      </c>
      <c r="AG224" s="19">
        <v>724.25</v>
      </c>
      <c r="AH224" s="19">
        <v>24.6</v>
      </c>
      <c r="AI224" s="19">
        <v>78.2</v>
      </c>
      <c r="AJ224" s="19">
        <v>2993.22</v>
      </c>
      <c r="AK224" s="3">
        <f t="shared" si="35"/>
        <v>1</v>
      </c>
      <c r="AL224" s="3">
        <v>0</v>
      </c>
      <c r="AM224" s="3">
        <f t="shared" si="34"/>
        <v>0</v>
      </c>
    </row>
    <row r="225" spans="1:39">
      <c r="A225" s="7">
        <v>2023</v>
      </c>
      <c r="B225" s="7" t="s">
        <v>46</v>
      </c>
      <c r="C225" s="7">
        <v>0.2991467</v>
      </c>
      <c r="D225" s="7">
        <v>0.050099</v>
      </c>
      <c r="E225" s="7">
        <v>0.014353</v>
      </c>
      <c r="F225" s="7">
        <v>0.022208</v>
      </c>
      <c r="G225" s="7">
        <v>0.0074</v>
      </c>
      <c r="H225" s="7">
        <v>0.008751</v>
      </c>
      <c r="I225" s="7">
        <v>0.046056</v>
      </c>
      <c r="J225" s="7">
        <v>0.023604</v>
      </c>
      <c r="K225" s="16">
        <v>16825</v>
      </c>
      <c r="L225" s="17">
        <v>6121</v>
      </c>
      <c r="M225" s="16">
        <v>47050.6</v>
      </c>
      <c r="N225" s="7">
        <f t="shared" si="32"/>
        <v>2.74873386701519</v>
      </c>
      <c r="O225" s="7">
        <f t="shared" si="33"/>
        <v>0.357593739505979</v>
      </c>
      <c r="P225" s="8">
        <v>539242879</v>
      </c>
      <c r="Q225" s="8">
        <f t="shared" si="28"/>
        <v>1.14609139734669</v>
      </c>
      <c r="R225" s="9">
        <v>105.5</v>
      </c>
      <c r="S225" s="9">
        <v>6525.6</v>
      </c>
      <c r="T225" s="9">
        <v>37129.6</v>
      </c>
      <c r="U225" s="9">
        <v>200278</v>
      </c>
      <c r="V225" s="18">
        <v>1</v>
      </c>
      <c r="W225" s="18">
        <v>0</v>
      </c>
      <c r="X225" s="18">
        <f t="shared" si="29"/>
        <v>0</v>
      </c>
      <c r="Y225" s="12">
        <f t="shared" si="30"/>
        <v>1.2756783895882</v>
      </c>
      <c r="Z225" s="12">
        <f t="shared" si="31"/>
        <v>0.10158280746869</v>
      </c>
      <c r="AA225" s="12"/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3">
        <f t="shared" si="35"/>
        <v>1</v>
      </c>
      <c r="AL225" s="3">
        <v>0</v>
      </c>
      <c r="AM225" s="3">
        <f t="shared" si="34"/>
        <v>0</v>
      </c>
    </row>
    <row r="226" spans="1:39">
      <c r="A226" s="7">
        <v>2024</v>
      </c>
      <c r="B226" s="7" t="s">
        <v>46</v>
      </c>
      <c r="C226" s="7">
        <v>0.31664625</v>
      </c>
      <c r="D226" s="7">
        <v>0.052331</v>
      </c>
      <c r="E226" s="7">
        <v>0.015464</v>
      </c>
      <c r="F226" s="7">
        <v>0.023113</v>
      </c>
      <c r="G226" s="7">
        <v>0.007779</v>
      </c>
      <c r="H226" s="7">
        <v>0.009465</v>
      </c>
      <c r="I226" s="7">
        <v>0.04767</v>
      </c>
      <c r="J226" s="7">
        <v>0.024359</v>
      </c>
      <c r="K226" s="16">
        <v>17971</v>
      </c>
      <c r="L226" s="17">
        <v>6123</v>
      </c>
      <c r="M226" s="16">
        <v>50625.2</v>
      </c>
      <c r="N226" s="7">
        <f t="shared" si="32"/>
        <v>2.93499918340683</v>
      </c>
      <c r="O226" s="7">
        <f t="shared" si="33"/>
        <v>0.35498131365407</v>
      </c>
      <c r="P226" s="8">
        <v>555793634.9</v>
      </c>
      <c r="Q226" s="8">
        <f t="shared" si="28"/>
        <v>1.0978596329496</v>
      </c>
      <c r="R226" s="9">
        <v>116.4</v>
      </c>
      <c r="S226" s="9">
        <v>7226.8</v>
      </c>
      <c r="T226" s="9">
        <v>42499.9</v>
      </c>
      <c r="U226" s="9">
        <v>228167</v>
      </c>
      <c r="V226" s="18">
        <v>1</v>
      </c>
      <c r="W226" s="18">
        <v>0</v>
      </c>
      <c r="X226" s="18">
        <f t="shared" si="29"/>
        <v>0</v>
      </c>
      <c r="Y226" s="12">
        <f t="shared" si="30"/>
        <v>1.21200651315194</v>
      </c>
      <c r="Z226" s="12">
        <f t="shared" si="31"/>
        <v>0.0941800881131325</v>
      </c>
      <c r="AA226" s="12"/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3">
        <f t="shared" si="35"/>
        <v>1</v>
      </c>
      <c r="AL226" s="3">
        <v>0</v>
      </c>
      <c r="AM226" s="3">
        <f t="shared" si="34"/>
        <v>0</v>
      </c>
    </row>
    <row r="227" spans="1:39">
      <c r="A227" s="7">
        <v>2000</v>
      </c>
      <c r="B227" s="7" t="s">
        <v>47</v>
      </c>
      <c r="C227" s="7">
        <v>0.19076238</v>
      </c>
      <c r="D227" s="7">
        <v>0.033655</v>
      </c>
      <c r="E227" s="7">
        <v>0.008427</v>
      </c>
      <c r="F227" s="7">
        <v>0.014728</v>
      </c>
      <c r="G227" s="7">
        <v>0.005053</v>
      </c>
      <c r="H227" s="7">
        <v>0.005447</v>
      </c>
      <c r="I227" s="7">
        <v>0.036067</v>
      </c>
      <c r="J227" s="7">
        <v>0.017753</v>
      </c>
      <c r="K227" s="16">
        <v>11362</v>
      </c>
      <c r="L227" s="17">
        <v>8998</v>
      </c>
      <c r="M227" s="16">
        <v>8542.44</v>
      </c>
      <c r="N227" s="7">
        <f t="shared" si="32"/>
        <v>1.26272505001111</v>
      </c>
      <c r="O227" s="7">
        <f t="shared" si="33"/>
        <v>1.3300649463151</v>
      </c>
      <c r="P227" s="8">
        <v>382420056.5</v>
      </c>
      <c r="Q227" s="8">
        <f t="shared" si="28"/>
        <v>4.47670755077004</v>
      </c>
      <c r="R227" s="9">
        <v>192</v>
      </c>
      <c r="S227" s="9">
        <v>104</v>
      </c>
      <c r="T227" s="9">
        <v>230.9</v>
      </c>
      <c r="U227" s="9">
        <v>6798</v>
      </c>
      <c r="V227" s="18">
        <v>0</v>
      </c>
      <c r="W227" s="18">
        <v>0</v>
      </c>
      <c r="X227" s="18">
        <f t="shared" si="29"/>
        <v>0</v>
      </c>
      <c r="Y227" s="12">
        <f t="shared" si="30"/>
        <v>4.53658228674969</v>
      </c>
      <c r="Z227" s="12">
        <f t="shared" si="31"/>
        <v>0.0131982034481178</v>
      </c>
      <c r="AA227" s="19">
        <v>11361.9</v>
      </c>
      <c r="AB227" s="19">
        <v>8698.35</v>
      </c>
      <c r="AC227" s="19">
        <v>424.83</v>
      </c>
      <c r="AD227" s="19">
        <v>1771.22</v>
      </c>
      <c r="AE227" s="19">
        <v>188.52</v>
      </c>
      <c r="AF227" s="19">
        <v>48.25</v>
      </c>
      <c r="AG227" s="19">
        <v>343.87</v>
      </c>
      <c r="AH227" s="19">
        <v>344.25</v>
      </c>
      <c r="AI227" s="19">
        <v>4.53</v>
      </c>
      <c r="AJ227" s="19">
        <v>1000.71</v>
      </c>
      <c r="AK227" s="3">
        <f t="shared" si="35"/>
        <v>0</v>
      </c>
      <c r="AL227" s="3">
        <v>0</v>
      </c>
      <c r="AM227" s="3">
        <f t="shared" si="34"/>
        <v>0</v>
      </c>
    </row>
    <row r="228" spans="1:39">
      <c r="A228" s="7">
        <v>2001</v>
      </c>
      <c r="B228" s="7" t="s">
        <v>47</v>
      </c>
      <c r="C228" s="7">
        <v>0.18799907</v>
      </c>
      <c r="D228" s="7">
        <v>0.033012</v>
      </c>
      <c r="E228" s="7">
        <v>0.008292</v>
      </c>
      <c r="F228" s="7">
        <v>0.014692</v>
      </c>
      <c r="G228" s="7">
        <v>0.005275</v>
      </c>
      <c r="H228" s="7">
        <v>0.004753</v>
      </c>
      <c r="I228" s="7">
        <v>0.03638</v>
      </c>
      <c r="J228" s="7">
        <v>0.017975</v>
      </c>
      <c r="K228" s="16">
        <v>9955</v>
      </c>
      <c r="L228" s="17">
        <v>9041</v>
      </c>
      <c r="M228" s="16">
        <v>9195.036</v>
      </c>
      <c r="N228" s="7">
        <f t="shared" si="32"/>
        <v>1.10109501161376</v>
      </c>
      <c r="O228" s="7">
        <f t="shared" si="33"/>
        <v>1.08264937733795</v>
      </c>
      <c r="P228" s="8">
        <v>402186519.1</v>
      </c>
      <c r="Q228" s="8">
        <f t="shared" si="28"/>
        <v>4.37395263161558</v>
      </c>
      <c r="R228" s="9">
        <v>196.8</v>
      </c>
      <c r="S228" s="9">
        <v>133.8</v>
      </c>
      <c r="T228" s="9">
        <v>248.6</v>
      </c>
      <c r="U228" s="9">
        <v>7315</v>
      </c>
      <c r="V228" s="18">
        <v>0</v>
      </c>
      <c r="W228" s="18">
        <v>0</v>
      </c>
      <c r="X228" s="18">
        <f t="shared" si="29"/>
        <v>0</v>
      </c>
      <c r="Y228" s="12">
        <f t="shared" si="30"/>
        <v>4.16809156222866</v>
      </c>
      <c r="Z228" s="12">
        <f t="shared" si="31"/>
        <v>0</v>
      </c>
      <c r="AA228" s="19">
        <v>9955</v>
      </c>
      <c r="AB228" s="19">
        <v>11098</v>
      </c>
      <c r="AC228" s="19">
        <v>460.98</v>
      </c>
      <c r="AD228" s="19">
        <v>1777.97</v>
      </c>
      <c r="AE228" s="19">
        <v>188.92</v>
      </c>
      <c r="AF228" s="19">
        <v>49.53</v>
      </c>
      <c r="AG228" s="19">
        <v>332.65</v>
      </c>
      <c r="AH228" s="19">
        <v>271.37</v>
      </c>
      <c r="AI228" s="19">
        <v>4.93</v>
      </c>
      <c r="AJ228" s="19">
        <v>1560.2</v>
      </c>
      <c r="AK228" s="3">
        <f t="shared" si="35"/>
        <v>0</v>
      </c>
      <c r="AL228" s="3">
        <v>0</v>
      </c>
      <c r="AM228" s="3">
        <f t="shared" si="34"/>
        <v>0</v>
      </c>
    </row>
    <row r="229" spans="1:39">
      <c r="A229" s="7">
        <v>2002</v>
      </c>
      <c r="B229" s="7" t="s">
        <v>47</v>
      </c>
      <c r="C229" s="7">
        <v>0.19281274</v>
      </c>
      <c r="D229" s="7">
        <v>0.035154</v>
      </c>
      <c r="E229" s="7">
        <v>0.00916</v>
      </c>
      <c r="F229" s="7">
        <v>0.015434</v>
      </c>
      <c r="G229" s="7">
        <v>0.005411</v>
      </c>
      <c r="H229" s="7">
        <v>0.00515</v>
      </c>
      <c r="I229" s="7">
        <v>0.034944</v>
      </c>
      <c r="J229" s="7">
        <v>0.017107</v>
      </c>
      <c r="K229" s="16">
        <v>14599</v>
      </c>
      <c r="L229" s="17">
        <v>9082</v>
      </c>
      <c r="M229" s="16">
        <v>10275.49567</v>
      </c>
      <c r="N229" s="7">
        <f t="shared" si="32"/>
        <v>1.60746531600969</v>
      </c>
      <c r="O229" s="7">
        <f t="shared" si="33"/>
        <v>1.42075871265488</v>
      </c>
      <c r="P229" s="8">
        <v>448742602.8</v>
      </c>
      <c r="Q229" s="8">
        <f t="shared" si="28"/>
        <v>4.36711393018377</v>
      </c>
      <c r="R229" s="9">
        <v>222.9</v>
      </c>
      <c r="S229" s="9">
        <v>148.9</v>
      </c>
      <c r="T229" s="9">
        <v>271</v>
      </c>
      <c r="U229" s="9">
        <v>8041</v>
      </c>
      <c r="V229" s="18">
        <v>0</v>
      </c>
      <c r="W229" s="18">
        <v>0</v>
      </c>
      <c r="X229" s="18">
        <f t="shared" si="29"/>
        <v>0</v>
      </c>
      <c r="Y229" s="12">
        <f t="shared" si="30"/>
        <v>4.06804884448575</v>
      </c>
      <c r="Z229" s="12">
        <f t="shared" si="31"/>
        <v>0</v>
      </c>
      <c r="AA229" s="19">
        <v>14599</v>
      </c>
      <c r="AB229" s="19">
        <v>12938</v>
      </c>
      <c r="AC229" s="19">
        <v>415.42</v>
      </c>
      <c r="AD229" s="19">
        <v>1628.23</v>
      </c>
      <c r="AE229" s="19">
        <v>176.83</v>
      </c>
      <c r="AF229" s="19">
        <v>41.97</v>
      </c>
      <c r="AG229" s="19">
        <v>248.72</v>
      </c>
      <c r="AH229" s="19">
        <v>270.54</v>
      </c>
      <c r="AI229" s="19">
        <v>4.63</v>
      </c>
      <c r="AJ229" s="19">
        <v>1230.02</v>
      </c>
      <c r="AK229" s="3">
        <f t="shared" si="35"/>
        <v>0</v>
      </c>
      <c r="AL229" s="3">
        <v>0</v>
      </c>
      <c r="AM229" s="3">
        <f t="shared" si="34"/>
        <v>0</v>
      </c>
    </row>
    <row r="230" spans="1:39">
      <c r="A230" s="7">
        <v>2003</v>
      </c>
      <c r="B230" s="7" t="s">
        <v>47</v>
      </c>
      <c r="C230" s="7">
        <v>0.21352988</v>
      </c>
      <c r="D230" s="7">
        <v>0.035296</v>
      </c>
      <c r="E230" s="7">
        <v>0.00894</v>
      </c>
      <c r="F230" s="7">
        <v>0.015655</v>
      </c>
      <c r="G230" s="7">
        <v>0.005421</v>
      </c>
      <c r="H230" s="7">
        <v>0.00528</v>
      </c>
      <c r="I230" s="7">
        <v>0.041874</v>
      </c>
      <c r="J230" s="7">
        <v>0.020995</v>
      </c>
      <c r="K230" s="16">
        <v>16837</v>
      </c>
      <c r="L230" s="17">
        <v>9125</v>
      </c>
      <c r="M230" s="16">
        <v>12078.15</v>
      </c>
      <c r="N230" s="7">
        <f t="shared" si="32"/>
        <v>1.84515068493151</v>
      </c>
      <c r="O230" s="7">
        <f t="shared" si="33"/>
        <v>1.39400487657464</v>
      </c>
      <c r="P230" s="8">
        <v>547818316.3</v>
      </c>
      <c r="Q230" s="8">
        <f t="shared" si="28"/>
        <v>4.53561444674888</v>
      </c>
      <c r="R230" s="9">
        <v>244.3</v>
      </c>
      <c r="S230" s="9">
        <v>175.8</v>
      </c>
      <c r="T230" s="9">
        <v>293.9</v>
      </c>
      <c r="U230" s="9">
        <v>8849</v>
      </c>
      <c r="V230" s="18">
        <v>0</v>
      </c>
      <c r="W230" s="18">
        <v>0</v>
      </c>
      <c r="X230" s="18">
        <f t="shared" si="29"/>
        <v>0</v>
      </c>
      <c r="Y230" s="12">
        <f t="shared" si="30"/>
        <v>4.08414499624993</v>
      </c>
      <c r="Z230" s="12">
        <f t="shared" si="31"/>
        <v>0</v>
      </c>
      <c r="AA230" s="19">
        <v>16624.8</v>
      </c>
      <c r="AB230" s="19">
        <v>15165.68</v>
      </c>
      <c r="AC230" s="19">
        <v>660.08</v>
      </c>
      <c r="AD230" s="19">
        <v>2213.73</v>
      </c>
      <c r="AE230" s="19">
        <v>209.51</v>
      </c>
      <c r="AF230" s="19">
        <v>14.23</v>
      </c>
      <c r="AG230" s="19">
        <v>521.01</v>
      </c>
      <c r="AH230" s="19">
        <v>241.19</v>
      </c>
      <c r="AI230" s="19">
        <v>9.61</v>
      </c>
      <c r="AJ230" s="19">
        <v>1395.72</v>
      </c>
      <c r="AK230" s="3">
        <f t="shared" si="35"/>
        <v>0</v>
      </c>
      <c r="AL230" s="3">
        <v>0</v>
      </c>
      <c r="AM230" s="3">
        <f t="shared" si="34"/>
        <v>0</v>
      </c>
    </row>
    <row r="231" spans="1:39">
      <c r="A231" s="7">
        <v>2004</v>
      </c>
      <c r="B231" s="7" t="s">
        <v>47</v>
      </c>
      <c r="C231" s="7">
        <v>0.23610992</v>
      </c>
      <c r="D231" s="7">
        <v>0.04093</v>
      </c>
      <c r="E231" s="7">
        <v>0.010186</v>
      </c>
      <c r="F231" s="7">
        <v>0.018697</v>
      </c>
      <c r="G231" s="7">
        <v>0.006358</v>
      </c>
      <c r="H231" s="7">
        <v>0.00569</v>
      </c>
      <c r="I231" s="7">
        <v>0.041762</v>
      </c>
      <c r="J231" s="7">
        <v>0.021265</v>
      </c>
      <c r="K231" s="16">
        <v>19624</v>
      </c>
      <c r="L231" s="17">
        <v>9180</v>
      </c>
      <c r="M231" s="16">
        <v>15021.84</v>
      </c>
      <c r="N231" s="7">
        <f t="shared" si="32"/>
        <v>2.13769063180828</v>
      </c>
      <c r="O231" s="7">
        <f t="shared" si="33"/>
        <v>1.30636459980934</v>
      </c>
      <c r="P231" s="8">
        <v>621468889</v>
      </c>
      <c r="Q231" s="8">
        <f t="shared" si="28"/>
        <v>4.13710230570955</v>
      </c>
      <c r="R231" s="9">
        <v>272</v>
      </c>
      <c r="S231" s="9">
        <v>199.6</v>
      </c>
      <c r="T231" s="9">
        <v>331.1</v>
      </c>
      <c r="U231" s="9">
        <v>9859</v>
      </c>
      <c r="V231" s="18">
        <v>0</v>
      </c>
      <c r="W231" s="18">
        <v>0</v>
      </c>
      <c r="X231" s="18">
        <f t="shared" si="29"/>
        <v>0</v>
      </c>
      <c r="Y231" s="12">
        <f t="shared" si="30"/>
        <v>3.89549779892895</v>
      </c>
      <c r="Z231" s="12">
        <f t="shared" si="31"/>
        <v>0</v>
      </c>
      <c r="AA231" s="19">
        <v>19623.7</v>
      </c>
      <c r="AB231" s="19">
        <v>18270.08</v>
      </c>
      <c r="AC231" s="19">
        <v>1235.5</v>
      </c>
      <c r="AD231" s="19">
        <v>3196.39</v>
      </c>
      <c r="AE231" s="19">
        <v>233.66</v>
      </c>
      <c r="AF231" s="19">
        <v>21.74</v>
      </c>
      <c r="AG231" s="19">
        <v>582.3</v>
      </c>
      <c r="AH231" s="19">
        <v>279.16</v>
      </c>
      <c r="AI231" s="19">
        <v>11.71</v>
      </c>
      <c r="AJ231" s="19">
        <v>1693.71</v>
      </c>
      <c r="AK231" s="3">
        <f t="shared" si="35"/>
        <v>0</v>
      </c>
      <c r="AL231" s="3">
        <v>0</v>
      </c>
      <c r="AM231" s="3">
        <f t="shared" si="34"/>
        <v>0</v>
      </c>
    </row>
    <row r="232" spans="1:39">
      <c r="A232" s="7">
        <v>2005</v>
      </c>
      <c r="B232" s="7" t="s">
        <v>47</v>
      </c>
      <c r="C232" s="7">
        <v>0.24771413</v>
      </c>
      <c r="D232" s="7">
        <v>0.042782</v>
      </c>
      <c r="E232" s="7">
        <v>0.010148</v>
      </c>
      <c r="F232" s="7">
        <v>0.019234</v>
      </c>
      <c r="G232" s="7">
        <v>0.006572</v>
      </c>
      <c r="H232" s="7">
        <v>0.006828</v>
      </c>
      <c r="I232" s="7">
        <v>0.044015</v>
      </c>
      <c r="J232" s="7">
        <v>0.020665</v>
      </c>
      <c r="K232" s="16">
        <v>24162</v>
      </c>
      <c r="L232" s="17">
        <v>9248.18</v>
      </c>
      <c r="M232" s="16">
        <v>18366.87</v>
      </c>
      <c r="N232" s="7">
        <f t="shared" si="32"/>
        <v>2.61262215917078</v>
      </c>
      <c r="O232" s="7">
        <f t="shared" si="33"/>
        <v>1.31552082635746</v>
      </c>
      <c r="P232" s="8">
        <v>671388024.1</v>
      </c>
      <c r="Q232" s="8">
        <f t="shared" si="28"/>
        <v>3.65542971720277</v>
      </c>
      <c r="R232" s="9">
        <v>289.9</v>
      </c>
      <c r="S232" s="9">
        <v>229.8</v>
      </c>
      <c r="T232" s="9">
        <v>365.2</v>
      </c>
      <c r="U232" s="9">
        <v>10753</v>
      </c>
      <c r="V232" s="18">
        <v>0</v>
      </c>
      <c r="W232" s="18">
        <v>0</v>
      </c>
      <c r="X232" s="18">
        <f t="shared" si="29"/>
        <v>0</v>
      </c>
      <c r="Y232" s="12">
        <f t="shared" si="30"/>
        <v>3.71995059106252</v>
      </c>
      <c r="Z232" s="12">
        <f t="shared" si="31"/>
        <v>0.0173445512998932</v>
      </c>
      <c r="AA232" s="19">
        <v>23609.8</v>
      </c>
      <c r="AB232" s="19">
        <v>25247.91</v>
      </c>
      <c r="AC232" s="19">
        <v>1992.57</v>
      </c>
      <c r="AD232" s="19">
        <v>3300.36</v>
      </c>
      <c r="AE232" s="19">
        <v>495.53</v>
      </c>
      <c r="AF232" s="19">
        <v>21.99</v>
      </c>
      <c r="AG232" s="19">
        <v>1132.31</v>
      </c>
      <c r="AH232" s="19">
        <v>294.43</v>
      </c>
      <c r="AI232" s="19">
        <v>17.89</v>
      </c>
      <c r="AJ232" s="19">
        <v>1911.61</v>
      </c>
      <c r="AK232" s="3">
        <f t="shared" si="35"/>
        <v>0</v>
      </c>
      <c r="AL232" s="3">
        <v>0</v>
      </c>
      <c r="AM232" s="3">
        <f t="shared" si="34"/>
        <v>0</v>
      </c>
    </row>
    <row r="233" spans="1:39">
      <c r="A233" s="7">
        <v>2006</v>
      </c>
      <c r="B233" s="7" t="s">
        <v>47</v>
      </c>
      <c r="C233" s="7">
        <v>0.25024757</v>
      </c>
      <c r="D233" s="7">
        <v>0.042533</v>
      </c>
      <c r="E233" s="7">
        <v>0.0106</v>
      </c>
      <c r="F233" s="7">
        <v>0.018685</v>
      </c>
      <c r="G233" s="7">
        <v>0.006575</v>
      </c>
      <c r="H233" s="7">
        <v>0.006672</v>
      </c>
      <c r="I233" s="7">
        <v>0.043731</v>
      </c>
      <c r="J233" s="7">
        <v>0.022073</v>
      </c>
      <c r="K233" s="16">
        <v>26759</v>
      </c>
      <c r="L233" s="17">
        <v>9308.9</v>
      </c>
      <c r="M233" s="16">
        <v>21900.19</v>
      </c>
      <c r="N233" s="7">
        <f t="shared" si="32"/>
        <v>2.87456090408104</v>
      </c>
      <c r="O233" s="7">
        <f t="shared" si="33"/>
        <v>1.22186154549344</v>
      </c>
      <c r="P233" s="8">
        <v>733863016.2</v>
      </c>
      <c r="Q233" s="8">
        <f t="shared" si="28"/>
        <v>3.35094360459886</v>
      </c>
      <c r="R233" s="9">
        <v>310.7</v>
      </c>
      <c r="S233" s="9">
        <v>291.6</v>
      </c>
      <c r="T233" s="9">
        <v>425.1</v>
      </c>
      <c r="U233" s="9">
        <v>12350</v>
      </c>
      <c r="V233" s="18">
        <v>0</v>
      </c>
      <c r="W233" s="18">
        <v>0</v>
      </c>
      <c r="X233" s="18">
        <f t="shared" si="29"/>
        <v>0</v>
      </c>
      <c r="Y233" s="12">
        <f t="shared" si="30"/>
        <v>3.57740717995078</v>
      </c>
      <c r="Z233" s="12">
        <f t="shared" si="31"/>
        <v>0.0633038298299149</v>
      </c>
      <c r="AA233" s="19">
        <v>26164.31</v>
      </c>
      <c r="AB233" s="19">
        <v>29001.25</v>
      </c>
      <c r="AC233" s="19">
        <v>1714.03</v>
      </c>
      <c r="AD233" s="19">
        <v>3878.27</v>
      </c>
      <c r="AE233" s="19">
        <v>540.58</v>
      </c>
      <c r="AF233" s="19">
        <v>23.88</v>
      </c>
      <c r="AG233" s="19">
        <v>1220.97</v>
      </c>
      <c r="AH233" s="19">
        <v>304.11</v>
      </c>
      <c r="AI233" s="19">
        <v>22.59</v>
      </c>
      <c r="AJ233" s="19">
        <v>2312.04</v>
      </c>
      <c r="AK233" s="3">
        <f t="shared" si="35"/>
        <v>0</v>
      </c>
      <c r="AL233" s="3">
        <v>0</v>
      </c>
      <c r="AM233" s="3">
        <f t="shared" si="34"/>
        <v>0</v>
      </c>
    </row>
    <row r="234" spans="1:39">
      <c r="A234" s="7">
        <v>2007</v>
      </c>
      <c r="B234" s="7" t="s">
        <v>47</v>
      </c>
      <c r="C234" s="7">
        <v>0.25183651</v>
      </c>
      <c r="D234" s="7">
        <v>0.04603</v>
      </c>
      <c r="E234" s="7">
        <v>0.011407</v>
      </c>
      <c r="F234" s="7">
        <v>0.020641</v>
      </c>
      <c r="G234" s="7">
        <v>0.00747</v>
      </c>
      <c r="H234" s="7">
        <v>0.006512</v>
      </c>
      <c r="I234" s="7">
        <v>0.039384</v>
      </c>
      <c r="J234" s="7">
        <v>0.020039</v>
      </c>
      <c r="K234" s="16">
        <v>29177</v>
      </c>
      <c r="L234" s="17">
        <v>9366.97</v>
      </c>
      <c r="M234" s="16">
        <v>25776.91</v>
      </c>
      <c r="N234" s="7">
        <f t="shared" si="32"/>
        <v>3.11488133302445</v>
      </c>
      <c r="O234" s="7">
        <f t="shared" si="33"/>
        <v>1.13190448350869</v>
      </c>
      <c r="P234" s="8">
        <v>778230920.8</v>
      </c>
      <c r="Q234" s="8">
        <f t="shared" si="28"/>
        <v>3.01910089611206</v>
      </c>
      <c r="R234" s="9">
        <v>351.3</v>
      </c>
      <c r="S234" s="9">
        <v>354.3</v>
      </c>
      <c r="T234" s="9">
        <v>528.4</v>
      </c>
      <c r="U234" s="9">
        <v>14683</v>
      </c>
      <c r="V234" s="18">
        <v>0</v>
      </c>
      <c r="W234" s="18">
        <v>0</v>
      </c>
      <c r="X234" s="18">
        <f t="shared" si="29"/>
        <v>0</v>
      </c>
      <c r="Y234" s="12">
        <f t="shared" si="30"/>
        <v>3.23986794305777</v>
      </c>
      <c r="Z234" s="12">
        <f t="shared" si="31"/>
        <v>0.0681407547547597</v>
      </c>
      <c r="AA234" s="19">
        <v>28554.4</v>
      </c>
      <c r="AB234" s="19">
        <v>31702.78</v>
      </c>
      <c r="AC234" s="19">
        <v>2593.44</v>
      </c>
      <c r="AD234" s="19">
        <v>4075.67</v>
      </c>
      <c r="AE234" s="19">
        <v>572.79</v>
      </c>
      <c r="AF234" s="19">
        <v>32.02</v>
      </c>
      <c r="AG234" s="19">
        <v>1286.94</v>
      </c>
      <c r="AH234" s="19">
        <v>367.24</v>
      </c>
      <c r="AI234" s="19">
        <v>23.33</v>
      </c>
      <c r="AJ234" s="19">
        <v>2596.05</v>
      </c>
      <c r="AK234" s="3">
        <f t="shared" si="35"/>
        <v>0</v>
      </c>
      <c r="AL234" s="3">
        <v>0</v>
      </c>
      <c r="AM234" s="3">
        <f t="shared" si="34"/>
        <v>0</v>
      </c>
    </row>
    <row r="235" spans="1:39">
      <c r="A235" s="7">
        <v>2008</v>
      </c>
      <c r="B235" s="7" t="s">
        <v>47</v>
      </c>
      <c r="C235" s="7">
        <v>0.27460954</v>
      </c>
      <c r="D235" s="7">
        <v>0.049177</v>
      </c>
      <c r="E235" s="7">
        <v>0.012192</v>
      </c>
      <c r="F235" s="7">
        <v>0.022543</v>
      </c>
      <c r="G235" s="7">
        <v>0.007526</v>
      </c>
      <c r="H235" s="7">
        <v>0.006915</v>
      </c>
      <c r="I235" s="7">
        <v>0.044363</v>
      </c>
      <c r="J235" s="7">
        <v>0.02147</v>
      </c>
      <c r="K235" s="16">
        <v>30570</v>
      </c>
      <c r="L235" s="17">
        <v>9417.23</v>
      </c>
      <c r="M235" s="16">
        <v>30933.28</v>
      </c>
      <c r="N235" s="7">
        <f t="shared" si="32"/>
        <v>3.2461774853115</v>
      </c>
      <c r="O235" s="7">
        <f t="shared" si="33"/>
        <v>0.988256014234507</v>
      </c>
      <c r="P235" s="8">
        <v>792333902.3</v>
      </c>
      <c r="Q235" s="8">
        <f t="shared" si="28"/>
        <v>2.56142866938133</v>
      </c>
      <c r="R235" s="9">
        <v>423.6</v>
      </c>
      <c r="S235" s="9">
        <v>412.6</v>
      </c>
      <c r="T235" s="9">
        <v>638.5</v>
      </c>
      <c r="U235" s="9">
        <v>17357</v>
      </c>
      <c r="V235" s="18">
        <v>0</v>
      </c>
      <c r="W235" s="18">
        <v>0</v>
      </c>
      <c r="X235" s="18">
        <f t="shared" si="29"/>
        <v>0</v>
      </c>
      <c r="Y235" s="12">
        <f t="shared" si="30"/>
        <v>2.71728515287532</v>
      </c>
      <c r="Z235" s="12">
        <f t="shared" si="31"/>
        <v>0.057357426521492</v>
      </c>
      <c r="AA235" s="19">
        <v>30570</v>
      </c>
      <c r="AB235" s="19">
        <v>34390</v>
      </c>
      <c r="AC235" s="19">
        <v>2611.9</v>
      </c>
      <c r="AD235" s="19">
        <v>4626.97</v>
      </c>
      <c r="AE235" s="19">
        <v>588.59</v>
      </c>
      <c r="AF235" s="19">
        <v>30.73</v>
      </c>
      <c r="AG235" s="19">
        <v>1257.74</v>
      </c>
      <c r="AH235" s="19">
        <v>355.43</v>
      </c>
      <c r="AI235" s="19">
        <v>34.5</v>
      </c>
      <c r="AJ235" s="19">
        <v>2726.98</v>
      </c>
      <c r="AK235" s="3">
        <f t="shared" si="35"/>
        <v>0</v>
      </c>
      <c r="AL235" s="3">
        <v>0</v>
      </c>
      <c r="AM235" s="3">
        <f t="shared" si="34"/>
        <v>0</v>
      </c>
    </row>
    <row r="236" spans="1:39">
      <c r="A236" s="7">
        <v>2009</v>
      </c>
      <c r="B236" s="7" t="s">
        <v>47</v>
      </c>
      <c r="C236" s="7">
        <v>0.28277175</v>
      </c>
      <c r="D236" s="7">
        <v>0.048332</v>
      </c>
      <c r="E236" s="7">
        <v>0.012267</v>
      </c>
      <c r="F236" s="7">
        <v>0.021472</v>
      </c>
      <c r="G236" s="7">
        <v>0.007257</v>
      </c>
      <c r="H236" s="7">
        <v>0.007336</v>
      </c>
      <c r="I236" s="7">
        <v>0.048592</v>
      </c>
      <c r="J236" s="7">
        <v>0.022865</v>
      </c>
      <c r="K236" s="16">
        <v>32420</v>
      </c>
      <c r="L236" s="17">
        <v>9470.3</v>
      </c>
      <c r="M236" s="16">
        <v>33896.65</v>
      </c>
      <c r="N236" s="7">
        <f t="shared" si="32"/>
        <v>3.42333400209075</v>
      </c>
      <c r="O236" s="7">
        <f t="shared" si="33"/>
        <v>0.956436698021781</v>
      </c>
      <c r="P236" s="8">
        <v>837481777.8</v>
      </c>
      <c r="Q236" s="8">
        <f t="shared" si="28"/>
        <v>2.47069187604085</v>
      </c>
      <c r="R236" s="9">
        <v>448.1</v>
      </c>
      <c r="S236" s="9">
        <v>432.4</v>
      </c>
      <c r="T236" s="9">
        <v>739.8</v>
      </c>
      <c r="U236" s="9">
        <v>18860</v>
      </c>
      <c r="V236" s="18">
        <v>0</v>
      </c>
      <c r="W236" s="18">
        <v>0</v>
      </c>
      <c r="X236" s="18">
        <f t="shared" si="29"/>
        <v>0</v>
      </c>
      <c r="Y236" s="12">
        <f t="shared" si="30"/>
        <v>2.66960201713366</v>
      </c>
      <c r="Z236" s="12">
        <f t="shared" si="31"/>
        <v>0.0745092863341387</v>
      </c>
      <c r="AA236" s="19">
        <v>32420</v>
      </c>
      <c r="AB236" s="19">
        <v>34795</v>
      </c>
      <c r="AC236" s="19">
        <v>2922.57</v>
      </c>
      <c r="AD236" s="19">
        <v>5142.9</v>
      </c>
      <c r="AE236" s="19">
        <v>640.91</v>
      </c>
      <c r="AF236" s="19">
        <v>35.41</v>
      </c>
      <c r="AG236" s="19">
        <v>1334.11</v>
      </c>
      <c r="AH236" s="19">
        <v>404.87</v>
      </c>
      <c r="AI236" s="19">
        <v>40.24</v>
      </c>
      <c r="AJ236" s="19">
        <v>2941.07</v>
      </c>
      <c r="AK236" s="3">
        <f t="shared" si="35"/>
        <v>0</v>
      </c>
      <c r="AL236" s="3">
        <v>0</v>
      </c>
      <c r="AM236" s="3">
        <f t="shared" si="34"/>
        <v>0</v>
      </c>
    </row>
    <row r="237" spans="1:39">
      <c r="A237" s="7">
        <v>2010</v>
      </c>
      <c r="B237" s="7" t="s">
        <v>47</v>
      </c>
      <c r="C237" s="7">
        <v>0.27542205</v>
      </c>
      <c r="D237" s="7">
        <v>0.046586</v>
      </c>
      <c r="E237" s="7">
        <v>0.011878</v>
      </c>
      <c r="F237" s="7">
        <v>0.020605</v>
      </c>
      <c r="G237" s="7">
        <v>0.006995</v>
      </c>
      <c r="H237" s="7">
        <v>0.007108</v>
      </c>
      <c r="I237" s="7">
        <v>0.047398</v>
      </c>
      <c r="J237" s="7">
        <v>0.023472</v>
      </c>
      <c r="K237" s="16">
        <v>34808</v>
      </c>
      <c r="L237" s="17">
        <v>9587.87</v>
      </c>
      <c r="M237" s="16">
        <v>39169.92</v>
      </c>
      <c r="N237" s="7">
        <f t="shared" si="32"/>
        <v>3.63042052092905</v>
      </c>
      <c r="O237" s="7">
        <f t="shared" si="33"/>
        <v>0.888641079685636</v>
      </c>
      <c r="P237" s="8">
        <v>885781644.2</v>
      </c>
      <c r="Q237" s="8">
        <f t="shared" si="28"/>
        <v>2.26138231632845</v>
      </c>
      <c r="R237" s="9">
        <v>521.9</v>
      </c>
      <c r="S237" s="9">
        <v>528.6</v>
      </c>
      <c r="T237" s="9">
        <v>970.1</v>
      </c>
      <c r="U237" s="9">
        <v>23323</v>
      </c>
      <c r="V237" s="18">
        <v>0</v>
      </c>
      <c r="W237" s="18">
        <v>0</v>
      </c>
      <c r="X237" s="18">
        <f t="shared" si="29"/>
        <v>0</v>
      </c>
      <c r="Y237" s="12">
        <f t="shared" si="30"/>
        <v>2.40850270516871</v>
      </c>
      <c r="Z237" s="12">
        <f t="shared" si="31"/>
        <v>0.0610837548675093</v>
      </c>
      <c r="AA237" s="19">
        <v>34807.77</v>
      </c>
      <c r="AB237" s="19">
        <v>37327.89</v>
      </c>
      <c r="AC237" s="19">
        <v>3067.58</v>
      </c>
      <c r="AD237" s="19">
        <v>5593.4</v>
      </c>
      <c r="AE237" s="19">
        <v>802.4</v>
      </c>
      <c r="AF237" s="19">
        <v>38.61</v>
      </c>
      <c r="AG237" s="19">
        <v>1448.12</v>
      </c>
      <c r="AH237" s="19">
        <v>1286.77</v>
      </c>
      <c r="AI237" s="19">
        <v>47.01</v>
      </c>
      <c r="AJ237" s="19">
        <v>3298.46</v>
      </c>
      <c r="AK237" s="3">
        <f t="shared" si="35"/>
        <v>0</v>
      </c>
      <c r="AL237" s="3">
        <v>0</v>
      </c>
      <c r="AM237" s="3">
        <f t="shared" si="34"/>
        <v>0</v>
      </c>
    </row>
    <row r="238" spans="1:39">
      <c r="A238" s="7">
        <v>2011</v>
      </c>
      <c r="B238" s="7" t="s">
        <v>47</v>
      </c>
      <c r="C238" s="7">
        <v>0.32892398</v>
      </c>
      <c r="D238" s="7">
        <v>0.055329</v>
      </c>
      <c r="E238" s="7">
        <v>0.013825</v>
      </c>
      <c r="F238" s="7">
        <v>0.02506</v>
      </c>
      <c r="G238" s="7">
        <v>0.007782</v>
      </c>
      <c r="H238" s="7">
        <v>0.008661</v>
      </c>
      <c r="I238" s="7">
        <v>0.052961</v>
      </c>
      <c r="J238" s="7">
        <v>0.027313</v>
      </c>
      <c r="K238" s="16">
        <v>37132</v>
      </c>
      <c r="L238" s="17">
        <v>9665</v>
      </c>
      <c r="M238" s="16">
        <v>45361.85</v>
      </c>
      <c r="N238" s="7">
        <f t="shared" si="32"/>
        <v>3.84190377651319</v>
      </c>
      <c r="O238" s="7">
        <f t="shared" si="33"/>
        <v>0.81857331656447</v>
      </c>
      <c r="P238" s="8">
        <v>946649121.9</v>
      </c>
      <c r="Q238" s="8">
        <f t="shared" si="28"/>
        <v>2.08688385041615</v>
      </c>
      <c r="R238" s="9">
        <v>636.6</v>
      </c>
      <c r="S238" s="9">
        <v>671.3</v>
      </c>
      <c r="T238" s="9">
        <v>1155.9</v>
      </c>
      <c r="U238" s="9">
        <v>28014</v>
      </c>
      <c r="V238" s="18">
        <v>0</v>
      </c>
      <c r="W238" s="18">
        <v>0</v>
      </c>
      <c r="X238" s="18">
        <f t="shared" si="29"/>
        <v>0</v>
      </c>
      <c r="Y238" s="12">
        <f t="shared" si="30"/>
        <v>2.18035126729488</v>
      </c>
      <c r="Z238" s="12">
        <f t="shared" si="31"/>
        <v>0.0428680544647714</v>
      </c>
      <c r="AA238" s="19">
        <v>37132</v>
      </c>
      <c r="AB238" s="19">
        <v>38921</v>
      </c>
      <c r="AC238" s="19">
        <v>3314.77</v>
      </c>
      <c r="AD238" s="19">
        <v>5826.37</v>
      </c>
      <c r="AE238" s="19">
        <v>806.41</v>
      </c>
      <c r="AF238" s="19">
        <v>39.66</v>
      </c>
      <c r="AG238" s="19">
        <v>1664.29</v>
      </c>
      <c r="AH238" s="19">
        <v>41.83</v>
      </c>
      <c r="AI238" s="19">
        <v>52.86</v>
      </c>
      <c r="AJ238" s="19">
        <v>3635</v>
      </c>
      <c r="AK238" s="3">
        <f t="shared" si="35"/>
        <v>0</v>
      </c>
      <c r="AL238" s="3">
        <v>0</v>
      </c>
      <c r="AM238" s="3">
        <f t="shared" si="34"/>
        <v>0</v>
      </c>
    </row>
    <row r="239" spans="1:39">
      <c r="A239" s="7">
        <v>2012</v>
      </c>
      <c r="B239" s="7" t="s">
        <v>47</v>
      </c>
      <c r="C239" s="7">
        <v>0.31156832</v>
      </c>
      <c r="D239" s="7">
        <v>0.05347</v>
      </c>
      <c r="E239" s="7">
        <v>0.014006</v>
      </c>
      <c r="F239" s="7">
        <v>0.024278</v>
      </c>
      <c r="G239" s="7">
        <v>0.00789</v>
      </c>
      <c r="H239" s="7">
        <v>0.007296</v>
      </c>
      <c r="I239" s="7">
        <v>0.051828</v>
      </c>
      <c r="J239" s="7">
        <v>0.024856</v>
      </c>
      <c r="K239" s="16">
        <v>38899</v>
      </c>
      <c r="L239" s="17">
        <v>9708</v>
      </c>
      <c r="M239" s="16">
        <v>50013.24</v>
      </c>
      <c r="N239" s="7">
        <f t="shared" si="32"/>
        <v>4.00690152451586</v>
      </c>
      <c r="O239" s="7">
        <f t="shared" si="33"/>
        <v>0.777774045432769</v>
      </c>
      <c r="P239" s="8">
        <v>973402455.7</v>
      </c>
      <c r="Q239" s="8">
        <f t="shared" si="28"/>
        <v>1.94628953393142</v>
      </c>
      <c r="R239" s="9">
        <v>683.9</v>
      </c>
      <c r="S239" s="9">
        <v>747.2</v>
      </c>
      <c r="T239" s="9">
        <v>1358.3</v>
      </c>
      <c r="U239" s="9">
        <v>30993</v>
      </c>
      <c r="V239" s="18">
        <v>0</v>
      </c>
      <c r="W239" s="18">
        <v>0</v>
      </c>
      <c r="X239" s="18">
        <f t="shared" si="29"/>
        <v>0</v>
      </c>
      <c r="Y239" s="12">
        <f t="shared" si="30"/>
        <v>2.01609935715007</v>
      </c>
      <c r="Z239" s="12">
        <f t="shared" si="31"/>
        <v>0.0346261819741541</v>
      </c>
      <c r="AA239" s="19">
        <v>38899.25</v>
      </c>
      <c r="AB239" s="19">
        <v>40233</v>
      </c>
      <c r="AC239" s="19">
        <v>3506.05</v>
      </c>
      <c r="AD239" s="19">
        <v>6271.5</v>
      </c>
      <c r="AE239" s="19">
        <v>811.58</v>
      </c>
      <c r="AF239" s="19">
        <v>77.08</v>
      </c>
      <c r="AG239" s="19">
        <v>1814.34</v>
      </c>
      <c r="AH239" s="19">
        <v>1695.2</v>
      </c>
      <c r="AI239" s="19">
        <v>67.23</v>
      </c>
      <c r="AJ239" s="19">
        <v>3794.55</v>
      </c>
      <c r="AK239" s="3">
        <f t="shared" si="35"/>
        <v>0</v>
      </c>
      <c r="AL239" s="3">
        <v>0</v>
      </c>
      <c r="AM239" s="3">
        <f t="shared" si="34"/>
        <v>0</v>
      </c>
    </row>
    <row r="240" spans="1:39">
      <c r="A240" s="7">
        <v>2013</v>
      </c>
      <c r="B240" s="7" t="s">
        <v>47</v>
      </c>
      <c r="C240" s="7">
        <v>0.35044903</v>
      </c>
      <c r="D240" s="7">
        <v>0.059515</v>
      </c>
      <c r="E240" s="7">
        <v>0.015031</v>
      </c>
      <c r="F240" s="7">
        <v>0.026929</v>
      </c>
      <c r="G240" s="7">
        <v>0.008598</v>
      </c>
      <c r="H240" s="7">
        <v>0.008957</v>
      </c>
      <c r="I240" s="7">
        <v>0.055046</v>
      </c>
      <c r="J240" s="7">
        <v>0.027839</v>
      </c>
      <c r="K240" s="16">
        <v>35358</v>
      </c>
      <c r="L240" s="17">
        <v>9746</v>
      </c>
      <c r="M240" s="16">
        <v>55230.32</v>
      </c>
      <c r="N240" s="7">
        <f t="shared" si="32"/>
        <v>3.62794992817566</v>
      </c>
      <c r="O240" s="7">
        <f t="shared" si="33"/>
        <v>0.640191836657836</v>
      </c>
      <c r="P240" s="8">
        <v>1025066720</v>
      </c>
      <c r="Q240" s="8">
        <f t="shared" si="28"/>
        <v>1.85598548043901</v>
      </c>
      <c r="R240" s="9">
        <v>723.6</v>
      </c>
      <c r="S240" s="9">
        <v>750.9</v>
      </c>
      <c r="T240" s="9">
        <v>1641.4</v>
      </c>
      <c r="U240" s="9">
        <v>34053</v>
      </c>
      <c r="V240" s="18">
        <v>0</v>
      </c>
      <c r="W240" s="18">
        <v>0</v>
      </c>
      <c r="X240" s="18">
        <f t="shared" si="29"/>
        <v>0</v>
      </c>
      <c r="Y240" s="12">
        <f t="shared" si="30"/>
        <v>1.91398219724656</v>
      </c>
      <c r="Z240" s="12">
        <f t="shared" si="31"/>
        <v>0.0303015967917484</v>
      </c>
      <c r="AA240" s="19">
        <v>35358</v>
      </c>
      <c r="AB240" s="19">
        <v>37683.44</v>
      </c>
      <c r="AC240" s="19">
        <v>3680.29</v>
      </c>
      <c r="AD240" s="19">
        <v>6766.01</v>
      </c>
      <c r="AE240" s="19">
        <v>705.41</v>
      </c>
      <c r="AF240" s="19">
        <v>4.5</v>
      </c>
      <c r="AG240" s="19">
        <v>1262.92</v>
      </c>
      <c r="AH240" s="19">
        <v>2139.16</v>
      </c>
      <c r="AI240" s="19">
        <v>68.8</v>
      </c>
      <c r="AJ240" s="19">
        <v>4083.12</v>
      </c>
      <c r="AK240" s="3">
        <f t="shared" si="35"/>
        <v>1</v>
      </c>
      <c r="AL240" s="3">
        <v>0</v>
      </c>
      <c r="AM240" s="3">
        <f t="shared" si="34"/>
        <v>0</v>
      </c>
    </row>
    <row r="241" spans="1:39">
      <c r="A241" s="7">
        <v>2014</v>
      </c>
      <c r="B241" s="7" t="s">
        <v>47</v>
      </c>
      <c r="C241" s="7">
        <v>0.36864417</v>
      </c>
      <c r="D241" s="7">
        <v>0.063698</v>
      </c>
      <c r="E241" s="7">
        <v>0.016199</v>
      </c>
      <c r="F241" s="7">
        <v>0.028521</v>
      </c>
      <c r="G241" s="7">
        <v>0.009616</v>
      </c>
      <c r="H241" s="7">
        <v>0.009361</v>
      </c>
      <c r="I241" s="7">
        <v>0.057331</v>
      </c>
      <c r="J241" s="7">
        <v>0.026585</v>
      </c>
      <c r="K241" s="16">
        <v>36511</v>
      </c>
      <c r="L241" s="17">
        <v>9808</v>
      </c>
      <c r="M241" s="16">
        <v>59426.59</v>
      </c>
      <c r="N241" s="7">
        <f t="shared" si="32"/>
        <v>3.72257340946166</v>
      </c>
      <c r="O241" s="7">
        <f t="shared" si="33"/>
        <v>0.614388272993621</v>
      </c>
      <c r="P241" s="8">
        <v>1033078660</v>
      </c>
      <c r="Q241" s="8">
        <f t="shared" si="28"/>
        <v>1.73841147540184</v>
      </c>
      <c r="R241" s="9">
        <v>793.2</v>
      </c>
      <c r="S241" s="9">
        <v>826.5</v>
      </c>
      <c r="T241" s="9">
        <v>1829.3</v>
      </c>
      <c r="U241" s="9">
        <v>37166</v>
      </c>
      <c r="V241" s="18">
        <v>0</v>
      </c>
      <c r="W241" s="18">
        <v>0</v>
      </c>
      <c r="X241" s="18">
        <f t="shared" si="29"/>
        <v>0</v>
      </c>
      <c r="Y241" s="12">
        <f t="shared" si="30"/>
        <v>1.79640226266579</v>
      </c>
      <c r="Z241" s="12">
        <f t="shared" si="31"/>
        <v>0.0322816267097609</v>
      </c>
      <c r="AA241" s="19">
        <v>36510.99</v>
      </c>
      <c r="AB241" s="19">
        <v>39561.73</v>
      </c>
      <c r="AC241" s="19">
        <v>3761.51</v>
      </c>
      <c r="AD241" s="19">
        <v>7815.9</v>
      </c>
      <c r="AE241" s="19">
        <v>705.32</v>
      </c>
      <c r="AF241" s="19">
        <v>4.57</v>
      </c>
      <c r="AG241" s="19">
        <v>1264.62</v>
      </c>
      <c r="AH241" s="19">
        <v>2472.46</v>
      </c>
      <c r="AI241" s="19">
        <v>74.96</v>
      </c>
      <c r="AJ241" s="19">
        <v>4223.49</v>
      </c>
      <c r="AK241" s="3">
        <f t="shared" si="35"/>
        <v>1</v>
      </c>
      <c r="AL241" s="3">
        <v>0</v>
      </c>
      <c r="AM241" s="3">
        <f t="shared" si="34"/>
        <v>0</v>
      </c>
    </row>
    <row r="242" spans="1:39">
      <c r="A242" s="7">
        <v>2015</v>
      </c>
      <c r="B242" s="7" t="s">
        <v>47</v>
      </c>
      <c r="C242" s="7">
        <v>0.34445522</v>
      </c>
      <c r="D242" s="7">
        <v>0.056152</v>
      </c>
      <c r="E242" s="7">
        <v>0.01399</v>
      </c>
      <c r="F242" s="7">
        <v>0.025191</v>
      </c>
      <c r="G242" s="7">
        <v>0.0085</v>
      </c>
      <c r="H242" s="7">
        <v>0.00847</v>
      </c>
      <c r="I242" s="7">
        <v>0.057976</v>
      </c>
      <c r="J242" s="7">
        <v>0.028933</v>
      </c>
      <c r="K242" s="16">
        <v>39332</v>
      </c>
      <c r="L242" s="17">
        <v>9866</v>
      </c>
      <c r="M242" s="16">
        <v>63002.33245</v>
      </c>
      <c r="N242" s="7">
        <f t="shared" si="32"/>
        <v>3.98662071761606</v>
      </c>
      <c r="O242" s="7">
        <f t="shared" si="33"/>
        <v>0.62429434705794</v>
      </c>
      <c r="P242" s="8">
        <v>1040455002</v>
      </c>
      <c r="Q242" s="8">
        <f t="shared" si="28"/>
        <v>1.65145473435563</v>
      </c>
      <c r="R242" s="9">
        <v>835.4</v>
      </c>
      <c r="S242" s="9">
        <v>882.9</v>
      </c>
      <c r="T242" s="9">
        <v>2016</v>
      </c>
      <c r="U242" s="9">
        <v>39704</v>
      </c>
      <c r="V242" s="18">
        <v>0</v>
      </c>
      <c r="W242" s="18">
        <v>0</v>
      </c>
      <c r="X242" s="18">
        <f t="shared" si="29"/>
        <v>0</v>
      </c>
      <c r="Y242" s="12">
        <f t="shared" si="30"/>
        <v>1.71577514742415</v>
      </c>
      <c r="Z242" s="12">
        <f t="shared" si="31"/>
        <v>0.0374876703192013</v>
      </c>
      <c r="AA242" s="19">
        <v>39332</v>
      </c>
      <c r="AB242" s="19">
        <v>43515.9</v>
      </c>
      <c r="AC242" s="19">
        <v>3813.46</v>
      </c>
      <c r="AD242" s="19">
        <v>8607.02</v>
      </c>
      <c r="AE242" s="19">
        <v>636.19</v>
      </c>
      <c r="AF242" s="19">
        <v>98.5</v>
      </c>
      <c r="AG242" s="19">
        <v>1191.85</v>
      </c>
      <c r="AH242" s="19">
        <v>3247.01</v>
      </c>
      <c r="AI242" s="19">
        <v>82.32</v>
      </c>
      <c r="AJ242" s="19">
        <v>5117</v>
      </c>
      <c r="AK242" s="3">
        <f t="shared" si="35"/>
        <v>1</v>
      </c>
      <c r="AL242" s="3">
        <v>0</v>
      </c>
      <c r="AM242" s="3">
        <f t="shared" si="34"/>
        <v>0</v>
      </c>
    </row>
    <row r="243" spans="1:39">
      <c r="A243" s="7">
        <v>2016</v>
      </c>
      <c r="B243" s="7" t="s">
        <v>47</v>
      </c>
      <c r="C243" s="7">
        <v>0.34659949</v>
      </c>
      <c r="D243" s="7">
        <v>0.055353</v>
      </c>
      <c r="E243" s="7">
        <v>0.014098</v>
      </c>
      <c r="F243" s="7">
        <v>0.024522</v>
      </c>
      <c r="G243" s="7">
        <v>0.008313</v>
      </c>
      <c r="H243" s="7">
        <v>0.00842</v>
      </c>
      <c r="I243" s="7">
        <v>0.058533</v>
      </c>
      <c r="J243" s="7">
        <v>0.030585</v>
      </c>
      <c r="K243" s="16">
        <v>40138</v>
      </c>
      <c r="L243" s="17">
        <v>9973</v>
      </c>
      <c r="M243" s="16">
        <v>68024.49</v>
      </c>
      <c r="N243" s="7">
        <f t="shared" si="32"/>
        <v>4.02466659981951</v>
      </c>
      <c r="O243" s="7">
        <f t="shared" si="33"/>
        <v>0.590052200317856</v>
      </c>
      <c r="P243" s="8">
        <v>1059799650</v>
      </c>
      <c r="Q243" s="8">
        <f t="shared" si="28"/>
        <v>1.55796779953808</v>
      </c>
      <c r="R243" s="9">
        <v>924.7</v>
      </c>
      <c r="S243" s="9">
        <v>904</v>
      </c>
      <c r="T243" s="9">
        <v>2261.5</v>
      </c>
      <c r="U243" s="9">
        <v>43009</v>
      </c>
      <c r="V243" s="18">
        <v>0</v>
      </c>
      <c r="W243" s="18">
        <v>0</v>
      </c>
      <c r="X243" s="18">
        <f t="shared" si="29"/>
        <v>0</v>
      </c>
      <c r="Y243" s="12">
        <f t="shared" si="30"/>
        <v>1.62438398605541</v>
      </c>
      <c r="Z243" s="12">
        <f t="shared" si="31"/>
        <v>0.0408869990639407</v>
      </c>
      <c r="AA243" s="19">
        <v>40138</v>
      </c>
      <c r="AB243" s="19">
        <v>42160.4</v>
      </c>
      <c r="AC243" s="19">
        <v>3718.36</v>
      </c>
      <c r="AD243" s="19">
        <v>10203.42</v>
      </c>
      <c r="AE243" s="19">
        <v>654.21</v>
      </c>
      <c r="AF243" s="19">
        <v>115.23</v>
      </c>
      <c r="AG243" s="19">
        <v>1197.86</v>
      </c>
      <c r="AH243" s="19">
        <v>4511.2</v>
      </c>
      <c r="AI243" s="19">
        <v>98.61</v>
      </c>
      <c r="AJ243" s="19">
        <v>5390.75</v>
      </c>
      <c r="AK243" s="3">
        <f t="shared" si="35"/>
        <v>1</v>
      </c>
      <c r="AL243" s="3">
        <v>0</v>
      </c>
      <c r="AM243" s="3">
        <f t="shared" si="34"/>
        <v>0</v>
      </c>
    </row>
    <row r="244" spans="1:39">
      <c r="A244" s="7">
        <v>2017</v>
      </c>
      <c r="B244" s="7" t="s">
        <v>47</v>
      </c>
      <c r="C244" s="7">
        <v>0.38298216</v>
      </c>
      <c r="D244" s="7">
        <v>0.060511</v>
      </c>
      <c r="E244" s="7">
        <v>0.01544</v>
      </c>
      <c r="F244" s="7">
        <v>0.027603</v>
      </c>
      <c r="G244" s="7">
        <v>0.009121</v>
      </c>
      <c r="H244" s="7">
        <v>0.008347</v>
      </c>
      <c r="I244" s="7">
        <v>0.064772</v>
      </c>
      <c r="J244" s="7">
        <v>0.033859</v>
      </c>
      <c r="K244" s="16">
        <v>40098</v>
      </c>
      <c r="L244" s="17">
        <v>10033</v>
      </c>
      <c r="M244" s="16">
        <v>72634.14913</v>
      </c>
      <c r="N244" s="7">
        <f t="shared" si="32"/>
        <v>3.99661118309578</v>
      </c>
      <c r="O244" s="7">
        <f t="shared" si="33"/>
        <v>0.552054377731237</v>
      </c>
      <c r="P244" s="8">
        <v>1072009649</v>
      </c>
      <c r="Q244" s="8">
        <f t="shared" si="28"/>
        <v>1.47590308668905</v>
      </c>
      <c r="R244" s="9">
        <v>962.8</v>
      </c>
      <c r="S244" s="9">
        <v>996.4</v>
      </c>
      <c r="T244" s="9">
        <v>2538.4</v>
      </c>
      <c r="U244" s="9">
        <v>46631</v>
      </c>
      <c r="V244" s="18">
        <v>1</v>
      </c>
      <c r="W244" s="18">
        <v>0</v>
      </c>
      <c r="X244" s="18">
        <f t="shared" si="29"/>
        <v>0</v>
      </c>
      <c r="Y244" s="12">
        <f t="shared" si="30"/>
        <v>1.56738551218677</v>
      </c>
      <c r="Z244" s="12">
        <f t="shared" si="31"/>
        <v>0.0583662569204726</v>
      </c>
      <c r="AA244" s="19">
        <v>40098</v>
      </c>
      <c r="AB244" s="19">
        <v>42003.58</v>
      </c>
      <c r="AC244" s="19">
        <v>3333.6</v>
      </c>
      <c r="AD244" s="19">
        <v>11487.18</v>
      </c>
      <c r="AE244" s="19">
        <v>655.99</v>
      </c>
      <c r="AF244" s="19">
        <v>113.01</v>
      </c>
      <c r="AG244" s="19">
        <v>1320.78</v>
      </c>
      <c r="AH244" s="19">
        <v>4686.43</v>
      </c>
      <c r="AI244" s="19">
        <v>126.91</v>
      </c>
      <c r="AJ244" s="19">
        <v>5430.16</v>
      </c>
      <c r="AK244" s="3">
        <f t="shared" si="35"/>
        <v>1</v>
      </c>
      <c r="AL244" s="3">
        <v>0</v>
      </c>
      <c r="AM244" s="3">
        <f t="shared" si="34"/>
        <v>0</v>
      </c>
    </row>
    <row r="245" spans="1:39">
      <c r="A245" s="7">
        <v>2018</v>
      </c>
      <c r="B245" s="7" t="s">
        <v>47</v>
      </c>
      <c r="C245" s="7">
        <v>0.40070877</v>
      </c>
      <c r="D245" s="7">
        <v>0.063139</v>
      </c>
      <c r="E245" s="7">
        <v>0.015162</v>
      </c>
      <c r="F245" s="7">
        <v>0.028045</v>
      </c>
      <c r="G245" s="7">
        <v>0.009475</v>
      </c>
      <c r="H245" s="7">
        <v>0.010457</v>
      </c>
      <c r="I245" s="7">
        <v>0.064693</v>
      </c>
      <c r="J245" s="7">
        <v>0.034838</v>
      </c>
      <c r="K245" s="16">
        <v>40581</v>
      </c>
      <c r="L245" s="17">
        <v>10077</v>
      </c>
      <c r="M245" s="16">
        <v>76469.67</v>
      </c>
      <c r="N245" s="7">
        <f t="shared" si="32"/>
        <v>4.02709139624888</v>
      </c>
      <c r="O245" s="7">
        <f t="shared" si="33"/>
        <v>0.530680987638628</v>
      </c>
      <c r="P245" s="8">
        <v>1106405241</v>
      </c>
      <c r="Q245" s="8">
        <f t="shared" si="28"/>
        <v>1.44685499623576</v>
      </c>
      <c r="R245" s="9">
        <v>986</v>
      </c>
      <c r="S245" s="9">
        <v>1053.1</v>
      </c>
      <c r="T245" s="9">
        <v>2871.6</v>
      </c>
      <c r="U245" s="9">
        <v>50263</v>
      </c>
      <c r="V245" s="18">
        <v>1</v>
      </c>
      <c r="W245" s="18">
        <v>0</v>
      </c>
      <c r="X245" s="18">
        <f t="shared" si="29"/>
        <v>0</v>
      </c>
      <c r="Y245" s="12">
        <f t="shared" si="30"/>
        <v>1.51591455826218</v>
      </c>
      <c r="Z245" s="12">
        <f t="shared" si="31"/>
        <v>0.0455563683652362</v>
      </c>
      <c r="AA245" s="19">
        <v>40581</v>
      </c>
      <c r="AB245" s="19">
        <v>42319.48</v>
      </c>
      <c r="AC245" s="19">
        <v>3509.52</v>
      </c>
      <c r="AD245" s="19">
        <v>13035.48</v>
      </c>
      <c r="AE245" s="19">
        <v>690.08</v>
      </c>
      <c r="AF245" s="19">
        <v>120.27</v>
      </c>
      <c r="AG245" s="19">
        <v>1273.74</v>
      </c>
      <c r="AH245" s="19">
        <v>2376.4</v>
      </c>
      <c r="AI245" s="19">
        <v>156.33</v>
      </c>
      <c r="AJ245" s="19">
        <v>5916.77</v>
      </c>
      <c r="AK245" s="3">
        <f t="shared" si="35"/>
        <v>1</v>
      </c>
      <c r="AL245" s="3">
        <v>0</v>
      </c>
      <c r="AM245" s="3">
        <f t="shared" si="34"/>
        <v>0</v>
      </c>
    </row>
    <row r="246" spans="1:39">
      <c r="A246" s="7">
        <v>2019</v>
      </c>
      <c r="B246" s="7" t="s">
        <v>47</v>
      </c>
      <c r="C246" s="7">
        <v>0.41903028</v>
      </c>
      <c r="D246" s="7">
        <v>0.068192</v>
      </c>
      <c r="E246" s="7">
        <v>0.016756</v>
      </c>
      <c r="F246" s="7">
        <v>0.029568</v>
      </c>
      <c r="G246" s="7">
        <v>0.009212</v>
      </c>
      <c r="H246" s="7">
        <v>0.012656</v>
      </c>
      <c r="I246" s="7">
        <v>0.062273</v>
      </c>
      <c r="J246" s="7">
        <v>0.034171</v>
      </c>
      <c r="K246" s="16">
        <v>41390</v>
      </c>
      <c r="L246" s="17">
        <v>10106</v>
      </c>
      <c r="M246" s="16">
        <v>71067.53</v>
      </c>
      <c r="N246" s="7">
        <f t="shared" si="32"/>
        <v>4.09558678013062</v>
      </c>
      <c r="O246" s="7">
        <f t="shared" si="33"/>
        <v>0.582403806632931</v>
      </c>
      <c r="P246" s="8">
        <v>1135210096</v>
      </c>
      <c r="Q246" s="8">
        <f t="shared" si="28"/>
        <v>1.59736815955191</v>
      </c>
      <c r="R246" s="9">
        <v>1079</v>
      </c>
      <c r="S246" s="9">
        <v>1083.8</v>
      </c>
      <c r="T246" s="9">
        <v>3168.1</v>
      </c>
      <c r="U246" s="9">
        <v>53929</v>
      </c>
      <c r="V246" s="18">
        <v>1</v>
      </c>
      <c r="W246" s="18">
        <v>0</v>
      </c>
      <c r="X246" s="18">
        <f t="shared" si="29"/>
        <v>0</v>
      </c>
      <c r="Y246" s="12">
        <f t="shared" si="30"/>
        <v>1.5000536746505</v>
      </c>
      <c r="Z246" s="12">
        <f t="shared" si="31"/>
        <v>0</v>
      </c>
      <c r="AA246" s="19">
        <v>41390</v>
      </c>
      <c r="AB246" s="19">
        <v>43132.99</v>
      </c>
      <c r="AC246" s="19">
        <v>3619.44</v>
      </c>
      <c r="AD246" s="19">
        <v>13632.1</v>
      </c>
      <c r="AE246" s="19">
        <v>707.02</v>
      </c>
      <c r="AF246" s="19">
        <v>125.92</v>
      </c>
      <c r="AG246" s="19">
        <v>1335.92</v>
      </c>
      <c r="AH246" s="19">
        <v>2096.32</v>
      </c>
      <c r="AI246" s="19">
        <v>189.98</v>
      </c>
      <c r="AJ246" s="19">
        <v>6218.72</v>
      </c>
      <c r="AK246" s="3">
        <f t="shared" si="35"/>
        <v>1</v>
      </c>
      <c r="AL246" s="3">
        <v>0</v>
      </c>
      <c r="AM246" s="3">
        <f t="shared" si="34"/>
        <v>0</v>
      </c>
    </row>
    <row r="247" spans="1:39">
      <c r="A247" s="7">
        <v>2020</v>
      </c>
      <c r="B247" s="7" t="s">
        <v>47</v>
      </c>
      <c r="C247" s="7">
        <v>0.42018275</v>
      </c>
      <c r="D247" s="7">
        <v>0.065619</v>
      </c>
      <c r="E247" s="7">
        <v>0.015578</v>
      </c>
      <c r="F247" s="7">
        <v>0.030138</v>
      </c>
      <c r="G247" s="7">
        <v>0.009526</v>
      </c>
      <c r="H247" s="7">
        <v>0.010377</v>
      </c>
      <c r="I247" s="7">
        <v>0.067912</v>
      </c>
      <c r="J247" s="7">
        <v>0.037626</v>
      </c>
      <c r="K247" s="16">
        <v>47308.9</v>
      </c>
      <c r="L247" s="17">
        <v>10164.51</v>
      </c>
      <c r="M247" s="16">
        <v>73129</v>
      </c>
      <c r="N247" s="7">
        <f t="shared" si="32"/>
        <v>4.65432175284396</v>
      </c>
      <c r="O247" s="7">
        <f t="shared" si="33"/>
        <v>0.646923928947476</v>
      </c>
      <c r="P247" s="8">
        <v>1143572327</v>
      </c>
      <c r="Q247" s="8">
        <f t="shared" si="28"/>
        <v>1.56377405270139</v>
      </c>
      <c r="R247" s="9">
        <v>1136</v>
      </c>
      <c r="S247" s="9">
        <v>1072.2</v>
      </c>
      <c r="T247" s="9">
        <v>3358</v>
      </c>
      <c r="U247" s="9">
        <v>55438</v>
      </c>
      <c r="V247" s="18">
        <v>1</v>
      </c>
      <c r="W247" s="18">
        <v>0</v>
      </c>
      <c r="X247" s="18">
        <f t="shared" si="29"/>
        <v>0</v>
      </c>
      <c r="Y247" s="12">
        <f t="shared" si="30"/>
        <v>1.47141701078949</v>
      </c>
      <c r="Z247" s="12">
        <f t="shared" si="31"/>
        <v>0</v>
      </c>
      <c r="AA247" s="19">
        <v>43649.0102729099</v>
      </c>
      <c r="AB247" s="19">
        <v>38790.28</v>
      </c>
      <c r="AC247" s="19">
        <v>4775.91</v>
      </c>
      <c r="AD247" s="19">
        <v>14708.95</v>
      </c>
      <c r="AE247" s="19">
        <v>673.58</v>
      </c>
      <c r="AF247" s="19">
        <v>100.8</v>
      </c>
      <c r="AG247" s="19">
        <v>1179.73</v>
      </c>
      <c r="AH247" s="19">
        <v>2260.34</v>
      </c>
      <c r="AI247" s="19">
        <v>214.13</v>
      </c>
      <c r="AJ247" s="19">
        <v>6940</v>
      </c>
      <c r="AK247" s="3">
        <f t="shared" si="35"/>
        <v>1</v>
      </c>
      <c r="AL247" s="3">
        <v>0</v>
      </c>
      <c r="AM247" s="3">
        <f t="shared" si="34"/>
        <v>0</v>
      </c>
    </row>
    <row r="248" spans="1:39">
      <c r="A248" s="7">
        <v>2021</v>
      </c>
      <c r="B248" s="7" t="s">
        <v>47</v>
      </c>
      <c r="C248" s="7">
        <v>0.41936525</v>
      </c>
      <c r="D248" s="7">
        <v>0.072921</v>
      </c>
      <c r="E248" s="7">
        <v>0.01793</v>
      </c>
      <c r="F248" s="7">
        <v>0.032808</v>
      </c>
      <c r="G248" s="7">
        <v>0.011355</v>
      </c>
      <c r="H248" s="7">
        <v>0.010828</v>
      </c>
      <c r="I248" s="7">
        <v>0.060766</v>
      </c>
      <c r="J248" s="7">
        <v>0.029216</v>
      </c>
      <c r="K248" s="16">
        <v>50061.8</v>
      </c>
      <c r="L248" s="17">
        <v>10170</v>
      </c>
      <c r="M248" s="16">
        <v>83095.9</v>
      </c>
      <c r="N248" s="7">
        <f t="shared" si="32"/>
        <v>4.92249754178958</v>
      </c>
      <c r="O248" s="7">
        <f t="shared" si="33"/>
        <v>0.602458123686006</v>
      </c>
      <c r="P248" s="8">
        <v>1172524683</v>
      </c>
      <c r="Q248" s="8">
        <f t="shared" si="28"/>
        <v>1.41104998321217</v>
      </c>
      <c r="R248" s="9">
        <v>1254.4</v>
      </c>
      <c r="S248" s="9">
        <v>1240.8</v>
      </c>
      <c r="T248" s="9">
        <v>4008.8</v>
      </c>
      <c r="U248" s="9">
        <v>63991</v>
      </c>
      <c r="V248" s="18">
        <v>1</v>
      </c>
      <c r="W248" s="18">
        <v>0</v>
      </c>
      <c r="X248" s="18">
        <f t="shared" si="29"/>
        <v>0</v>
      </c>
      <c r="Y248" s="12">
        <f t="shared" si="30"/>
        <v>1.36781889095748</v>
      </c>
      <c r="Z248" s="12">
        <f t="shared" si="31"/>
        <v>0</v>
      </c>
      <c r="AA248" s="19">
        <v>45935.1199923356</v>
      </c>
      <c r="AB248" s="19">
        <v>39997.2</v>
      </c>
      <c r="AC248" s="19">
        <v>4387.77</v>
      </c>
      <c r="AD248" s="19">
        <v>14875.64</v>
      </c>
      <c r="AE248" s="19">
        <v>738.35</v>
      </c>
      <c r="AF248" s="19">
        <v>103.38</v>
      </c>
      <c r="AG248" s="19">
        <v>1318.37</v>
      </c>
      <c r="AH248" s="19">
        <v>1790.56</v>
      </c>
      <c r="AI248" s="19">
        <v>226.8</v>
      </c>
      <c r="AJ248" s="19">
        <v>7383</v>
      </c>
      <c r="AK248" s="3">
        <f t="shared" si="35"/>
        <v>1</v>
      </c>
      <c r="AL248" s="3">
        <v>0</v>
      </c>
      <c r="AM248" s="3">
        <f t="shared" si="34"/>
        <v>0</v>
      </c>
    </row>
    <row r="249" spans="1:39">
      <c r="A249" s="7">
        <v>2022</v>
      </c>
      <c r="B249" s="7" t="s">
        <v>47</v>
      </c>
      <c r="C249" s="7">
        <v>0.43060789</v>
      </c>
      <c r="D249" s="7">
        <v>0.069907</v>
      </c>
      <c r="E249" s="7">
        <v>0.018437</v>
      </c>
      <c r="F249" s="7">
        <v>0.031502</v>
      </c>
      <c r="G249" s="7">
        <v>0.010973</v>
      </c>
      <c r="H249" s="7">
        <v>0.008995</v>
      </c>
      <c r="I249" s="7">
        <v>0.067816</v>
      </c>
      <c r="J249" s="7">
        <v>0.035568</v>
      </c>
      <c r="K249" s="16">
        <v>50698.1</v>
      </c>
      <c r="L249" s="17">
        <v>10163</v>
      </c>
      <c r="M249" s="16">
        <v>87435.1</v>
      </c>
      <c r="N249" s="7">
        <f t="shared" si="32"/>
        <v>4.98849749089836</v>
      </c>
      <c r="O249" s="7">
        <f t="shared" si="33"/>
        <v>0.579836930477577</v>
      </c>
      <c r="P249" s="8">
        <v>1153747970</v>
      </c>
      <c r="Q249" s="8">
        <f t="shared" si="28"/>
        <v>1.31954783605211</v>
      </c>
      <c r="R249" s="9">
        <v>1417.9</v>
      </c>
      <c r="S249" s="9">
        <v>1308.7</v>
      </c>
      <c r="T249" s="9">
        <v>4163.1</v>
      </c>
      <c r="U249" s="9">
        <v>67314</v>
      </c>
      <c r="V249" s="18">
        <v>1</v>
      </c>
      <c r="W249" s="18">
        <v>0</v>
      </c>
      <c r="X249" s="18">
        <f t="shared" si="29"/>
        <v>0</v>
      </c>
      <c r="Y249" s="12">
        <f t="shared" si="30"/>
        <v>1.27047633725244</v>
      </c>
      <c r="Z249" s="12">
        <f t="shared" si="31"/>
        <v>0</v>
      </c>
      <c r="AA249" s="19">
        <v>48166.8516915138</v>
      </c>
      <c r="AB249" s="19">
        <v>40014.17</v>
      </c>
      <c r="AC249" s="19">
        <v>3791.19</v>
      </c>
      <c r="AD249" s="19">
        <v>13486.09</v>
      </c>
      <c r="AE249" s="19">
        <v>854.17</v>
      </c>
      <c r="AF249" s="19">
        <v>57.73</v>
      </c>
      <c r="AG249" s="19">
        <v>1365.84</v>
      </c>
      <c r="AH249" s="19">
        <v>1840.5</v>
      </c>
      <c r="AI249" s="19">
        <v>213.39</v>
      </c>
      <c r="AJ249" s="19">
        <v>7521.81</v>
      </c>
      <c r="AK249" s="3">
        <f t="shared" si="35"/>
        <v>1</v>
      </c>
      <c r="AL249" s="3">
        <v>0</v>
      </c>
      <c r="AM249" s="3">
        <f t="shared" si="34"/>
        <v>0</v>
      </c>
    </row>
    <row r="250" spans="1:39">
      <c r="A250" s="7">
        <v>2023</v>
      </c>
      <c r="B250" s="7" t="s">
        <v>47</v>
      </c>
      <c r="C250" s="7">
        <v>0.64246103</v>
      </c>
      <c r="D250" s="7">
        <v>0.076789</v>
      </c>
      <c r="E250" s="7">
        <v>0.028839</v>
      </c>
      <c r="F250" s="7">
        <v>0.040093</v>
      </c>
      <c r="G250" s="7">
        <v>0.020487</v>
      </c>
      <c r="H250" s="7">
        <v>0.017057</v>
      </c>
      <c r="I250" s="7">
        <v>0.084762</v>
      </c>
      <c r="J250" s="7">
        <v>0.051816</v>
      </c>
      <c r="K250" s="16">
        <v>53310.2</v>
      </c>
      <c r="L250" s="17">
        <v>10123</v>
      </c>
      <c r="M250" s="16">
        <v>92068.7</v>
      </c>
      <c r="N250" s="7">
        <f t="shared" si="32"/>
        <v>5.26624518423392</v>
      </c>
      <c r="O250" s="7">
        <f t="shared" si="33"/>
        <v>0.579026314045924</v>
      </c>
      <c r="P250" s="8">
        <v>1163547950</v>
      </c>
      <c r="Q250" s="8">
        <f t="shared" si="28"/>
        <v>1.26378231690031</v>
      </c>
      <c r="R250" s="9">
        <v>1507.4</v>
      </c>
      <c r="S250" s="9">
        <v>1448.5</v>
      </c>
      <c r="T250" s="9">
        <v>4595.3</v>
      </c>
      <c r="U250" s="9">
        <v>72958</v>
      </c>
      <c r="V250" s="18">
        <v>1</v>
      </c>
      <c r="W250" s="18">
        <v>0</v>
      </c>
      <c r="X250" s="18">
        <f t="shared" si="29"/>
        <v>0</v>
      </c>
      <c r="Y250" s="12">
        <f t="shared" si="30"/>
        <v>1.2756783895882</v>
      </c>
      <c r="Z250" s="12">
        <f t="shared" si="31"/>
        <v>0.0093252913782812</v>
      </c>
      <c r="AA250" s="12"/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3">
        <f t="shared" si="35"/>
        <v>1</v>
      </c>
      <c r="AL250" s="3">
        <v>0</v>
      </c>
      <c r="AM250" s="3">
        <f t="shared" si="34"/>
        <v>0</v>
      </c>
    </row>
    <row r="251" spans="1:39">
      <c r="A251" s="7">
        <v>2024</v>
      </c>
      <c r="B251" s="7" t="s">
        <v>47</v>
      </c>
      <c r="C251" s="7">
        <v>0.72296353</v>
      </c>
      <c r="D251" s="7">
        <v>0.080025</v>
      </c>
      <c r="E251" s="7">
        <v>0.033328</v>
      </c>
      <c r="F251" s="7">
        <v>0.043261</v>
      </c>
      <c r="G251" s="7">
        <v>0.024715</v>
      </c>
      <c r="H251" s="7">
        <v>0.019789</v>
      </c>
      <c r="I251" s="7">
        <v>0.090082</v>
      </c>
      <c r="J251" s="7">
        <v>0.057337</v>
      </c>
      <c r="K251" s="16">
        <v>54900.1</v>
      </c>
      <c r="L251" s="17">
        <v>10080</v>
      </c>
      <c r="M251" s="16">
        <v>98565.8</v>
      </c>
      <c r="N251" s="7">
        <f t="shared" si="32"/>
        <v>5.44643849206349</v>
      </c>
      <c r="O251" s="7">
        <f t="shared" si="33"/>
        <v>0.556989341130493</v>
      </c>
      <c r="P251" s="8">
        <v>1172259390</v>
      </c>
      <c r="Q251" s="8">
        <f t="shared" si="28"/>
        <v>1.18931656822143</v>
      </c>
      <c r="R251" s="9">
        <v>1627.6</v>
      </c>
      <c r="S251" s="9">
        <v>1497.9</v>
      </c>
      <c r="T251" s="9">
        <v>4810.1</v>
      </c>
      <c r="U251" s="9">
        <v>75903</v>
      </c>
      <c r="V251" s="18">
        <v>1</v>
      </c>
      <c r="W251" s="18">
        <v>0</v>
      </c>
      <c r="X251" s="18">
        <f t="shared" si="29"/>
        <v>0</v>
      </c>
      <c r="Y251" s="12">
        <f t="shared" si="30"/>
        <v>1.21200651315194</v>
      </c>
      <c r="Z251" s="12">
        <f t="shared" si="31"/>
        <v>0.0187209760709147</v>
      </c>
      <c r="AA251" s="12"/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3">
        <f t="shared" si="35"/>
        <v>1</v>
      </c>
      <c r="AL251" s="3">
        <v>0</v>
      </c>
      <c r="AM251" s="3">
        <f t="shared" si="34"/>
        <v>0</v>
      </c>
    </row>
    <row r="252" spans="1:39">
      <c r="A252" s="7">
        <v>2000</v>
      </c>
      <c r="B252" s="7" t="s">
        <v>48</v>
      </c>
      <c r="C252" s="7">
        <v>0.09240723</v>
      </c>
      <c r="D252" s="7">
        <v>0.019685</v>
      </c>
      <c r="E252" s="7">
        <v>0.005106</v>
      </c>
      <c r="F252" s="7">
        <v>0.009069</v>
      </c>
      <c r="G252" s="7">
        <v>0.002989</v>
      </c>
      <c r="H252" s="7">
        <v>0.002521</v>
      </c>
      <c r="I252" s="7">
        <v>0.022257</v>
      </c>
      <c r="J252" s="7">
        <v>0.011028</v>
      </c>
      <c r="K252" s="16">
        <v>6728</v>
      </c>
      <c r="L252" s="17">
        <v>3247</v>
      </c>
      <c r="M252" s="16">
        <v>1643.81</v>
      </c>
      <c r="N252" s="7">
        <f t="shared" si="32"/>
        <v>2.07206652294426</v>
      </c>
      <c r="O252" s="7">
        <f t="shared" si="33"/>
        <v>4.09293044816615</v>
      </c>
      <c r="P252" s="8">
        <v>164027899.3</v>
      </c>
      <c r="Q252" s="8">
        <f t="shared" si="28"/>
        <v>9.97851937267689</v>
      </c>
      <c r="R252" s="9">
        <v>280.5</v>
      </c>
      <c r="S252" s="9">
        <v>774.6</v>
      </c>
      <c r="T252" s="9">
        <v>767</v>
      </c>
      <c r="U252" s="9">
        <v>6383</v>
      </c>
      <c r="V252" s="18">
        <v>0</v>
      </c>
      <c r="W252" s="18">
        <v>0</v>
      </c>
      <c r="X252" s="18">
        <f t="shared" si="29"/>
        <v>0</v>
      </c>
      <c r="Y252" s="12">
        <f t="shared" si="30"/>
        <v>4.53658228674969</v>
      </c>
      <c r="Z252" s="12">
        <f t="shared" si="31"/>
        <v>0</v>
      </c>
      <c r="AA252" s="12">
        <v>6728</v>
      </c>
      <c r="AB252" s="12">
        <v>14262.48</v>
      </c>
      <c r="AC252" s="12">
        <v>1283.72</v>
      </c>
      <c r="AD252" s="12">
        <v>0</v>
      </c>
      <c r="AE252" s="12">
        <v>88.84</v>
      </c>
      <c r="AF252" s="12">
        <v>6.36</v>
      </c>
      <c r="AG252" s="12">
        <v>80.67</v>
      </c>
      <c r="AH252" s="12">
        <v>12.42</v>
      </c>
      <c r="AI252" s="12">
        <v>1.14</v>
      </c>
      <c r="AJ252" s="12">
        <v>501.99</v>
      </c>
      <c r="AK252" s="3">
        <f t="shared" si="35"/>
        <v>0</v>
      </c>
      <c r="AL252" s="3">
        <v>0</v>
      </c>
      <c r="AM252" s="3">
        <f t="shared" si="34"/>
        <v>0</v>
      </c>
    </row>
    <row r="253" spans="1:39">
      <c r="A253" s="7">
        <v>2001</v>
      </c>
      <c r="B253" s="7" t="s">
        <v>48</v>
      </c>
      <c r="C253" s="7">
        <v>0.0921168</v>
      </c>
      <c r="D253" s="7">
        <v>0.019738</v>
      </c>
      <c r="E253" s="7">
        <v>0.004687</v>
      </c>
      <c r="F253" s="7">
        <v>0.00891</v>
      </c>
      <c r="G253" s="7">
        <v>0.002669</v>
      </c>
      <c r="H253" s="7">
        <v>0.003471</v>
      </c>
      <c r="I253" s="7">
        <v>0.022493</v>
      </c>
      <c r="J253" s="7">
        <v>0.010021</v>
      </c>
      <c r="K253" s="16">
        <v>7968</v>
      </c>
      <c r="L253" s="17">
        <v>3271.63</v>
      </c>
      <c r="M253" s="16">
        <v>2029.53</v>
      </c>
      <c r="N253" s="7">
        <f t="shared" si="32"/>
        <v>2.43548323007186</v>
      </c>
      <c r="O253" s="7">
        <f t="shared" si="33"/>
        <v>3.92603213551906</v>
      </c>
      <c r="P253" s="8">
        <v>171505545.2</v>
      </c>
      <c r="Q253" s="8">
        <f t="shared" si="28"/>
        <v>8.45050554561893</v>
      </c>
      <c r="R253" s="9">
        <v>290.1</v>
      </c>
      <c r="S253" s="9">
        <v>859.9</v>
      </c>
      <c r="T253" s="9">
        <v>864.6</v>
      </c>
      <c r="U253" s="9">
        <v>7096</v>
      </c>
      <c r="V253" s="18">
        <v>0</v>
      </c>
      <c r="W253" s="18">
        <v>0</v>
      </c>
      <c r="X253" s="18">
        <f t="shared" si="29"/>
        <v>0</v>
      </c>
      <c r="Y253" s="12">
        <f t="shared" si="30"/>
        <v>4.16809156222866</v>
      </c>
      <c r="Z253" s="12">
        <f t="shared" si="31"/>
        <v>0</v>
      </c>
      <c r="AA253" s="12">
        <v>7968</v>
      </c>
      <c r="AB253" s="12">
        <v>14856</v>
      </c>
      <c r="AC253" s="12">
        <v>2170.47</v>
      </c>
      <c r="AD253" s="12">
        <v>0</v>
      </c>
      <c r="AE253" s="12">
        <v>88.77</v>
      </c>
      <c r="AF253" s="12">
        <v>6.34</v>
      </c>
      <c r="AG253" s="12">
        <v>110.77</v>
      </c>
      <c r="AH253" s="12">
        <v>12.62</v>
      </c>
      <c r="AI253" s="12">
        <v>1.58</v>
      </c>
      <c r="AJ253" s="12">
        <v>557.08</v>
      </c>
      <c r="AK253" s="3">
        <f t="shared" si="35"/>
        <v>0</v>
      </c>
      <c r="AL253" s="3">
        <v>0</v>
      </c>
      <c r="AM253" s="3">
        <f t="shared" si="34"/>
        <v>0</v>
      </c>
    </row>
    <row r="254" spans="1:39">
      <c r="A254" s="7">
        <v>2002</v>
      </c>
      <c r="B254" s="7" t="s">
        <v>48</v>
      </c>
      <c r="C254" s="7">
        <v>0.10301874</v>
      </c>
      <c r="D254" s="7">
        <v>0.02347</v>
      </c>
      <c r="E254" s="7">
        <v>0.005831</v>
      </c>
      <c r="F254" s="7">
        <v>0.01028</v>
      </c>
      <c r="G254" s="7">
        <v>0.003805</v>
      </c>
      <c r="H254" s="7">
        <v>0.003554</v>
      </c>
      <c r="I254" s="7">
        <v>0.02143</v>
      </c>
      <c r="J254" s="7">
        <v>0.008687</v>
      </c>
      <c r="K254" s="16">
        <v>9340</v>
      </c>
      <c r="L254" s="17">
        <v>3293.71</v>
      </c>
      <c r="M254" s="16">
        <v>2324.8</v>
      </c>
      <c r="N254" s="7">
        <f t="shared" si="32"/>
        <v>2.83570806172978</v>
      </c>
      <c r="O254" s="7">
        <f t="shared" si="33"/>
        <v>4.01754989676531</v>
      </c>
      <c r="P254" s="8">
        <v>197438757.7</v>
      </c>
      <c r="Q254" s="8">
        <f t="shared" si="28"/>
        <v>8.49272013506538</v>
      </c>
      <c r="R254" s="9">
        <v>312.6</v>
      </c>
      <c r="S254" s="9">
        <v>981.3</v>
      </c>
      <c r="T254" s="9">
        <v>985.9</v>
      </c>
      <c r="U254" s="9">
        <v>8079</v>
      </c>
      <c r="V254" s="18">
        <v>0</v>
      </c>
      <c r="W254" s="18">
        <v>0</v>
      </c>
      <c r="X254" s="18">
        <f t="shared" si="29"/>
        <v>0</v>
      </c>
      <c r="Y254" s="12">
        <f t="shared" si="30"/>
        <v>4.06804884448575</v>
      </c>
      <c r="Z254" s="12">
        <f t="shared" si="31"/>
        <v>0</v>
      </c>
      <c r="AA254" s="12">
        <v>9340</v>
      </c>
      <c r="AB254" s="12">
        <v>18055</v>
      </c>
      <c r="AC254" s="12">
        <v>2761.58</v>
      </c>
      <c r="AD254" s="12">
        <v>0</v>
      </c>
      <c r="AE254" s="12">
        <v>89.23</v>
      </c>
      <c r="AF254" s="12">
        <v>6.66</v>
      </c>
      <c r="AG254" s="12">
        <v>127.33</v>
      </c>
      <c r="AH254" s="12">
        <v>9.07</v>
      </c>
      <c r="AI254" s="12">
        <v>1.92</v>
      </c>
      <c r="AJ254" s="12">
        <v>628.83</v>
      </c>
      <c r="AK254" s="3">
        <f t="shared" si="35"/>
        <v>0</v>
      </c>
      <c r="AL254" s="3">
        <v>0</v>
      </c>
      <c r="AM254" s="3">
        <f t="shared" si="34"/>
        <v>0</v>
      </c>
    </row>
    <row r="255" spans="1:39">
      <c r="A255" s="7">
        <v>2003</v>
      </c>
      <c r="B255" s="7" t="s">
        <v>48</v>
      </c>
      <c r="C255" s="7">
        <v>0.11232222</v>
      </c>
      <c r="D255" s="7">
        <v>0.022698</v>
      </c>
      <c r="E255" s="7">
        <v>0.005801</v>
      </c>
      <c r="F255" s="7">
        <v>0.010049</v>
      </c>
      <c r="G255" s="7">
        <v>0.003961</v>
      </c>
      <c r="H255" s="7">
        <v>0.002887</v>
      </c>
      <c r="I255" s="7">
        <v>0.023548</v>
      </c>
      <c r="J255" s="7">
        <v>0.012748</v>
      </c>
      <c r="K255" s="16">
        <v>10386</v>
      </c>
      <c r="L255" s="17">
        <v>3314.29</v>
      </c>
      <c r="M255" s="16">
        <v>2855.23</v>
      </c>
      <c r="N255" s="7">
        <f t="shared" si="32"/>
        <v>3.13370284434977</v>
      </c>
      <c r="O255" s="7">
        <f t="shared" si="33"/>
        <v>3.63753532990337</v>
      </c>
      <c r="P255" s="8">
        <v>225896780.6</v>
      </c>
      <c r="Q255" s="8">
        <f t="shared" si="28"/>
        <v>7.91168419356759</v>
      </c>
      <c r="R255" s="9">
        <v>332.9</v>
      </c>
      <c r="S255" s="9">
        <v>1164.1</v>
      </c>
      <c r="T255" s="9">
        <v>1118.6</v>
      </c>
      <c r="U255" s="9">
        <v>9311</v>
      </c>
      <c r="V255" s="18">
        <v>0</v>
      </c>
      <c r="W255" s="18">
        <v>0</v>
      </c>
      <c r="X255" s="18">
        <f t="shared" si="29"/>
        <v>0</v>
      </c>
      <c r="Y255" s="12">
        <f t="shared" si="30"/>
        <v>4.08414499624993</v>
      </c>
      <c r="Z255" s="12">
        <f t="shared" si="31"/>
        <v>0</v>
      </c>
      <c r="AA255" s="12">
        <v>10386</v>
      </c>
      <c r="AB255" s="12">
        <v>20501.93</v>
      </c>
      <c r="AC255" s="12">
        <v>3085.29</v>
      </c>
      <c r="AD255" s="12">
        <v>0</v>
      </c>
      <c r="AE255" s="12">
        <v>89.27</v>
      </c>
      <c r="AF255" s="12">
        <v>5.2</v>
      </c>
      <c r="AG255" s="12">
        <v>141.05</v>
      </c>
      <c r="AH255" s="12">
        <v>10.66</v>
      </c>
      <c r="AI255" s="12">
        <v>2.5</v>
      </c>
      <c r="AJ255" s="12">
        <v>731.77</v>
      </c>
      <c r="AK255" s="3">
        <f t="shared" si="35"/>
        <v>0</v>
      </c>
      <c r="AL255" s="3">
        <v>0</v>
      </c>
      <c r="AM255" s="3">
        <f t="shared" si="34"/>
        <v>0</v>
      </c>
    </row>
    <row r="256" spans="1:39">
      <c r="A256" s="7">
        <v>2004</v>
      </c>
      <c r="B256" s="7" t="s">
        <v>48</v>
      </c>
      <c r="C256" s="7">
        <v>0.12563531</v>
      </c>
      <c r="D256" s="7">
        <v>0.026165</v>
      </c>
      <c r="E256" s="7">
        <v>0.00671</v>
      </c>
      <c r="F256" s="7">
        <v>0.012003</v>
      </c>
      <c r="G256" s="7">
        <v>0.003951</v>
      </c>
      <c r="H256" s="7">
        <v>0.003501</v>
      </c>
      <c r="I256" s="7">
        <v>0.02542</v>
      </c>
      <c r="J256" s="7">
        <v>0.011621</v>
      </c>
      <c r="K256" s="16">
        <v>11251</v>
      </c>
      <c r="L256" s="17">
        <v>3335.07</v>
      </c>
      <c r="M256" s="16">
        <v>3571.37</v>
      </c>
      <c r="N256" s="7">
        <f t="shared" si="32"/>
        <v>3.37354238441772</v>
      </c>
      <c r="O256" s="7">
        <f t="shared" si="33"/>
        <v>3.15033166543931</v>
      </c>
      <c r="P256" s="8">
        <v>256838976.3</v>
      </c>
      <c r="Q256" s="8">
        <f t="shared" si="28"/>
        <v>7.19160927879217</v>
      </c>
      <c r="R256" s="9">
        <v>420.4</v>
      </c>
      <c r="S256" s="9">
        <v>1392.6</v>
      </c>
      <c r="T256" s="9">
        <v>1246.6</v>
      </c>
      <c r="U256" s="9">
        <v>10934</v>
      </c>
      <c r="V256" s="18">
        <v>0</v>
      </c>
      <c r="W256" s="18">
        <v>0</v>
      </c>
      <c r="X256" s="18">
        <f t="shared" si="29"/>
        <v>0</v>
      </c>
      <c r="Y256" s="12">
        <f t="shared" si="30"/>
        <v>3.89549779892895</v>
      </c>
      <c r="Z256" s="12">
        <f t="shared" si="31"/>
        <v>0</v>
      </c>
      <c r="AA256" s="12">
        <v>11251</v>
      </c>
      <c r="AB256" s="12">
        <v>22432.67</v>
      </c>
      <c r="AC256" s="12">
        <v>2724.31</v>
      </c>
      <c r="AD256" s="12">
        <v>0</v>
      </c>
      <c r="AE256" s="12">
        <v>79.78</v>
      </c>
      <c r="AF256" s="12">
        <v>8.11</v>
      </c>
      <c r="AG256" s="12">
        <v>190.53</v>
      </c>
      <c r="AH256" s="12">
        <v>10.25</v>
      </c>
      <c r="AI256" s="12">
        <v>2.96</v>
      </c>
      <c r="AJ256" s="12">
        <v>841.55</v>
      </c>
      <c r="AK256" s="3">
        <f t="shared" si="35"/>
        <v>0</v>
      </c>
      <c r="AL256" s="3">
        <v>0</v>
      </c>
      <c r="AM256" s="3">
        <f t="shared" si="34"/>
        <v>0</v>
      </c>
    </row>
    <row r="257" spans="1:39">
      <c r="A257" s="7">
        <v>2005</v>
      </c>
      <c r="B257" s="7" t="s">
        <v>48</v>
      </c>
      <c r="C257" s="7">
        <v>0.14538946</v>
      </c>
      <c r="D257" s="7">
        <v>0.027679</v>
      </c>
      <c r="E257" s="7">
        <v>0.00687</v>
      </c>
      <c r="F257" s="7">
        <v>0.012504</v>
      </c>
      <c r="G257" s="7">
        <v>0.004085</v>
      </c>
      <c r="H257" s="7">
        <v>0.004219</v>
      </c>
      <c r="I257" s="7">
        <v>0.028472</v>
      </c>
      <c r="J257" s="7">
        <v>0.014704</v>
      </c>
      <c r="K257" s="16">
        <v>12750</v>
      </c>
      <c r="L257" s="17">
        <v>3355.21</v>
      </c>
      <c r="M257" s="16">
        <v>4230.53</v>
      </c>
      <c r="N257" s="7">
        <f t="shared" si="32"/>
        <v>3.8000602048754</v>
      </c>
      <c r="O257" s="7">
        <f t="shared" si="33"/>
        <v>3.01380678071069</v>
      </c>
      <c r="P257" s="8">
        <v>310473261.3</v>
      </c>
      <c r="Q257" s="8">
        <f t="shared" si="28"/>
        <v>7.33887388341414</v>
      </c>
      <c r="R257" s="9">
        <v>455.1</v>
      </c>
      <c r="S257" s="9">
        <v>1559.2</v>
      </c>
      <c r="T257" s="9">
        <v>1434.1</v>
      </c>
      <c r="U257" s="9">
        <v>12335</v>
      </c>
      <c r="V257" s="18">
        <v>0</v>
      </c>
      <c r="W257" s="18">
        <v>0</v>
      </c>
      <c r="X257" s="18">
        <f t="shared" si="29"/>
        <v>0</v>
      </c>
      <c r="Y257" s="12">
        <f t="shared" si="30"/>
        <v>3.71995059106252</v>
      </c>
      <c r="Z257" s="12">
        <f t="shared" si="31"/>
        <v>0</v>
      </c>
      <c r="AA257" s="12">
        <v>12311.9</v>
      </c>
      <c r="AB257" s="12">
        <v>25681.4</v>
      </c>
      <c r="AC257" s="12">
        <v>2139.9</v>
      </c>
      <c r="AD257" s="12">
        <v>0</v>
      </c>
      <c r="AE257" s="12">
        <v>95.23</v>
      </c>
      <c r="AF257" s="12">
        <v>8.45</v>
      </c>
      <c r="AG257" s="12">
        <v>246.42</v>
      </c>
      <c r="AH257" s="12">
        <v>8.95</v>
      </c>
      <c r="AI257" s="12">
        <v>3.24</v>
      </c>
      <c r="AJ257" s="12">
        <v>946.33</v>
      </c>
      <c r="AK257" s="3">
        <f t="shared" si="35"/>
        <v>0</v>
      </c>
      <c r="AL257" s="3">
        <v>0</v>
      </c>
      <c r="AM257" s="3">
        <f t="shared" si="34"/>
        <v>0</v>
      </c>
    </row>
    <row r="258" spans="1:39">
      <c r="A258" s="7">
        <v>2006</v>
      </c>
      <c r="B258" s="7" t="s">
        <v>48</v>
      </c>
      <c r="C258" s="7">
        <v>0.13586979</v>
      </c>
      <c r="D258" s="7">
        <v>0.026387</v>
      </c>
      <c r="E258" s="7">
        <v>0.006625</v>
      </c>
      <c r="F258" s="7">
        <v>0.011792</v>
      </c>
      <c r="G258" s="7">
        <v>0.004118</v>
      </c>
      <c r="H258" s="7">
        <v>0.003852</v>
      </c>
      <c r="I258" s="7">
        <v>0.027317</v>
      </c>
      <c r="J258" s="7">
        <v>0.013689</v>
      </c>
      <c r="K258" s="16">
        <v>14098</v>
      </c>
      <c r="L258" s="17">
        <v>3374.55</v>
      </c>
      <c r="M258" s="16">
        <v>4878.61</v>
      </c>
      <c r="N258" s="7">
        <f t="shared" si="32"/>
        <v>4.17774221748085</v>
      </c>
      <c r="O258" s="7">
        <f t="shared" si="33"/>
        <v>2.88975753339578</v>
      </c>
      <c r="P258" s="8">
        <v>336017908.8</v>
      </c>
      <c r="Q258" s="8">
        <f t="shared" si="28"/>
        <v>6.88757471492905</v>
      </c>
      <c r="R258" s="9">
        <v>379.7</v>
      </c>
      <c r="S258" s="9">
        <v>1873.4</v>
      </c>
      <c r="T258" s="9">
        <v>1647.2</v>
      </c>
      <c r="U258" s="9">
        <v>13915</v>
      </c>
      <c r="V258" s="18">
        <v>0</v>
      </c>
      <c r="W258" s="18">
        <v>0</v>
      </c>
      <c r="X258" s="18">
        <f t="shared" si="29"/>
        <v>0</v>
      </c>
      <c r="Y258" s="12">
        <f t="shared" si="30"/>
        <v>3.57740717995078</v>
      </c>
      <c r="Z258" s="12">
        <f t="shared" si="31"/>
        <v>0</v>
      </c>
      <c r="AA258" s="12">
        <v>13496.67</v>
      </c>
      <c r="AB258" s="12">
        <v>28351.22</v>
      </c>
      <c r="AC258" s="12">
        <v>2417.14</v>
      </c>
      <c r="AD258" s="12">
        <v>0</v>
      </c>
      <c r="AE258" s="12">
        <v>113.41</v>
      </c>
      <c r="AF258" s="12">
        <v>10.43</v>
      </c>
      <c r="AG258" s="12">
        <v>266.79</v>
      </c>
      <c r="AH258" s="12">
        <v>10.1</v>
      </c>
      <c r="AI258" s="12">
        <v>6.02</v>
      </c>
      <c r="AJ258" s="12">
        <v>1097.67</v>
      </c>
      <c r="AK258" s="3">
        <f t="shared" si="35"/>
        <v>0</v>
      </c>
      <c r="AL258" s="3">
        <v>0</v>
      </c>
      <c r="AM258" s="3">
        <f t="shared" si="34"/>
        <v>0</v>
      </c>
    </row>
    <row r="259" spans="1:39">
      <c r="A259" s="7">
        <v>2007</v>
      </c>
      <c r="B259" s="7" t="s">
        <v>48</v>
      </c>
      <c r="C259" s="7">
        <v>0.14162407</v>
      </c>
      <c r="D259" s="7">
        <v>0.027864</v>
      </c>
      <c r="E259" s="7">
        <v>0.007265</v>
      </c>
      <c r="F259" s="7">
        <v>0.012693</v>
      </c>
      <c r="G259" s="7">
        <v>0.004184</v>
      </c>
      <c r="H259" s="7">
        <v>0.003722</v>
      </c>
      <c r="I259" s="7">
        <v>0.026824</v>
      </c>
      <c r="J259" s="7">
        <v>0.014313</v>
      </c>
      <c r="K259" s="16">
        <v>15601</v>
      </c>
      <c r="L259" s="17">
        <v>3392.58</v>
      </c>
      <c r="M259" s="16">
        <v>6024.45</v>
      </c>
      <c r="N259" s="7">
        <f t="shared" si="32"/>
        <v>4.59856510384427</v>
      </c>
      <c r="O259" s="7">
        <f t="shared" si="33"/>
        <v>2.58961398965881</v>
      </c>
      <c r="P259" s="8">
        <v>366609580</v>
      </c>
      <c r="Q259" s="8">
        <f t="shared" ref="Q259:Q322" si="36">P259/10000/M259</f>
        <v>6.08536181726133</v>
      </c>
      <c r="R259" s="9">
        <v>469.4</v>
      </c>
      <c r="S259" s="9">
        <v>2237.3</v>
      </c>
      <c r="T259" s="9">
        <v>2064</v>
      </c>
      <c r="U259" s="9">
        <v>16966</v>
      </c>
      <c r="V259" s="18">
        <v>0</v>
      </c>
      <c r="W259" s="18">
        <v>0</v>
      </c>
      <c r="X259" s="18">
        <f t="shared" ref="X259:X322" si="37">V259*W259</f>
        <v>0</v>
      </c>
      <c r="Y259" s="12">
        <f t="shared" ref="Y259:Y322" si="38">AVERAGEIF($A:$A,$A259,$Q:$Q)</f>
        <v>3.23986794305777</v>
      </c>
      <c r="Z259" s="12">
        <f t="shared" ref="Z259:Z322" si="39">MAX(0,1-Q259/Y259)</f>
        <v>0</v>
      </c>
      <c r="AA259" s="12">
        <v>14619.76</v>
      </c>
      <c r="AB259" s="12">
        <v>29203.48</v>
      </c>
      <c r="AC259" s="12">
        <v>2526.37</v>
      </c>
      <c r="AD259" s="12">
        <v>0</v>
      </c>
      <c r="AE259" s="12">
        <v>124.82</v>
      </c>
      <c r="AF259" s="12">
        <v>11.9</v>
      </c>
      <c r="AG259" s="12">
        <v>272.21</v>
      </c>
      <c r="AH259" s="12">
        <v>14.39</v>
      </c>
      <c r="AI259" s="12">
        <v>6.91</v>
      </c>
      <c r="AJ259" s="12">
        <v>1348.81</v>
      </c>
      <c r="AK259" s="3">
        <f t="shared" si="35"/>
        <v>0</v>
      </c>
      <c r="AL259" s="3">
        <v>0</v>
      </c>
      <c r="AM259" s="3">
        <f t="shared" si="34"/>
        <v>0</v>
      </c>
    </row>
    <row r="260" spans="1:39">
      <c r="A260" s="7">
        <v>2008</v>
      </c>
      <c r="B260" s="7" t="s">
        <v>48</v>
      </c>
      <c r="C260" s="7">
        <v>0.14251347</v>
      </c>
      <c r="D260" s="7">
        <v>0.027718</v>
      </c>
      <c r="E260" s="7">
        <v>0.007249</v>
      </c>
      <c r="F260" s="7">
        <v>0.012133</v>
      </c>
      <c r="G260" s="7">
        <v>0.004258</v>
      </c>
      <c r="H260" s="7">
        <v>0.004078</v>
      </c>
      <c r="I260" s="7">
        <v>0.027637</v>
      </c>
      <c r="J260" s="7">
        <v>0.0138</v>
      </c>
      <c r="K260" s="16">
        <v>15675</v>
      </c>
      <c r="L260" s="17">
        <v>3410.64</v>
      </c>
      <c r="M260" s="16">
        <v>7315.4</v>
      </c>
      <c r="N260" s="7">
        <f t="shared" si="32"/>
        <v>4.59591161776089</v>
      </c>
      <c r="O260" s="7">
        <f t="shared" si="33"/>
        <v>2.14273997320721</v>
      </c>
      <c r="P260" s="8">
        <v>378431345.2</v>
      </c>
      <c r="Q260" s="8">
        <f t="shared" si="36"/>
        <v>5.17307796156054</v>
      </c>
      <c r="R260" s="9">
        <v>555.1</v>
      </c>
      <c r="S260" s="9">
        <v>2651.8</v>
      </c>
      <c r="T260" s="9">
        <v>2692.7</v>
      </c>
      <c r="U260" s="9">
        <v>20865</v>
      </c>
      <c r="V260" s="18">
        <v>0</v>
      </c>
      <c r="W260" s="18">
        <v>0</v>
      </c>
      <c r="X260" s="18">
        <f t="shared" si="37"/>
        <v>0</v>
      </c>
      <c r="Y260" s="12">
        <f t="shared" si="38"/>
        <v>2.71728515287532</v>
      </c>
      <c r="Z260" s="12">
        <f t="shared" si="39"/>
        <v>0</v>
      </c>
      <c r="AA260" s="12">
        <v>15675</v>
      </c>
      <c r="AB260" s="12">
        <v>28373</v>
      </c>
      <c r="AC260" s="12">
        <v>2358.76</v>
      </c>
      <c r="AD260" s="12">
        <v>0</v>
      </c>
      <c r="AE260" s="12">
        <v>236.63</v>
      </c>
      <c r="AF260" s="12">
        <v>14.67</v>
      </c>
      <c r="AG260" s="12">
        <v>472.75</v>
      </c>
      <c r="AH260" s="12">
        <v>12.09</v>
      </c>
      <c r="AI260" s="12">
        <v>6.6</v>
      </c>
      <c r="AJ260" s="12">
        <v>1313.49</v>
      </c>
      <c r="AK260" s="3">
        <f t="shared" si="35"/>
        <v>0</v>
      </c>
      <c r="AL260" s="3">
        <v>0</v>
      </c>
      <c r="AM260" s="3">
        <f t="shared" si="34"/>
        <v>0</v>
      </c>
    </row>
    <row r="261" spans="1:39">
      <c r="A261" s="7">
        <v>2009</v>
      </c>
      <c r="B261" s="7" t="s">
        <v>48</v>
      </c>
      <c r="C261" s="7">
        <v>0.1591784</v>
      </c>
      <c r="D261" s="7">
        <v>0.027911</v>
      </c>
      <c r="E261" s="7">
        <v>0.00693</v>
      </c>
      <c r="F261" s="7">
        <v>0.012522</v>
      </c>
      <c r="G261" s="7">
        <v>0.004209</v>
      </c>
      <c r="H261" s="7">
        <v>0.00425</v>
      </c>
      <c r="I261" s="7">
        <v>0.034449</v>
      </c>
      <c r="J261" s="7">
        <v>0.01616</v>
      </c>
      <c r="K261" s="16">
        <v>15576</v>
      </c>
      <c r="L261" s="17">
        <v>3427.36</v>
      </c>
      <c r="M261" s="16">
        <v>7358.31</v>
      </c>
      <c r="N261" s="7">
        <f t="shared" si="32"/>
        <v>4.54460576070211</v>
      </c>
      <c r="O261" s="7">
        <f t="shared" si="33"/>
        <v>2.11679040431838</v>
      </c>
      <c r="P261" s="8">
        <v>415685131</v>
      </c>
      <c r="Q261" s="8">
        <f t="shared" si="36"/>
        <v>5.64919296686331</v>
      </c>
      <c r="R261" s="9">
        <v>581.1</v>
      </c>
      <c r="S261" s="9">
        <v>3016.8</v>
      </c>
      <c r="T261" s="9">
        <v>3053.4</v>
      </c>
      <c r="U261" s="9">
        <v>23346</v>
      </c>
      <c r="V261" s="18">
        <v>0</v>
      </c>
      <c r="W261" s="18">
        <v>0</v>
      </c>
      <c r="X261" s="18">
        <f t="shared" si="37"/>
        <v>0</v>
      </c>
      <c r="Y261" s="12">
        <f t="shared" si="38"/>
        <v>2.66960201713366</v>
      </c>
      <c r="Z261" s="12">
        <f t="shared" si="39"/>
        <v>0</v>
      </c>
      <c r="AA261" s="12">
        <v>15576</v>
      </c>
      <c r="AB261" s="12">
        <v>27762</v>
      </c>
      <c r="AC261" s="12">
        <v>2438.39</v>
      </c>
      <c r="AD261" s="12">
        <v>0</v>
      </c>
      <c r="AE261" s="12">
        <v>262.41</v>
      </c>
      <c r="AF261" s="12">
        <v>16.28</v>
      </c>
      <c r="AG261" s="12">
        <v>506.67</v>
      </c>
      <c r="AH261" s="12">
        <v>12.06</v>
      </c>
      <c r="AI261" s="12">
        <v>13.76</v>
      </c>
      <c r="AJ261" s="12">
        <v>1267.54</v>
      </c>
      <c r="AK261" s="3">
        <f t="shared" si="35"/>
        <v>0</v>
      </c>
      <c r="AL261" s="3">
        <v>0</v>
      </c>
      <c r="AM261" s="3">
        <f t="shared" si="34"/>
        <v>0</v>
      </c>
    </row>
    <row r="262" spans="1:39">
      <c r="A262" s="7">
        <v>2010</v>
      </c>
      <c r="B262" s="7" t="s">
        <v>48</v>
      </c>
      <c r="C262" s="7">
        <v>0.1518219</v>
      </c>
      <c r="D262" s="7">
        <v>0.028606</v>
      </c>
      <c r="E262" s="7">
        <v>0.006959</v>
      </c>
      <c r="F262" s="7">
        <v>0.012636</v>
      </c>
      <c r="G262" s="7">
        <v>0.004524</v>
      </c>
      <c r="H262" s="7">
        <v>0.004487</v>
      </c>
      <c r="I262" s="7">
        <v>0.031877</v>
      </c>
      <c r="J262" s="7">
        <v>0.013287</v>
      </c>
      <c r="K262" s="16">
        <v>16808</v>
      </c>
      <c r="L262" s="17">
        <v>3574.11</v>
      </c>
      <c r="M262" s="16">
        <v>9200.86</v>
      </c>
      <c r="N262" s="7">
        <f t="shared" si="32"/>
        <v>4.70270920592819</v>
      </c>
      <c r="O262" s="7">
        <f t="shared" si="33"/>
        <v>1.82678575698359</v>
      </c>
      <c r="P262" s="8">
        <v>445967883.9</v>
      </c>
      <c r="Q262" s="8">
        <f t="shared" si="36"/>
        <v>4.84702390754777</v>
      </c>
      <c r="R262" s="9">
        <v>649.5</v>
      </c>
      <c r="S262" s="9">
        <v>3624.1</v>
      </c>
      <c r="T262" s="9">
        <v>3791.7</v>
      </c>
      <c r="U262" s="9">
        <v>28084</v>
      </c>
      <c r="V262" s="18">
        <v>0</v>
      </c>
      <c r="W262" s="18">
        <v>0</v>
      </c>
      <c r="X262" s="18">
        <f t="shared" si="37"/>
        <v>0</v>
      </c>
      <c r="Y262" s="12">
        <f t="shared" si="38"/>
        <v>2.40850270516871</v>
      </c>
      <c r="Z262" s="12">
        <f t="shared" si="39"/>
        <v>0</v>
      </c>
      <c r="AA262" s="12">
        <v>16808.03</v>
      </c>
      <c r="AB262" s="12">
        <v>29865.1</v>
      </c>
      <c r="AC262" s="12">
        <v>2589.22</v>
      </c>
      <c r="AD262" s="12">
        <v>0</v>
      </c>
      <c r="AE262" s="12">
        <v>228.35</v>
      </c>
      <c r="AF262" s="12">
        <v>14.64</v>
      </c>
      <c r="AG262" s="12">
        <v>474.38</v>
      </c>
      <c r="AH262" s="12">
        <v>12.25</v>
      </c>
      <c r="AI262" s="12">
        <v>28.93</v>
      </c>
      <c r="AJ262" s="12">
        <v>1460</v>
      </c>
      <c r="AK262" s="3">
        <f t="shared" si="35"/>
        <v>0</v>
      </c>
      <c r="AL262" s="3">
        <v>0</v>
      </c>
      <c r="AM262" s="3">
        <f t="shared" si="34"/>
        <v>0</v>
      </c>
    </row>
    <row r="263" spans="1:39">
      <c r="A263" s="7">
        <v>2011</v>
      </c>
      <c r="B263" s="7" t="s">
        <v>48</v>
      </c>
      <c r="C263" s="7">
        <v>0.15830803</v>
      </c>
      <c r="D263" s="7">
        <v>0.029253</v>
      </c>
      <c r="E263" s="7">
        <v>0.007158</v>
      </c>
      <c r="F263" s="7">
        <v>0.012817</v>
      </c>
      <c r="G263" s="7">
        <v>0.004366</v>
      </c>
      <c r="H263" s="7">
        <v>0.004913</v>
      </c>
      <c r="I263" s="7">
        <v>0.030601</v>
      </c>
      <c r="J263" s="7">
        <v>0.015356</v>
      </c>
      <c r="K263" s="16">
        <v>18315</v>
      </c>
      <c r="L263" s="17">
        <v>3562</v>
      </c>
      <c r="M263" s="16">
        <v>11237.55</v>
      </c>
      <c r="N263" s="7">
        <f t="shared" si="32"/>
        <v>5.14177428411005</v>
      </c>
      <c r="O263" s="7">
        <f t="shared" si="33"/>
        <v>1.62980364937197</v>
      </c>
      <c r="P263" s="8">
        <v>492907902.2</v>
      </c>
      <c r="Q263" s="8">
        <f t="shared" si="36"/>
        <v>4.38625770029944</v>
      </c>
      <c r="R263" s="9">
        <v>794.1</v>
      </c>
      <c r="S263" s="9">
        <v>4571.3</v>
      </c>
      <c r="T263" s="9">
        <v>4795.8</v>
      </c>
      <c r="U263" s="9">
        <v>34864</v>
      </c>
      <c r="V263" s="18">
        <v>0</v>
      </c>
      <c r="W263" s="18">
        <v>0</v>
      </c>
      <c r="X263" s="18">
        <f t="shared" si="37"/>
        <v>0</v>
      </c>
      <c r="Y263" s="12">
        <f t="shared" si="38"/>
        <v>2.18035126729488</v>
      </c>
      <c r="Z263" s="12">
        <f t="shared" si="39"/>
        <v>0</v>
      </c>
      <c r="AA263" s="12">
        <v>18315</v>
      </c>
      <c r="AB263" s="12">
        <v>33479</v>
      </c>
      <c r="AC263" s="12">
        <v>2558.55</v>
      </c>
      <c r="AD263" s="12">
        <v>0</v>
      </c>
      <c r="AE263" s="12">
        <v>216.88</v>
      </c>
      <c r="AF263" s="12">
        <v>15.18</v>
      </c>
      <c r="AG263" s="12">
        <v>488.64</v>
      </c>
      <c r="AH263" s="12">
        <v>12.6</v>
      </c>
      <c r="AI263" s="12">
        <v>31.93</v>
      </c>
      <c r="AJ263" s="12">
        <v>1650</v>
      </c>
      <c r="AK263" s="3">
        <f t="shared" si="35"/>
        <v>0</v>
      </c>
      <c r="AL263" s="3">
        <v>0</v>
      </c>
      <c r="AM263" s="3">
        <f t="shared" si="34"/>
        <v>0</v>
      </c>
    </row>
    <row r="264" spans="1:39">
      <c r="A264" s="7">
        <v>2012</v>
      </c>
      <c r="B264" s="7" t="s">
        <v>48</v>
      </c>
      <c r="C264" s="7">
        <v>0.15027255</v>
      </c>
      <c r="D264" s="7">
        <v>0.029642</v>
      </c>
      <c r="E264" s="7">
        <v>0.007487</v>
      </c>
      <c r="F264" s="7">
        <v>0.013449</v>
      </c>
      <c r="G264" s="7">
        <v>0.004608</v>
      </c>
      <c r="H264" s="7">
        <v>0.004099</v>
      </c>
      <c r="I264" s="7">
        <v>0.028703</v>
      </c>
      <c r="J264" s="7">
        <v>0.013492</v>
      </c>
      <c r="K264" s="16">
        <v>19336</v>
      </c>
      <c r="L264" s="17">
        <v>3548</v>
      </c>
      <c r="M264" s="16">
        <v>12112.83</v>
      </c>
      <c r="N264" s="7">
        <f t="shared" si="32"/>
        <v>5.44983089064262</v>
      </c>
      <c r="O264" s="7">
        <f t="shared" si="33"/>
        <v>1.59632389788348</v>
      </c>
      <c r="P264" s="8">
        <v>515912259.6</v>
      </c>
      <c r="Q264" s="8">
        <f t="shared" si="36"/>
        <v>4.25922149984768</v>
      </c>
      <c r="R264" s="9">
        <v>879.7</v>
      </c>
      <c r="S264" s="9">
        <v>5308.1</v>
      </c>
      <c r="T264" s="9">
        <v>5407.6</v>
      </c>
      <c r="U264" s="9">
        <v>39180</v>
      </c>
      <c r="V264" s="18">
        <v>0</v>
      </c>
      <c r="W264" s="18">
        <v>0</v>
      </c>
      <c r="X264" s="18">
        <f t="shared" si="37"/>
        <v>0</v>
      </c>
      <c r="Y264" s="12">
        <f t="shared" si="38"/>
        <v>2.01609935715007</v>
      </c>
      <c r="Z264" s="12">
        <f t="shared" si="39"/>
        <v>0</v>
      </c>
      <c r="AA264" s="12">
        <v>19335.59</v>
      </c>
      <c r="AB264" s="12">
        <v>34551</v>
      </c>
      <c r="AC264" s="12">
        <v>2938.55</v>
      </c>
      <c r="AD264" s="12">
        <v>0</v>
      </c>
      <c r="AE264" s="12">
        <v>224.61</v>
      </c>
      <c r="AF264" s="12">
        <v>18</v>
      </c>
      <c r="AG264" s="12">
        <v>498.08</v>
      </c>
      <c r="AH264" s="12">
        <v>1.2</v>
      </c>
      <c r="AI264" s="12">
        <v>37.39</v>
      </c>
      <c r="AJ264" s="12">
        <v>1765.78</v>
      </c>
      <c r="AK264" s="3">
        <f t="shared" si="35"/>
        <v>0</v>
      </c>
      <c r="AL264" s="3">
        <v>0</v>
      </c>
      <c r="AM264" s="3">
        <f t="shared" si="34"/>
        <v>0</v>
      </c>
    </row>
    <row r="265" spans="1:39">
      <c r="A265" s="7">
        <v>2013</v>
      </c>
      <c r="B265" s="7" t="s">
        <v>48</v>
      </c>
      <c r="C265" s="7">
        <v>0.196967</v>
      </c>
      <c r="D265" s="7">
        <v>0.035411</v>
      </c>
      <c r="E265" s="7">
        <v>0.008977</v>
      </c>
      <c r="F265" s="7">
        <v>0.016306</v>
      </c>
      <c r="G265" s="7">
        <v>0.005703</v>
      </c>
      <c r="H265" s="7">
        <v>0.004424</v>
      </c>
      <c r="I265" s="7">
        <v>0.036123</v>
      </c>
      <c r="J265" s="7">
        <v>0.018517</v>
      </c>
      <c r="K265" s="16">
        <v>19761</v>
      </c>
      <c r="L265" s="17">
        <v>3535</v>
      </c>
      <c r="M265" s="16">
        <v>12665.25</v>
      </c>
      <c r="N265" s="7">
        <f t="shared" si="32"/>
        <v>5.59009900990099</v>
      </c>
      <c r="O265" s="7">
        <f t="shared" si="33"/>
        <v>1.56025344939895</v>
      </c>
      <c r="P265" s="8">
        <v>532777868</v>
      </c>
      <c r="Q265" s="8">
        <f t="shared" si="36"/>
        <v>4.20661153944849</v>
      </c>
      <c r="R265" s="9">
        <v>941.2</v>
      </c>
      <c r="S265" s="9">
        <v>5988.6</v>
      </c>
      <c r="T265" s="9">
        <v>6097.7</v>
      </c>
      <c r="U265" s="9">
        <v>43527</v>
      </c>
      <c r="V265" s="18">
        <v>0</v>
      </c>
      <c r="W265" s="18">
        <v>0</v>
      </c>
      <c r="X265" s="18">
        <f t="shared" si="37"/>
        <v>0</v>
      </c>
      <c r="Y265" s="12">
        <f t="shared" si="38"/>
        <v>1.91398219724656</v>
      </c>
      <c r="Z265" s="12">
        <f t="shared" si="39"/>
        <v>0</v>
      </c>
      <c r="AA265" s="12">
        <v>19761</v>
      </c>
      <c r="AB265" s="12">
        <v>36636.51</v>
      </c>
      <c r="AC265" s="12">
        <v>2145.59</v>
      </c>
      <c r="AD265" s="12">
        <v>0</v>
      </c>
      <c r="AE265" s="12">
        <v>215.87</v>
      </c>
      <c r="AF265" s="12">
        <v>20.49</v>
      </c>
      <c r="AG265" s="12">
        <v>516.02</v>
      </c>
      <c r="AH265" s="12">
        <v>0.99</v>
      </c>
      <c r="AI265" s="12">
        <v>45.08</v>
      </c>
      <c r="AJ265" s="12">
        <v>1832.35</v>
      </c>
      <c r="AK265" s="3">
        <f t="shared" si="35"/>
        <v>1</v>
      </c>
      <c r="AL265" s="3">
        <v>0</v>
      </c>
      <c r="AM265" s="3">
        <f t="shared" si="34"/>
        <v>0</v>
      </c>
    </row>
    <row r="266" spans="1:39">
      <c r="A266" s="7">
        <v>2014</v>
      </c>
      <c r="B266" s="7" t="s">
        <v>48</v>
      </c>
      <c r="C266" s="7">
        <v>0.19772136</v>
      </c>
      <c r="D266" s="7">
        <v>0.035445</v>
      </c>
      <c r="E266" s="7">
        <v>0.008533</v>
      </c>
      <c r="F266" s="7">
        <v>0.01583</v>
      </c>
      <c r="G266" s="7">
        <v>0.005561</v>
      </c>
      <c r="H266" s="7">
        <v>0.005521</v>
      </c>
      <c r="I266" s="7">
        <v>0.03699</v>
      </c>
      <c r="J266" s="7">
        <v>0.017194</v>
      </c>
      <c r="K266" s="16">
        <v>19863</v>
      </c>
      <c r="L266" s="17">
        <v>3528</v>
      </c>
      <c r="M266" s="16">
        <v>12761.49</v>
      </c>
      <c r="N266" s="7">
        <f t="shared" si="32"/>
        <v>5.63010204081633</v>
      </c>
      <c r="O266" s="7">
        <f t="shared" si="33"/>
        <v>1.55647969006754</v>
      </c>
      <c r="P266" s="8">
        <v>522105710.7</v>
      </c>
      <c r="Q266" s="8">
        <f t="shared" si="36"/>
        <v>4.09125980351824</v>
      </c>
      <c r="R266" s="9">
        <v>990.8</v>
      </c>
      <c r="S266" s="9">
        <v>6774.6</v>
      </c>
      <c r="T266" s="9">
        <v>6858.5</v>
      </c>
      <c r="U266" s="9">
        <v>48311</v>
      </c>
      <c r="V266" s="18">
        <v>0</v>
      </c>
      <c r="W266" s="18">
        <v>0</v>
      </c>
      <c r="X266" s="18">
        <f t="shared" si="37"/>
        <v>0</v>
      </c>
      <c r="Y266" s="12">
        <f t="shared" si="38"/>
        <v>1.79640226266579</v>
      </c>
      <c r="Z266" s="12">
        <f t="shared" si="39"/>
        <v>0</v>
      </c>
      <c r="AA266" s="12">
        <v>19862.76</v>
      </c>
      <c r="AB266" s="12">
        <v>37587.43</v>
      </c>
      <c r="AC266" s="12">
        <v>2177.69</v>
      </c>
      <c r="AD266" s="12">
        <v>0</v>
      </c>
      <c r="AE266" s="12">
        <v>202.32</v>
      </c>
      <c r="AF266" s="12">
        <v>20.93</v>
      </c>
      <c r="AG266" s="12">
        <v>497.55</v>
      </c>
      <c r="AH266" s="12">
        <v>2.24</v>
      </c>
      <c r="AI266" s="12">
        <v>50.35</v>
      </c>
      <c r="AJ266" s="12">
        <v>1822.63</v>
      </c>
      <c r="AK266" s="3">
        <f t="shared" si="35"/>
        <v>1</v>
      </c>
      <c r="AL266" s="3">
        <v>0</v>
      </c>
      <c r="AM266" s="3">
        <f t="shared" si="34"/>
        <v>0</v>
      </c>
    </row>
    <row r="267" spans="1:39">
      <c r="A267" s="7">
        <v>2015</v>
      </c>
      <c r="B267" s="7" t="s">
        <v>48</v>
      </c>
      <c r="C267" s="7">
        <v>0.22074776</v>
      </c>
      <c r="D267" s="7">
        <v>0.039747</v>
      </c>
      <c r="E267" s="7">
        <v>0.009991</v>
      </c>
      <c r="F267" s="7">
        <v>0.017722</v>
      </c>
      <c r="G267" s="7">
        <v>0.006152</v>
      </c>
      <c r="H267" s="7">
        <v>0.005882</v>
      </c>
      <c r="I267" s="7">
        <v>0.037783</v>
      </c>
      <c r="J267" s="7">
        <v>0.018965</v>
      </c>
      <c r="K267" s="16">
        <v>19029</v>
      </c>
      <c r="L267" s="17">
        <v>3519</v>
      </c>
      <c r="M267" s="16">
        <v>12766.49</v>
      </c>
      <c r="N267" s="7">
        <f t="shared" si="32"/>
        <v>5.4075021312873</v>
      </c>
      <c r="O267" s="7">
        <f t="shared" si="33"/>
        <v>1.49054281952205</v>
      </c>
      <c r="P267" s="8">
        <v>501404690.6</v>
      </c>
      <c r="Q267" s="8">
        <f t="shared" si="36"/>
        <v>3.92750623389828</v>
      </c>
      <c r="R267" s="9">
        <v>1067.7</v>
      </c>
      <c r="S267" s="9">
        <v>7208</v>
      </c>
      <c r="T267" s="9">
        <v>7764.8</v>
      </c>
      <c r="U267" s="9">
        <v>52480</v>
      </c>
      <c r="V267" s="18">
        <v>0</v>
      </c>
      <c r="W267" s="18">
        <v>0</v>
      </c>
      <c r="X267" s="18">
        <f t="shared" si="37"/>
        <v>0</v>
      </c>
      <c r="Y267" s="12">
        <f t="shared" si="38"/>
        <v>1.71577514742415</v>
      </c>
      <c r="Z267" s="12">
        <f t="shared" si="39"/>
        <v>0</v>
      </c>
      <c r="AA267" s="12">
        <v>19029</v>
      </c>
      <c r="AB267" s="12">
        <v>43880.62</v>
      </c>
      <c r="AC267" s="12">
        <v>2083.43</v>
      </c>
      <c r="AD267" s="12">
        <v>0</v>
      </c>
      <c r="AE267" s="12">
        <v>204.3</v>
      </c>
      <c r="AF267" s="12">
        <v>26.51</v>
      </c>
      <c r="AG267" s="12">
        <v>486.45</v>
      </c>
      <c r="AH267" s="12">
        <v>0.61</v>
      </c>
      <c r="AI267" s="12">
        <v>64.92</v>
      </c>
      <c r="AJ267" s="12">
        <v>1737</v>
      </c>
      <c r="AK267" s="3">
        <f t="shared" si="35"/>
        <v>1</v>
      </c>
      <c r="AL267" s="3">
        <v>0</v>
      </c>
      <c r="AM267" s="3">
        <f t="shared" si="34"/>
        <v>0</v>
      </c>
    </row>
    <row r="268" spans="1:39">
      <c r="A268" s="7">
        <v>2016</v>
      </c>
      <c r="B268" s="7" t="s">
        <v>48</v>
      </c>
      <c r="C268" s="7">
        <v>0.20323354</v>
      </c>
      <c r="D268" s="7">
        <v>0.035134</v>
      </c>
      <c r="E268" s="7">
        <v>0.008502</v>
      </c>
      <c r="F268" s="7">
        <v>0.016189</v>
      </c>
      <c r="G268" s="7">
        <v>0.005315</v>
      </c>
      <c r="H268" s="7">
        <v>0.005128</v>
      </c>
      <c r="I268" s="7">
        <v>0.038801</v>
      </c>
      <c r="J268" s="7">
        <v>0.019482</v>
      </c>
      <c r="K268" s="16">
        <v>18974</v>
      </c>
      <c r="L268" s="17">
        <v>3514</v>
      </c>
      <c r="M268" s="16">
        <v>13050.41</v>
      </c>
      <c r="N268" s="7">
        <f t="shared" si="32"/>
        <v>5.39954467842914</v>
      </c>
      <c r="O268" s="7">
        <f t="shared" si="33"/>
        <v>1.45390068204754</v>
      </c>
      <c r="P268" s="8">
        <v>497586236.6</v>
      </c>
      <c r="Q268" s="8">
        <f t="shared" si="36"/>
        <v>3.81280156408879</v>
      </c>
      <c r="R268" s="9">
        <v>1237</v>
      </c>
      <c r="S268" s="9">
        <v>7765.4</v>
      </c>
      <c r="T268" s="9">
        <v>9020.7</v>
      </c>
      <c r="U268" s="9">
        <v>58327</v>
      </c>
      <c r="V268" s="18">
        <v>0</v>
      </c>
      <c r="W268" s="18">
        <v>0</v>
      </c>
      <c r="X268" s="18">
        <f t="shared" si="37"/>
        <v>0</v>
      </c>
      <c r="Y268" s="12">
        <f t="shared" si="38"/>
        <v>1.62438398605541</v>
      </c>
      <c r="Z268" s="12">
        <f t="shared" si="39"/>
        <v>0</v>
      </c>
      <c r="AA268" s="12">
        <v>18974</v>
      </c>
      <c r="AB268" s="12">
        <v>43566.14</v>
      </c>
      <c r="AC268" s="12">
        <v>1898.1</v>
      </c>
      <c r="AD268" s="12">
        <v>0</v>
      </c>
      <c r="AE268" s="12">
        <v>210.29</v>
      </c>
      <c r="AF268" s="12">
        <v>26.96</v>
      </c>
      <c r="AG268" s="12">
        <v>501.11</v>
      </c>
      <c r="AH268" s="12">
        <v>0.6</v>
      </c>
      <c r="AI268" s="12">
        <v>69.35</v>
      </c>
      <c r="AJ268" s="12">
        <v>1797.18</v>
      </c>
      <c r="AK268" s="3">
        <f t="shared" si="35"/>
        <v>1</v>
      </c>
      <c r="AL268" s="3">
        <v>0</v>
      </c>
      <c r="AM268" s="3">
        <f t="shared" si="34"/>
        <v>0</v>
      </c>
    </row>
    <row r="269" spans="1:39">
      <c r="A269" s="7">
        <v>2017</v>
      </c>
      <c r="B269" s="7" t="s">
        <v>48</v>
      </c>
      <c r="C269" s="7">
        <v>0.20642018</v>
      </c>
      <c r="D269" s="7">
        <v>0.035712</v>
      </c>
      <c r="E269" s="7">
        <v>0.00877</v>
      </c>
      <c r="F269" s="7">
        <v>0.016133</v>
      </c>
      <c r="G269" s="7">
        <v>0.005627</v>
      </c>
      <c r="H269" s="7">
        <v>0.005182</v>
      </c>
      <c r="I269" s="7">
        <v>0.038155</v>
      </c>
      <c r="J269" s="7">
        <v>0.019897</v>
      </c>
      <c r="K269" s="16">
        <v>19581</v>
      </c>
      <c r="L269" s="17">
        <v>3510</v>
      </c>
      <c r="M269" s="16">
        <v>15528.42</v>
      </c>
      <c r="N269" s="7">
        <f t="shared" si="32"/>
        <v>5.57863247863248</v>
      </c>
      <c r="O269" s="7">
        <f t="shared" si="33"/>
        <v>1.26097825792965</v>
      </c>
      <c r="P269" s="8">
        <v>502360269.2</v>
      </c>
      <c r="Q269" s="8">
        <f t="shared" si="36"/>
        <v>3.23510227827429</v>
      </c>
      <c r="R269" s="9">
        <v>1276.1</v>
      </c>
      <c r="S269" s="9">
        <v>8455</v>
      </c>
      <c r="T269" s="9">
        <v>10335.2</v>
      </c>
      <c r="U269" s="9">
        <v>64171</v>
      </c>
      <c r="V269" s="18">
        <v>1</v>
      </c>
      <c r="W269" s="18">
        <v>0</v>
      </c>
      <c r="X269" s="18">
        <f t="shared" si="37"/>
        <v>0</v>
      </c>
      <c r="Y269" s="12">
        <f t="shared" si="38"/>
        <v>1.56738551218677</v>
      </c>
      <c r="Z269" s="12">
        <f t="shared" si="39"/>
        <v>0</v>
      </c>
      <c r="AA269" s="12">
        <v>19581</v>
      </c>
      <c r="AB269" s="12">
        <v>45916.08</v>
      </c>
      <c r="AC269" s="12">
        <v>1958.27</v>
      </c>
      <c r="AD269" s="12">
        <v>0</v>
      </c>
      <c r="AE269" s="12">
        <v>233.86</v>
      </c>
      <c r="AF269" s="12">
        <v>32.29</v>
      </c>
      <c r="AG269" s="12">
        <v>530.46</v>
      </c>
      <c r="AH269" s="12">
        <v>0.47</v>
      </c>
      <c r="AI269" s="12">
        <v>74.9</v>
      </c>
      <c r="AJ269" s="12">
        <v>1990.61</v>
      </c>
      <c r="AK269" s="3">
        <f t="shared" si="35"/>
        <v>1</v>
      </c>
      <c r="AL269" s="3">
        <v>0</v>
      </c>
      <c r="AM269" s="3">
        <f t="shared" si="34"/>
        <v>0</v>
      </c>
    </row>
    <row r="270" spans="1:39">
      <c r="A270" s="7">
        <v>2018</v>
      </c>
      <c r="B270" s="7" t="s">
        <v>48</v>
      </c>
      <c r="C270" s="7">
        <v>0.2316131</v>
      </c>
      <c r="D270" s="7">
        <v>0.041565</v>
      </c>
      <c r="E270" s="7">
        <v>0.01044</v>
      </c>
      <c r="F270" s="7">
        <v>0.018232</v>
      </c>
      <c r="G270" s="7">
        <v>0.006717</v>
      </c>
      <c r="H270" s="7">
        <v>0.006177</v>
      </c>
      <c r="I270" s="7">
        <v>0.038796</v>
      </c>
      <c r="J270" s="7">
        <v>0.019315</v>
      </c>
      <c r="K270" s="16">
        <v>20199</v>
      </c>
      <c r="L270" s="17">
        <v>3502</v>
      </c>
      <c r="M270" s="16">
        <v>16818.11</v>
      </c>
      <c r="N270" s="7">
        <f t="shared" si="32"/>
        <v>5.76784694460308</v>
      </c>
      <c r="O270" s="7">
        <f t="shared" si="33"/>
        <v>1.20102675033045</v>
      </c>
      <c r="P270" s="8">
        <v>518178182</v>
      </c>
      <c r="Q270" s="8">
        <f t="shared" si="36"/>
        <v>3.08107261755334</v>
      </c>
      <c r="R270" s="9">
        <v>1378.7</v>
      </c>
      <c r="S270" s="9">
        <v>8842.2</v>
      </c>
      <c r="T270" s="9">
        <v>11367.9</v>
      </c>
      <c r="U270" s="9">
        <v>68460</v>
      </c>
      <c r="V270" s="18">
        <v>1</v>
      </c>
      <c r="W270" s="18">
        <v>0</v>
      </c>
      <c r="X270" s="18">
        <f t="shared" si="37"/>
        <v>0</v>
      </c>
      <c r="Y270" s="12">
        <f t="shared" si="38"/>
        <v>1.51591455826218</v>
      </c>
      <c r="Z270" s="12">
        <f t="shared" si="39"/>
        <v>0</v>
      </c>
      <c r="AA270" s="12">
        <v>20199</v>
      </c>
      <c r="AB270" s="12">
        <v>48940.14</v>
      </c>
      <c r="AC270" s="12">
        <v>2385.72</v>
      </c>
      <c r="AD270" s="12">
        <v>0</v>
      </c>
      <c r="AE270" s="12">
        <v>235.24</v>
      </c>
      <c r="AF270" s="12">
        <v>36.26</v>
      </c>
      <c r="AG270" s="12">
        <v>489.26</v>
      </c>
      <c r="AH270" s="12">
        <v>0.54</v>
      </c>
      <c r="AI270" s="12">
        <v>75.21</v>
      </c>
      <c r="AJ270" s="12">
        <v>2160.53</v>
      </c>
      <c r="AK270" s="3">
        <f t="shared" si="35"/>
        <v>1</v>
      </c>
      <c r="AL270" s="3">
        <v>0</v>
      </c>
      <c r="AM270" s="3">
        <f t="shared" si="34"/>
        <v>0</v>
      </c>
    </row>
    <row r="271" spans="1:39">
      <c r="A271" s="7">
        <v>2019</v>
      </c>
      <c r="B271" s="7" t="s">
        <v>48</v>
      </c>
      <c r="C271" s="7">
        <v>0.23278504</v>
      </c>
      <c r="D271" s="7">
        <v>0.041092</v>
      </c>
      <c r="E271" s="7">
        <v>0.010289</v>
      </c>
      <c r="F271" s="7">
        <v>0.01899</v>
      </c>
      <c r="G271" s="7">
        <v>0.005994</v>
      </c>
      <c r="H271" s="7">
        <v>0.005819</v>
      </c>
      <c r="I271" s="7">
        <v>0.04051</v>
      </c>
      <c r="J271" s="7">
        <v>0.020672</v>
      </c>
      <c r="K271" s="16">
        <v>20859</v>
      </c>
      <c r="L271" s="17">
        <v>3497</v>
      </c>
      <c r="M271" s="16">
        <v>17026.68</v>
      </c>
      <c r="N271" s="7">
        <f t="shared" si="32"/>
        <v>5.96482699456677</v>
      </c>
      <c r="O271" s="7">
        <f t="shared" si="33"/>
        <v>1.2250773491955</v>
      </c>
      <c r="P271" s="8">
        <v>524894936.6</v>
      </c>
      <c r="Q271" s="8">
        <f t="shared" si="36"/>
        <v>3.08277912429199</v>
      </c>
      <c r="R271" s="9">
        <v>1551.6</v>
      </c>
      <c r="S271" s="9">
        <v>9392</v>
      </c>
      <c r="T271" s="9">
        <v>12662.2</v>
      </c>
      <c r="U271" s="9">
        <v>74337</v>
      </c>
      <c r="V271" s="18">
        <v>1</v>
      </c>
      <c r="W271" s="18">
        <v>0</v>
      </c>
      <c r="X271" s="18">
        <f t="shared" si="37"/>
        <v>0</v>
      </c>
      <c r="Y271" s="12">
        <f t="shared" si="38"/>
        <v>1.5000536746505</v>
      </c>
      <c r="Z271" s="12">
        <f t="shared" si="39"/>
        <v>0</v>
      </c>
      <c r="AA271" s="12">
        <v>20859</v>
      </c>
      <c r="AB271" s="12">
        <v>51331.61</v>
      </c>
      <c r="AC271" s="12">
        <v>2526.53</v>
      </c>
      <c r="AD271" s="12">
        <v>0</v>
      </c>
      <c r="AE271" s="12">
        <v>247.64</v>
      </c>
      <c r="AF271" s="12">
        <v>45.69</v>
      </c>
      <c r="AG271" s="12">
        <v>500.2</v>
      </c>
      <c r="AH271" s="12">
        <v>0.48</v>
      </c>
      <c r="AI271" s="12">
        <v>91.7</v>
      </c>
      <c r="AJ271" s="12">
        <v>2261.9</v>
      </c>
      <c r="AK271" s="3">
        <f t="shared" si="35"/>
        <v>1</v>
      </c>
      <c r="AL271" s="3">
        <v>0</v>
      </c>
      <c r="AM271" s="3">
        <f t="shared" si="34"/>
        <v>0</v>
      </c>
    </row>
    <row r="272" spans="1:39">
      <c r="A272" s="7">
        <v>2020</v>
      </c>
      <c r="B272" s="7" t="s">
        <v>48</v>
      </c>
      <c r="C272" s="7">
        <v>0.26231394</v>
      </c>
      <c r="D272" s="7">
        <v>0.043726</v>
      </c>
      <c r="E272" s="7">
        <v>0.011294</v>
      </c>
      <c r="F272" s="7">
        <v>0.020198</v>
      </c>
      <c r="G272" s="7">
        <v>0.006063</v>
      </c>
      <c r="H272" s="7">
        <v>0.00617</v>
      </c>
      <c r="I272" s="7">
        <v>0.046121</v>
      </c>
      <c r="J272" s="7">
        <v>0.024927</v>
      </c>
      <c r="K272" s="16">
        <v>20980.55</v>
      </c>
      <c r="L272" s="17">
        <v>3490.39</v>
      </c>
      <c r="M272" s="16">
        <v>17651.93</v>
      </c>
      <c r="N272" s="7">
        <f t="shared" si="32"/>
        <v>6.01094720074261</v>
      </c>
      <c r="O272" s="7">
        <f t="shared" si="33"/>
        <v>1.18856974846377</v>
      </c>
      <c r="P272" s="8">
        <v>524341112.3</v>
      </c>
      <c r="Q272" s="8">
        <f t="shared" si="36"/>
        <v>2.97044636082287</v>
      </c>
      <c r="R272" s="9">
        <v>1803.5</v>
      </c>
      <c r="S272" s="9">
        <v>9969.6</v>
      </c>
      <c r="T272" s="9">
        <v>13268.3</v>
      </c>
      <c r="U272" s="9">
        <v>78294</v>
      </c>
      <c r="V272" s="18">
        <v>1</v>
      </c>
      <c r="W272" s="18">
        <v>0</v>
      </c>
      <c r="X272" s="18">
        <f t="shared" si="37"/>
        <v>0</v>
      </c>
      <c r="Y272" s="12">
        <f t="shared" si="38"/>
        <v>1.47141701078949</v>
      </c>
      <c r="Z272" s="12">
        <f t="shared" si="39"/>
        <v>0</v>
      </c>
      <c r="AA272" s="12">
        <v>20980.55</v>
      </c>
      <c r="AB272" s="12">
        <v>53739.03</v>
      </c>
      <c r="AC272" s="12">
        <v>2698.99</v>
      </c>
      <c r="AD272" s="12">
        <v>0</v>
      </c>
      <c r="AE272" s="12">
        <v>227.24</v>
      </c>
      <c r="AF272" s="12">
        <v>40.31</v>
      </c>
      <c r="AG272" s="12">
        <v>399.28</v>
      </c>
      <c r="AH272" s="12">
        <v>0.97</v>
      </c>
      <c r="AI272" s="12">
        <v>93.41</v>
      </c>
      <c r="AJ272" s="12">
        <v>2342</v>
      </c>
      <c r="AK272" s="3">
        <f t="shared" si="35"/>
        <v>1</v>
      </c>
      <c r="AL272" s="3">
        <v>0</v>
      </c>
      <c r="AM272" s="3">
        <f t="shared" si="34"/>
        <v>0</v>
      </c>
    </row>
    <row r="273" spans="1:39">
      <c r="A273" s="7">
        <v>2021</v>
      </c>
      <c r="B273" s="7" t="s">
        <v>48</v>
      </c>
      <c r="C273" s="7">
        <v>0.25659584</v>
      </c>
      <c r="D273" s="7">
        <v>0.043195</v>
      </c>
      <c r="E273" s="7">
        <v>0.010668</v>
      </c>
      <c r="F273" s="7">
        <v>0.020118</v>
      </c>
      <c r="G273" s="7">
        <v>0.006062</v>
      </c>
      <c r="H273" s="7">
        <v>0.006348</v>
      </c>
      <c r="I273" s="7">
        <v>0.045135</v>
      </c>
      <c r="J273" s="7">
        <v>0.023964</v>
      </c>
      <c r="K273" s="16">
        <v>21643.94</v>
      </c>
      <c r="L273" s="17">
        <v>3480</v>
      </c>
      <c r="M273" s="16">
        <v>22590.2</v>
      </c>
      <c r="N273" s="7">
        <f t="shared" si="32"/>
        <v>6.21952298850575</v>
      </c>
      <c r="O273" s="7">
        <f t="shared" si="33"/>
        <v>0.958111924639888</v>
      </c>
      <c r="P273" s="8">
        <v>571628748.4</v>
      </c>
      <c r="Q273" s="8">
        <f t="shared" si="36"/>
        <v>2.53042801037618</v>
      </c>
      <c r="R273" s="9">
        <v>1921.9</v>
      </c>
      <c r="S273" s="9">
        <v>11217.3</v>
      </c>
      <c r="T273" s="9">
        <v>14938.1</v>
      </c>
      <c r="U273" s="9">
        <v>87450</v>
      </c>
      <c r="V273" s="18">
        <v>1</v>
      </c>
      <c r="W273" s="18">
        <v>0</v>
      </c>
      <c r="X273" s="18">
        <f t="shared" si="37"/>
        <v>0</v>
      </c>
      <c r="Y273" s="12">
        <f t="shared" si="38"/>
        <v>1.36781889095748</v>
      </c>
      <c r="Z273" s="12">
        <f t="shared" si="39"/>
        <v>0</v>
      </c>
      <c r="AA273" s="12">
        <v>21643.94</v>
      </c>
      <c r="AB273" s="12">
        <v>113548.72</v>
      </c>
      <c r="AC273" s="12">
        <v>2809.89</v>
      </c>
      <c r="AD273" s="12">
        <v>0</v>
      </c>
      <c r="AE273" s="12">
        <v>221.12</v>
      </c>
      <c r="AF273" s="12">
        <v>38.19</v>
      </c>
      <c r="AG273" s="12">
        <v>406.05</v>
      </c>
      <c r="AH273" s="12">
        <v>1.55</v>
      </c>
      <c r="AI273" s="12">
        <v>96.74</v>
      </c>
      <c r="AJ273" s="12">
        <v>2608</v>
      </c>
      <c r="AK273" s="3">
        <f t="shared" si="35"/>
        <v>1</v>
      </c>
      <c r="AL273" s="3">
        <v>0</v>
      </c>
      <c r="AM273" s="3">
        <f t="shared" si="34"/>
        <v>0</v>
      </c>
    </row>
    <row r="274" spans="1:39">
      <c r="A274" s="7">
        <v>2022</v>
      </c>
      <c r="B274" s="7" t="s">
        <v>48</v>
      </c>
      <c r="C274" s="7">
        <v>0.22325415</v>
      </c>
      <c r="D274" s="7">
        <v>0.039614</v>
      </c>
      <c r="E274" s="7">
        <v>0.010053</v>
      </c>
      <c r="F274" s="7">
        <v>0.017543</v>
      </c>
      <c r="G274" s="7">
        <v>0.006313</v>
      </c>
      <c r="H274" s="7">
        <v>0.005706</v>
      </c>
      <c r="I274" s="7">
        <v>0.038844</v>
      </c>
      <c r="J274" s="7">
        <v>0.019508</v>
      </c>
      <c r="K274" s="16">
        <v>21918.5</v>
      </c>
      <c r="L274" s="17">
        <v>3481</v>
      </c>
      <c r="M274" s="16">
        <v>25642.6</v>
      </c>
      <c r="N274" s="7">
        <f t="shared" si="32"/>
        <v>6.29661016949153</v>
      </c>
      <c r="O274" s="7">
        <f t="shared" si="33"/>
        <v>0.854769017182345</v>
      </c>
      <c r="P274" s="8">
        <v>581007678.2</v>
      </c>
      <c r="Q274" s="8">
        <f t="shared" si="36"/>
        <v>2.26579082542332</v>
      </c>
      <c r="R274" s="9">
        <v>2012.6</v>
      </c>
      <c r="S274" s="9">
        <v>11047.4</v>
      </c>
      <c r="T274" s="9">
        <v>15516.1</v>
      </c>
      <c r="U274" s="9">
        <v>88953</v>
      </c>
      <c r="V274" s="18">
        <v>1</v>
      </c>
      <c r="W274" s="18">
        <v>0</v>
      </c>
      <c r="X274" s="18">
        <f t="shared" si="37"/>
        <v>0</v>
      </c>
      <c r="Y274" s="12">
        <f t="shared" si="38"/>
        <v>1.27047633725244</v>
      </c>
      <c r="Z274" s="12">
        <f t="shared" si="39"/>
        <v>0</v>
      </c>
      <c r="AA274" s="12">
        <v>19582.6196483054</v>
      </c>
      <c r="AB274" s="12">
        <v>121625.2</v>
      </c>
      <c r="AC274" s="12">
        <v>2752.44</v>
      </c>
      <c r="AD274" s="12">
        <v>0</v>
      </c>
      <c r="AE274" s="12">
        <v>228.57</v>
      </c>
      <c r="AF274" s="12">
        <v>22.83</v>
      </c>
      <c r="AG274" s="12">
        <v>416.48</v>
      </c>
      <c r="AH274" s="12">
        <v>1.62</v>
      </c>
      <c r="AI274" s="12">
        <v>99.46</v>
      </c>
      <c r="AJ274" s="12">
        <v>2835.11</v>
      </c>
      <c r="AK274" s="3">
        <f t="shared" si="35"/>
        <v>1</v>
      </c>
      <c r="AL274" s="3">
        <v>0</v>
      </c>
      <c r="AM274" s="3">
        <f t="shared" si="34"/>
        <v>0</v>
      </c>
    </row>
    <row r="275" spans="1:39">
      <c r="A275" s="7">
        <v>2023</v>
      </c>
      <c r="B275" s="7" t="s">
        <v>48</v>
      </c>
      <c r="C275" s="7">
        <v>0.24770759</v>
      </c>
      <c r="D275" s="7">
        <v>0.038884</v>
      </c>
      <c r="E275" s="7">
        <v>0.012288</v>
      </c>
      <c r="F275" s="7">
        <v>0.017819</v>
      </c>
      <c r="G275" s="7">
        <v>0.009415</v>
      </c>
      <c r="H275" s="7">
        <v>0.007914</v>
      </c>
      <c r="I275" s="7">
        <v>0.035403</v>
      </c>
      <c r="J275" s="7">
        <v>0.017904</v>
      </c>
      <c r="K275" s="16">
        <v>21918.5</v>
      </c>
      <c r="L275" s="17">
        <v>3466</v>
      </c>
      <c r="M275" s="16">
        <v>25698.2</v>
      </c>
      <c r="N275" s="7">
        <f t="shared" si="32"/>
        <v>6.32386035776111</v>
      </c>
      <c r="O275" s="7">
        <f t="shared" si="33"/>
        <v>0.852919659742706</v>
      </c>
      <c r="P275" s="8">
        <v>615194038.8</v>
      </c>
      <c r="Q275" s="8">
        <f t="shared" si="36"/>
        <v>2.39391879119938</v>
      </c>
      <c r="R275" s="9">
        <v>2074.7</v>
      </c>
      <c r="S275" s="9">
        <v>11699.1</v>
      </c>
      <c r="T275" s="9">
        <v>16372</v>
      </c>
      <c r="U275" s="9">
        <v>94147</v>
      </c>
      <c r="V275" s="18">
        <v>1</v>
      </c>
      <c r="W275" s="18">
        <v>0</v>
      </c>
      <c r="X275" s="18">
        <f t="shared" si="37"/>
        <v>0</v>
      </c>
      <c r="Y275" s="12">
        <f t="shared" si="38"/>
        <v>1.2756783895882</v>
      </c>
      <c r="Z275" s="12">
        <f t="shared" si="39"/>
        <v>0</v>
      </c>
      <c r="AA275" s="12"/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3">
        <f t="shared" si="35"/>
        <v>1</v>
      </c>
      <c r="AL275" s="3">
        <v>0</v>
      </c>
      <c r="AM275" s="3">
        <f t="shared" si="34"/>
        <v>0</v>
      </c>
    </row>
    <row r="276" spans="1:39">
      <c r="A276" s="7">
        <v>2024</v>
      </c>
      <c r="B276" s="7" t="s">
        <v>48</v>
      </c>
      <c r="C276" s="7">
        <v>0.25431073</v>
      </c>
      <c r="D276" s="7">
        <v>0.038411</v>
      </c>
      <c r="E276" s="7">
        <v>0.012761</v>
      </c>
      <c r="F276" s="7">
        <v>0.017779</v>
      </c>
      <c r="G276" s="7">
        <v>0.010237</v>
      </c>
      <c r="H276" s="7">
        <v>0.008417</v>
      </c>
      <c r="I276" s="7">
        <v>0.034931</v>
      </c>
      <c r="J276" s="7">
        <v>0.017794</v>
      </c>
      <c r="K276" s="16">
        <v>21325</v>
      </c>
      <c r="L276" s="17">
        <v>3446</v>
      </c>
      <c r="M276" s="16">
        <v>25494.7</v>
      </c>
      <c r="N276" s="7">
        <f t="shared" si="32"/>
        <v>6.18833430063842</v>
      </c>
      <c r="O276" s="7">
        <f t="shared" si="33"/>
        <v>0.836448359855186</v>
      </c>
      <c r="P276" s="8">
        <v>614368831</v>
      </c>
      <c r="Q276" s="8">
        <f t="shared" si="36"/>
        <v>2.40979039172848</v>
      </c>
      <c r="R276" s="9">
        <v>2135.8</v>
      </c>
      <c r="S276" s="9">
        <v>11690.7</v>
      </c>
      <c r="T276" s="9">
        <v>18366.7</v>
      </c>
      <c r="U276" s="9">
        <v>100903</v>
      </c>
      <c r="V276" s="18">
        <v>1</v>
      </c>
      <c r="W276" s="18">
        <v>0</v>
      </c>
      <c r="X276" s="18">
        <f t="shared" si="37"/>
        <v>0</v>
      </c>
      <c r="Y276" s="12">
        <f t="shared" si="38"/>
        <v>1.21200651315194</v>
      </c>
      <c r="Z276" s="12">
        <f t="shared" si="39"/>
        <v>0</v>
      </c>
      <c r="AA276" s="12"/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3">
        <f t="shared" si="35"/>
        <v>1</v>
      </c>
      <c r="AL276" s="3">
        <v>0</v>
      </c>
      <c r="AM276" s="3">
        <f t="shared" si="34"/>
        <v>0</v>
      </c>
    </row>
    <row r="277" spans="1:39">
      <c r="A277" s="7">
        <v>2000</v>
      </c>
      <c r="B277" s="7" t="s">
        <v>49</v>
      </c>
      <c r="C277" s="7">
        <v>0.17813095</v>
      </c>
      <c r="D277" s="7">
        <v>0.032935</v>
      </c>
      <c r="E277" s="7">
        <v>0.008155</v>
      </c>
      <c r="F277" s="7">
        <v>0.01462</v>
      </c>
      <c r="G277" s="7">
        <v>0.00517</v>
      </c>
      <c r="H277" s="7">
        <v>0.00499</v>
      </c>
      <c r="I277" s="7">
        <v>0.033623</v>
      </c>
      <c r="J277" s="7">
        <v>0.015657</v>
      </c>
      <c r="K277" s="16">
        <v>9448</v>
      </c>
      <c r="L277" s="17">
        <v>8650.03</v>
      </c>
      <c r="M277" s="16">
        <v>9662.23</v>
      </c>
      <c r="N277" s="7">
        <f t="shared" si="32"/>
        <v>1.09225054710793</v>
      </c>
      <c r="O277" s="7">
        <f t="shared" si="33"/>
        <v>0.977828099724391</v>
      </c>
      <c r="P277" s="8">
        <v>242928777.1</v>
      </c>
      <c r="Q277" s="8">
        <f t="shared" si="36"/>
        <v>2.51421025063572</v>
      </c>
      <c r="R277" s="9">
        <v>192</v>
      </c>
      <c r="S277" s="9">
        <v>104</v>
      </c>
      <c r="T277" s="9">
        <v>230.9</v>
      </c>
      <c r="U277" s="9">
        <v>6798</v>
      </c>
      <c r="V277" s="18">
        <v>0</v>
      </c>
      <c r="W277" s="18">
        <v>1</v>
      </c>
      <c r="X277" s="18">
        <f t="shared" si="37"/>
        <v>0</v>
      </c>
      <c r="Y277" s="12">
        <f t="shared" si="38"/>
        <v>4.53658228674969</v>
      </c>
      <c r="Z277" s="12">
        <f t="shared" si="39"/>
        <v>0.445791987951117</v>
      </c>
      <c r="AA277" s="19">
        <v>9447.7</v>
      </c>
      <c r="AB277" s="19">
        <v>5890.24</v>
      </c>
      <c r="AC277" s="19">
        <v>146.57</v>
      </c>
      <c r="AD277" s="19">
        <v>1956.41</v>
      </c>
      <c r="AE277" s="19">
        <v>301.16</v>
      </c>
      <c r="AF277" s="19">
        <v>89.51</v>
      </c>
      <c r="AG277" s="19">
        <v>766.23</v>
      </c>
      <c r="AH277" s="19">
        <v>941.95</v>
      </c>
      <c r="AI277" s="19">
        <v>1.43</v>
      </c>
      <c r="AJ277" s="19">
        <v>1334.58</v>
      </c>
      <c r="AK277" s="3">
        <f t="shared" si="35"/>
        <v>0</v>
      </c>
      <c r="AL277" s="3">
        <v>1</v>
      </c>
      <c r="AM277" s="3">
        <f t="shared" si="34"/>
        <v>0</v>
      </c>
    </row>
    <row r="278" spans="1:39">
      <c r="A278" s="7">
        <v>2001</v>
      </c>
      <c r="B278" s="7" t="s">
        <v>49</v>
      </c>
      <c r="C278" s="7">
        <v>0.2001899</v>
      </c>
      <c r="D278" s="7">
        <v>0.036721</v>
      </c>
      <c r="E278" s="7">
        <v>0.008973</v>
      </c>
      <c r="F278" s="7">
        <v>0.016614</v>
      </c>
      <c r="G278" s="7">
        <v>0.005729</v>
      </c>
      <c r="H278" s="7">
        <v>0.005405</v>
      </c>
      <c r="I278" s="7">
        <v>0.034443</v>
      </c>
      <c r="J278" s="7">
        <v>0.017937</v>
      </c>
      <c r="K278" s="16">
        <v>10179</v>
      </c>
      <c r="L278" s="17">
        <v>8733.18</v>
      </c>
      <c r="M278" s="16">
        <v>12039.25356</v>
      </c>
      <c r="N278" s="7">
        <f t="shared" si="32"/>
        <v>1.16555481508454</v>
      </c>
      <c r="O278" s="7">
        <f t="shared" si="33"/>
        <v>0.845484310906066</v>
      </c>
      <c r="P278" s="8">
        <v>252208078.5</v>
      </c>
      <c r="Q278" s="8">
        <f t="shared" si="36"/>
        <v>2.09488135824261</v>
      </c>
      <c r="R278" s="9">
        <v>196.8</v>
      </c>
      <c r="S278" s="9">
        <v>133.8</v>
      </c>
      <c r="T278" s="9">
        <v>248.6</v>
      </c>
      <c r="U278" s="9">
        <v>7315</v>
      </c>
      <c r="V278" s="18">
        <v>0</v>
      </c>
      <c r="W278" s="18">
        <v>1</v>
      </c>
      <c r="X278" s="18">
        <f t="shared" si="37"/>
        <v>0</v>
      </c>
      <c r="Y278" s="12">
        <f t="shared" si="38"/>
        <v>4.16809156222866</v>
      </c>
      <c r="Z278" s="12">
        <f t="shared" si="39"/>
        <v>0.497400350504181</v>
      </c>
      <c r="AA278" s="19">
        <v>10179</v>
      </c>
      <c r="AB278" s="19">
        <v>6088</v>
      </c>
      <c r="AC278" s="19">
        <v>175.12</v>
      </c>
      <c r="AD278" s="19">
        <v>1943.03</v>
      </c>
      <c r="AE278" s="19">
        <v>324.82</v>
      </c>
      <c r="AF278" s="19">
        <v>95.98</v>
      </c>
      <c r="AG278" s="19">
        <v>816.33</v>
      </c>
      <c r="AH278" s="19">
        <v>1039.5</v>
      </c>
      <c r="AI278" s="12">
        <v>0</v>
      </c>
      <c r="AJ278" s="19">
        <v>1458.43</v>
      </c>
      <c r="AK278" s="3">
        <f t="shared" si="35"/>
        <v>0</v>
      </c>
      <c r="AL278" s="3">
        <v>1</v>
      </c>
      <c r="AM278" s="3">
        <f t="shared" si="34"/>
        <v>0</v>
      </c>
    </row>
    <row r="279" spans="1:39">
      <c r="A279" s="7">
        <v>2002</v>
      </c>
      <c r="B279" s="7" t="s">
        <v>49</v>
      </c>
      <c r="C279" s="7">
        <v>0.19466621</v>
      </c>
      <c r="D279" s="7">
        <v>0.03538</v>
      </c>
      <c r="E279" s="7">
        <v>0.009223</v>
      </c>
      <c r="F279" s="7">
        <v>0.016003</v>
      </c>
      <c r="G279" s="7">
        <v>0.005582</v>
      </c>
      <c r="H279" s="7">
        <v>0.004571</v>
      </c>
      <c r="I279" s="7">
        <v>0.03574</v>
      </c>
      <c r="J279" s="7">
        <v>0.017666</v>
      </c>
      <c r="K279" s="16">
        <v>11355</v>
      </c>
      <c r="L279" s="17">
        <v>8842.08</v>
      </c>
      <c r="M279" s="16">
        <v>13502.42486</v>
      </c>
      <c r="N279" s="7">
        <f t="shared" si="32"/>
        <v>1.28420009771456</v>
      </c>
      <c r="O279" s="7">
        <f t="shared" si="33"/>
        <v>0.840960058488339</v>
      </c>
      <c r="P279" s="8">
        <v>265360462.2</v>
      </c>
      <c r="Q279" s="8">
        <f t="shared" si="36"/>
        <v>1.9652800511863</v>
      </c>
      <c r="R279" s="9">
        <v>222.9</v>
      </c>
      <c r="S279" s="9">
        <v>148.9</v>
      </c>
      <c r="T279" s="9">
        <v>271</v>
      </c>
      <c r="U279" s="9">
        <v>8041</v>
      </c>
      <c r="V279" s="18">
        <v>0</v>
      </c>
      <c r="W279" s="18">
        <v>1</v>
      </c>
      <c r="X279" s="18">
        <f t="shared" si="37"/>
        <v>0</v>
      </c>
      <c r="Y279" s="12">
        <f t="shared" si="38"/>
        <v>4.06804884448575</v>
      </c>
      <c r="Z279" s="12">
        <f t="shared" si="39"/>
        <v>0.516898610042443</v>
      </c>
      <c r="AA279" s="19">
        <v>11355</v>
      </c>
      <c r="AB279" s="19">
        <v>6649</v>
      </c>
      <c r="AC279" s="19">
        <v>179.11</v>
      </c>
      <c r="AD279" s="19">
        <v>1961.91</v>
      </c>
      <c r="AE279" s="19">
        <v>344.58</v>
      </c>
      <c r="AF279" s="19">
        <v>103.15</v>
      </c>
      <c r="AG279" s="19">
        <v>848.12</v>
      </c>
      <c r="AH279" s="19">
        <v>1154.19</v>
      </c>
      <c r="AI279" s="12">
        <v>0</v>
      </c>
      <c r="AJ279" s="19">
        <v>1687.83</v>
      </c>
      <c r="AK279" s="3">
        <f t="shared" si="35"/>
        <v>0</v>
      </c>
      <c r="AL279" s="3">
        <v>1</v>
      </c>
      <c r="AM279" s="3">
        <f t="shared" si="34"/>
        <v>0</v>
      </c>
    </row>
    <row r="280" spans="1:39">
      <c r="A280" s="7">
        <v>2003</v>
      </c>
      <c r="B280" s="7" t="s">
        <v>49</v>
      </c>
      <c r="C280" s="7">
        <v>0.23934942</v>
      </c>
      <c r="D280" s="7">
        <v>0.042918</v>
      </c>
      <c r="E280" s="7">
        <v>0.010875</v>
      </c>
      <c r="F280" s="7">
        <v>0.019349</v>
      </c>
      <c r="G280" s="7">
        <v>0.006327</v>
      </c>
      <c r="H280" s="7">
        <v>0.006367</v>
      </c>
      <c r="I280" s="7">
        <v>0.040172</v>
      </c>
      <c r="J280" s="7">
        <v>0.019947</v>
      </c>
      <c r="K280" s="16">
        <v>13099</v>
      </c>
      <c r="L280" s="17">
        <v>8962.69</v>
      </c>
      <c r="M280" s="16">
        <v>15844.64</v>
      </c>
      <c r="N280" s="7">
        <f t="shared" si="32"/>
        <v>1.46150318710119</v>
      </c>
      <c r="O280" s="7">
        <f t="shared" si="33"/>
        <v>0.826714901695463</v>
      </c>
      <c r="P280" s="8">
        <v>305227109.2</v>
      </c>
      <c r="Q280" s="8">
        <f t="shared" si="36"/>
        <v>1.92637452917832</v>
      </c>
      <c r="R280" s="9">
        <v>244.3</v>
      </c>
      <c r="S280" s="9">
        <v>175.8</v>
      </c>
      <c r="T280" s="9">
        <v>293.9</v>
      </c>
      <c r="U280" s="9">
        <v>8849</v>
      </c>
      <c r="V280" s="18">
        <v>0</v>
      </c>
      <c r="W280" s="18">
        <v>1</v>
      </c>
      <c r="X280" s="18">
        <f t="shared" si="37"/>
        <v>0</v>
      </c>
      <c r="Y280" s="12">
        <f t="shared" si="38"/>
        <v>4.08414499624993</v>
      </c>
      <c r="Z280" s="12">
        <f t="shared" si="39"/>
        <v>0.52832856547769</v>
      </c>
      <c r="AA280" s="19">
        <v>13099.29</v>
      </c>
      <c r="AB280" s="19">
        <v>7910.25</v>
      </c>
      <c r="AC280" s="19">
        <v>227.99</v>
      </c>
      <c r="AD280" s="19">
        <v>2095.15</v>
      </c>
      <c r="AE280" s="19">
        <v>375.04</v>
      </c>
      <c r="AF280" s="19">
        <v>119.64</v>
      </c>
      <c r="AG280" s="19">
        <v>935.87</v>
      </c>
      <c r="AH280" s="19">
        <v>1241.65</v>
      </c>
      <c r="AI280" s="19">
        <v>1.26</v>
      </c>
      <c r="AJ280" s="19">
        <v>2031.29</v>
      </c>
      <c r="AK280" s="3">
        <f t="shared" si="35"/>
        <v>0</v>
      </c>
      <c r="AL280" s="3">
        <v>1</v>
      </c>
      <c r="AM280" s="3">
        <f t="shared" si="34"/>
        <v>0</v>
      </c>
    </row>
    <row r="281" spans="1:39">
      <c r="A281" s="7">
        <v>2004</v>
      </c>
      <c r="B281" s="7" t="s">
        <v>49</v>
      </c>
      <c r="C281" s="7">
        <v>0.23710888</v>
      </c>
      <c r="D281" s="7">
        <v>0.041829</v>
      </c>
      <c r="E281" s="7">
        <v>0.010546</v>
      </c>
      <c r="F281" s="7">
        <v>0.018823</v>
      </c>
      <c r="G281" s="7">
        <v>0.006119</v>
      </c>
      <c r="H281" s="7">
        <v>0.006342</v>
      </c>
      <c r="I281" s="7">
        <v>0.040696</v>
      </c>
      <c r="J281" s="7">
        <v>0.020445</v>
      </c>
      <c r="K281" s="16">
        <v>15210</v>
      </c>
      <c r="L281" s="17">
        <v>9110.66</v>
      </c>
      <c r="M281" s="16">
        <v>18864.62</v>
      </c>
      <c r="N281" s="7">
        <f t="shared" si="32"/>
        <v>1.66947290317057</v>
      </c>
      <c r="O281" s="7">
        <f t="shared" si="33"/>
        <v>0.806271210339779</v>
      </c>
      <c r="P281" s="8">
        <v>348203151.8</v>
      </c>
      <c r="Q281" s="8">
        <f t="shared" si="36"/>
        <v>1.84579997794814</v>
      </c>
      <c r="R281" s="9">
        <v>272</v>
      </c>
      <c r="S281" s="9">
        <v>199.6</v>
      </c>
      <c r="T281" s="9">
        <v>331.1</v>
      </c>
      <c r="U281" s="9">
        <v>9859</v>
      </c>
      <c r="V281" s="18">
        <v>0</v>
      </c>
      <c r="W281" s="18">
        <v>1</v>
      </c>
      <c r="X281" s="18">
        <f t="shared" si="37"/>
        <v>0</v>
      </c>
      <c r="Y281" s="12">
        <f t="shared" si="38"/>
        <v>3.89549779892895</v>
      </c>
      <c r="Z281" s="12">
        <f t="shared" si="39"/>
        <v>0.526170961139899</v>
      </c>
      <c r="AA281" s="19">
        <v>15210.47</v>
      </c>
      <c r="AB281" s="19">
        <v>8790.24</v>
      </c>
      <c r="AC281" s="19">
        <v>278.03</v>
      </c>
      <c r="AD281" s="19">
        <v>2391.35</v>
      </c>
      <c r="AE281" s="19">
        <v>447.44</v>
      </c>
      <c r="AF281" s="19">
        <v>130.97</v>
      </c>
      <c r="AG281" s="19">
        <v>1023.69</v>
      </c>
      <c r="AH281" s="19">
        <v>1533.95</v>
      </c>
      <c r="AI281" s="19">
        <v>1.62</v>
      </c>
      <c r="AJ281" s="19">
        <v>2387.14</v>
      </c>
      <c r="AK281" s="3">
        <f t="shared" si="35"/>
        <v>0</v>
      </c>
      <c r="AL281" s="3">
        <v>1</v>
      </c>
      <c r="AM281" s="3">
        <f t="shared" si="34"/>
        <v>0</v>
      </c>
    </row>
    <row r="282" spans="1:39">
      <c r="A282" s="7">
        <v>2005</v>
      </c>
      <c r="B282" s="7" t="s">
        <v>49</v>
      </c>
      <c r="C282" s="7">
        <v>0.2377465</v>
      </c>
      <c r="D282" s="7">
        <v>0.041813</v>
      </c>
      <c r="E282" s="7">
        <v>0.010398</v>
      </c>
      <c r="F282" s="7">
        <v>0.018399</v>
      </c>
      <c r="G282" s="7">
        <v>0.006376</v>
      </c>
      <c r="H282" s="7">
        <v>0.00664</v>
      </c>
      <c r="I282" s="7">
        <v>0.042146</v>
      </c>
      <c r="J282" s="7">
        <v>0.01926</v>
      </c>
      <c r="K282" s="16">
        <v>17921</v>
      </c>
      <c r="L282" s="17">
        <v>9194</v>
      </c>
      <c r="M282" s="16">
        <v>22557.37</v>
      </c>
      <c r="N282" s="7">
        <f t="shared" si="32"/>
        <v>1.9492060039156</v>
      </c>
      <c r="O282" s="7">
        <f t="shared" si="33"/>
        <v>0.794463184316257</v>
      </c>
      <c r="P282" s="8">
        <v>371269377.3</v>
      </c>
      <c r="Q282" s="8">
        <f t="shared" si="36"/>
        <v>1.64588946894075</v>
      </c>
      <c r="R282" s="9">
        <v>289.9</v>
      </c>
      <c r="S282" s="9">
        <v>229.8</v>
      </c>
      <c r="T282" s="9">
        <v>365.2</v>
      </c>
      <c r="U282" s="9">
        <v>10753</v>
      </c>
      <c r="V282" s="18">
        <v>0</v>
      </c>
      <c r="W282" s="18">
        <v>1</v>
      </c>
      <c r="X282" s="18">
        <f t="shared" si="37"/>
        <v>0</v>
      </c>
      <c r="Y282" s="12">
        <f t="shared" si="38"/>
        <v>3.71995059106252</v>
      </c>
      <c r="Z282" s="12">
        <f t="shared" si="39"/>
        <v>0.557550717771593</v>
      </c>
      <c r="AA282" s="19">
        <v>17769.4</v>
      </c>
      <c r="AB282" s="19">
        <v>9942.37</v>
      </c>
      <c r="AC282" s="19">
        <v>300.16</v>
      </c>
      <c r="AD282" s="19">
        <v>2388.37</v>
      </c>
      <c r="AE282" s="19">
        <v>706.22</v>
      </c>
      <c r="AF282" s="19">
        <v>153.72</v>
      </c>
      <c r="AG282" s="19">
        <v>1306.66</v>
      </c>
      <c r="AH282" s="19">
        <v>1600.05</v>
      </c>
      <c r="AI282" s="19">
        <v>2.49</v>
      </c>
      <c r="AJ282" s="19">
        <v>2673.56</v>
      </c>
      <c r="AK282" s="3">
        <f t="shared" si="35"/>
        <v>0</v>
      </c>
      <c r="AL282" s="3">
        <v>1</v>
      </c>
      <c r="AM282" s="3">
        <f t="shared" si="34"/>
        <v>0</v>
      </c>
    </row>
    <row r="283" spans="1:39">
      <c r="A283" s="7">
        <v>2006</v>
      </c>
      <c r="B283" s="7" t="s">
        <v>49</v>
      </c>
      <c r="C283" s="7">
        <v>0.25745088</v>
      </c>
      <c r="D283" s="7">
        <v>0.041944</v>
      </c>
      <c r="E283" s="7">
        <v>0.010485</v>
      </c>
      <c r="F283" s="7">
        <v>0.018646</v>
      </c>
      <c r="G283" s="7">
        <v>0.006452</v>
      </c>
      <c r="H283" s="7">
        <v>0.00636</v>
      </c>
      <c r="I283" s="7">
        <v>0.047943</v>
      </c>
      <c r="J283" s="7">
        <v>0.023736</v>
      </c>
      <c r="K283" s="16">
        <v>19971</v>
      </c>
      <c r="L283" s="17">
        <v>9442.07</v>
      </c>
      <c r="M283" s="16">
        <v>26587.76</v>
      </c>
      <c r="N283" s="7">
        <f t="shared" ref="N283:N301" si="40">K283/L283</f>
        <v>2.11510823368181</v>
      </c>
      <c r="O283" s="7">
        <f t="shared" ref="O283:O301" si="41">K283/M283</f>
        <v>0.7511351087869</v>
      </c>
      <c r="P283" s="8">
        <v>383168353.8</v>
      </c>
      <c r="Q283" s="8">
        <f t="shared" si="36"/>
        <v>1.44114567680767</v>
      </c>
      <c r="R283" s="9">
        <v>310.7</v>
      </c>
      <c r="S283" s="9">
        <v>291.6</v>
      </c>
      <c r="T283" s="9">
        <v>425.1</v>
      </c>
      <c r="U283" s="9">
        <v>12350</v>
      </c>
      <c r="V283" s="18">
        <v>0</v>
      </c>
      <c r="W283" s="18">
        <v>1</v>
      </c>
      <c r="X283" s="18">
        <f t="shared" si="37"/>
        <v>0</v>
      </c>
      <c r="Y283" s="12">
        <f t="shared" si="38"/>
        <v>3.57740717995078</v>
      </c>
      <c r="Z283" s="12">
        <f t="shared" si="39"/>
        <v>0.597153579585677</v>
      </c>
      <c r="AA283" s="19">
        <v>19765.22</v>
      </c>
      <c r="AB283" s="19">
        <v>11125.98</v>
      </c>
      <c r="AC283" s="19">
        <v>410.78</v>
      </c>
      <c r="AD283" s="19">
        <v>2805.71</v>
      </c>
      <c r="AE283" s="19">
        <v>771.39</v>
      </c>
      <c r="AF283" s="19">
        <v>157.4</v>
      </c>
      <c r="AG283" s="19">
        <v>1367.6</v>
      </c>
      <c r="AH283" s="19">
        <v>1573.72</v>
      </c>
      <c r="AI283" s="19">
        <v>14.46</v>
      </c>
      <c r="AJ283" s="19">
        <v>3004.03</v>
      </c>
      <c r="AK283" s="3">
        <f t="shared" si="35"/>
        <v>0</v>
      </c>
      <c r="AL283" s="3">
        <v>1</v>
      </c>
      <c r="AM283" s="3">
        <f t="shared" si="34"/>
        <v>0</v>
      </c>
    </row>
    <row r="284" spans="1:39">
      <c r="A284" s="7">
        <v>2007</v>
      </c>
      <c r="B284" s="7" t="s">
        <v>49</v>
      </c>
      <c r="C284" s="7">
        <v>0.27315968</v>
      </c>
      <c r="D284" s="7">
        <v>0.045123</v>
      </c>
      <c r="E284" s="7">
        <v>0.011276</v>
      </c>
      <c r="F284" s="7">
        <v>0.019774</v>
      </c>
      <c r="G284" s="7">
        <v>0.006661</v>
      </c>
      <c r="H284" s="7">
        <v>0.007413</v>
      </c>
      <c r="I284" s="7">
        <v>0.047268</v>
      </c>
      <c r="J284" s="7">
        <v>0.024623</v>
      </c>
      <c r="K284" s="16">
        <v>22217</v>
      </c>
      <c r="L284" s="17">
        <v>9659.52</v>
      </c>
      <c r="M284" s="16">
        <v>31777.01</v>
      </c>
      <c r="N284" s="7">
        <f t="shared" si="40"/>
        <v>2.30001076658053</v>
      </c>
      <c r="O284" s="7">
        <f t="shared" si="41"/>
        <v>0.699153255765725</v>
      </c>
      <c r="P284" s="8">
        <v>392735143.4</v>
      </c>
      <c r="Q284" s="8">
        <f t="shared" si="36"/>
        <v>1.23590968250317</v>
      </c>
      <c r="R284" s="9">
        <v>351.3</v>
      </c>
      <c r="S284" s="9">
        <v>354.3</v>
      </c>
      <c r="T284" s="9">
        <v>528.4</v>
      </c>
      <c r="U284" s="9">
        <v>14683</v>
      </c>
      <c r="V284" s="18">
        <v>0</v>
      </c>
      <c r="W284" s="18">
        <v>1</v>
      </c>
      <c r="X284" s="18">
        <f t="shared" si="37"/>
        <v>0</v>
      </c>
      <c r="Y284" s="12">
        <f t="shared" si="38"/>
        <v>3.23986794305777</v>
      </c>
      <c r="Z284" s="12">
        <f t="shared" si="39"/>
        <v>0.618530846249021</v>
      </c>
      <c r="AA284" s="19">
        <v>21912.11</v>
      </c>
      <c r="AB284" s="19">
        <v>12593.97</v>
      </c>
      <c r="AC284" s="19">
        <v>460.97</v>
      </c>
      <c r="AD284" s="19">
        <v>2940.1</v>
      </c>
      <c r="AE284" s="19">
        <v>837.73</v>
      </c>
      <c r="AF284" s="19">
        <v>171.14</v>
      </c>
      <c r="AG284" s="19">
        <v>1438.21</v>
      </c>
      <c r="AH284" s="19">
        <v>1316.44</v>
      </c>
      <c r="AI284" s="19">
        <v>45.69</v>
      </c>
      <c r="AJ284" s="19">
        <v>3394.05</v>
      </c>
      <c r="AK284" s="3">
        <f t="shared" si="35"/>
        <v>0</v>
      </c>
      <c r="AL284" s="3">
        <v>1</v>
      </c>
      <c r="AM284" s="3">
        <f t="shared" si="34"/>
        <v>0</v>
      </c>
    </row>
    <row r="285" spans="1:39">
      <c r="A285" s="7">
        <v>2008</v>
      </c>
      <c r="B285" s="7" t="s">
        <v>49</v>
      </c>
      <c r="C285" s="7">
        <v>0.29878417</v>
      </c>
      <c r="D285" s="7">
        <v>0.049104</v>
      </c>
      <c r="E285" s="7">
        <v>0.012424</v>
      </c>
      <c r="F285" s="7">
        <v>0.021783</v>
      </c>
      <c r="G285" s="7">
        <v>0.007972</v>
      </c>
      <c r="H285" s="7">
        <v>0.006924</v>
      </c>
      <c r="I285" s="7">
        <v>0.051775</v>
      </c>
      <c r="J285" s="7">
        <v>0.026121</v>
      </c>
      <c r="K285" s="16">
        <v>23476</v>
      </c>
      <c r="L285" s="17">
        <v>9893.48</v>
      </c>
      <c r="M285" s="16">
        <v>36796.71</v>
      </c>
      <c r="N285" s="7">
        <f t="shared" si="40"/>
        <v>2.3728758738078</v>
      </c>
      <c r="O285" s="7">
        <f t="shared" si="41"/>
        <v>0.637991820464384</v>
      </c>
      <c r="P285" s="8">
        <v>396835082.3</v>
      </c>
      <c r="Q285" s="8">
        <f t="shared" si="36"/>
        <v>1.07845261791068</v>
      </c>
      <c r="R285" s="9">
        <v>423.6</v>
      </c>
      <c r="S285" s="9">
        <v>412.6</v>
      </c>
      <c r="T285" s="9">
        <v>638.5</v>
      </c>
      <c r="U285" s="9">
        <v>17357</v>
      </c>
      <c r="V285" s="18">
        <v>0</v>
      </c>
      <c r="W285" s="18">
        <v>1</v>
      </c>
      <c r="X285" s="18">
        <f t="shared" si="37"/>
        <v>0</v>
      </c>
      <c r="Y285" s="12">
        <f t="shared" si="38"/>
        <v>2.71728515287532</v>
      </c>
      <c r="Z285" s="12">
        <f t="shared" si="39"/>
        <v>0.603113932753982</v>
      </c>
      <c r="AA285" s="19">
        <v>23476</v>
      </c>
      <c r="AB285" s="19">
        <v>13298</v>
      </c>
      <c r="AC285" s="19">
        <v>449.6</v>
      </c>
      <c r="AD285" s="19">
        <v>3046.21</v>
      </c>
      <c r="AE285" s="19">
        <v>886.9</v>
      </c>
      <c r="AF285" s="19">
        <v>183.07</v>
      </c>
      <c r="AG285" s="19">
        <v>1518.92</v>
      </c>
      <c r="AH285" s="19">
        <v>1077.76</v>
      </c>
      <c r="AI285" s="19">
        <v>53.58</v>
      </c>
      <c r="AJ285" s="19">
        <v>3506.78</v>
      </c>
      <c r="AK285" s="3">
        <f t="shared" si="35"/>
        <v>0</v>
      </c>
      <c r="AL285" s="3">
        <v>1</v>
      </c>
      <c r="AM285" s="3">
        <f t="shared" si="34"/>
        <v>0</v>
      </c>
    </row>
    <row r="286" spans="1:39">
      <c r="A286" s="7">
        <v>2009</v>
      </c>
      <c r="B286" s="7" t="s">
        <v>49</v>
      </c>
      <c r="C286" s="7">
        <v>0.30599317</v>
      </c>
      <c r="D286" s="7">
        <v>0.052401</v>
      </c>
      <c r="E286" s="7">
        <v>0.012722</v>
      </c>
      <c r="F286" s="7">
        <v>0.023186</v>
      </c>
      <c r="G286" s="7">
        <v>0.007867</v>
      </c>
      <c r="H286" s="7">
        <v>0.008625</v>
      </c>
      <c r="I286" s="7">
        <v>0.049301</v>
      </c>
      <c r="J286" s="7">
        <v>0.024316</v>
      </c>
      <c r="K286" s="16">
        <v>24654</v>
      </c>
      <c r="L286" s="17">
        <v>10130.19</v>
      </c>
      <c r="M286" s="16">
        <v>39482.56</v>
      </c>
      <c r="N286" s="7">
        <f t="shared" si="40"/>
        <v>2.43371545844648</v>
      </c>
      <c r="O286" s="7">
        <f t="shared" si="41"/>
        <v>0.624427595373755</v>
      </c>
      <c r="P286" s="8">
        <v>420069303.2</v>
      </c>
      <c r="Q286" s="8">
        <f t="shared" si="36"/>
        <v>1.06393633847451</v>
      </c>
      <c r="R286" s="9">
        <v>448.1</v>
      </c>
      <c r="S286" s="9">
        <v>432.4</v>
      </c>
      <c r="T286" s="9">
        <v>739.8</v>
      </c>
      <c r="U286" s="9">
        <v>18860</v>
      </c>
      <c r="V286" s="18">
        <v>0</v>
      </c>
      <c r="W286" s="18">
        <v>1</v>
      </c>
      <c r="X286" s="18">
        <f t="shared" si="37"/>
        <v>0</v>
      </c>
      <c r="Y286" s="12">
        <f t="shared" si="38"/>
        <v>2.66960201713366</v>
      </c>
      <c r="Z286" s="12">
        <f t="shared" si="39"/>
        <v>0.601462565713501</v>
      </c>
      <c r="AA286" s="19">
        <v>24654</v>
      </c>
      <c r="AB286" s="19">
        <v>13647</v>
      </c>
      <c r="AC286" s="19">
        <v>466.43</v>
      </c>
      <c r="AD286" s="19">
        <v>3709.44</v>
      </c>
      <c r="AE286" s="19">
        <v>957.2</v>
      </c>
      <c r="AF286" s="19">
        <v>192.12</v>
      </c>
      <c r="AG286" s="19">
        <v>1567.91</v>
      </c>
      <c r="AH286" s="19">
        <v>894.99</v>
      </c>
      <c r="AI286" s="19">
        <v>112.86</v>
      </c>
      <c r="AJ286" s="19">
        <v>3609.64</v>
      </c>
      <c r="AK286" s="3">
        <f t="shared" si="35"/>
        <v>0</v>
      </c>
      <c r="AL286" s="3">
        <v>1</v>
      </c>
      <c r="AM286" s="3">
        <f t="shared" ref="AM286:AM349" si="42">AK286*AL286</f>
        <v>0</v>
      </c>
    </row>
    <row r="287" spans="1:39">
      <c r="A287" s="7">
        <v>2010</v>
      </c>
      <c r="B287" s="7" t="s">
        <v>49</v>
      </c>
      <c r="C287" s="7">
        <v>0.30429857</v>
      </c>
      <c r="D287" s="7">
        <v>0.050092</v>
      </c>
      <c r="E287" s="7">
        <v>0.012062</v>
      </c>
      <c r="F287" s="7">
        <v>0.022827</v>
      </c>
      <c r="G287" s="7">
        <v>0.007336</v>
      </c>
      <c r="H287" s="7">
        <v>0.007867</v>
      </c>
      <c r="I287" s="7">
        <v>0.053155</v>
      </c>
      <c r="J287" s="7">
        <v>0.025993</v>
      </c>
      <c r="K287" s="16">
        <v>26908</v>
      </c>
      <c r="L287" s="17">
        <v>10440.94</v>
      </c>
      <c r="M287" s="16">
        <v>46013.06</v>
      </c>
      <c r="N287" s="7">
        <f t="shared" si="40"/>
        <v>2.57716259264013</v>
      </c>
      <c r="O287" s="7">
        <f t="shared" si="41"/>
        <v>0.584790492090724</v>
      </c>
      <c r="P287" s="8">
        <v>462018325.8</v>
      </c>
      <c r="Q287" s="8">
        <f t="shared" si="36"/>
        <v>1.00410258696118</v>
      </c>
      <c r="R287" s="9">
        <v>521.9</v>
      </c>
      <c r="S287" s="9">
        <v>528.6</v>
      </c>
      <c r="T287" s="9">
        <v>970.1</v>
      </c>
      <c r="U287" s="9">
        <v>23323</v>
      </c>
      <c r="V287" s="18">
        <v>0</v>
      </c>
      <c r="W287" s="18">
        <v>1</v>
      </c>
      <c r="X287" s="18">
        <f t="shared" si="37"/>
        <v>0</v>
      </c>
      <c r="Y287" s="12">
        <f t="shared" si="38"/>
        <v>2.40850270516871</v>
      </c>
      <c r="Z287" s="12">
        <f t="shared" si="39"/>
        <v>0.583100909620591</v>
      </c>
      <c r="AA287" s="19">
        <v>26908.02</v>
      </c>
      <c r="AB287" s="19">
        <v>15983.62</v>
      </c>
      <c r="AC287" s="19">
        <v>485.97</v>
      </c>
      <c r="AD287" s="19">
        <v>4455.31</v>
      </c>
      <c r="AE287" s="19">
        <v>1086.12</v>
      </c>
      <c r="AF287" s="19">
        <v>202.38</v>
      </c>
      <c r="AG287" s="19">
        <v>1668.56</v>
      </c>
      <c r="AH287" s="19">
        <v>646.93</v>
      </c>
      <c r="AI287" s="19">
        <v>61.56</v>
      </c>
      <c r="AJ287" s="19">
        <v>4060.13</v>
      </c>
      <c r="AK287" s="3">
        <f t="shared" ref="AK287:AK350" si="43">IF(A287&gt;=2013,1,0)</f>
        <v>0</v>
      </c>
      <c r="AL287" s="3">
        <v>1</v>
      </c>
      <c r="AM287" s="3">
        <f t="shared" si="42"/>
        <v>0</v>
      </c>
    </row>
    <row r="288" spans="1:39">
      <c r="A288" s="7">
        <v>2011</v>
      </c>
      <c r="B288" s="7" t="s">
        <v>49</v>
      </c>
      <c r="C288" s="7">
        <v>0.32326692</v>
      </c>
      <c r="D288" s="7">
        <v>0.050403</v>
      </c>
      <c r="E288" s="7">
        <v>0.012555</v>
      </c>
      <c r="F288" s="7">
        <v>0.022731</v>
      </c>
      <c r="G288" s="7">
        <v>0.007568</v>
      </c>
      <c r="H288" s="7">
        <v>0.007549</v>
      </c>
      <c r="I288" s="7">
        <v>0.057761</v>
      </c>
      <c r="J288" s="7">
        <v>0.030328</v>
      </c>
      <c r="K288" s="16">
        <v>28480</v>
      </c>
      <c r="L288" s="17">
        <v>10756</v>
      </c>
      <c r="M288" s="16">
        <v>53210.28</v>
      </c>
      <c r="N288" s="7">
        <f t="shared" si="40"/>
        <v>2.64782447006322</v>
      </c>
      <c r="O288" s="7">
        <f t="shared" si="41"/>
        <v>0.535234920770949</v>
      </c>
      <c r="P288" s="8">
        <v>518883101.2</v>
      </c>
      <c r="Q288" s="8">
        <f t="shared" si="36"/>
        <v>0.975155742837662</v>
      </c>
      <c r="R288" s="9">
        <v>636.6</v>
      </c>
      <c r="S288" s="9">
        <v>671.3</v>
      </c>
      <c r="T288" s="9">
        <v>1155.9</v>
      </c>
      <c r="U288" s="9">
        <v>28014</v>
      </c>
      <c r="V288" s="18">
        <v>0</v>
      </c>
      <c r="W288" s="18">
        <v>1</v>
      </c>
      <c r="X288" s="18">
        <f t="shared" si="37"/>
        <v>0</v>
      </c>
      <c r="Y288" s="12">
        <f t="shared" si="38"/>
        <v>2.18035126729488</v>
      </c>
      <c r="Z288" s="12">
        <f t="shared" si="39"/>
        <v>0.552752917630782</v>
      </c>
      <c r="AA288" s="19">
        <v>28480</v>
      </c>
      <c r="AB288" s="19">
        <v>18439</v>
      </c>
      <c r="AC288" s="19">
        <v>552.13</v>
      </c>
      <c r="AD288" s="19">
        <v>4403.37</v>
      </c>
      <c r="AE288" s="19">
        <v>1207.59</v>
      </c>
      <c r="AF288" s="19">
        <v>216.93</v>
      </c>
      <c r="AG288" s="19">
        <v>1500.55</v>
      </c>
      <c r="AH288" s="19">
        <v>505.28</v>
      </c>
      <c r="AI288" s="19">
        <v>144.46</v>
      </c>
      <c r="AJ288" s="19">
        <v>4399</v>
      </c>
      <c r="AK288" s="3">
        <f t="shared" si="43"/>
        <v>0</v>
      </c>
      <c r="AL288" s="3">
        <v>1</v>
      </c>
      <c r="AM288" s="3">
        <f t="shared" si="42"/>
        <v>0</v>
      </c>
    </row>
    <row r="289" spans="1:39">
      <c r="A289" s="7">
        <v>2012</v>
      </c>
      <c r="B289" s="7" t="s">
        <v>49</v>
      </c>
      <c r="C289" s="7">
        <v>0.33862127</v>
      </c>
      <c r="D289" s="7">
        <v>0.054672</v>
      </c>
      <c r="E289" s="7">
        <v>0.013559</v>
      </c>
      <c r="F289" s="7">
        <v>0.024933</v>
      </c>
      <c r="G289" s="7">
        <v>0.007463</v>
      </c>
      <c r="H289" s="7">
        <v>0.008717</v>
      </c>
      <c r="I289" s="7">
        <v>0.059181</v>
      </c>
      <c r="J289" s="7">
        <v>0.028661</v>
      </c>
      <c r="K289" s="16">
        <v>29144</v>
      </c>
      <c r="L289" s="17">
        <v>11041</v>
      </c>
      <c r="M289" s="16">
        <v>57067.92</v>
      </c>
      <c r="N289" s="7">
        <f t="shared" si="40"/>
        <v>2.63961597681369</v>
      </c>
      <c r="O289" s="7">
        <f t="shared" si="41"/>
        <v>0.510689718496837</v>
      </c>
      <c r="P289" s="8">
        <v>527905529.4</v>
      </c>
      <c r="Q289" s="8">
        <f t="shared" si="36"/>
        <v>0.925047784114087</v>
      </c>
      <c r="R289" s="9">
        <v>683.9</v>
      </c>
      <c r="S289" s="9">
        <v>747.2</v>
      </c>
      <c r="T289" s="9">
        <v>1358.3</v>
      </c>
      <c r="U289" s="9">
        <v>30993</v>
      </c>
      <c r="V289" s="18">
        <v>0</v>
      </c>
      <c r="W289" s="18">
        <v>1</v>
      </c>
      <c r="X289" s="18">
        <f t="shared" si="37"/>
        <v>0</v>
      </c>
      <c r="Y289" s="12">
        <f t="shared" si="38"/>
        <v>2.01609935715007</v>
      </c>
      <c r="Z289" s="12">
        <f t="shared" si="39"/>
        <v>0.541169545621144</v>
      </c>
      <c r="AA289" s="19">
        <v>29144.01</v>
      </c>
      <c r="AB289" s="19">
        <v>17634</v>
      </c>
      <c r="AC289" s="19">
        <v>545.5</v>
      </c>
      <c r="AD289" s="19">
        <v>4511.51</v>
      </c>
      <c r="AE289" s="19">
        <v>1259.5</v>
      </c>
      <c r="AF289" s="19">
        <v>243.57</v>
      </c>
      <c r="AG289" s="19">
        <v>1542.53</v>
      </c>
      <c r="AH289" s="19">
        <v>434.91</v>
      </c>
      <c r="AI289" s="19">
        <v>116.48</v>
      </c>
      <c r="AJ289" s="19">
        <v>4619.42</v>
      </c>
      <c r="AK289" s="3">
        <f t="shared" si="43"/>
        <v>0</v>
      </c>
      <c r="AL289" s="3">
        <v>1</v>
      </c>
      <c r="AM289" s="3">
        <f t="shared" si="42"/>
        <v>0</v>
      </c>
    </row>
    <row r="290" spans="1:39">
      <c r="A290" s="7">
        <v>2013</v>
      </c>
      <c r="B290" s="7" t="s">
        <v>49</v>
      </c>
      <c r="C290" s="7">
        <v>0.35260097</v>
      </c>
      <c r="D290" s="7">
        <v>0.058546</v>
      </c>
      <c r="E290" s="7">
        <v>0.014508</v>
      </c>
      <c r="F290" s="7">
        <v>0.02711</v>
      </c>
      <c r="G290" s="7">
        <v>0.009861</v>
      </c>
      <c r="H290" s="7">
        <v>0.007068</v>
      </c>
      <c r="I290" s="7">
        <v>0.056379</v>
      </c>
      <c r="J290" s="7">
        <v>0.030456</v>
      </c>
      <c r="K290" s="16">
        <v>28480</v>
      </c>
      <c r="L290" s="17">
        <v>11270</v>
      </c>
      <c r="M290" s="16">
        <v>62474.79</v>
      </c>
      <c r="N290" s="7">
        <f t="shared" si="40"/>
        <v>2.52706299911269</v>
      </c>
      <c r="O290" s="7">
        <f t="shared" si="41"/>
        <v>0.455863877253529</v>
      </c>
      <c r="P290" s="8">
        <v>551488747.3</v>
      </c>
      <c r="Q290" s="8">
        <f t="shared" si="36"/>
        <v>0.882738056902632</v>
      </c>
      <c r="R290" s="9">
        <v>723.6</v>
      </c>
      <c r="S290" s="9">
        <v>750.9</v>
      </c>
      <c r="T290" s="9">
        <v>1641.4</v>
      </c>
      <c r="U290" s="9">
        <v>34053</v>
      </c>
      <c r="V290" s="18">
        <v>0</v>
      </c>
      <c r="W290" s="18">
        <v>1</v>
      </c>
      <c r="X290" s="18">
        <f t="shared" si="37"/>
        <v>0</v>
      </c>
      <c r="Y290" s="12">
        <f t="shared" si="38"/>
        <v>1.91398219724656</v>
      </c>
      <c r="Z290" s="12">
        <f t="shared" si="39"/>
        <v>0.53879505348977</v>
      </c>
      <c r="AA290" s="19">
        <v>28480</v>
      </c>
      <c r="AB290" s="19">
        <v>17106.78</v>
      </c>
      <c r="AC290" s="19">
        <v>585.02</v>
      </c>
      <c r="AD290" s="19">
        <v>4729.48</v>
      </c>
      <c r="AE290" s="19">
        <v>1070.6</v>
      </c>
      <c r="AF290" s="19">
        <v>260.31</v>
      </c>
      <c r="AG290" s="19">
        <v>1538.57</v>
      </c>
      <c r="AH290" s="19">
        <v>435.06</v>
      </c>
      <c r="AI290" s="19">
        <v>124.05</v>
      </c>
      <c r="AJ290" s="19">
        <v>4830.13</v>
      </c>
      <c r="AK290" s="3">
        <f t="shared" si="43"/>
        <v>1</v>
      </c>
      <c r="AL290" s="3">
        <v>1</v>
      </c>
      <c r="AM290" s="3">
        <f t="shared" si="42"/>
        <v>1</v>
      </c>
    </row>
    <row r="291" spans="1:39">
      <c r="A291" s="7">
        <v>2014</v>
      </c>
      <c r="B291" s="7" t="s">
        <v>49</v>
      </c>
      <c r="C291" s="7">
        <v>0.35346229</v>
      </c>
      <c r="D291" s="7">
        <v>0.059125</v>
      </c>
      <c r="E291" s="7">
        <v>0.014492</v>
      </c>
      <c r="F291" s="7">
        <v>0.026787</v>
      </c>
      <c r="G291" s="7">
        <v>0.008704</v>
      </c>
      <c r="H291" s="7">
        <v>0.009141</v>
      </c>
      <c r="I291" s="7">
        <v>0.056756</v>
      </c>
      <c r="J291" s="7">
        <v>0.028407</v>
      </c>
      <c r="K291" s="16">
        <v>29593</v>
      </c>
      <c r="L291" s="17">
        <v>11489</v>
      </c>
      <c r="M291" s="16">
        <v>67809.85</v>
      </c>
      <c r="N291" s="7">
        <f t="shared" si="40"/>
        <v>2.5757681260336</v>
      </c>
      <c r="O291" s="7">
        <f t="shared" si="41"/>
        <v>0.436411524284451</v>
      </c>
      <c r="P291" s="8">
        <v>552599118.1</v>
      </c>
      <c r="Q291" s="8">
        <f t="shared" si="36"/>
        <v>0.81492455461854</v>
      </c>
      <c r="R291" s="9">
        <v>793.2</v>
      </c>
      <c r="S291" s="9">
        <v>826.5</v>
      </c>
      <c r="T291" s="9">
        <v>1829.3</v>
      </c>
      <c r="U291" s="9">
        <v>37166</v>
      </c>
      <c r="V291" s="18">
        <v>0</v>
      </c>
      <c r="W291" s="18">
        <v>1</v>
      </c>
      <c r="X291" s="18">
        <f t="shared" si="37"/>
        <v>0</v>
      </c>
      <c r="Y291" s="12">
        <f t="shared" si="38"/>
        <v>1.79640226266579</v>
      </c>
      <c r="Z291" s="12">
        <f t="shared" si="39"/>
        <v>0.546357421411157</v>
      </c>
      <c r="AA291" s="19">
        <v>29593.26</v>
      </c>
      <c r="AB291" s="19">
        <v>17013.71</v>
      </c>
      <c r="AC291" s="19">
        <v>558.05</v>
      </c>
      <c r="AD291" s="19">
        <v>4765.76</v>
      </c>
      <c r="AE291" s="19">
        <v>1118.9</v>
      </c>
      <c r="AF291" s="19">
        <v>268.83</v>
      </c>
      <c r="AG291" s="19">
        <v>1575.28</v>
      </c>
      <c r="AH291" s="19">
        <v>418.8</v>
      </c>
      <c r="AI291" s="19">
        <v>133.83</v>
      </c>
      <c r="AJ291" s="19">
        <v>5235.23</v>
      </c>
      <c r="AK291" s="3">
        <f t="shared" si="43"/>
        <v>1</v>
      </c>
      <c r="AL291" s="3">
        <v>1</v>
      </c>
      <c r="AM291" s="3">
        <f t="shared" si="42"/>
        <v>1</v>
      </c>
    </row>
    <row r="292" spans="1:39">
      <c r="A292" s="7">
        <v>2015</v>
      </c>
      <c r="B292" s="7" t="s">
        <v>49</v>
      </c>
      <c r="C292" s="7">
        <v>0.37184471</v>
      </c>
      <c r="D292" s="7">
        <v>0.060444</v>
      </c>
      <c r="E292" s="7">
        <v>0.014741</v>
      </c>
      <c r="F292" s="7">
        <v>0.026996</v>
      </c>
      <c r="G292" s="7">
        <v>0.009477</v>
      </c>
      <c r="H292" s="7">
        <v>0.009229</v>
      </c>
      <c r="I292" s="7">
        <v>0.060354</v>
      </c>
      <c r="J292" s="7">
        <v>0.030941</v>
      </c>
      <c r="K292" s="16">
        <v>30117</v>
      </c>
      <c r="L292" s="17">
        <v>11678</v>
      </c>
      <c r="M292" s="16">
        <v>72812.55</v>
      </c>
      <c r="N292" s="7">
        <f t="shared" si="40"/>
        <v>2.57895187532112</v>
      </c>
      <c r="O292" s="7">
        <f t="shared" si="41"/>
        <v>0.413623750301287</v>
      </c>
      <c r="P292" s="8">
        <v>546850371.5</v>
      </c>
      <c r="Q292" s="8">
        <f t="shared" si="36"/>
        <v>0.751038621089359</v>
      </c>
      <c r="R292" s="9">
        <v>835.4</v>
      </c>
      <c r="S292" s="9">
        <v>882.9</v>
      </c>
      <c r="T292" s="9">
        <v>2016</v>
      </c>
      <c r="U292" s="9">
        <v>39704</v>
      </c>
      <c r="V292" s="18">
        <v>0</v>
      </c>
      <c r="W292" s="18">
        <v>1</v>
      </c>
      <c r="X292" s="18">
        <f t="shared" si="37"/>
        <v>0</v>
      </c>
      <c r="Y292" s="12">
        <f t="shared" si="38"/>
        <v>1.71577514742415</v>
      </c>
      <c r="Z292" s="12">
        <f t="shared" si="39"/>
        <v>0.562274449413213</v>
      </c>
      <c r="AA292" s="19">
        <v>30117</v>
      </c>
      <c r="AB292" s="19">
        <v>16587.32</v>
      </c>
      <c r="AC292" s="19">
        <v>543.02</v>
      </c>
      <c r="AD292" s="19">
        <v>4899.6</v>
      </c>
      <c r="AE292" s="19">
        <v>1229.09</v>
      </c>
      <c r="AF292" s="19">
        <v>275.02</v>
      </c>
      <c r="AG292" s="19">
        <v>1587.87</v>
      </c>
      <c r="AH292" s="19">
        <v>403.47</v>
      </c>
      <c r="AI292" s="19">
        <v>145.16</v>
      </c>
      <c r="AJ292" s="19">
        <v>5311</v>
      </c>
      <c r="AK292" s="3">
        <f t="shared" si="43"/>
        <v>1</v>
      </c>
      <c r="AL292" s="3">
        <v>1</v>
      </c>
      <c r="AM292" s="3">
        <f t="shared" si="42"/>
        <v>1</v>
      </c>
    </row>
    <row r="293" spans="1:39">
      <c r="A293" s="7">
        <v>2016</v>
      </c>
      <c r="B293" s="7" t="s">
        <v>49</v>
      </c>
      <c r="C293" s="7">
        <v>0.36878045</v>
      </c>
      <c r="D293" s="7">
        <v>0.058064</v>
      </c>
      <c r="E293" s="7">
        <v>0.015023</v>
      </c>
      <c r="F293" s="7">
        <v>0.026217</v>
      </c>
      <c r="G293" s="7">
        <v>0.009329</v>
      </c>
      <c r="H293" s="7">
        <v>0.007494</v>
      </c>
      <c r="I293" s="7">
        <v>0.061755</v>
      </c>
      <c r="J293" s="7">
        <v>0.03397</v>
      </c>
      <c r="K293" s="16">
        <v>31211</v>
      </c>
      <c r="L293" s="17">
        <v>11908</v>
      </c>
      <c r="M293" s="16">
        <v>80854.91</v>
      </c>
      <c r="N293" s="7">
        <f t="shared" si="40"/>
        <v>2.62101108498488</v>
      </c>
      <c r="O293" s="7">
        <f t="shared" si="41"/>
        <v>0.386012426456229</v>
      </c>
      <c r="P293" s="8">
        <v>549248208.2</v>
      </c>
      <c r="Q293" s="8">
        <f t="shared" si="36"/>
        <v>0.679300995078716</v>
      </c>
      <c r="R293" s="9">
        <v>924.7</v>
      </c>
      <c r="S293" s="9">
        <v>904</v>
      </c>
      <c r="T293" s="9">
        <v>2261.5</v>
      </c>
      <c r="U293" s="9">
        <v>43009</v>
      </c>
      <c r="V293" s="18">
        <v>0</v>
      </c>
      <c r="W293" s="18">
        <v>1</v>
      </c>
      <c r="X293" s="18">
        <f t="shared" si="37"/>
        <v>0</v>
      </c>
      <c r="Y293" s="12">
        <f t="shared" si="38"/>
        <v>1.62438398605541</v>
      </c>
      <c r="Z293" s="12">
        <f t="shared" si="39"/>
        <v>0.581810088679645</v>
      </c>
      <c r="AA293" s="19">
        <v>31211</v>
      </c>
      <c r="AB293" s="19">
        <v>16135.29</v>
      </c>
      <c r="AC293" s="19">
        <v>782.54</v>
      </c>
      <c r="AD293" s="19">
        <v>5044.45</v>
      </c>
      <c r="AE293" s="19">
        <v>1502.44</v>
      </c>
      <c r="AF293" s="19">
        <v>292.17</v>
      </c>
      <c r="AG293" s="19">
        <v>1676.09</v>
      </c>
      <c r="AH293" s="19">
        <v>456.88</v>
      </c>
      <c r="AI293" s="19">
        <v>167.79</v>
      </c>
      <c r="AJ293" s="19">
        <v>5610.13</v>
      </c>
      <c r="AK293" s="3">
        <f t="shared" si="43"/>
        <v>1</v>
      </c>
      <c r="AL293" s="3">
        <v>1</v>
      </c>
      <c r="AM293" s="3">
        <f t="shared" si="42"/>
        <v>1</v>
      </c>
    </row>
    <row r="294" spans="1:39">
      <c r="A294" s="7">
        <v>2017</v>
      </c>
      <c r="B294" s="7" t="s">
        <v>49</v>
      </c>
      <c r="C294" s="7">
        <v>0.38509051</v>
      </c>
      <c r="D294" s="7">
        <v>0.064584</v>
      </c>
      <c r="E294" s="7">
        <v>0.015478</v>
      </c>
      <c r="F294" s="7">
        <v>0.028274</v>
      </c>
      <c r="G294" s="7">
        <v>0.009767</v>
      </c>
      <c r="H294" s="7">
        <v>0.011065</v>
      </c>
      <c r="I294" s="7">
        <v>0.059057</v>
      </c>
      <c r="J294" s="7">
        <v>0.029006</v>
      </c>
      <c r="K294" s="16">
        <v>32309</v>
      </c>
      <c r="L294" s="17">
        <v>12141</v>
      </c>
      <c r="M294" s="16">
        <v>89705.23</v>
      </c>
      <c r="N294" s="7">
        <f t="shared" si="40"/>
        <v>2.66114817560333</v>
      </c>
      <c r="O294" s="7">
        <f t="shared" si="41"/>
        <v>0.360168520832063</v>
      </c>
      <c r="P294" s="8">
        <v>550581945</v>
      </c>
      <c r="Q294" s="8">
        <f t="shared" si="36"/>
        <v>0.613767943073107</v>
      </c>
      <c r="R294" s="9">
        <v>962.8</v>
      </c>
      <c r="S294" s="9">
        <v>996.4</v>
      </c>
      <c r="T294" s="9">
        <v>2538.4</v>
      </c>
      <c r="U294" s="9">
        <v>46631</v>
      </c>
      <c r="V294" s="18">
        <v>1</v>
      </c>
      <c r="W294" s="18">
        <v>1</v>
      </c>
      <c r="X294" s="18">
        <f t="shared" si="37"/>
        <v>1</v>
      </c>
      <c r="Y294" s="12">
        <f t="shared" si="38"/>
        <v>1.56738551218677</v>
      </c>
      <c r="Z294" s="12">
        <f t="shared" si="39"/>
        <v>0.608412902696289</v>
      </c>
      <c r="AA294" s="19">
        <v>32309</v>
      </c>
      <c r="AB294" s="19">
        <v>17172.1</v>
      </c>
      <c r="AC294" s="19">
        <v>940.96</v>
      </c>
      <c r="AD294" s="19">
        <v>5209.32</v>
      </c>
      <c r="AE294" s="19">
        <v>1529.91</v>
      </c>
      <c r="AF294" s="19">
        <v>299.89</v>
      </c>
      <c r="AG294" s="19">
        <v>1668.45</v>
      </c>
      <c r="AH294" s="19">
        <v>348.52</v>
      </c>
      <c r="AI294" s="19">
        <v>182.38</v>
      </c>
      <c r="AJ294" s="19">
        <v>5958.97</v>
      </c>
      <c r="AK294" s="3">
        <f t="shared" si="43"/>
        <v>1</v>
      </c>
      <c r="AL294" s="3">
        <v>1</v>
      </c>
      <c r="AM294" s="3">
        <f t="shared" si="42"/>
        <v>1</v>
      </c>
    </row>
    <row r="295" spans="1:39">
      <c r="A295" s="7">
        <v>2018</v>
      </c>
      <c r="B295" s="7" t="s">
        <v>49</v>
      </c>
      <c r="C295" s="7">
        <v>0.3874116</v>
      </c>
      <c r="D295" s="7">
        <v>0.062984</v>
      </c>
      <c r="E295" s="7">
        <v>0.015541</v>
      </c>
      <c r="F295" s="7">
        <v>0.028118</v>
      </c>
      <c r="G295" s="7">
        <v>0.009255</v>
      </c>
      <c r="H295" s="7">
        <v>0.010069</v>
      </c>
      <c r="I295" s="7">
        <v>0.062683</v>
      </c>
      <c r="J295" s="7">
        <v>0.03149</v>
      </c>
      <c r="K295" s="16">
        <v>33330</v>
      </c>
      <c r="L295" s="17">
        <v>12348</v>
      </c>
      <c r="M295" s="16">
        <v>97277.77</v>
      </c>
      <c r="N295" s="7">
        <f t="shared" si="40"/>
        <v>2.69922254616132</v>
      </c>
      <c r="O295" s="7">
        <f t="shared" si="41"/>
        <v>0.342627097640088</v>
      </c>
      <c r="P295" s="8">
        <v>571197916.6</v>
      </c>
      <c r="Q295" s="8">
        <f t="shared" si="36"/>
        <v>0.587182371265295</v>
      </c>
      <c r="R295" s="9">
        <v>986</v>
      </c>
      <c r="S295" s="9">
        <v>1053.1</v>
      </c>
      <c r="T295" s="9">
        <v>2871.6</v>
      </c>
      <c r="U295" s="9">
        <v>50263</v>
      </c>
      <c r="V295" s="18">
        <v>1</v>
      </c>
      <c r="W295" s="18">
        <v>1</v>
      </c>
      <c r="X295" s="18">
        <f t="shared" si="37"/>
        <v>1</v>
      </c>
      <c r="Y295" s="12">
        <f t="shared" si="38"/>
        <v>1.51591455826218</v>
      </c>
      <c r="Z295" s="12">
        <f t="shared" si="39"/>
        <v>0.612654705329545</v>
      </c>
      <c r="AA295" s="19">
        <v>33330</v>
      </c>
      <c r="AB295" s="19">
        <v>17067.51</v>
      </c>
      <c r="AC295" s="19">
        <v>933.17</v>
      </c>
      <c r="AD295" s="19">
        <v>5920.91</v>
      </c>
      <c r="AE295" s="19">
        <v>1555.09</v>
      </c>
      <c r="AF295" s="19">
        <v>306.49</v>
      </c>
      <c r="AG295" s="19">
        <v>1672.51</v>
      </c>
      <c r="AH295" s="19">
        <v>333.77</v>
      </c>
      <c r="AI295" s="19">
        <v>190.64</v>
      </c>
      <c r="AJ295" s="19">
        <v>6323.35</v>
      </c>
      <c r="AK295" s="3">
        <f t="shared" si="43"/>
        <v>1</v>
      </c>
      <c r="AL295" s="3">
        <v>1</v>
      </c>
      <c r="AM295" s="3">
        <f t="shared" si="42"/>
        <v>1</v>
      </c>
    </row>
    <row r="296" spans="1:39">
      <c r="A296" s="7">
        <v>2019</v>
      </c>
      <c r="B296" s="7" t="s">
        <v>49</v>
      </c>
      <c r="C296" s="7">
        <v>0.40664111</v>
      </c>
      <c r="D296" s="7">
        <v>0.064599</v>
      </c>
      <c r="E296" s="7">
        <v>0.016239</v>
      </c>
      <c r="F296" s="7">
        <v>0.02956</v>
      </c>
      <c r="G296" s="7">
        <v>0.009245</v>
      </c>
      <c r="H296" s="7">
        <v>0.009554</v>
      </c>
      <c r="I296" s="7">
        <v>0.06894</v>
      </c>
      <c r="J296" s="7">
        <v>0.033876</v>
      </c>
      <c r="K296" s="16">
        <v>34142</v>
      </c>
      <c r="L296" s="17">
        <v>12489</v>
      </c>
      <c r="M296" s="16">
        <v>107671.07</v>
      </c>
      <c r="N296" s="7">
        <f t="shared" si="40"/>
        <v>2.73376571382817</v>
      </c>
      <c r="O296" s="7">
        <f t="shared" si="41"/>
        <v>0.317095390618854</v>
      </c>
      <c r="P296" s="8">
        <v>579163582.4</v>
      </c>
      <c r="Q296" s="8">
        <f t="shared" si="36"/>
        <v>0.537900832972125</v>
      </c>
      <c r="R296" s="9">
        <v>1079</v>
      </c>
      <c r="S296" s="9">
        <v>1083.8</v>
      </c>
      <c r="T296" s="9">
        <v>3168.1</v>
      </c>
      <c r="U296" s="9">
        <v>53929</v>
      </c>
      <c r="V296" s="18">
        <v>1</v>
      </c>
      <c r="W296" s="18">
        <v>1</v>
      </c>
      <c r="X296" s="18">
        <f t="shared" si="37"/>
        <v>1</v>
      </c>
      <c r="Y296" s="12">
        <f t="shared" si="38"/>
        <v>1.5000536746505</v>
      </c>
      <c r="Z296" s="12">
        <f t="shared" si="39"/>
        <v>0.641412276065754</v>
      </c>
      <c r="AA296" s="19">
        <v>34142</v>
      </c>
      <c r="AB296" s="19">
        <v>16833.87</v>
      </c>
      <c r="AC296" s="19">
        <v>985.06</v>
      </c>
      <c r="AD296" s="19">
        <v>5632.08</v>
      </c>
      <c r="AE296" s="19">
        <v>1561.02</v>
      </c>
      <c r="AF296" s="19">
        <v>313.11</v>
      </c>
      <c r="AG296" s="19">
        <v>1672.22</v>
      </c>
      <c r="AH296" s="19">
        <v>346.25</v>
      </c>
      <c r="AI296" s="19">
        <v>206.18</v>
      </c>
      <c r="AJ296" s="19">
        <v>6695.85</v>
      </c>
      <c r="AK296" s="3">
        <f t="shared" si="43"/>
        <v>1</v>
      </c>
      <c r="AL296" s="3">
        <v>1</v>
      </c>
      <c r="AM296" s="3">
        <f t="shared" si="42"/>
        <v>1</v>
      </c>
    </row>
    <row r="297" spans="1:39">
      <c r="A297" s="7">
        <v>2020</v>
      </c>
      <c r="B297" s="7" t="s">
        <v>49</v>
      </c>
      <c r="C297" s="7">
        <v>0.42975288</v>
      </c>
      <c r="D297" s="7">
        <v>0.069715</v>
      </c>
      <c r="E297" s="7">
        <v>0.017071</v>
      </c>
      <c r="F297" s="7">
        <v>0.032009</v>
      </c>
      <c r="G297" s="7">
        <v>0.009493</v>
      </c>
      <c r="H297" s="7">
        <v>0.011143</v>
      </c>
      <c r="I297" s="7">
        <v>0.068221</v>
      </c>
      <c r="J297" s="7">
        <v>0.034714</v>
      </c>
      <c r="K297" s="16">
        <v>34502.9190924184</v>
      </c>
      <c r="L297" s="17">
        <v>12623.61</v>
      </c>
      <c r="M297" s="16">
        <v>110760.94</v>
      </c>
      <c r="N297" s="7">
        <f t="shared" si="40"/>
        <v>2.73320540577683</v>
      </c>
      <c r="O297" s="7">
        <f t="shared" si="41"/>
        <v>0.311508001759631</v>
      </c>
      <c r="P297" s="8">
        <v>600136315.5</v>
      </c>
      <c r="Q297" s="8">
        <f t="shared" si="36"/>
        <v>0.541830283762489</v>
      </c>
      <c r="R297" s="9">
        <v>1136</v>
      </c>
      <c r="S297" s="9">
        <v>1072.2</v>
      </c>
      <c r="T297" s="9">
        <v>3358</v>
      </c>
      <c r="U297" s="9">
        <v>55438</v>
      </c>
      <c r="V297" s="18">
        <v>1</v>
      </c>
      <c r="W297" s="18">
        <v>1</v>
      </c>
      <c r="X297" s="18">
        <f t="shared" si="37"/>
        <v>1</v>
      </c>
      <c r="Y297" s="12">
        <f t="shared" si="38"/>
        <v>1.47141701078949</v>
      </c>
      <c r="Z297" s="12">
        <f t="shared" si="39"/>
        <v>0.631762933424448</v>
      </c>
      <c r="AA297" s="19">
        <v>34502.92</v>
      </c>
      <c r="AB297" s="19">
        <v>16514.14</v>
      </c>
      <c r="AC297" s="19">
        <v>1011.69</v>
      </c>
      <c r="AD297" s="19">
        <v>6249.93</v>
      </c>
      <c r="AE297" s="19">
        <v>1506.78</v>
      </c>
      <c r="AF297" s="19">
        <v>280.06</v>
      </c>
      <c r="AG297" s="19">
        <v>1541.48</v>
      </c>
      <c r="AH297" s="19">
        <v>502.81</v>
      </c>
      <c r="AI297" s="19">
        <v>212.58</v>
      </c>
      <c r="AJ297" s="19">
        <v>6926</v>
      </c>
      <c r="AK297" s="3">
        <f t="shared" si="43"/>
        <v>1</v>
      </c>
      <c r="AL297" s="3">
        <v>1</v>
      </c>
      <c r="AM297" s="3">
        <f t="shared" si="42"/>
        <v>1</v>
      </c>
    </row>
    <row r="298" spans="1:39">
      <c r="A298" s="7">
        <v>2021</v>
      </c>
      <c r="B298" s="7" t="s">
        <v>49</v>
      </c>
      <c r="C298" s="7">
        <v>0.42810751</v>
      </c>
      <c r="D298" s="7">
        <v>0.067285</v>
      </c>
      <c r="E298" s="7">
        <v>0.016808</v>
      </c>
      <c r="F298" s="7">
        <v>0.030093</v>
      </c>
      <c r="G298" s="7">
        <v>0.010503</v>
      </c>
      <c r="H298" s="7">
        <v>0.009881</v>
      </c>
      <c r="I298" s="7">
        <v>0.069927</v>
      </c>
      <c r="J298" s="7">
        <v>0.036572</v>
      </c>
      <c r="K298" s="16">
        <v>36821.4212637047</v>
      </c>
      <c r="L298" s="17">
        <v>12684</v>
      </c>
      <c r="M298" s="16">
        <v>124369.7</v>
      </c>
      <c r="N298" s="7">
        <f t="shared" si="40"/>
        <v>2.90298180886981</v>
      </c>
      <c r="O298" s="7">
        <f t="shared" si="41"/>
        <v>0.296064244455882</v>
      </c>
      <c r="P298" s="8">
        <v>640403483.9</v>
      </c>
      <c r="Q298" s="8">
        <f t="shared" si="36"/>
        <v>0.514919215773617</v>
      </c>
      <c r="R298" s="9">
        <v>1254.4</v>
      </c>
      <c r="S298" s="9">
        <v>1240.8</v>
      </c>
      <c r="T298" s="9">
        <v>4008.8</v>
      </c>
      <c r="U298" s="9">
        <v>63991</v>
      </c>
      <c r="V298" s="18">
        <v>1</v>
      </c>
      <c r="W298" s="18">
        <v>1</v>
      </c>
      <c r="X298" s="18">
        <f t="shared" si="37"/>
        <v>1</v>
      </c>
      <c r="Y298" s="12">
        <f t="shared" si="38"/>
        <v>1.36781889095748</v>
      </c>
      <c r="Z298" s="12">
        <f t="shared" si="39"/>
        <v>0.62354722604162</v>
      </c>
      <c r="AA298" s="19">
        <v>36821.42</v>
      </c>
      <c r="AB298" s="19">
        <v>18962.99</v>
      </c>
      <c r="AC298" s="19">
        <v>932.44</v>
      </c>
      <c r="AD298" s="19">
        <v>6783.97</v>
      </c>
      <c r="AE298" s="19">
        <v>1269.76</v>
      </c>
      <c r="AF298" s="19">
        <v>365.16</v>
      </c>
      <c r="AG298" s="19">
        <v>1363.02</v>
      </c>
      <c r="AH298" s="19">
        <v>605.11</v>
      </c>
      <c r="AI298" s="19">
        <v>285.46</v>
      </c>
      <c r="AJ298" s="19">
        <v>7867</v>
      </c>
      <c r="AK298" s="3">
        <f t="shared" si="43"/>
        <v>1</v>
      </c>
      <c r="AL298" s="3">
        <v>1</v>
      </c>
      <c r="AM298" s="3">
        <f t="shared" si="42"/>
        <v>1</v>
      </c>
    </row>
    <row r="299" spans="1:39">
      <c r="A299" s="7">
        <v>2022</v>
      </c>
      <c r="B299" s="7" t="s">
        <v>49</v>
      </c>
      <c r="C299" s="7">
        <v>0.43880348</v>
      </c>
      <c r="D299" s="7">
        <v>0.069791</v>
      </c>
      <c r="E299" s="7">
        <v>0.01798</v>
      </c>
      <c r="F299" s="7">
        <v>0.031128</v>
      </c>
      <c r="G299" s="7">
        <v>0.010755</v>
      </c>
      <c r="H299" s="7">
        <v>0.009928</v>
      </c>
      <c r="I299" s="7">
        <v>0.07208</v>
      </c>
      <c r="J299" s="7">
        <v>0.035671</v>
      </c>
      <c r="K299" s="16">
        <v>36519.0536939061</v>
      </c>
      <c r="L299" s="17">
        <v>12657</v>
      </c>
      <c r="M299" s="16">
        <v>129118.6</v>
      </c>
      <c r="N299" s="7">
        <f t="shared" si="40"/>
        <v>2.88528511447469</v>
      </c>
      <c r="O299" s="7">
        <f t="shared" si="41"/>
        <v>0.282833408152707</v>
      </c>
      <c r="P299" s="8">
        <v>636098873.6</v>
      </c>
      <c r="Q299" s="8">
        <f t="shared" si="36"/>
        <v>0.492646972318473</v>
      </c>
      <c r="R299" s="9">
        <v>1417.9</v>
      </c>
      <c r="S299" s="9">
        <v>1308.7</v>
      </c>
      <c r="T299" s="9">
        <v>4163.1</v>
      </c>
      <c r="U299" s="9">
        <v>67314</v>
      </c>
      <c r="V299" s="18">
        <v>1</v>
      </c>
      <c r="W299" s="18">
        <v>1</v>
      </c>
      <c r="X299" s="18">
        <f t="shared" si="37"/>
        <v>1</v>
      </c>
      <c r="Y299" s="12">
        <f t="shared" si="38"/>
        <v>1.27047633725244</v>
      </c>
      <c r="Z299" s="12">
        <f t="shared" si="39"/>
        <v>0.612234436901136</v>
      </c>
      <c r="AA299" s="19">
        <v>36519.05</v>
      </c>
      <c r="AB299" s="19">
        <v>18628.88</v>
      </c>
      <c r="AC299" s="19">
        <v>1075.28</v>
      </c>
      <c r="AD299" s="19">
        <v>6634.04</v>
      </c>
      <c r="AE299" s="19">
        <v>1031.4</v>
      </c>
      <c r="AF299" s="19">
        <v>334.89</v>
      </c>
      <c r="AG299" s="19">
        <v>1098.04</v>
      </c>
      <c r="AH299" s="19">
        <v>533.65</v>
      </c>
      <c r="AI299" s="19">
        <v>295.69</v>
      </c>
      <c r="AJ299" s="19">
        <v>7870.34</v>
      </c>
      <c r="AK299" s="3">
        <f t="shared" si="43"/>
        <v>1</v>
      </c>
      <c r="AL299" s="3">
        <v>1</v>
      </c>
      <c r="AM299" s="3">
        <f t="shared" si="42"/>
        <v>1</v>
      </c>
    </row>
    <row r="300" spans="1:39">
      <c r="A300" s="7">
        <v>2023</v>
      </c>
      <c r="B300" s="7" t="s">
        <v>49</v>
      </c>
      <c r="C300" s="7">
        <v>0.59991677</v>
      </c>
      <c r="D300" s="7">
        <v>0.079717</v>
      </c>
      <c r="E300" s="7">
        <v>0.026572</v>
      </c>
      <c r="F300" s="7">
        <v>0.039582</v>
      </c>
      <c r="G300" s="7">
        <v>0.018427</v>
      </c>
      <c r="H300" s="7">
        <v>0.017396</v>
      </c>
      <c r="I300" s="7">
        <v>0.081653</v>
      </c>
      <c r="J300" s="7">
        <v>0.042189</v>
      </c>
      <c r="K300" s="16">
        <v>41046.27</v>
      </c>
      <c r="L300" s="17">
        <v>12706</v>
      </c>
      <c r="M300" s="16">
        <v>135673.2</v>
      </c>
      <c r="N300" s="7">
        <f t="shared" si="40"/>
        <v>3.23046356052259</v>
      </c>
      <c r="O300" s="7">
        <f t="shared" si="41"/>
        <v>0.302537789334961</v>
      </c>
      <c r="P300" s="8">
        <v>678789432.5</v>
      </c>
      <c r="Q300" s="8">
        <f t="shared" si="36"/>
        <v>0.500312097378111</v>
      </c>
      <c r="R300" s="9">
        <v>1507.4</v>
      </c>
      <c r="S300" s="9">
        <v>1448.5</v>
      </c>
      <c r="T300" s="9">
        <v>4595.3</v>
      </c>
      <c r="U300" s="9">
        <v>72958</v>
      </c>
      <c r="V300" s="18">
        <v>1</v>
      </c>
      <c r="W300" s="18">
        <v>1</v>
      </c>
      <c r="X300" s="18">
        <f t="shared" si="37"/>
        <v>1</v>
      </c>
      <c r="Y300" s="12">
        <f t="shared" si="38"/>
        <v>1.2756783895882</v>
      </c>
      <c r="Z300" s="12">
        <f t="shared" si="39"/>
        <v>0.607807029215555</v>
      </c>
      <c r="AA300" s="12"/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3">
        <f t="shared" si="43"/>
        <v>1</v>
      </c>
      <c r="AL300" s="3">
        <v>1</v>
      </c>
      <c r="AM300" s="3">
        <f t="shared" si="42"/>
        <v>1</v>
      </c>
    </row>
    <row r="301" spans="1:39">
      <c r="A301" s="7">
        <v>2024</v>
      </c>
      <c r="B301" s="7" t="s">
        <v>49</v>
      </c>
      <c r="C301" s="7">
        <v>0.66324554</v>
      </c>
      <c r="D301" s="7">
        <v>0.083694</v>
      </c>
      <c r="E301" s="7">
        <v>0.029911</v>
      </c>
      <c r="F301" s="7">
        <v>0.042593</v>
      </c>
      <c r="G301" s="7">
        <v>0.021632</v>
      </c>
      <c r="H301" s="7">
        <v>0.020036</v>
      </c>
      <c r="I301" s="7">
        <v>0.086193</v>
      </c>
      <c r="J301" s="7">
        <v>0.044823</v>
      </c>
      <c r="K301" s="16">
        <v>42793</v>
      </c>
      <c r="L301" s="17">
        <v>12780</v>
      </c>
      <c r="M301" s="16">
        <v>141633.8</v>
      </c>
      <c r="N301" s="7">
        <f t="shared" si="40"/>
        <v>3.34843505477308</v>
      </c>
      <c r="O301" s="7">
        <f t="shared" si="41"/>
        <v>0.302138331386999</v>
      </c>
      <c r="P301" s="8">
        <v>694945427.1</v>
      </c>
      <c r="Q301" s="8">
        <f t="shared" si="36"/>
        <v>0.490663547190007</v>
      </c>
      <c r="R301" s="9">
        <v>1627.6</v>
      </c>
      <c r="S301" s="9">
        <v>1497.9</v>
      </c>
      <c r="T301" s="9">
        <v>4810.1</v>
      </c>
      <c r="U301" s="9">
        <v>75903</v>
      </c>
      <c r="V301" s="18">
        <v>1</v>
      </c>
      <c r="W301" s="18">
        <v>1</v>
      </c>
      <c r="X301" s="18">
        <f t="shared" si="37"/>
        <v>1</v>
      </c>
      <c r="Y301" s="12">
        <f t="shared" si="38"/>
        <v>1.21200651315194</v>
      </c>
      <c r="Z301" s="12">
        <f t="shared" si="39"/>
        <v>0.595164265319013</v>
      </c>
      <c r="AA301" s="12"/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3">
        <f t="shared" si="43"/>
        <v>1</v>
      </c>
      <c r="AL301" s="3">
        <v>1</v>
      </c>
      <c r="AM301" s="3">
        <f t="shared" si="42"/>
        <v>1</v>
      </c>
    </row>
    <row r="302" spans="1:39">
      <c r="A302" s="7">
        <v>2000</v>
      </c>
      <c r="B302" s="7" t="s">
        <v>50</v>
      </c>
      <c r="C302" s="7">
        <v>0.16013576</v>
      </c>
      <c r="D302" s="7">
        <v>0.031137</v>
      </c>
      <c r="E302" s="7">
        <v>0.00763</v>
      </c>
      <c r="F302" s="7">
        <v>0.013972</v>
      </c>
      <c r="G302" s="7">
        <v>0.004852</v>
      </c>
      <c r="H302" s="7">
        <v>0.004684</v>
      </c>
      <c r="I302" s="7">
        <v>0.028411</v>
      </c>
      <c r="J302" s="7">
        <v>0.01472</v>
      </c>
      <c r="K302" s="16">
        <v>2669</v>
      </c>
      <c r="L302" s="17">
        <v>4751</v>
      </c>
      <c r="M302" s="16">
        <v>2050.14</v>
      </c>
      <c r="N302" s="7">
        <f t="shared" ref="N283:N365" si="44">K302/L302</f>
        <v>0.561776468111976</v>
      </c>
      <c r="O302" s="7">
        <f t="shared" ref="O283:O365" si="45">K302/M302</f>
        <v>1.30186231184212</v>
      </c>
      <c r="P302" s="8">
        <v>94473812.5</v>
      </c>
      <c r="Q302" s="8">
        <f t="shared" si="36"/>
        <v>4.60816395465676</v>
      </c>
      <c r="R302" s="9">
        <v>491.7</v>
      </c>
      <c r="S302" s="9">
        <v>2336.1</v>
      </c>
      <c r="T302" s="9">
        <v>1841.2</v>
      </c>
      <c r="U302" s="9">
        <v>11177</v>
      </c>
      <c r="V302" s="18">
        <v>0</v>
      </c>
      <c r="W302" s="18">
        <v>0</v>
      </c>
      <c r="X302" s="18">
        <f t="shared" si="37"/>
        <v>0</v>
      </c>
      <c r="Y302" s="12">
        <f t="shared" si="38"/>
        <v>4.53658228674969</v>
      </c>
      <c r="Z302" s="12">
        <f t="shared" si="39"/>
        <v>0</v>
      </c>
      <c r="AA302" s="19">
        <v>2669.34</v>
      </c>
      <c r="AB302" s="19">
        <v>2228.43</v>
      </c>
      <c r="AC302" s="19">
        <v>158.61</v>
      </c>
      <c r="AD302" s="19">
        <v>61.41</v>
      </c>
      <c r="AE302" s="19">
        <v>65.87</v>
      </c>
      <c r="AF302" s="19">
        <v>3.79</v>
      </c>
      <c r="AG302" s="19">
        <v>147.44</v>
      </c>
      <c r="AH302" s="19">
        <v>7.67</v>
      </c>
      <c r="AI302" s="12">
        <v>0</v>
      </c>
      <c r="AJ302" s="19">
        <v>314.44</v>
      </c>
      <c r="AK302" s="3">
        <f t="shared" si="43"/>
        <v>0</v>
      </c>
      <c r="AL302" s="3">
        <v>0</v>
      </c>
      <c r="AM302" s="3">
        <f t="shared" si="42"/>
        <v>0</v>
      </c>
    </row>
    <row r="303" spans="1:39">
      <c r="A303" s="7">
        <v>2001</v>
      </c>
      <c r="B303" s="7" t="s">
        <v>50</v>
      </c>
      <c r="C303" s="7">
        <v>0.17675464</v>
      </c>
      <c r="D303" s="7">
        <v>0.033357</v>
      </c>
      <c r="E303" s="7">
        <v>0.008496</v>
      </c>
      <c r="F303" s="7">
        <v>0.014804</v>
      </c>
      <c r="G303" s="7">
        <v>0.004513</v>
      </c>
      <c r="H303" s="7">
        <v>0.005544</v>
      </c>
      <c r="I303" s="7">
        <v>0.031345</v>
      </c>
      <c r="J303" s="7">
        <v>0.015761</v>
      </c>
      <c r="K303" s="16">
        <v>2700.97124517059</v>
      </c>
      <c r="L303" s="17">
        <v>4788</v>
      </c>
      <c r="M303" s="16">
        <v>2279.34</v>
      </c>
      <c r="N303" s="7">
        <f t="shared" si="44"/>
        <v>0.564112624304634</v>
      </c>
      <c r="O303" s="7">
        <f t="shared" si="45"/>
        <v>1.18497953143041</v>
      </c>
      <c r="P303" s="8">
        <v>98959357.99</v>
      </c>
      <c r="Q303" s="8">
        <f t="shared" si="36"/>
        <v>4.34157949187045</v>
      </c>
      <c r="R303" s="9">
        <v>530.7</v>
      </c>
      <c r="S303" s="9">
        <v>2431.5</v>
      </c>
      <c r="T303" s="9">
        <v>2070.9</v>
      </c>
      <c r="U303" s="9">
        <v>12015</v>
      </c>
      <c r="V303" s="18">
        <v>0</v>
      </c>
      <c r="W303" s="18">
        <v>0</v>
      </c>
      <c r="X303" s="18">
        <f t="shared" si="37"/>
        <v>0</v>
      </c>
      <c r="Y303" s="12">
        <f t="shared" si="38"/>
        <v>4.16809156222866</v>
      </c>
      <c r="Z303" s="12">
        <f t="shared" si="39"/>
        <v>0</v>
      </c>
      <c r="AA303" s="19">
        <v>2669</v>
      </c>
      <c r="AB303" s="19">
        <v>2228</v>
      </c>
      <c r="AC303" s="19">
        <v>158.61</v>
      </c>
      <c r="AD303" s="19">
        <v>61.41</v>
      </c>
      <c r="AE303" s="19">
        <v>65.87</v>
      </c>
      <c r="AF303" s="19">
        <v>3.79</v>
      </c>
      <c r="AG303" s="19">
        <v>147.44</v>
      </c>
      <c r="AH303" s="19">
        <v>7.67</v>
      </c>
      <c r="AI303" s="12">
        <v>0</v>
      </c>
      <c r="AJ303" s="19">
        <v>322.02</v>
      </c>
      <c r="AK303" s="3">
        <f t="shared" si="43"/>
        <v>0</v>
      </c>
      <c r="AL303" s="3">
        <v>0</v>
      </c>
      <c r="AM303" s="3">
        <f t="shared" si="42"/>
        <v>0</v>
      </c>
    </row>
    <row r="304" spans="1:39">
      <c r="A304" s="7">
        <v>2002</v>
      </c>
      <c r="B304" s="7" t="s">
        <v>50</v>
      </c>
      <c r="C304" s="7">
        <v>0.19732957</v>
      </c>
      <c r="D304" s="7">
        <v>0.036108</v>
      </c>
      <c r="E304" s="7">
        <v>0.009518</v>
      </c>
      <c r="F304" s="7">
        <v>0.015706</v>
      </c>
      <c r="G304" s="7">
        <v>0.00566</v>
      </c>
      <c r="H304" s="7">
        <v>0.005224</v>
      </c>
      <c r="I304" s="7">
        <v>0.0351</v>
      </c>
      <c r="J304" s="7">
        <v>0.017136</v>
      </c>
      <c r="K304" s="16">
        <v>2778.58434388278</v>
      </c>
      <c r="L304" s="17">
        <v>4822</v>
      </c>
      <c r="M304" s="16">
        <v>2523.73</v>
      </c>
      <c r="N304" s="7">
        <f t="shared" si="44"/>
        <v>0.5762306810209</v>
      </c>
      <c r="O304" s="7">
        <f t="shared" si="45"/>
        <v>1.10098320497152</v>
      </c>
      <c r="P304" s="8">
        <v>104287209.4</v>
      </c>
      <c r="Q304" s="8">
        <f t="shared" si="36"/>
        <v>4.132264917404</v>
      </c>
      <c r="R304" s="9">
        <v>574.1</v>
      </c>
      <c r="S304" s="9">
        <v>2599.7</v>
      </c>
      <c r="T304" s="9">
        <v>2284.4</v>
      </c>
      <c r="U304" s="9">
        <v>13000</v>
      </c>
      <c r="V304" s="18">
        <v>0</v>
      </c>
      <c r="W304" s="18">
        <v>0</v>
      </c>
      <c r="X304" s="18">
        <f t="shared" si="37"/>
        <v>0</v>
      </c>
      <c r="Y304" s="12">
        <f t="shared" si="38"/>
        <v>4.06804884448575</v>
      </c>
      <c r="Z304" s="12">
        <f t="shared" si="39"/>
        <v>0</v>
      </c>
      <c r="AA304" s="19">
        <v>3120</v>
      </c>
      <c r="AB304" s="19">
        <v>2133</v>
      </c>
      <c r="AC304" s="19">
        <v>177.15</v>
      </c>
      <c r="AD304" s="19">
        <v>70.24</v>
      </c>
      <c r="AE304" s="19">
        <v>84.37</v>
      </c>
      <c r="AF304" s="19">
        <v>11.17</v>
      </c>
      <c r="AG304" s="19">
        <v>214.48</v>
      </c>
      <c r="AH304" s="19">
        <v>13.13</v>
      </c>
      <c r="AI304" s="12">
        <v>0</v>
      </c>
      <c r="AJ304" s="19">
        <v>356.95</v>
      </c>
      <c r="AK304" s="3">
        <f t="shared" si="43"/>
        <v>0</v>
      </c>
      <c r="AL304" s="3">
        <v>0</v>
      </c>
      <c r="AM304" s="3">
        <f t="shared" si="42"/>
        <v>0</v>
      </c>
    </row>
    <row r="305" spans="1:39">
      <c r="A305" s="7">
        <v>2003</v>
      </c>
      <c r="B305" s="7" t="s">
        <v>50</v>
      </c>
      <c r="C305" s="7">
        <v>0.21334859</v>
      </c>
      <c r="D305" s="7">
        <v>0.037455</v>
      </c>
      <c r="E305" s="7">
        <v>0.009093</v>
      </c>
      <c r="F305" s="7">
        <v>0.017122</v>
      </c>
      <c r="G305" s="7">
        <v>0.006059</v>
      </c>
      <c r="H305" s="7">
        <v>0.005181</v>
      </c>
      <c r="I305" s="7">
        <v>0.040573</v>
      </c>
      <c r="J305" s="7">
        <v>0.018561</v>
      </c>
      <c r="K305" s="16">
        <v>3187.66286873154</v>
      </c>
      <c r="L305" s="17">
        <v>4857</v>
      </c>
      <c r="M305" s="16">
        <v>2821.11</v>
      </c>
      <c r="N305" s="7">
        <f t="shared" si="44"/>
        <v>0.656302834822224</v>
      </c>
      <c r="O305" s="7">
        <f t="shared" si="45"/>
        <v>1.12993214328103</v>
      </c>
      <c r="P305" s="8">
        <v>119760070.2</v>
      </c>
      <c r="Q305" s="8">
        <f t="shared" si="36"/>
        <v>4.24514004062231</v>
      </c>
      <c r="R305" s="9">
        <v>598.1</v>
      </c>
      <c r="S305" s="9">
        <v>2841</v>
      </c>
      <c r="T305" s="9">
        <v>2467.3</v>
      </c>
      <c r="U305" s="9">
        <v>14041</v>
      </c>
      <c r="V305" s="18">
        <v>0</v>
      </c>
      <c r="W305" s="18">
        <v>0</v>
      </c>
      <c r="X305" s="18">
        <f t="shared" si="37"/>
        <v>0</v>
      </c>
      <c r="Y305" s="12">
        <f t="shared" si="38"/>
        <v>4.08414499624993</v>
      </c>
      <c r="Z305" s="12">
        <f t="shared" si="39"/>
        <v>0</v>
      </c>
      <c r="AA305" s="19">
        <v>3523.26</v>
      </c>
      <c r="AB305" s="19">
        <v>2621.46</v>
      </c>
      <c r="AC305" s="19">
        <v>194.2</v>
      </c>
      <c r="AD305" s="19">
        <v>73.19</v>
      </c>
      <c r="AE305" s="19">
        <v>116.7</v>
      </c>
      <c r="AF305" s="19">
        <v>10.43</v>
      </c>
      <c r="AG305" s="19">
        <v>217.73</v>
      </c>
      <c r="AH305" s="19">
        <v>20.85</v>
      </c>
      <c r="AI305" s="12">
        <v>0</v>
      </c>
      <c r="AJ305" s="19">
        <v>414.93</v>
      </c>
      <c r="AK305" s="3">
        <f t="shared" si="43"/>
        <v>0</v>
      </c>
      <c r="AL305" s="3">
        <v>0</v>
      </c>
      <c r="AM305" s="3">
        <f t="shared" si="42"/>
        <v>0</v>
      </c>
    </row>
    <row r="306" spans="1:39">
      <c r="A306" s="7">
        <v>2004</v>
      </c>
      <c r="B306" s="7" t="s">
        <v>50</v>
      </c>
      <c r="C306" s="7">
        <v>0.21413752</v>
      </c>
      <c r="D306" s="7">
        <v>0.038576</v>
      </c>
      <c r="E306" s="7">
        <v>0.009988</v>
      </c>
      <c r="F306" s="7">
        <v>0.017672</v>
      </c>
      <c r="G306" s="7">
        <v>0.005617</v>
      </c>
      <c r="H306" s="7">
        <v>0.005298</v>
      </c>
      <c r="I306" s="7">
        <v>0.038349</v>
      </c>
      <c r="J306" s="7">
        <v>0.018731</v>
      </c>
      <c r="K306" s="16">
        <v>4014.5605939714</v>
      </c>
      <c r="L306" s="17">
        <v>4889</v>
      </c>
      <c r="M306" s="16">
        <v>3433.5</v>
      </c>
      <c r="N306" s="7">
        <f t="shared" si="44"/>
        <v>0.821141459188259</v>
      </c>
      <c r="O306" s="7">
        <f t="shared" si="45"/>
        <v>1.16923273451912</v>
      </c>
      <c r="P306" s="8">
        <v>147148200.7</v>
      </c>
      <c r="Q306" s="8">
        <f t="shared" si="36"/>
        <v>4.28566188146206</v>
      </c>
      <c r="R306" s="9">
        <v>774.4</v>
      </c>
      <c r="S306" s="9">
        <v>2957.8</v>
      </c>
      <c r="T306" s="9">
        <v>2737.6</v>
      </c>
      <c r="U306" s="9">
        <v>15355</v>
      </c>
      <c r="V306" s="18">
        <v>0</v>
      </c>
      <c r="W306" s="18">
        <v>0</v>
      </c>
      <c r="X306" s="18">
        <f t="shared" si="37"/>
        <v>0</v>
      </c>
      <c r="Y306" s="12">
        <f t="shared" si="38"/>
        <v>3.89549779892895</v>
      </c>
      <c r="Z306" s="12">
        <f t="shared" si="39"/>
        <v>0</v>
      </c>
      <c r="AA306" s="19">
        <v>4203.28</v>
      </c>
      <c r="AB306" s="19">
        <v>3366.71</v>
      </c>
      <c r="AC306" s="19">
        <v>344.16</v>
      </c>
      <c r="AD306" s="19">
        <v>82.36</v>
      </c>
      <c r="AE306" s="19">
        <v>129</v>
      </c>
      <c r="AF306" s="19">
        <v>5.05</v>
      </c>
      <c r="AG306" s="19">
        <v>286.66</v>
      </c>
      <c r="AH306" s="19">
        <v>29.63</v>
      </c>
      <c r="AI306" s="19">
        <v>0.02</v>
      </c>
      <c r="AJ306" s="19">
        <v>456.86</v>
      </c>
      <c r="AK306" s="3">
        <f t="shared" si="43"/>
        <v>0</v>
      </c>
      <c r="AL306" s="3">
        <v>0</v>
      </c>
      <c r="AM306" s="3">
        <f t="shared" si="42"/>
        <v>0</v>
      </c>
    </row>
    <row r="307" spans="1:39">
      <c r="A307" s="7">
        <v>2005</v>
      </c>
      <c r="B307" s="7" t="s">
        <v>50</v>
      </c>
      <c r="C307" s="7">
        <v>0.24285763</v>
      </c>
      <c r="D307" s="7">
        <v>0.042191</v>
      </c>
      <c r="E307" s="7">
        <v>0.010728</v>
      </c>
      <c r="F307" s="7">
        <v>0.018379</v>
      </c>
      <c r="G307" s="7">
        <v>0.006993</v>
      </c>
      <c r="H307" s="7">
        <v>0.00609</v>
      </c>
      <c r="I307" s="7">
        <v>0.040158</v>
      </c>
      <c r="J307" s="7">
        <v>0.021897</v>
      </c>
      <c r="K307" s="16">
        <v>4536.73675107732</v>
      </c>
      <c r="L307" s="17">
        <v>4660</v>
      </c>
      <c r="M307" s="16">
        <v>3984.1</v>
      </c>
      <c r="N307" s="7">
        <f t="shared" si="44"/>
        <v>0.973548659029468</v>
      </c>
      <c r="O307" s="7">
        <f t="shared" si="45"/>
        <v>1.13871056225429</v>
      </c>
      <c r="P307" s="8">
        <v>166242173.8</v>
      </c>
      <c r="Q307" s="8">
        <f t="shared" si="36"/>
        <v>4.17264059135062</v>
      </c>
      <c r="R307" s="9">
        <v>854.4</v>
      </c>
      <c r="S307" s="9">
        <v>3443.9</v>
      </c>
      <c r="T307" s="9">
        <v>2962.5</v>
      </c>
      <c r="U307" s="9">
        <v>17210</v>
      </c>
      <c r="V307" s="18">
        <v>0</v>
      </c>
      <c r="W307" s="18">
        <v>0</v>
      </c>
      <c r="X307" s="18">
        <f t="shared" si="37"/>
        <v>0</v>
      </c>
      <c r="Y307" s="12">
        <f t="shared" si="38"/>
        <v>3.71995059106252</v>
      </c>
      <c r="Z307" s="12">
        <f t="shared" si="39"/>
        <v>0</v>
      </c>
      <c r="AA307" s="19">
        <v>4980.6</v>
      </c>
      <c r="AB307" s="19">
        <v>3733.99</v>
      </c>
      <c r="AC307" s="19">
        <v>441.95</v>
      </c>
      <c r="AD307" s="19">
        <v>97.71</v>
      </c>
      <c r="AE307" s="19">
        <v>146.48</v>
      </c>
      <c r="AF307" s="19">
        <v>7</v>
      </c>
      <c r="AG307" s="19">
        <v>327.99</v>
      </c>
      <c r="AH307" s="19">
        <v>32.96</v>
      </c>
      <c r="AI307" s="19">
        <v>1.12</v>
      </c>
      <c r="AJ307" s="19">
        <v>510.15</v>
      </c>
      <c r="AK307" s="3">
        <f t="shared" si="43"/>
        <v>0</v>
      </c>
      <c r="AL307" s="3">
        <v>0</v>
      </c>
      <c r="AM307" s="3">
        <f t="shared" si="42"/>
        <v>0</v>
      </c>
    </row>
    <row r="308" spans="1:39">
      <c r="A308" s="7">
        <v>2006</v>
      </c>
      <c r="B308" s="7" t="s">
        <v>50</v>
      </c>
      <c r="C308" s="7">
        <v>0.24427401</v>
      </c>
      <c r="D308" s="7">
        <v>0.043856</v>
      </c>
      <c r="E308" s="7">
        <v>0.010672</v>
      </c>
      <c r="F308" s="7">
        <v>0.019662</v>
      </c>
      <c r="G308" s="7">
        <v>0.006892</v>
      </c>
      <c r="H308" s="7">
        <v>0.00663</v>
      </c>
      <c r="I308" s="7">
        <v>0.039067</v>
      </c>
      <c r="J308" s="7">
        <v>0.020611</v>
      </c>
      <c r="K308" s="16">
        <v>5022.95</v>
      </c>
      <c r="L308" s="17">
        <v>4719</v>
      </c>
      <c r="M308" s="16">
        <v>4746.16</v>
      </c>
      <c r="N308" s="7">
        <f t="shared" si="44"/>
        <v>1.06440983259165</v>
      </c>
      <c r="O308" s="7">
        <f t="shared" si="45"/>
        <v>1.05831872503245</v>
      </c>
      <c r="P308" s="8">
        <v>177916965.8</v>
      </c>
      <c r="Q308" s="8">
        <f t="shared" si="36"/>
        <v>3.74865082087414</v>
      </c>
      <c r="R308" s="9">
        <v>908.6</v>
      </c>
      <c r="S308" s="9">
        <v>4060.7</v>
      </c>
      <c r="T308" s="9">
        <v>3421.1</v>
      </c>
      <c r="U308" s="9">
        <v>19760</v>
      </c>
      <c r="V308" s="18">
        <v>0</v>
      </c>
      <c r="W308" s="18">
        <v>0</v>
      </c>
      <c r="X308" s="18">
        <f t="shared" si="37"/>
        <v>0</v>
      </c>
      <c r="Y308" s="12">
        <f t="shared" si="38"/>
        <v>3.57740717995078</v>
      </c>
      <c r="Z308" s="12">
        <f t="shared" si="39"/>
        <v>0</v>
      </c>
      <c r="AA308" s="19">
        <v>5514.69</v>
      </c>
      <c r="AB308" s="19">
        <v>4172.86</v>
      </c>
      <c r="AC308" s="19">
        <v>451.26</v>
      </c>
      <c r="AD308" s="19">
        <v>118.21</v>
      </c>
      <c r="AE308" s="19">
        <v>183.65</v>
      </c>
      <c r="AF308" s="12">
        <v>0</v>
      </c>
      <c r="AG308" s="19">
        <v>333.91</v>
      </c>
      <c r="AH308" s="19">
        <v>24.07</v>
      </c>
      <c r="AI308" s="19">
        <v>1.22</v>
      </c>
      <c r="AJ308" s="19">
        <v>579.46</v>
      </c>
      <c r="AK308" s="3">
        <f t="shared" si="43"/>
        <v>0</v>
      </c>
      <c r="AL308" s="3">
        <v>0</v>
      </c>
      <c r="AM308" s="3">
        <f t="shared" si="42"/>
        <v>0</v>
      </c>
    </row>
    <row r="309" spans="1:39">
      <c r="A309" s="7">
        <v>2007</v>
      </c>
      <c r="B309" s="7" t="s">
        <v>50</v>
      </c>
      <c r="C309" s="7">
        <v>0.25872537</v>
      </c>
      <c r="D309" s="7">
        <v>0.046289</v>
      </c>
      <c r="E309" s="7">
        <v>0.01175</v>
      </c>
      <c r="F309" s="7">
        <v>0.021219</v>
      </c>
      <c r="G309" s="7">
        <v>0.007313</v>
      </c>
      <c r="H309" s="7">
        <v>0.006007</v>
      </c>
      <c r="I309" s="7">
        <v>0.041414</v>
      </c>
      <c r="J309" s="7">
        <v>0.021933</v>
      </c>
      <c r="K309" s="16">
        <v>5588.61</v>
      </c>
      <c r="L309" s="17">
        <v>4768</v>
      </c>
      <c r="M309" s="16">
        <v>5823.41</v>
      </c>
      <c r="N309" s="7">
        <f t="shared" si="44"/>
        <v>1.17210780201342</v>
      </c>
      <c r="O309" s="7">
        <f t="shared" si="45"/>
        <v>0.959679981316789</v>
      </c>
      <c r="P309" s="8">
        <v>212474897</v>
      </c>
      <c r="Q309" s="8">
        <f t="shared" si="36"/>
        <v>3.64863365279106</v>
      </c>
      <c r="R309" s="9">
        <v>1077.3</v>
      </c>
      <c r="S309" s="9">
        <v>5060.2</v>
      </c>
      <c r="T309" s="9">
        <v>4154.7</v>
      </c>
      <c r="U309" s="9">
        <v>24022</v>
      </c>
      <c r="V309" s="18">
        <v>0</v>
      </c>
      <c r="W309" s="18">
        <v>0</v>
      </c>
      <c r="X309" s="18">
        <f t="shared" si="37"/>
        <v>0</v>
      </c>
      <c r="Y309" s="12">
        <f t="shared" si="38"/>
        <v>3.23986794305777</v>
      </c>
      <c r="Z309" s="12">
        <f t="shared" si="39"/>
        <v>0</v>
      </c>
      <c r="AA309" s="19">
        <v>6136.67</v>
      </c>
      <c r="AB309" s="19">
        <v>4772.14</v>
      </c>
      <c r="AC309" s="19">
        <v>520.42</v>
      </c>
      <c r="AD309" s="19">
        <v>152.98</v>
      </c>
      <c r="AE309" s="19">
        <v>197.7</v>
      </c>
      <c r="AF309" s="19">
        <v>0.27</v>
      </c>
      <c r="AG309" s="19">
        <v>374.26</v>
      </c>
      <c r="AH309" s="19">
        <v>20.85</v>
      </c>
      <c r="AI309" s="19">
        <v>1.34</v>
      </c>
      <c r="AJ309" s="19">
        <v>681.14</v>
      </c>
      <c r="AK309" s="3">
        <f t="shared" si="43"/>
        <v>0</v>
      </c>
      <c r="AL309" s="3">
        <v>0</v>
      </c>
      <c r="AM309" s="3">
        <f t="shared" si="42"/>
        <v>0</v>
      </c>
    </row>
    <row r="310" spans="1:39">
      <c r="A310" s="7">
        <v>2008</v>
      </c>
      <c r="B310" s="7" t="s">
        <v>50</v>
      </c>
      <c r="C310" s="7">
        <v>0.26719443</v>
      </c>
      <c r="D310" s="7">
        <v>0.045051</v>
      </c>
      <c r="E310" s="7">
        <v>0.011051</v>
      </c>
      <c r="F310" s="7">
        <v>0.020089</v>
      </c>
      <c r="G310" s="7">
        <v>0.006978</v>
      </c>
      <c r="H310" s="7">
        <v>0.006933</v>
      </c>
      <c r="I310" s="7">
        <v>0.048043</v>
      </c>
      <c r="J310" s="7">
        <v>0.022308</v>
      </c>
      <c r="K310" s="16">
        <v>6054.22</v>
      </c>
      <c r="L310" s="17">
        <v>4816</v>
      </c>
      <c r="M310" s="16">
        <v>7021</v>
      </c>
      <c r="N310" s="7">
        <f t="shared" si="44"/>
        <v>1.25710548172757</v>
      </c>
      <c r="O310" s="7">
        <f t="shared" si="45"/>
        <v>0.862301666429284</v>
      </c>
      <c r="P310" s="8">
        <v>215198282.8</v>
      </c>
      <c r="Q310" s="8">
        <f t="shared" si="36"/>
        <v>3.06506598490244</v>
      </c>
      <c r="R310" s="9">
        <v>1215.7</v>
      </c>
      <c r="S310" s="9">
        <v>6273.1</v>
      </c>
      <c r="T310" s="9">
        <v>4648.9</v>
      </c>
      <c r="U310" s="9">
        <v>28185</v>
      </c>
      <c r="V310" s="18">
        <v>0</v>
      </c>
      <c r="W310" s="18">
        <v>0</v>
      </c>
      <c r="X310" s="18">
        <f t="shared" si="37"/>
        <v>0</v>
      </c>
      <c r="Y310" s="12">
        <f t="shared" si="38"/>
        <v>2.71728515287532</v>
      </c>
      <c r="Z310" s="12">
        <f t="shared" si="39"/>
        <v>0</v>
      </c>
      <c r="AA310" s="19">
        <v>6497</v>
      </c>
      <c r="AB310" s="19">
        <v>4676</v>
      </c>
      <c r="AC310" s="19">
        <v>580.03</v>
      </c>
      <c r="AD310" s="19">
        <v>133.3</v>
      </c>
      <c r="AE310" s="19">
        <v>202</v>
      </c>
      <c r="AF310" s="19">
        <v>16.05</v>
      </c>
      <c r="AG310" s="19">
        <v>355.54</v>
      </c>
      <c r="AH310" s="19">
        <v>9.92</v>
      </c>
      <c r="AI310" s="19">
        <v>1.01</v>
      </c>
      <c r="AJ310" s="19">
        <v>760.79</v>
      </c>
      <c r="AK310" s="3">
        <f t="shared" si="43"/>
        <v>0</v>
      </c>
      <c r="AL310" s="3">
        <v>0</v>
      </c>
      <c r="AM310" s="3">
        <f t="shared" si="42"/>
        <v>0</v>
      </c>
    </row>
    <row r="311" spans="1:39">
      <c r="A311" s="7">
        <v>2009</v>
      </c>
      <c r="B311" s="7" t="s">
        <v>50</v>
      </c>
      <c r="C311" s="7">
        <v>0.30685514</v>
      </c>
      <c r="D311" s="7">
        <v>0.054114</v>
      </c>
      <c r="E311" s="7">
        <v>0.01326</v>
      </c>
      <c r="F311" s="7">
        <v>0.024213</v>
      </c>
      <c r="G311" s="7">
        <v>0.007952</v>
      </c>
      <c r="H311" s="7">
        <v>0.008689</v>
      </c>
      <c r="I311" s="7">
        <v>0.045641</v>
      </c>
      <c r="J311" s="7">
        <v>0.024376</v>
      </c>
      <c r="K311" s="16">
        <v>6592.74</v>
      </c>
      <c r="L311" s="17">
        <v>4856</v>
      </c>
      <c r="M311" s="16">
        <v>7759.16</v>
      </c>
      <c r="N311" s="7">
        <f t="shared" si="44"/>
        <v>1.35764827018122</v>
      </c>
      <c r="O311" s="7">
        <f t="shared" si="45"/>
        <v>0.849671871697452</v>
      </c>
      <c r="P311" s="8">
        <v>231613861.8</v>
      </c>
      <c r="Q311" s="8">
        <f t="shared" si="36"/>
        <v>2.98503783656994</v>
      </c>
      <c r="R311" s="9">
        <v>1297.3</v>
      </c>
      <c r="S311" s="9">
        <v>6539.3</v>
      </c>
      <c r="T311" s="9">
        <v>4979.1</v>
      </c>
      <c r="U311" s="9">
        <v>29611</v>
      </c>
      <c r="V311" s="18">
        <v>0</v>
      </c>
      <c r="W311" s="18">
        <v>0</v>
      </c>
      <c r="X311" s="18">
        <f t="shared" si="37"/>
        <v>0</v>
      </c>
      <c r="Y311" s="12">
        <f t="shared" si="38"/>
        <v>2.66960201713366</v>
      </c>
      <c r="Z311" s="12">
        <f t="shared" si="39"/>
        <v>0</v>
      </c>
      <c r="AA311" s="19">
        <v>7075</v>
      </c>
      <c r="AB311" s="19">
        <v>5199</v>
      </c>
      <c r="AC311" s="19">
        <v>627.88</v>
      </c>
      <c r="AD311" s="19">
        <v>163.03</v>
      </c>
      <c r="AE311" s="19">
        <v>216.28</v>
      </c>
      <c r="AF311" s="19">
        <v>0.09</v>
      </c>
      <c r="AG311" s="19">
        <v>413.61</v>
      </c>
      <c r="AH311" s="19">
        <v>7.38</v>
      </c>
      <c r="AI311" s="19">
        <v>1.21</v>
      </c>
      <c r="AJ311" s="19">
        <v>856.29</v>
      </c>
      <c r="AK311" s="3">
        <f t="shared" si="43"/>
        <v>0</v>
      </c>
      <c r="AL311" s="3">
        <v>0</v>
      </c>
      <c r="AM311" s="3">
        <f t="shared" si="42"/>
        <v>0</v>
      </c>
    </row>
    <row r="312" spans="1:39">
      <c r="A312" s="7">
        <v>2010</v>
      </c>
      <c r="B312" s="7" t="s">
        <v>50</v>
      </c>
      <c r="C312" s="7">
        <v>0.27701209</v>
      </c>
      <c r="D312" s="7">
        <v>0.048995</v>
      </c>
      <c r="E312" s="7">
        <v>0.011613</v>
      </c>
      <c r="F312" s="7">
        <v>0.02278</v>
      </c>
      <c r="G312" s="7">
        <v>0.008047</v>
      </c>
      <c r="H312" s="7">
        <v>0.006555</v>
      </c>
      <c r="I312" s="7">
        <v>0.046958</v>
      </c>
      <c r="J312" s="7">
        <v>0.021333</v>
      </c>
      <c r="K312" s="16">
        <v>7379.23</v>
      </c>
      <c r="L312" s="17">
        <v>4610</v>
      </c>
      <c r="M312" s="16">
        <v>9569.85</v>
      </c>
      <c r="N312" s="7">
        <f t="shared" si="44"/>
        <v>1.60070065075922</v>
      </c>
      <c r="O312" s="7">
        <f t="shared" si="45"/>
        <v>0.771091500911717</v>
      </c>
      <c r="P312" s="8">
        <v>245570542</v>
      </c>
      <c r="Q312" s="8">
        <f t="shared" si="36"/>
        <v>2.56608559172819</v>
      </c>
      <c r="R312" s="9">
        <v>1468.9</v>
      </c>
      <c r="S312" s="9">
        <v>7181.8</v>
      </c>
      <c r="T312" s="9">
        <v>5245.5</v>
      </c>
      <c r="U312" s="9">
        <v>31888</v>
      </c>
      <c r="V312" s="18">
        <v>0</v>
      </c>
      <c r="W312" s="18">
        <v>0</v>
      </c>
      <c r="X312" s="18">
        <f t="shared" si="37"/>
        <v>0</v>
      </c>
      <c r="Y312" s="12">
        <f t="shared" si="38"/>
        <v>2.40850270516871</v>
      </c>
      <c r="Z312" s="12">
        <f t="shared" si="39"/>
        <v>0</v>
      </c>
      <c r="AA312" s="19">
        <v>7918.97</v>
      </c>
      <c r="AB312" s="19">
        <v>6206.82</v>
      </c>
      <c r="AC312" s="19">
        <v>682.07</v>
      </c>
      <c r="AD312" s="19">
        <v>396.02</v>
      </c>
      <c r="AE312" s="19">
        <v>247.68</v>
      </c>
      <c r="AF312" s="19">
        <v>2.73</v>
      </c>
      <c r="AG312" s="19">
        <v>442.37</v>
      </c>
      <c r="AH312" s="19">
        <v>34.64</v>
      </c>
      <c r="AI312" s="19">
        <v>1.7</v>
      </c>
      <c r="AJ312" s="19">
        <v>993.24</v>
      </c>
      <c r="AK312" s="3">
        <f t="shared" si="43"/>
        <v>0</v>
      </c>
      <c r="AL312" s="3">
        <v>0</v>
      </c>
      <c r="AM312" s="3">
        <f t="shared" si="42"/>
        <v>0</v>
      </c>
    </row>
    <row r="313" spans="1:39">
      <c r="A313" s="7">
        <v>2011</v>
      </c>
      <c r="B313" s="7" t="s">
        <v>50</v>
      </c>
      <c r="C313" s="7">
        <v>0.2890864</v>
      </c>
      <c r="D313" s="7">
        <v>0.049774</v>
      </c>
      <c r="E313" s="7">
        <v>0.012938</v>
      </c>
      <c r="F313" s="7">
        <v>0.022073</v>
      </c>
      <c r="G313" s="7">
        <v>0.007961</v>
      </c>
      <c r="H313" s="7">
        <v>0.006801</v>
      </c>
      <c r="I313" s="7">
        <v>0.048738</v>
      </c>
      <c r="J313" s="7">
        <v>0.023195</v>
      </c>
      <c r="K313" s="16">
        <v>8005.7878707168</v>
      </c>
      <c r="L313" s="17">
        <v>4655</v>
      </c>
      <c r="M313" s="16">
        <v>11720.87</v>
      </c>
      <c r="N313" s="7">
        <f t="shared" si="44"/>
        <v>1.7198255361368</v>
      </c>
      <c r="O313" s="7">
        <f t="shared" si="45"/>
        <v>0.683036999021131</v>
      </c>
      <c r="P313" s="8">
        <v>270061204.2</v>
      </c>
      <c r="Q313" s="8">
        <f t="shared" si="36"/>
        <v>2.30410544780379</v>
      </c>
      <c r="R313" s="9">
        <v>1693.4</v>
      </c>
      <c r="S313" s="9">
        <v>8478.7</v>
      </c>
      <c r="T313" s="9">
        <v>6182.9</v>
      </c>
      <c r="U313" s="9">
        <v>37353</v>
      </c>
      <c r="V313" s="18">
        <v>0</v>
      </c>
      <c r="W313" s="18">
        <v>0</v>
      </c>
      <c r="X313" s="18">
        <f t="shared" si="37"/>
        <v>0</v>
      </c>
      <c r="Y313" s="12">
        <f t="shared" si="38"/>
        <v>2.18035126729488</v>
      </c>
      <c r="Z313" s="12">
        <f t="shared" si="39"/>
        <v>0</v>
      </c>
      <c r="AA313" s="19">
        <v>8591</v>
      </c>
      <c r="AB313" s="19">
        <v>7033</v>
      </c>
      <c r="AC313" s="19">
        <v>740.25</v>
      </c>
      <c r="AD313" s="19">
        <v>1064.06</v>
      </c>
      <c r="AE313" s="19">
        <v>259.48</v>
      </c>
      <c r="AF313" s="19">
        <v>0.28</v>
      </c>
      <c r="AG313" s="19">
        <v>476.91</v>
      </c>
      <c r="AH313" s="19">
        <v>50.45</v>
      </c>
      <c r="AI313" s="19">
        <v>2.53</v>
      </c>
      <c r="AJ313" s="19">
        <v>1112</v>
      </c>
      <c r="AK313" s="3">
        <f t="shared" si="43"/>
        <v>0</v>
      </c>
      <c r="AL313" s="3">
        <v>0</v>
      </c>
      <c r="AM313" s="3">
        <f t="shared" si="42"/>
        <v>0</v>
      </c>
    </row>
    <row r="314" spans="1:39">
      <c r="A314" s="7">
        <v>2012</v>
      </c>
      <c r="B314" s="7" t="s">
        <v>50</v>
      </c>
      <c r="C314" s="7">
        <v>0.33309668</v>
      </c>
      <c r="D314" s="7">
        <v>0.05419</v>
      </c>
      <c r="E314" s="7">
        <v>0.013532</v>
      </c>
      <c r="F314" s="7">
        <v>0.023409</v>
      </c>
      <c r="G314" s="7">
        <v>0.009073</v>
      </c>
      <c r="H314" s="7">
        <v>0.008175</v>
      </c>
      <c r="I314" s="7">
        <v>0.053272</v>
      </c>
      <c r="J314" s="7">
        <v>0.029482</v>
      </c>
      <c r="K314" s="16">
        <v>8530.55454786618</v>
      </c>
      <c r="L314" s="17">
        <v>4694</v>
      </c>
      <c r="M314" s="16">
        <v>13035.1</v>
      </c>
      <c r="N314" s="7">
        <f t="shared" si="44"/>
        <v>1.81733160372096</v>
      </c>
      <c r="O314" s="7">
        <f t="shared" si="45"/>
        <v>0.654429543913448</v>
      </c>
      <c r="P314" s="8">
        <v>287755270.4</v>
      </c>
      <c r="Q314" s="8">
        <f t="shared" si="36"/>
        <v>2.20754171736312</v>
      </c>
      <c r="R314" s="9">
        <v>1869.3</v>
      </c>
      <c r="S314" s="9">
        <v>8886.9</v>
      </c>
      <c r="T314" s="9">
        <v>7092.4</v>
      </c>
      <c r="U314" s="9">
        <v>40778</v>
      </c>
      <c r="V314" s="18">
        <v>0</v>
      </c>
      <c r="W314" s="18">
        <v>0</v>
      </c>
      <c r="X314" s="18">
        <f t="shared" si="37"/>
        <v>0</v>
      </c>
      <c r="Y314" s="12">
        <f t="shared" si="38"/>
        <v>2.01609935715007</v>
      </c>
      <c r="Z314" s="12">
        <f t="shared" si="39"/>
        <v>0</v>
      </c>
      <c r="AA314" s="19">
        <v>9154.5</v>
      </c>
      <c r="AB314" s="19">
        <v>7264</v>
      </c>
      <c r="AC314" s="19">
        <v>805.1</v>
      </c>
      <c r="AD314" s="19">
        <v>1473</v>
      </c>
      <c r="AE314" s="19">
        <v>285.41</v>
      </c>
      <c r="AF314" s="19">
        <v>0.08</v>
      </c>
      <c r="AG314" s="19">
        <v>519.46</v>
      </c>
      <c r="AH314" s="19">
        <v>49.72</v>
      </c>
      <c r="AI314" s="19">
        <v>3.18</v>
      </c>
      <c r="AJ314" s="19">
        <v>1153.85</v>
      </c>
      <c r="AK314" s="3">
        <f t="shared" si="43"/>
        <v>0</v>
      </c>
      <c r="AL314" s="3">
        <v>0</v>
      </c>
      <c r="AM314" s="3">
        <f t="shared" si="42"/>
        <v>0</v>
      </c>
    </row>
    <row r="315" spans="1:39">
      <c r="A315" s="7">
        <v>2013</v>
      </c>
      <c r="B315" s="7" t="s">
        <v>50</v>
      </c>
      <c r="C315" s="7">
        <v>0.33602004</v>
      </c>
      <c r="D315" s="7">
        <v>0.054696</v>
      </c>
      <c r="E315" s="7">
        <v>0.013536</v>
      </c>
      <c r="F315" s="7">
        <v>0.024653</v>
      </c>
      <c r="G315" s="7">
        <v>0.008088</v>
      </c>
      <c r="H315" s="7">
        <v>0.008419</v>
      </c>
      <c r="I315" s="7">
        <v>0.056474</v>
      </c>
      <c r="J315" s="7">
        <v>0.028925</v>
      </c>
      <c r="K315" s="16">
        <v>9100.37</v>
      </c>
      <c r="L315" s="17">
        <v>4731</v>
      </c>
      <c r="M315" s="16">
        <v>14449.9</v>
      </c>
      <c r="N315" s="7">
        <f t="shared" si="44"/>
        <v>1.92356161488058</v>
      </c>
      <c r="O315" s="7">
        <f t="shared" si="45"/>
        <v>0.62978774939619</v>
      </c>
      <c r="P315" s="8">
        <v>295951535.4</v>
      </c>
      <c r="Q315" s="8">
        <f t="shared" si="36"/>
        <v>2.04812168527118</v>
      </c>
      <c r="R315" s="9">
        <v>1973.4</v>
      </c>
      <c r="S315" s="9">
        <v>9204.2</v>
      </c>
      <c r="T315" s="9">
        <v>8031.2</v>
      </c>
      <c r="U315" s="9">
        <v>43956</v>
      </c>
      <c r="V315" s="18">
        <v>0</v>
      </c>
      <c r="W315" s="18">
        <v>0</v>
      </c>
      <c r="X315" s="18">
        <f t="shared" si="37"/>
        <v>0</v>
      </c>
      <c r="Y315" s="12">
        <f t="shared" si="38"/>
        <v>1.91398219724656</v>
      </c>
      <c r="Z315" s="12">
        <f t="shared" si="39"/>
        <v>0</v>
      </c>
      <c r="AA315" s="19">
        <v>9100</v>
      </c>
      <c r="AB315" s="19">
        <v>7344.11</v>
      </c>
      <c r="AC315" s="19">
        <v>974.5</v>
      </c>
      <c r="AD315" s="19">
        <v>1296.13</v>
      </c>
      <c r="AE315" s="19">
        <v>224.21</v>
      </c>
      <c r="AF315" s="19">
        <v>23.83</v>
      </c>
      <c r="AG315" s="19">
        <v>430.89</v>
      </c>
      <c r="AH315" s="19">
        <v>44.83</v>
      </c>
      <c r="AI315" s="19">
        <v>4.55</v>
      </c>
      <c r="AJ315" s="19">
        <v>1237.74</v>
      </c>
      <c r="AK315" s="3">
        <f t="shared" si="43"/>
        <v>1</v>
      </c>
      <c r="AL315" s="3">
        <v>0</v>
      </c>
      <c r="AM315" s="3">
        <f t="shared" si="42"/>
        <v>0</v>
      </c>
    </row>
    <row r="316" spans="1:39">
      <c r="A316" s="7">
        <v>2014</v>
      </c>
      <c r="B316" s="7" t="s">
        <v>50</v>
      </c>
      <c r="C316" s="7">
        <v>0.33851089</v>
      </c>
      <c r="D316" s="7">
        <v>0.055446</v>
      </c>
      <c r="E316" s="7">
        <v>0.013626</v>
      </c>
      <c r="F316" s="7">
        <v>0.024989</v>
      </c>
      <c r="G316" s="7">
        <v>0.008544</v>
      </c>
      <c r="H316" s="7">
        <v>0.008287</v>
      </c>
      <c r="I316" s="7">
        <v>0.056639</v>
      </c>
      <c r="J316" s="7">
        <v>0.028579</v>
      </c>
      <c r="K316" s="16">
        <v>9515.34</v>
      </c>
      <c r="L316" s="17">
        <v>4770</v>
      </c>
      <c r="M316" s="16">
        <v>15672.89</v>
      </c>
      <c r="N316" s="7">
        <f t="shared" si="44"/>
        <v>1.99483018867925</v>
      </c>
      <c r="O316" s="7">
        <f t="shared" si="45"/>
        <v>0.607120958546892</v>
      </c>
      <c r="P316" s="8">
        <v>299354434.7</v>
      </c>
      <c r="Q316" s="8">
        <f t="shared" si="36"/>
        <v>1.91001426475908</v>
      </c>
      <c r="R316" s="9">
        <v>2002</v>
      </c>
      <c r="S316" s="9">
        <v>9038.8</v>
      </c>
      <c r="T316" s="9">
        <v>8984.9</v>
      </c>
      <c r="U316" s="9">
        <v>45915</v>
      </c>
      <c r="V316" s="18">
        <v>0</v>
      </c>
      <c r="W316" s="18">
        <v>0</v>
      </c>
      <c r="X316" s="18">
        <f t="shared" si="37"/>
        <v>0</v>
      </c>
      <c r="Y316" s="12">
        <f t="shared" si="38"/>
        <v>1.79640226266579</v>
      </c>
      <c r="Z316" s="12">
        <f t="shared" si="39"/>
        <v>0</v>
      </c>
      <c r="AA316" s="19">
        <v>9515.34</v>
      </c>
      <c r="AB316" s="19">
        <v>6796.51</v>
      </c>
      <c r="AC316" s="19">
        <v>1018.65</v>
      </c>
      <c r="AD316" s="19">
        <v>1390.47</v>
      </c>
      <c r="AE316" s="19">
        <v>244.3</v>
      </c>
      <c r="AF316" s="19">
        <v>90.32</v>
      </c>
      <c r="AG316" s="19">
        <v>506.17</v>
      </c>
      <c r="AH316" s="19">
        <v>31.22</v>
      </c>
      <c r="AI316" s="19">
        <v>8.25</v>
      </c>
      <c r="AJ316" s="19">
        <v>1307.99</v>
      </c>
      <c r="AK316" s="3">
        <f t="shared" si="43"/>
        <v>1</v>
      </c>
      <c r="AL316" s="3">
        <v>0</v>
      </c>
      <c r="AM316" s="3">
        <f t="shared" si="42"/>
        <v>0</v>
      </c>
    </row>
    <row r="317" spans="1:39">
      <c r="A317" s="7">
        <v>2015</v>
      </c>
      <c r="B317" s="7" t="s">
        <v>50</v>
      </c>
      <c r="C317" s="7">
        <v>0.34336751</v>
      </c>
      <c r="D317" s="7">
        <v>0.054395</v>
      </c>
      <c r="E317" s="7">
        <v>0.013436</v>
      </c>
      <c r="F317" s="7">
        <v>0.024194</v>
      </c>
      <c r="G317" s="7">
        <v>0.008333</v>
      </c>
      <c r="H317" s="7">
        <v>0.008433</v>
      </c>
      <c r="I317" s="7">
        <v>0.061503</v>
      </c>
      <c r="J317" s="7">
        <v>0.02898</v>
      </c>
      <c r="K317" s="16">
        <v>9805.66</v>
      </c>
      <c r="L317" s="17">
        <v>4811</v>
      </c>
      <c r="M317" s="16">
        <v>16803.12</v>
      </c>
      <c r="N317" s="7">
        <f t="shared" si="44"/>
        <v>2.03817501558927</v>
      </c>
      <c r="O317" s="7">
        <f t="shared" si="45"/>
        <v>0.583561862320807</v>
      </c>
      <c r="P317" s="8">
        <v>293448512.4</v>
      </c>
      <c r="Q317" s="8">
        <f t="shared" si="36"/>
        <v>1.74639300558468</v>
      </c>
      <c r="R317" s="9">
        <v>2053.7</v>
      </c>
      <c r="S317" s="9">
        <v>8344.6</v>
      </c>
      <c r="T317" s="9">
        <v>9811.9</v>
      </c>
      <c r="U317" s="9">
        <v>46482</v>
      </c>
      <c r="V317" s="18">
        <v>0</v>
      </c>
      <c r="W317" s="18">
        <v>0</v>
      </c>
      <c r="X317" s="18">
        <f t="shared" si="37"/>
        <v>0</v>
      </c>
      <c r="Y317" s="12">
        <f t="shared" si="38"/>
        <v>1.71577514742415</v>
      </c>
      <c r="Z317" s="12">
        <f t="shared" si="39"/>
        <v>0</v>
      </c>
      <c r="AA317" s="19">
        <v>9806</v>
      </c>
      <c r="AB317" s="19">
        <v>6094.82</v>
      </c>
      <c r="AC317" s="19">
        <v>1000.12</v>
      </c>
      <c r="AD317" s="19">
        <v>1428.77</v>
      </c>
      <c r="AE317" s="19">
        <v>270.89</v>
      </c>
      <c r="AF317" s="19">
        <v>56.36</v>
      </c>
      <c r="AG317" s="19">
        <v>485.34</v>
      </c>
      <c r="AH317" s="19">
        <v>24.1</v>
      </c>
      <c r="AI317" s="19">
        <v>8.37</v>
      </c>
      <c r="AJ317" s="19">
        <v>1334</v>
      </c>
      <c r="AK317" s="3">
        <f t="shared" si="43"/>
        <v>1</v>
      </c>
      <c r="AL317" s="3">
        <v>0</v>
      </c>
      <c r="AM317" s="3">
        <f t="shared" si="42"/>
        <v>0</v>
      </c>
    </row>
    <row r="318" spans="1:39">
      <c r="A318" s="7">
        <v>2016</v>
      </c>
      <c r="B318" s="7" t="s">
        <v>50</v>
      </c>
      <c r="C318" s="7">
        <v>0.36914547</v>
      </c>
      <c r="D318" s="7">
        <v>0.059681</v>
      </c>
      <c r="E318" s="7">
        <v>0.014428</v>
      </c>
      <c r="F318" s="7">
        <v>0.027813</v>
      </c>
      <c r="G318" s="7">
        <v>0.009089</v>
      </c>
      <c r="H318" s="7">
        <v>0.008351</v>
      </c>
      <c r="I318" s="7">
        <v>0.062586</v>
      </c>
      <c r="J318" s="7">
        <v>0.031215</v>
      </c>
      <c r="K318" s="16">
        <v>10110.15</v>
      </c>
      <c r="L318" s="17">
        <v>4857</v>
      </c>
      <c r="M318" s="16">
        <v>18317.64</v>
      </c>
      <c r="N318" s="7">
        <f t="shared" si="44"/>
        <v>2.08156269302038</v>
      </c>
      <c r="O318" s="7">
        <f t="shared" si="45"/>
        <v>0.551935183790052</v>
      </c>
      <c r="P318" s="8">
        <v>309222365.6</v>
      </c>
      <c r="Q318" s="8">
        <f t="shared" si="36"/>
        <v>1.68811247300416</v>
      </c>
      <c r="R318" s="9">
        <v>1841.2</v>
      </c>
      <c r="S318" s="9">
        <v>7865.7</v>
      </c>
      <c r="T318" s="9">
        <v>10685.6</v>
      </c>
      <c r="U318" s="9">
        <v>47069</v>
      </c>
      <c r="V318" s="18">
        <v>0</v>
      </c>
      <c r="W318" s="18">
        <v>0</v>
      </c>
      <c r="X318" s="18">
        <f t="shared" si="37"/>
        <v>0</v>
      </c>
      <c r="Y318" s="12">
        <f t="shared" si="38"/>
        <v>1.62438398605541</v>
      </c>
      <c r="Z318" s="12">
        <f t="shared" si="39"/>
        <v>0</v>
      </c>
      <c r="AA318" s="19">
        <v>10110</v>
      </c>
      <c r="AB318" s="19">
        <v>6403.86</v>
      </c>
      <c r="AC318" s="19">
        <v>1020.96</v>
      </c>
      <c r="AD318" s="19">
        <v>1340.43</v>
      </c>
      <c r="AE318" s="19">
        <v>335.03</v>
      </c>
      <c r="AF318" s="19">
        <v>62.51</v>
      </c>
      <c r="AG318" s="19">
        <v>538.43</v>
      </c>
      <c r="AH318" s="19">
        <v>10.54</v>
      </c>
      <c r="AI318" s="19">
        <v>15.37</v>
      </c>
      <c r="AJ318" s="19">
        <v>1359.65</v>
      </c>
      <c r="AK318" s="3">
        <f t="shared" si="43"/>
        <v>1</v>
      </c>
      <c r="AL318" s="3">
        <v>0</v>
      </c>
      <c r="AM318" s="3">
        <f t="shared" si="42"/>
        <v>0</v>
      </c>
    </row>
    <row r="319" spans="1:39">
      <c r="A319" s="7">
        <v>2017</v>
      </c>
      <c r="B319" s="7" t="s">
        <v>50</v>
      </c>
      <c r="C319" s="7">
        <v>0.400451</v>
      </c>
      <c r="D319" s="7">
        <v>0.062051</v>
      </c>
      <c r="E319" s="7">
        <v>0.015263</v>
      </c>
      <c r="F319" s="7">
        <v>0.027514</v>
      </c>
      <c r="G319" s="7">
        <v>0.009126</v>
      </c>
      <c r="H319" s="7">
        <v>0.010148</v>
      </c>
      <c r="I319" s="7">
        <v>0.069809</v>
      </c>
      <c r="J319" s="7">
        <v>0.03371</v>
      </c>
      <c r="K319" s="16">
        <v>10456.02</v>
      </c>
      <c r="L319" s="17">
        <v>4907</v>
      </c>
      <c r="M319" s="16">
        <v>18523.26</v>
      </c>
      <c r="N319" s="7">
        <f t="shared" si="44"/>
        <v>2.13083757896882</v>
      </c>
      <c r="O319" s="7">
        <f t="shared" si="45"/>
        <v>0.564480550399876</v>
      </c>
      <c r="P319" s="8">
        <v>312365105.1</v>
      </c>
      <c r="Q319" s="8">
        <f t="shared" si="36"/>
        <v>1.68633979709835</v>
      </c>
      <c r="R319" s="9">
        <v>1902.3</v>
      </c>
      <c r="S319" s="9">
        <v>8328.9</v>
      </c>
      <c r="T319" s="9">
        <v>11461.8</v>
      </c>
      <c r="U319" s="9">
        <v>50221</v>
      </c>
      <c r="V319" s="18">
        <v>1</v>
      </c>
      <c r="W319" s="18">
        <v>0</v>
      </c>
      <c r="X319" s="18">
        <f t="shared" si="37"/>
        <v>0</v>
      </c>
      <c r="Y319" s="12">
        <f t="shared" si="38"/>
        <v>1.56738551218677</v>
      </c>
      <c r="Z319" s="12">
        <f t="shared" si="39"/>
        <v>0</v>
      </c>
      <c r="AA319" s="19">
        <v>10456</v>
      </c>
      <c r="AB319" s="19">
        <v>6617.64</v>
      </c>
      <c r="AC319" s="19">
        <v>1088.52</v>
      </c>
      <c r="AD319" s="19">
        <v>1563.03</v>
      </c>
      <c r="AE319" s="19">
        <v>356.97</v>
      </c>
      <c r="AF319" s="19">
        <v>50.95</v>
      </c>
      <c r="AG319" s="19">
        <v>535.01</v>
      </c>
      <c r="AH319" s="19">
        <v>10.45</v>
      </c>
      <c r="AI319" s="19">
        <v>16.76</v>
      </c>
      <c r="AJ319" s="19">
        <v>1444.95</v>
      </c>
      <c r="AK319" s="3">
        <f t="shared" si="43"/>
        <v>1</v>
      </c>
      <c r="AL319" s="3">
        <v>0</v>
      </c>
      <c r="AM319" s="3">
        <f t="shared" si="42"/>
        <v>0</v>
      </c>
    </row>
    <row r="320" spans="1:39">
      <c r="A320" s="7">
        <v>2018</v>
      </c>
      <c r="B320" s="7" t="s">
        <v>50</v>
      </c>
      <c r="C320" s="7">
        <v>0.35701023</v>
      </c>
      <c r="D320" s="7">
        <v>0.056626</v>
      </c>
      <c r="E320" s="7">
        <v>0.014029</v>
      </c>
      <c r="F320" s="7">
        <v>0.025671</v>
      </c>
      <c r="G320" s="7">
        <v>0.009345</v>
      </c>
      <c r="H320" s="7">
        <v>0.007582</v>
      </c>
      <c r="I320" s="7">
        <v>0.065749</v>
      </c>
      <c r="J320" s="7">
        <v>0.02902</v>
      </c>
      <c r="K320" s="16">
        <v>10823.39</v>
      </c>
      <c r="L320" s="17">
        <v>4947</v>
      </c>
      <c r="M320" s="16">
        <v>20352.51</v>
      </c>
      <c r="N320" s="7">
        <f t="shared" si="44"/>
        <v>2.18786941580756</v>
      </c>
      <c r="O320" s="7">
        <f t="shared" si="45"/>
        <v>0.53179632389322</v>
      </c>
      <c r="P320" s="8">
        <v>322065343.2</v>
      </c>
      <c r="Q320" s="8">
        <f t="shared" si="36"/>
        <v>1.58243549911043</v>
      </c>
      <c r="R320" s="9">
        <v>2020.6</v>
      </c>
      <c r="S320" s="9">
        <v>9049</v>
      </c>
      <c r="T320" s="9">
        <v>12441</v>
      </c>
      <c r="U320" s="9">
        <v>54657</v>
      </c>
      <c r="V320" s="18">
        <v>1</v>
      </c>
      <c r="W320" s="18">
        <v>0</v>
      </c>
      <c r="X320" s="18">
        <f t="shared" si="37"/>
        <v>0</v>
      </c>
      <c r="Y320" s="12">
        <f t="shared" si="38"/>
        <v>1.51591455826218</v>
      </c>
      <c r="Z320" s="12">
        <f t="shared" si="39"/>
        <v>0</v>
      </c>
      <c r="AA320" s="19">
        <v>10823</v>
      </c>
      <c r="AB320" s="19">
        <v>7339.78</v>
      </c>
      <c r="AC320" s="19">
        <v>1023.08</v>
      </c>
      <c r="AD320" s="19">
        <v>1599.33</v>
      </c>
      <c r="AE320" s="19">
        <v>334.15</v>
      </c>
      <c r="AF320" s="19">
        <v>52.2</v>
      </c>
      <c r="AG320" s="19">
        <v>486.67</v>
      </c>
      <c r="AH320" s="19">
        <v>16.28</v>
      </c>
      <c r="AI320" s="19">
        <v>22.68</v>
      </c>
      <c r="AJ320" s="19">
        <v>1703.04</v>
      </c>
      <c r="AK320" s="3">
        <f t="shared" si="43"/>
        <v>1</v>
      </c>
      <c r="AL320" s="3">
        <v>0</v>
      </c>
      <c r="AM320" s="3">
        <f t="shared" si="42"/>
        <v>0</v>
      </c>
    </row>
    <row r="321" spans="1:39">
      <c r="A321" s="7">
        <v>2019</v>
      </c>
      <c r="B321" s="7" t="s">
        <v>50</v>
      </c>
      <c r="C321" s="7">
        <v>0.37153976</v>
      </c>
      <c r="D321" s="7">
        <v>0.064643</v>
      </c>
      <c r="E321" s="7">
        <v>0.015931</v>
      </c>
      <c r="F321" s="7">
        <v>0.029124</v>
      </c>
      <c r="G321" s="7">
        <v>0.009207</v>
      </c>
      <c r="H321" s="7">
        <v>0.010382</v>
      </c>
      <c r="I321" s="7">
        <v>0.057759</v>
      </c>
      <c r="J321" s="7">
        <v>0.025624</v>
      </c>
      <c r="K321" s="16">
        <v>11454.85</v>
      </c>
      <c r="L321" s="17">
        <v>4982</v>
      </c>
      <c r="M321" s="16">
        <v>21237.14</v>
      </c>
      <c r="N321" s="7">
        <f t="shared" si="44"/>
        <v>2.29924729024488</v>
      </c>
      <c r="O321" s="7">
        <f t="shared" si="45"/>
        <v>0.539378183691401</v>
      </c>
      <c r="P321" s="8">
        <v>321790151.7</v>
      </c>
      <c r="Q321" s="8">
        <f t="shared" si="36"/>
        <v>1.51522357388989</v>
      </c>
      <c r="R321" s="9">
        <v>2178</v>
      </c>
      <c r="S321" s="9">
        <v>9475.9</v>
      </c>
      <c r="T321" s="9">
        <v>13201.4</v>
      </c>
      <c r="U321" s="9">
        <v>58019</v>
      </c>
      <c r="V321" s="18">
        <v>1</v>
      </c>
      <c r="W321" s="18">
        <v>0</v>
      </c>
      <c r="X321" s="18">
        <f t="shared" si="37"/>
        <v>0</v>
      </c>
      <c r="Y321" s="12">
        <f t="shared" si="38"/>
        <v>1.5000536746505</v>
      </c>
      <c r="Z321" s="12">
        <f t="shared" si="39"/>
        <v>0</v>
      </c>
      <c r="AA321" s="19">
        <v>11270</v>
      </c>
      <c r="AB321" s="19">
        <v>8021.91</v>
      </c>
      <c r="AC321" s="19">
        <v>1079.35</v>
      </c>
      <c r="AD321" s="19">
        <v>1637.82</v>
      </c>
      <c r="AE321" s="19">
        <v>256.68</v>
      </c>
      <c r="AF321" s="19">
        <v>46.36</v>
      </c>
      <c r="AG321" s="19">
        <v>487.19</v>
      </c>
      <c r="AH321" s="19">
        <v>17.99</v>
      </c>
      <c r="AI321" s="19">
        <v>27.86</v>
      </c>
      <c r="AJ321" s="19">
        <v>1907.33</v>
      </c>
      <c r="AK321" s="3">
        <f t="shared" si="43"/>
        <v>1</v>
      </c>
      <c r="AL321" s="3">
        <v>0</v>
      </c>
      <c r="AM321" s="3">
        <f t="shared" si="42"/>
        <v>0</v>
      </c>
    </row>
    <row r="322" spans="1:39">
      <c r="A322" s="7">
        <v>2020</v>
      </c>
      <c r="B322" s="7" t="s">
        <v>50</v>
      </c>
      <c r="C322" s="7">
        <v>0.40627228</v>
      </c>
      <c r="D322" s="7">
        <v>0.065821</v>
      </c>
      <c r="E322" s="7">
        <v>0.015608</v>
      </c>
      <c r="F322" s="7">
        <v>0.030621</v>
      </c>
      <c r="G322" s="7">
        <v>0.009567</v>
      </c>
      <c r="H322" s="7">
        <v>0.010025</v>
      </c>
      <c r="I322" s="7">
        <v>0.065127</v>
      </c>
      <c r="J322" s="7">
        <v>0.033943</v>
      </c>
      <c r="K322" s="16">
        <v>12279.3</v>
      </c>
      <c r="L322" s="17">
        <v>5018.72</v>
      </c>
      <c r="M322" s="16">
        <v>22156.69</v>
      </c>
      <c r="N322" s="7">
        <f t="shared" si="44"/>
        <v>2.44669955685912</v>
      </c>
      <c r="O322" s="7">
        <f t="shared" si="45"/>
        <v>0.554202816395409</v>
      </c>
      <c r="P322" s="8">
        <v>332733940.6</v>
      </c>
      <c r="Q322" s="8">
        <f t="shared" si="36"/>
        <v>1.50173126310834</v>
      </c>
      <c r="R322" s="9">
        <v>2284.8</v>
      </c>
      <c r="S322" s="9">
        <v>9357.5</v>
      </c>
      <c r="T322" s="9">
        <v>13369.1</v>
      </c>
      <c r="U322" s="9">
        <v>58629</v>
      </c>
      <c r="V322" s="18">
        <v>1</v>
      </c>
      <c r="W322" s="18">
        <v>0</v>
      </c>
      <c r="X322" s="18">
        <f t="shared" si="37"/>
        <v>0</v>
      </c>
      <c r="Y322" s="12">
        <f t="shared" si="38"/>
        <v>1.47141701078949</v>
      </c>
      <c r="Z322" s="12">
        <f t="shared" si="39"/>
        <v>0</v>
      </c>
      <c r="AA322" s="19">
        <v>12081.05</v>
      </c>
      <c r="AB322" s="19">
        <v>8496.71</v>
      </c>
      <c r="AC322" s="19">
        <v>1413.42</v>
      </c>
      <c r="AD322" s="19">
        <v>1276.2</v>
      </c>
      <c r="AE322" s="19">
        <v>286.16</v>
      </c>
      <c r="AF322" s="19">
        <v>20.27</v>
      </c>
      <c r="AG322" s="19">
        <v>435.86</v>
      </c>
      <c r="AH322" s="19">
        <v>19.96</v>
      </c>
      <c r="AI322" s="19">
        <v>31.52</v>
      </c>
      <c r="AJ322" s="19">
        <v>2029</v>
      </c>
      <c r="AK322" s="3">
        <f t="shared" si="43"/>
        <v>1</v>
      </c>
      <c r="AL322" s="3">
        <v>0</v>
      </c>
      <c r="AM322" s="3">
        <f t="shared" si="42"/>
        <v>0</v>
      </c>
    </row>
    <row r="323" spans="1:39">
      <c r="A323" s="7">
        <v>2021</v>
      </c>
      <c r="B323" s="7" t="s">
        <v>50</v>
      </c>
      <c r="C323" s="7">
        <v>0.42105221</v>
      </c>
      <c r="D323" s="7">
        <v>0.067835</v>
      </c>
      <c r="E323" s="7">
        <v>0.017284</v>
      </c>
      <c r="F323" s="7">
        <v>0.030187</v>
      </c>
      <c r="G323" s="7">
        <v>0.01024</v>
      </c>
      <c r="H323" s="7">
        <v>0.010123</v>
      </c>
      <c r="I323" s="7">
        <v>0.068189</v>
      </c>
      <c r="J323" s="7">
        <v>0.033872</v>
      </c>
      <c r="K323" s="16">
        <v>13452.9</v>
      </c>
      <c r="L323" s="17">
        <v>5037</v>
      </c>
      <c r="M323" s="16">
        <v>24740.9</v>
      </c>
      <c r="N323" s="7">
        <f t="shared" si="44"/>
        <v>2.67081596188207</v>
      </c>
      <c r="O323" s="7">
        <f t="shared" si="45"/>
        <v>0.543751439923366</v>
      </c>
      <c r="P323" s="8">
        <v>349591438.3</v>
      </c>
      <c r="Q323" s="8">
        <f t="shared" ref="Q323:Q386" si="46">P323/10000/M323</f>
        <v>1.41301019081763</v>
      </c>
      <c r="R323" s="9">
        <v>2461.9</v>
      </c>
      <c r="S323" s="9">
        <v>10883.3</v>
      </c>
      <c r="T323" s="9">
        <v>14224.2</v>
      </c>
      <c r="U323" s="9">
        <v>64992</v>
      </c>
      <c r="V323" s="18">
        <v>1</v>
      </c>
      <c r="W323" s="18">
        <v>0</v>
      </c>
      <c r="X323" s="18">
        <f t="shared" ref="X323:X386" si="47">V323*W323</f>
        <v>0</v>
      </c>
      <c r="Y323" s="12">
        <f t="shared" ref="Y323:Y386" si="48">AVERAGEIF($A:$A,$A323,$Q:$Q)</f>
        <v>1.36781889095748</v>
      </c>
      <c r="Z323" s="12">
        <f t="shared" ref="Z323:Z386" si="49">MAX(0,1-Q323/Y323)</f>
        <v>0</v>
      </c>
      <c r="AA323" s="19">
        <v>13189.02</v>
      </c>
      <c r="AB323" s="19">
        <v>7857.73</v>
      </c>
      <c r="AC323" s="19">
        <v>1580.09</v>
      </c>
      <c r="AD323" s="19">
        <v>1698.17</v>
      </c>
      <c r="AE323" s="19">
        <v>305.09</v>
      </c>
      <c r="AF323" s="19">
        <v>23.53</v>
      </c>
      <c r="AG323" s="19">
        <v>452.77</v>
      </c>
      <c r="AH323" s="19">
        <v>33.75</v>
      </c>
      <c r="AI323" s="19">
        <v>41</v>
      </c>
      <c r="AJ323" s="19">
        <v>2238</v>
      </c>
      <c r="AK323" s="3">
        <f t="shared" si="43"/>
        <v>1</v>
      </c>
      <c r="AL323" s="3">
        <v>0</v>
      </c>
      <c r="AM323" s="3">
        <f t="shared" si="42"/>
        <v>0</v>
      </c>
    </row>
    <row r="324" spans="1:39">
      <c r="A324" s="7">
        <v>2022</v>
      </c>
      <c r="B324" s="7" t="s">
        <v>50</v>
      </c>
      <c r="C324" s="7">
        <v>0.45332001</v>
      </c>
      <c r="D324" s="7">
        <v>0.072589</v>
      </c>
      <c r="E324" s="7">
        <v>0.018356</v>
      </c>
      <c r="F324" s="7">
        <v>0.031999</v>
      </c>
      <c r="G324" s="7">
        <v>0.011293</v>
      </c>
      <c r="H324" s="7">
        <v>0.010941</v>
      </c>
      <c r="I324" s="7">
        <v>0.072804</v>
      </c>
      <c r="J324" s="7">
        <v>0.03562</v>
      </c>
      <c r="K324" s="16">
        <v>13459.84</v>
      </c>
      <c r="L324" s="17">
        <v>5047</v>
      </c>
      <c r="M324" s="16">
        <v>26300.9</v>
      </c>
      <c r="N324" s="7">
        <f t="shared" si="44"/>
        <v>2.66689914800872</v>
      </c>
      <c r="O324" s="7">
        <f t="shared" si="45"/>
        <v>0.511763475774593</v>
      </c>
      <c r="P324" s="8">
        <v>352223404.5</v>
      </c>
      <c r="Q324" s="8">
        <f t="shared" si="46"/>
        <v>1.33920666022836</v>
      </c>
      <c r="R324" s="9">
        <v>2598</v>
      </c>
      <c r="S324" s="9">
        <v>11363.6</v>
      </c>
      <c r="T324" s="9">
        <v>14864.5</v>
      </c>
      <c r="U324" s="9">
        <v>68422</v>
      </c>
      <c r="V324" s="18">
        <v>1</v>
      </c>
      <c r="W324" s="18">
        <v>0</v>
      </c>
      <c r="X324" s="18">
        <f t="shared" si="47"/>
        <v>0</v>
      </c>
      <c r="Y324" s="12">
        <f t="shared" si="48"/>
        <v>1.27047633725244</v>
      </c>
      <c r="Z324" s="12">
        <f t="shared" si="49"/>
        <v>0</v>
      </c>
      <c r="AA324" s="19">
        <v>13207.1</v>
      </c>
      <c r="AB324" s="19">
        <v>8080.57</v>
      </c>
      <c r="AC324" s="19">
        <v>1502.93</v>
      </c>
      <c r="AD324" s="19">
        <v>1594.58</v>
      </c>
      <c r="AE324" s="19">
        <v>329.79</v>
      </c>
      <c r="AF324" s="19">
        <v>22.36</v>
      </c>
      <c r="AG324" s="19">
        <v>510.77</v>
      </c>
      <c r="AH324" s="19">
        <v>24.97</v>
      </c>
      <c r="AI324" s="19">
        <v>33.22</v>
      </c>
      <c r="AJ324" s="19">
        <v>2216.89</v>
      </c>
      <c r="AK324" s="3">
        <f t="shared" si="43"/>
        <v>1</v>
      </c>
      <c r="AL324" s="3">
        <v>0</v>
      </c>
      <c r="AM324" s="3">
        <f t="shared" si="42"/>
        <v>0</v>
      </c>
    </row>
    <row r="325" spans="1:39">
      <c r="A325" s="7">
        <v>2023</v>
      </c>
      <c r="B325" s="7" t="s">
        <v>50</v>
      </c>
      <c r="C325" s="7">
        <v>0.6232744</v>
      </c>
      <c r="D325" s="7">
        <v>0.084136</v>
      </c>
      <c r="E325" s="7">
        <v>0.02622</v>
      </c>
      <c r="F325" s="7">
        <v>0.040604</v>
      </c>
      <c r="G325" s="7">
        <v>0.019138</v>
      </c>
      <c r="H325" s="7">
        <v>0.018551</v>
      </c>
      <c r="I325" s="7">
        <v>0.08421</v>
      </c>
      <c r="J325" s="7">
        <v>0.044159</v>
      </c>
      <c r="K325" s="16">
        <v>14757.37</v>
      </c>
      <c r="L325" s="17">
        <v>5027</v>
      </c>
      <c r="M325" s="16">
        <v>27202.4</v>
      </c>
      <c r="N325" s="7">
        <f t="shared" si="44"/>
        <v>2.93562164312711</v>
      </c>
      <c r="O325" s="7">
        <f t="shared" si="45"/>
        <v>0.542502499779431</v>
      </c>
      <c r="P325" s="8">
        <v>362231610.6</v>
      </c>
      <c r="Q325" s="8">
        <f t="shared" si="46"/>
        <v>1.33161636693821</v>
      </c>
      <c r="R325" s="9">
        <v>2651</v>
      </c>
      <c r="S325" s="9">
        <v>11734.5</v>
      </c>
      <c r="T325" s="9">
        <v>15823.9</v>
      </c>
      <c r="U325" s="9">
        <v>72107</v>
      </c>
      <c r="V325" s="18">
        <v>1</v>
      </c>
      <c r="W325" s="18">
        <v>0</v>
      </c>
      <c r="X325" s="18">
        <f t="shared" si="47"/>
        <v>0</v>
      </c>
      <c r="Y325" s="12">
        <f t="shared" si="48"/>
        <v>1.2756783895882</v>
      </c>
      <c r="Z325" s="12">
        <f t="shared" si="49"/>
        <v>0</v>
      </c>
      <c r="AA325" s="12"/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3">
        <f t="shared" si="43"/>
        <v>1</v>
      </c>
      <c r="AL325" s="3">
        <v>0</v>
      </c>
      <c r="AM325" s="3">
        <f t="shared" si="42"/>
        <v>0</v>
      </c>
    </row>
    <row r="326" spans="1:39">
      <c r="A326" s="7">
        <v>2024</v>
      </c>
      <c r="B326" s="7" t="s">
        <v>50</v>
      </c>
      <c r="C326" s="7">
        <v>0.70666373</v>
      </c>
      <c r="D326" s="7">
        <v>0.091196</v>
      </c>
      <c r="E326" s="7">
        <v>0.029959</v>
      </c>
      <c r="F326" s="7">
        <v>0.04467</v>
      </c>
      <c r="G326" s="7">
        <v>0.022552</v>
      </c>
      <c r="H326" s="7">
        <v>0.022711</v>
      </c>
      <c r="I326" s="7">
        <v>0.088882</v>
      </c>
      <c r="J326" s="7">
        <v>0.048547</v>
      </c>
      <c r="K326" s="16">
        <v>15336.27</v>
      </c>
      <c r="L326" s="17">
        <v>5013</v>
      </c>
      <c r="M326" s="16">
        <v>28649.4</v>
      </c>
      <c r="N326" s="7">
        <f t="shared" si="44"/>
        <v>3.05929982046679</v>
      </c>
      <c r="O326" s="7">
        <f t="shared" si="45"/>
        <v>0.535308592850112</v>
      </c>
      <c r="P326" s="8">
        <v>369287720.9</v>
      </c>
      <c r="Q326" s="8">
        <f t="shared" si="46"/>
        <v>1.28898937115611</v>
      </c>
      <c r="R326" s="9">
        <v>2565.7</v>
      </c>
      <c r="S326" s="9">
        <v>11503.3</v>
      </c>
      <c r="T326" s="9">
        <v>18543.7</v>
      </c>
      <c r="U326" s="9">
        <v>78236</v>
      </c>
      <c r="V326" s="18">
        <v>1</v>
      </c>
      <c r="W326" s="18">
        <v>0</v>
      </c>
      <c r="X326" s="18">
        <f t="shared" si="47"/>
        <v>0</v>
      </c>
      <c r="Y326" s="12">
        <f t="shared" si="48"/>
        <v>1.21200651315194</v>
      </c>
      <c r="Z326" s="12">
        <f t="shared" si="49"/>
        <v>0</v>
      </c>
      <c r="AA326" s="12"/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3">
        <f t="shared" si="43"/>
        <v>1</v>
      </c>
      <c r="AL326" s="3">
        <v>0</v>
      </c>
      <c r="AM326" s="3">
        <f t="shared" si="42"/>
        <v>0</v>
      </c>
    </row>
    <row r="327" spans="1:39">
      <c r="A327" s="7">
        <v>2000</v>
      </c>
      <c r="B327" s="7" t="s">
        <v>51</v>
      </c>
      <c r="C327" s="7">
        <v>0.01403798</v>
      </c>
      <c r="D327" s="7">
        <v>0.009214</v>
      </c>
      <c r="E327" s="7">
        <v>0.00242</v>
      </c>
      <c r="F327" s="7">
        <v>0.00414</v>
      </c>
      <c r="G327" s="7">
        <v>0.001419</v>
      </c>
      <c r="H327" s="7">
        <v>0.001235</v>
      </c>
      <c r="I327" s="7">
        <v>0.009429</v>
      </c>
      <c r="J327" s="7">
        <v>0.004521</v>
      </c>
      <c r="K327" s="16">
        <v>3328</v>
      </c>
      <c r="L327" s="17">
        <v>1849.41</v>
      </c>
      <c r="M327" s="16">
        <v>1364.36</v>
      </c>
      <c r="N327" s="7">
        <f t="shared" si="44"/>
        <v>1.79949281122088</v>
      </c>
      <c r="O327" s="7">
        <f t="shared" si="45"/>
        <v>2.43923891055147</v>
      </c>
      <c r="P327" s="8">
        <v>68216676.94</v>
      </c>
      <c r="Q327" s="8">
        <f t="shared" si="46"/>
        <v>4.99990302706031</v>
      </c>
      <c r="R327" s="9">
        <v>194.1</v>
      </c>
      <c r="S327" s="9">
        <v>421.7</v>
      </c>
      <c r="T327" s="9">
        <v>437.1</v>
      </c>
      <c r="U327" s="9">
        <v>4163</v>
      </c>
      <c r="V327" s="18">
        <v>0</v>
      </c>
      <c r="W327" s="18">
        <v>1</v>
      </c>
      <c r="X327" s="18">
        <f t="shared" si="47"/>
        <v>0</v>
      </c>
      <c r="Y327" s="12">
        <f t="shared" si="48"/>
        <v>4.53658228674969</v>
      </c>
      <c r="Z327" s="12">
        <f t="shared" si="49"/>
        <v>0</v>
      </c>
      <c r="AA327" s="19">
        <v>3327.63</v>
      </c>
      <c r="AB327" s="19">
        <v>2702.4</v>
      </c>
      <c r="AC327" s="19">
        <v>74.06</v>
      </c>
      <c r="AD327" s="19">
        <v>1071.29</v>
      </c>
      <c r="AE327" s="19">
        <v>101.93</v>
      </c>
      <c r="AF327" s="19">
        <v>21.31</v>
      </c>
      <c r="AG327" s="19">
        <v>155.28</v>
      </c>
      <c r="AH327" s="19">
        <v>56.59</v>
      </c>
      <c r="AI327" s="19">
        <v>23.44</v>
      </c>
      <c r="AJ327" s="19">
        <v>182.98</v>
      </c>
      <c r="AK327" s="3">
        <f t="shared" si="43"/>
        <v>0</v>
      </c>
      <c r="AL327" s="3">
        <v>0</v>
      </c>
      <c r="AM327" s="3">
        <f t="shared" si="42"/>
        <v>0</v>
      </c>
    </row>
    <row r="328" spans="1:39">
      <c r="A328" s="7">
        <v>2001</v>
      </c>
      <c r="B328" s="7" t="s">
        <v>51</v>
      </c>
      <c r="C328" s="7">
        <v>0.0109632</v>
      </c>
      <c r="D328" s="7">
        <v>0.008699</v>
      </c>
      <c r="E328" s="7">
        <v>0.002296</v>
      </c>
      <c r="F328" s="7">
        <v>0.003856</v>
      </c>
      <c r="G328" s="7">
        <v>0.001353</v>
      </c>
      <c r="H328" s="7">
        <v>0.001194</v>
      </c>
      <c r="I328" s="7">
        <v>0.008847</v>
      </c>
      <c r="J328" s="7">
        <v>0.004435</v>
      </c>
      <c r="K328" s="16">
        <v>3496</v>
      </c>
      <c r="L328" s="17">
        <v>1876.19</v>
      </c>
      <c r="M328" s="16">
        <v>1491.6</v>
      </c>
      <c r="N328" s="7">
        <f t="shared" si="44"/>
        <v>1.86335072673876</v>
      </c>
      <c r="O328" s="7">
        <f t="shared" si="45"/>
        <v>2.34379190131403</v>
      </c>
      <c r="P328" s="8">
        <v>72329173</v>
      </c>
      <c r="Q328" s="8">
        <f t="shared" si="46"/>
        <v>4.84909982569053</v>
      </c>
      <c r="R328" s="9">
        <v>208</v>
      </c>
      <c r="S328" s="9">
        <v>458.1</v>
      </c>
      <c r="T328" s="9">
        <v>459.4</v>
      </c>
      <c r="U328" s="9">
        <v>4467</v>
      </c>
      <c r="V328" s="18">
        <v>0</v>
      </c>
      <c r="W328" s="18">
        <v>1</v>
      </c>
      <c r="X328" s="18">
        <f t="shared" si="47"/>
        <v>0</v>
      </c>
      <c r="Y328" s="12">
        <f t="shared" si="48"/>
        <v>4.16809156222866</v>
      </c>
      <c r="Z328" s="12">
        <f t="shared" si="49"/>
        <v>0</v>
      </c>
      <c r="AA328" s="19">
        <v>3496</v>
      </c>
      <c r="AB328" s="19">
        <v>2734</v>
      </c>
      <c r="AC328" s="19">
        <v>73.02</v>
      </c>
      <c r="AD328" s="19">
        <v>1076.34</v>
      </c>
      <c r="AE328" s="19">
        <v>86.35</v>
      </c>
      <c r="AF328" s="19">
        <v>23.73</v>
      </c>
      <c r="AG328" s="19">
        <v>166.63</v>
      </c>
      <c r="AH328" s="19">
        <v>52.04</v>
      </c>
      <c r="AI328" s="19">
        <v>34.64</v>
      </c>
      <c r="AJ328" s="19">
        <v>197.62</v>
      </c>
      <c r="AK328" s="3">
        <f t="shared" si="43"/>
        <v>0</v>
      </c>
      <c r="AL328" s="3">
        <v>0</v>
      </c>
      <c r="AM328" s="3">
        <f t="shared" si="42"/>
        <v>0</v>
      </c>
    </row>
    <row r="329" spans="1:39">
      <c r="A329" s="7">
        <v>2002</v>
      </c>
      <c r="B329" s="7" t="s">
        <v>51</v>
      </c>
      <c r="C329" s="7">
        <v>0.023042</v>
      </c>
      <c r="D329" s="7">
        <v>0.010265</v>
      </c>
      <c r="E329" s="7">
        <v>0.002581</v>
      </c>
      <c r="F329" s="7">
        <v>0.004605</v>
      </c>
      <c r="G329" s="7">
        <v>0.00155</v>
      </c>
      <c r="H329" s="7">
        <v>0.001529</v>
      </c>
      <c r="I329" s="7">
        <v>0.010836</v>
      </c>
      <c r="J329" s="7">
        <v>0.005423</v>
      </c>
      <c r="K329" s="16">
        <v>3723</v>
      </c>
      <c r="L329" s="17">
        <v>1905.19</v>
      </c>
      <c r="M329" s="16">
        <v>1612.65</v>
      </c>
      <c r="N329" s="7">
        <f t="shared" si="44"/>
        <v>1.95413580797716</v>
      </c>
      <c r="O329" s="7">
        <f t="shared" si="45"/>
        <v>2.30862245372523</v>
      </c>
      <c r="P329" s="8">
        <v>77163609.89</v>
      </c>
      <c r="Q329" s="8">
        <f t="shared" si="46"/>
        <v>4.78489504170155</v>
      </c>
      <c r="R329" s="9">
        <v>215.5</v>
      </c>
      <c r="S329" s="9">
        <v>501.7</v>
      </c>
      <c r="T329" s="9">
        <v>514.8</v>
      </c>
      <c r="U329" s="9">
        <v>4875</v>
      </c>
      <c r="V329" s="18">
        <v>0</v>
      </c>
      <c r="W329" s="18">
        <v>1</v>
      </c>
      <c r="X329" s="18">
        <f t="shared" si="47"/>
        <v>0</v>
      </c>
      <c r="Y329" s="12">
        <f t="shared" si="48"/>
        <v>4.06804884448575</v>
      </c>
      <c r="Z329" s="12">
        <f t="shared" si="49"/>
        <v>0</v>
      </c>
      <c r="AA329" s="19">
        <v>3723</v>
      </c>
      <c r="AB329" s="19">
        <v>2898</v>
      </c>
      <c r="AC329" s="19">
        <v>83.06</v>
      </c>
      <c r="AD329" s="19">
        <v>1128.01</v>
      </c>
      <c r="AE329" s="19">
        <v>86.7</v>
      </c>
      <c r="AF329" s="19">
        <v>16.61</v>
      </c>
      <c r="AG329" s="19">
        <v>169.55</v>
      </c>
      <c r="AH329" s="19">
        <v>34.21</v>
      </c>
      <c r="AI329" s="19">
        <v>34.57</v>
      </c>
      <c r="AJ329" s="19">
        <v>212.24</v>
      </c>
      <c r="AK329" s="3">
        <f t="shared" si="43"/>
        <v>0</v>
      </c>
      <c r="AL329" s="3">
        <v>0</v>
      </c>
      <c r="AM329" s="3">
        <f t="shared" si="42"/>
        <v>0</v>
      </c>
    </row>
    <row r="330" spans="1:39">
      <c r="A330" s="7">
        <v>2003</v>
      </c>
      <c r="B330" s="7" t="s">
        <v>51</v>
      </c>
      <c r="C330" s="7">
        <v>0.02376024</v>
      </c>
      <c r="D330" s="7">
        <v>0.010664</v>
      </c>
      <c r="E330" s="7">
        <v>0.002696</v>
      </c>
      <c r="F330" s="7">
        <v>0.004876</v>
      </c>
      <c r="G330" s="7">
        <v>0.001569</v>
      </c>
      <c r="H330" s="7">
        <v>0.001523</v>
      </c>
      <c r="I330" s="7">
        <v>0.010528</v>
      </c>
      <c r="J330" s="7">
        <v>0.005355</v>
      </c>
      <c r="K330" s="16">
        <v>4177</v>
      </c>
      <c r="L330" s="17">
        <v>1933.95</v>
      </c>
      <c r="M330" s="16">
        <v>1886.35</v>
      </c>
      <c r="N330" s="7">
        <f t="shared" si="44"/>
        <v>2.15982833061868</v>
      </c>
      <c r="O330" s="7">
        <f t="shared" si="45"/>
        <v>2.21432926021152</v>
      </c>
      <c r="P330" s="8">
        <v>89399450.13</v>
      </c>
      <c r="Q330" s="8">
        <f t="shared" si="46"/>
        <v>4.73928221857025</v>
      </c>
      <c r="R330" s="9">
        <v>238</v>
      </c>
      <c r="S330" s="9">
        <v>572.2</v>
      </c>
      <c r="T330" s="9">
        <v>589.7</v>
      </c>
      <c r="U330" s="9">
        <v>5525</v>
      </c>
      <c r="V330" s="18">
        <v>0</v>
      </c>
      <c r="W330" s="18">
        <v>1</v>
      </c>
      <c r="X330" s="18">
        <f t="shared" si="47"/>
        <v>0</v>
      </c>
      <c r="Y330" s="12">
        <f t="shared" si="48"/>
        <v>4.08414499624993</v>
      </c>
      <c r="Z330" s="12">
        <f t="shared" si="49"/>
        <v>0</v>
      </c>
      <c r="AA330" s="19">
        <v>4176.61</v>
      </c>
      <c r="AB330" s="19">
        <v>3184.06</v>
      </c>
      <c r="AC330" s="19">
        <v>86.61</v>
      </c>
      <c r="AD330" s="19">
        <v>1189.14</v>
      </c>
      <c r="AE330" s="19">
        <v>91.35</v>
      </c>
      <c r="AF330" s="19">
        <v>15.61</v>
      </c>
      <c r="AG330" s="19">
        <v>181.55</v>
      </c>
      <c r="AH330" s="19">
        <v>46.52</v>
      </c>
      <c r="AI330" s="19">
        <v>40.55</v>
      </c>
      <c r="AJ330" s="19">
        <v>234.62</v>
      </c>
      <c r="AK330" s="3">
        <f t="shared" si="43"/>
        <v>0</v>
      </c>
      <c r="AL330" s="3">
        <v>0</v>
      </c>
      <c r="AM330" s="3">
        <f t="shared" si="42"/>
        <v>0</v>
      </c>
    </row>
    <row r="331" spans="1:39">
      <c r="A331" s="7">
        <v>2004</v>
      </c>
      <c r="B331" s="7" t="s">
        <v>51</v>
      </c>
      <c r="C331" s="7">
        <v>0.03395775</v>
      </c>
      <c r="D331" s="7">
        <v>0.012201</v>
      </c>
      <c r="E331" s="7">
        <v>0.002886</v>
      </c>
      <c r="F331" s="7">
        <v>0.005486</v>
      </c>
      <c r="G331" s="7">
        <v>0.001847</v>
      </c>
      <c r="H331" s="7">
        <v>0.001982</v>
      </c>
      <c r="I331" s="7">
        <v>0.011914</v>
      </c>
      <c r="J331" s="7">
        <v>0.005785</v>
      </c>
      <c r="K331" s="16">
        <v>4910</v>
      </c>
      <c r="L331" s="17">
        <v>1963.11</v>
      </c>
      <c r="M331" s="16">
        <v>2209.09</v>
      </c>
      <c r="N331" s="7">
        <f t="shared" si="44"/>
        <v>2.50113340566754</v>
      </c>
      <c r="O331" s="7">
        <f t="shared" si="45"/>
        <v>2.22263465952044</v>
      </c>
      <c r="P331" s="8">
        <v>103135168.4</v>
      </c>
      <c r="Q331" s="8">
        <f t="shared" si="46"/>
        <v>4.66867209574983</v>
      </c>
      <c r="R331" s="9">
        <v>283.3</v>
      </c>
      <c r="S331" s="9">
        <v>680.3</v>
      </c>
      <c r="T331" s="9">
        <v>690</v>
      </c>
      <c r="U331" s="9">
        <v>6512</v>
      </c>
      <c r="V331" s="18">
        <v>0</v>
      </c>
      <c r="W331" s="18">
        <v>1</v>
      </c>
      <c r="X331" s="18">
        <f t="shared" si="47"/>
        <v>0</v>
      </c>
      <c r="Y331" s="12">
        <f t="shared" si="48"/>
        <v>3.89549779892895</v>
      </c>
      <c r="Z331" s="12">
        <f t="shared" si="49"/>
        <v>0</v>
      </c>
      <c r="AA331" s="19">
        <v>4909.66</v>
      </c>
      <c r="AB331" s="19">
        <v>3631.79</v>
      </c>
      <c r="AC331" s="19">
        <v>126.88</v>
      </c>
      <c r="AD331" s="19">
        <v>1314.13</v>
      </c>
      <c r="AE331" s="19">
        <v>110.91</v>
      </c>
      <c r="AF331" s="19">
        <v>18.2</v>
      </c>
      <c r="AG331" s="19">
        <v>196.14</v>
      </c>
      <c r="AH331" s="19">
        <v>20.11</v>
      </c>
      <c r="AI331" s="19">
        <v>54.01</v>
      </c>
      <c r="AJ331" s="19">
        <v>265.9</v>
      </c>
      <c r="AK331" s="3">
        <f t="shared" si="43"/>
        <v>0</v>
      </c>
      <c r="AL331" s="3">
        <v>0</v>
      </c>
      <c r="AM331" s="3">
        <f t="shared" si="42"/>
        <v>0</v>
      </c>
    </row>
    <row r="332" spans="1:39">
      <c r="A332" s="7">
        <v>2005</v>
      </c>
      <c r="B332" s="7" t="s">
        <v>51</v>
      </c>
      <c r="C332" s="7">
        <v>0.02468935</v>
      </c>
      <c r="D332" s="7">
        <v>0.01092</v>
      </c>
      <c r="E332" s="7">
        <v>0.002656</v>
      </c>
      <c r="F332" s="7">
        <v>0.004932</v>
      </c>
      <c r="G332" s="7">
        <v>0.001718</v>
      </c>
      <c r="H332" s="7">
        <v>0.001614</v>
      </c>
      <c r="I332" s="7">
        <v>0.010466</v>
      </c>
      <c r="J332" s="7">
        <v>0.005202</v>
      </c>
      <c r="K332" s="16">
        <v>5506</v>
      </c>
      <c r="L332" s="17">
        <v>2010.35</v>
      </c>
      <c r="M332" s="16">
        <v>2604.19</v>
      </c>
      <c r="N332" s="7">
        <f t="shared" si="44"/>
        <v>2.73882657248738</v>
      </c>
      <c r="O332" s="7">
        <f t="shared" si="45"/>
        <v>2.1142850560059</v>
      </c>
      <c r="P332" s="8">
        <v>114009656.4</v>
      </c>
      <c r="Q332" s="8">
        <f t="shared" si="46"/>
        <v>4.37793157949305</v>
      </c>
      <c r="R332" s="9">
        <v>304.3</v>
      </c>
      <c r="S332" s="9">
        <v>772.2</v>
      </c>
      <c r="T332" s="9">
        <v>788.1</v>
      </c>
      <c r="U332" s="9">
        <v>7332</v>
      </c>
      <c r="V332" s="18">
        <v>0</v>
      </c>
      <c r="W332" s="18">
        <v>1</v>
      </c>
      <c r="X332" s="18">
        <f t="shared" si="47"/>
        <v>0</v>
      </c>
      <c r="Y332" s="12">
        <f t="shared" si="48"/>
        <v>3.71995059106252</v>
      </c>
      <c r="Z332" s="12">
        <f t="shared" si="49"/>
        <v>0</v>
      </c>
      <c r="AA332" s="19">
        <v>5506.5</v>
      </c>
      <c r="AB332" s="19">
        <v>3859.91</v>
      </c>
      <c r="AC332" s="19">
        <v>183.27</v>
      </c>
      <c r="AD332" s="19">
        <v>1628.77</v>
      </c>
      <c r="AE332" s="19">
        <v>106.73</v>
      </c>
      <c r="AF332" s="19">
        <v>26.12</v>
      </c>
      <c r="AG332" s="19">
        <v>302.74</v>
      </c>
      <c r="AH332" s="19">
        <v>17.32</v>
      </c>
      <c r="AI332" s="19">
        <v>56.46</v>
      </c>
      <c r="AJ332" s="19">
        <v>310.14</v>
      </c>
      <c r="AK332" s="3">
        <f t="shared" si="43"/>
        <v>0</v>
      </c>
      <c r="AL332" s="3">
        <v>0</v>
      </c>
      <c r="AM332" s="3">
        <f t="shared" si="42"/>
        <v>0</v>
      </c>
    </row>
    <row r="333" spans="1:39">
      <c r="A333" s="7">
        <v>2006</v>
      </c>
      <c r="B333" s="7" t="s">
        <v>51</v>
      </c>
      <c r="C333" s="7">
        <v>0.03536486</v>
      </c>
      <c r="D333" s="7">
        <v>0.012246</v>
      </c>
      <c r="E333" s="7">
        <v>0.002984</v>
      </c>
      <c r="F333" s="7">
        <v>0.005611</v>
      </c>
      <c r="G333" s="7">
        <v>0.001763</v>
      </c>
      <c r="H333" s="7">
        <v>0.001888</v>
      </c>
      <c r="I333" s="7">
        <v>0.012251</v>
      </c>
      <c r="J333" s="7">
        <v>0.006254</v>
      </c>
      <c r="K333" s="16">
        <v>6047</v>
      </c>
      <c r="L333" s="17">
        <v>2050</v>
      </c>
      <c r="M333" s="16">
        <v>3045.26</v>
      </c>
      <c r="N333" s="7">
        <f t="shared" si="44"/>
        <v>2.94975609756098</v>
      </c>
      <c r="O333" s="7">
        <f t="shared" si="45"/>
        <v>1.98570893782468</v>
      </c>
      <c r="P333" s="8">
        <v>126438827.2</v>
      </c>
      <c r="Q333" s="8">
        <f t="shared" si="46"/>
        <v>4.15198791564595</v>
      </c>
      <c r="R333" s="9">
        <v>329.8</v>
      </c>
      <c r="S333" s="9">
        <v>972.5</v>
      </c>
      <c r="T333" s="9">
        <v>900.6</v>
      </c>
      <c r="U333" s="9">
        <v>8653</v>
      </c>
      <c r="V333" s="18">
        <v>0</v>
      </c>
      <c r="W333" s="18">
        <v>1</v>
      </c>
      <c r="X333" s="18">
        <f t="shared" si="47"/>
        <v>0</v>
      </c>
      <c r="Y333" s="12">
        <f t="shared" si="48"/>
        <v>3.57740717995078</v>
      </c>
      <c r="Z333" s="12">
        <f t="shared" si="49"/>
        <v>0</v>
      </c>
      <c r="AA333" s="19">
        <v>6047.27</v>
      </c>
      <c r="AB333" s="19">
        <v>4436.21</v>
      </c>
      <c r="AC333" s="19">
        <v>230.6</v>
      </c>
      <c r="AD333" s="19">
        <v>1813.64</v>
      </c>
      <c r="AE333" s="19">
        <v>117.82</v>
      </c>
      <c r="AF333" s="19">
        <v>30.88</v>
      </c>
      <c r="AG333" s="19">
        <v>341.01</v>
      </c>
      <c r="AH333" s="19">
        <v>19.31</v>
      </c>
      <c r="AI333" s="19">
        <v>65.04</v>
      </c>
      <c r="AJ333" s="19">
        <v>356.15</v>
      </c>
      <c r="AK333" s="3">
        <f t="shared" si="43"/>
        <v>0</v>
      </c>
      <c r="AL333" s="3">
        <v>0</v>
      </c>
      <c r="AM333" s="3">
        <f t="shared" si="42"/>
        <v>0</v>
      </c>
    </row>
    <row r="334" spans="1:39">
      <c r="A334" s="7">
        <v>2007</v>
      </c>
      <c r="B334" s="7" t="s">
        <v>51</v>
      </c>
      <c r="C334" s="7">
        <v>0.03272789</v>
      </c>
      <c r="D334" s="7">
        <v>0.012059</v>
      </c>
      <c r="E334" s="7">
        <v>0.003037</v>
      </c>
      <c r="F334" s="7">
        <v>0.005535</v>
      </c>
      <c r="G334" s="7">
        <v>0.001838</v>
      </c>
      <c r="H334" s="7">
        <v>0.001649</v>
      </c>
      <c r="I334" s="7">
        <v>0.01189</v>
      </c>
      <c r="J334" s="7">
        <v>0.005848</v>
      </c>
      <c r="K334" s="16">
        <v>6576</v>
      </c>
      <c r="L334" s="17">
        <v>2095.19</v>
      </c>
      <c r="M334" s="16">
        <v>3523.16</v>
      </c>
      <c r="N334" s="7">
        <f t="shared" si="44"/>
        <v>3.13861750008352</v>
      </c>
      <c r="O334" s="7">
        <f t="shared" si="45"/>
        <v>1.86650620465718</v>
      </c>
      <c r="P334" s="8">
        <v>132574284.9</v>
      </c>
      <c r="Q334" s="8">
        <f t="shared" si="46"/>
        <v>3.76293682092213</v>
      </c>
      <c r="R334" s="9">
        <v>365.9</v>
      </c>
      <c r="S334" s="9">
        <v>1254.1</v>
      </c>
      <c r="T334" s="9">
        <v>1055.1</v>
      </c>
      <c r="U334" s="9">
        <v>10501</v>
      </c>
      <c r="V334" s="18">
        <v>0</v>
      </c>
      <c r="W334" s="18">
        <v>1</v>
      </c>
      <c r="X334" s="18">
        <f t="shared" si="47"/>
        <v>0</v>
      </c>
      <c r="Y334" s="12">
        <f t="shared" si="48"/>
        <v>3.23986794305777</v>
      </c>
      <c r="Z334" s="12">
        <f t="shared" si="49"/>
        <v>0</v>
      </c>
      <c r="AA334" s="19">
        <v>6575.73</v>
      </c>
      <c r="AB334" s="19">
        <v>4943.69</v>
      </c>
      <c r="AC334" s="19">
        <v>284.75</v>
      </c>
      <c r="AD334" s="19">
        <v>1873.37</v>
      </c>
      <c r="AE334" s="19">
        <v>124.51</v>
      </c>
      <c r="AF334" s="19">
        <v>33.28</v>
      </c>
      <c r="AG334" s="19">
        <v>378.39</v>
      </c>
      <c r="AH334" s="19">
        <v>22.26</v>
      </c>
      <c r="AI334" s="19">
        <v>69.81</v>
      </c>
      <c r="AJ334" s="19">
        <v>416.87</v>
      </c>
      <c r="AK334" s="3">
        <f t="shared" si="43"/>
        <v>0</v>
      </c>
      <c r="AL334" s="3">
        <v>0</v>
      </c>
      <c r="AM334" s="3">
        <f t="shared" si="42"/>
        <v>0</v>
      </c>
    </row>
    <row r="335" spans="1:39">
      <c r="A335" s="7">
        <v>2008</v>
      </c>
      <c r="B335" s="7" t="s">
        <v>51</v>
      </c>
      <c r="C335" s="7">
        <v>0.0398874</v>
      </c>
      <c r="D335" s="7">
        <v>0.013348</v>
      </c>
      <c r="E335" s="7">
        <v>0.003282</v>
      </c>
      <c r="F335" s="7">
        <v>0.006072</v>
      </c>
      <c r="G335" s="7">
        <v>0.001966</v>
      </c>
      <c r="H335" s="7">
        <v>0.002028</v>
      </c>
      <c r="I335" s="7">
        <v>0.012304</v>
      </c>
      <c r="J335" s="7">
        <v>0.006173</v>
      </c>
      <c r="K335" s="16">
        <v>7069</v>
      </c>
      <c r="L335" s="17">
        <v>2130.81</v>
      </c>
      <c r="M335" s="16">
        <v>4183.21</v>
      </c>
      <c r="N335" s="7">
        <f t="shared" si="44"/>
        <v>3.3175177514654</v>
      </c>
      <c r="O335" s="7">
        <f t="shared" si="45"/>
        <v>1.68985061710983</v>
      </c>
      <c r="P335" s="8">
        <v>143831977.4</v>
      </c>
      <c r="Q335" s="8">
        <f t="shared" si="46"/>
        <v>3.43831596788113</v>
      </c>
      <c r="R335" s="9">
        <v>391.2</v>
      </c>
      <c r="S335" s="9">
        <v>1429.9</v>
      </c>
      <c r="T335" s="9">
        <v>1250.5</v>
      </c>
      <c r="U335" s="9">
        <v>12048</v>
      </c>
      <c r="V335" s="18">
        <v>0</v>
      </c>
      <c r="W335" s="18">
        <v>1</v>
      </c>
      <c r="X335" s="18">
        <f t="shared" si="47"/>
        <v>0</v>
      </c>
      <c r="Y335" s="12">
        <f t="shared" si="48"/>
        <v>2.71728515287532</v>
      </c>
      <c r="Z335" s="12">
        <f t="shared" si="49"/>
        <v>0</v>
      </c>
      <c r="AA335" s="19">
        <v>7069</v>
      </c>
      <c r="AB335" s="19">
        <v>5709</v>
      </c>
      <c r="AC335" s="19">
        <v>456.12</v>
      </c>
      <c r="AD335" s="19">
        <v>1940.53</v>
      </c>
      <c r="AE335" s="19">
        <v>123.66</v>
      </c>
      <c r="AF335" s="19">
        <v>38.15</v>
      </c>
      <c r="AG335" s="19">
        <v>335.44</v>
      </c>
      <c r="AH335" s="19">
        <v>27.34</v>
      </c>
      <c r="AI335" s="19">
        <v>69.84</v>
      </c>
      <c r="AJ335" s="19">
        <v>479.37</v>
      </c>
      <c r="AK335" s="3">
        <f t="shared" si="43"/>
        <v>0</v>
      </c>
      <c r="AL335" s="3">
        <v>0</v>
      </c>
      <c r="AM335" s="3">
        <f t="shared" si="42"/>
        <v>0</v>
      </c>
    </row>
    <row r="336" spans="1:39">
      <c r="A336" s="7">
        <v>2009</v>
      </c>
      <c r="B336" s="7" t="s">
        <v>51</v>
      </c>
      <c r="C336" s="7">
        <v>0.041254</v>
      </c>
      <c r="D336" s="7">
        <v>0.013588</v>
      </c>
      <c r="E336" s="7">
        <v>0.003214</v>
      </c>
      <c r="F336" s="7">
        <v>0.00606</v>
      </c>
      <c r="G336" s="7">
        <v>0.001872</v>
      </c>
      <c r="H336" s="7">
        <v>0.002442</v>
      </c>
      <c r="I336" s="7">
        <v>0.012421</v>
      </c>
      <c r="J336" s="7">
        <v>0.005954</v>
      </c>
      <c r="K336" s="16">
        <v>7526</v>
      </c>
      <c r="L336" s="17">
        <v>2158.63</v>
      </c>
      <c r="M336" s="16">
        <v>4277.05</v>
      </c>
      <c r="N336" s="7">
        <f t="shared" si="44"/>
        <v>3.48647058551025</v>
      </c>
      <c r="O336" s="7">
        <f t="shared" si="45"/>
        <v>1.75962403993407</v>
      </c>
      <c r="P336" s="8">
        <v>151435405.1</v>
      </c>
      <c r="Q336" s="8">
        <f t="shared" si="46"/>
        <v>3.5406508013701</v>
      </c>
      <c r="R336" s="9">
        <v>418.4</v>
      </c>
      <c r="S336" s="9">
        <v>1473.2</v>
      </c>
      <c r="T336" s="9">
        <v>1376.6</v>
      </c>
      <c r="U336" s="9">
        <v>12802</v>
      </c>
      <c r="V336" s="18">
        <v>0</v>
      </c>
      <c r="W336" s="18">
        <v>1</v>
      </c>
      <c r="X336" s="18">
        <f t="shared" si="47"/>
        <v>0</v>
      </c>
      <c r="Y336" s="12">
        <f t="shared" si="48"/>
        <v>2.66960201713366</v>
      </c>
      <c r="Z336" s="12">
        <f t="shared" si="49"/>
        <v>0</v>
      </c>
      <c r="AA336" s="19">
        <v>7526</v>
      </c>
      <c r="AB336" s="19">
        <v>7418</v>
      </c>
      <c r="AC336" s="19">
        <v>528.24</v>
      </c>
      <c r="AD336" s="19">
        <v>1997.9</v>
      </c>
      <c r="AE336" s="19">
        <v>121.87</v>
      </c>
      <c r="AF336" s="19">
        <v>31.4</v>
      </c>
      <c r="AG336" s="19">
        <v>331.7</v>
      </c>
      <c r="AH336" s="19">
        <v>22.37</v>
      </c>
      <c r="AI336" s="19">
        <v>67.93</v>
      </c>
      <c r="AJ336" s="19">
        <v>547.88</v>
      </c>
      <c r="AK336" s="3">
        <f t="shared" si="43"/>
        <v>0</v>
      </c>
      <c r="AL336" s="3">
        <v>0</v>
      </c>
      <c r="AM336" s="3">
        <f t="shared" si="42"/>
        <v>0</v>
      </c>
    </row>
    <row r="337" spans="1:39">
      <c r="A337" s="7">
        <v>2010</v>
      </c>
      <c r="B337" s="7" t="s">
        <v>51</v>
      </c>
      <c r="C337" s="7">
        <v>0.05117928</v>
      </c>
      <c r="D337" s="7">
        <v>0.014116</v>
      </c>
      <c r="E337" s="7">
        <v>0.003574</v>
      </c>
      <c r="F337" s="7">
        <v>0.006228</v>
      </c>
      <c r="G337" s="7">
        <v>0.001998</v>
      </c>
      <c r="H337" s="7">
        <v>0.002315</v>
      </c>
      <c r="I337" s="7">
        <v>0.014945</v>
      </c>
      <c r="J337" s="7">
        <v>0.007622</v>
      </c>
      <c r="K337" s="16">
        <v>8290</v>
      </c>
      <c r="L337" s="17">
        <v>2185</v>
      </c>
      <c r="M337" s="16">
        <v>5437.47</v>
      </c>
      <c r="N337" s="7">
        <f t="shared" si="44"/>
        <v>3.79405034324943</v>
      </c>
      <c r="O337" s="7">
        <f t="shared" si="45"/>
        <v>1.52460611276936</v>
      </c>
      <c r="P337" s="8">
        <v>172639725.2</v>
      </c>
      <c r="Q337" s="8">
        <f t="shared" si="46"/>
        <v>3.17500096920075</v>
      </c>
      <c r="R337" s="9">
        <v>472.6</v>
      </c>
      <c r="S337" s="9">
        <v>1910.4</v>
      </c>
      <c r="T337" s="9">
        <v>1560.8</v>
      </c>
      <c r="U337" s="9">
        <v>15421</v>
      </c>
      <c r="V337" s="18">
        <v>0</v>
      </c>
      <c r="W337" s="18">
        <v>1</v>
      </c>
      <c r="X337" s="18">
        <f t="shared" si="47"/>
        <v>0</v>
      </c>
      <c r="Y337" s="12">
        <f t="shared" si="48"/>
        <v>2.40850270516871</v>
      </c>
      <c r="Z337" s="12">
        <f t="shared" si="49"/>
        <v>0</v>
      </c>
      <c r="AA337" s="19">
        <v>8290.2</v>
      </c>
      <c r="AB337" s="19">
        <v>8106.35</v>
      </c>
      <c r="AC337" s="19">
        <v>648.21</v>
      </c>
      <c r="AD337" s="19">
        <v>2308.44</v>
      </c>
      <c r="AE337" s="19">
        <v>131.17</v>
      </c>
      <c r="AF337" s="19">
        <v>33.33</v>
      </c>
      <c r="AG337" s="19">
        <v>363.72</v>
      </c>
      <c r="AH337" s="19">
        <v>14.95</v>
      </c>
      <c r="AI337" s="19">
        <v>80.15</v>
      </c>
      <c r="AJ337" s="19">
        <v>661.96</v>
      </c>
      <c r="AK337" s="3">
        <f t="shared" si="43"/>
        <v>0</v>
      </c>
      <c r="AL337" s="3">
        <v>0</v>
      </c>
      <c r="AM337" s="3">
        <f t="shared" si="42"/>
        <v>0</v>
      </c>
    </row>
    <row r="338" spans="1:39">
      <c r="A338" s="7">
        <v>2011</v>
      </c>
      <c r="B338" s="7" t="s">
        <v>51</v>
      </c>
      <c r="C338" s="7">
        <v>0.04698715</v>
      </c>
      <c r="D338" s="7">
        <v>0.013393</v>
      </c>
      <c r="E338" s="7">
        <v>0.003404</v>
      </c>
      <c r="F338" s="7">
        <v>0.005914</v>
      </c>
      <c r="G338" s="7">
        <v>0.002029</v>
      </c>
      <c r="H338" s="7">
        <v>0.002047</v>
      </c>
      <c r="I338" s="7">
        <v>0.014488</v>
      </c>
      <c r="J338" s="7">
        <v>0.007482</v>
      </c>
      <c r="K338" s="16">
        <v>9927</v>
      </c>
      <c r="L338" s="17">
        <v>2225</v>
      </c>
      <c r="M338" s="16">
        <v>6610.05</v>
      </c>
      <c r="N338" s="7">
        <f t="shared" si="44"/>
        <v>4.46157303370787</v>
      </c>
      <c r="O338" s="7">
        <f t="shared" si="45"/>
        <v>1.50180407107359</v>
      </c>
      <c r="P338" s="8">
        <v>211855856.7</v>
      </c>
      <c r="Q338" s="8">
        <f t="shared" si="46"/>
        <v>3.20505679533438</v>
      </c>
      <c r="R338" s="9">
        <v>525.6</v>
      </c>
      <c r="S338" s="9">
        <v>2288.6</v>
      </c>
      <c r="T338" s="9">
        <v>2002.7</v>
      </c>
      <c r="U338" s="9">
        <v>18846</v>
      </c>
      <c r="V338" s="18">
        <v>0</v>
      </c>
      <c r="W338" s="18">
        <v>1</v>
      </c>
      <c r="X338" s="18">
        <f t="shared" si="47"/>
        <v>0</v>
      </c>
      <c r="Y338" s="12">
        <f t="shared" si="48"/>
        <v>2.18035126729488</v>
      </c>
      <c r="Z338" s="12">
        <f t="shared" si="49"/>
        <v>0</v>
      </c>
      <c r="AA338" s="19">
        <v>9927</v>
      </c>
      <c r="AB338" s="19">
        <v>9745</v>
      </c>
      <c r="AC338" s="19">
        <v>880.23</v>
      </c>
      <c r="AD338" s="19">
        <v>2598.46</v>
      </c>
      <c r="AE338" s="19">
        <v>138.84</v>
      </c>
      <c r="AF338" s="19">
        <v>37.32</v>
      </c>
      <c r="AG338" s="19">
        <v>390.52</v>
      </c>
      <c r="AH338" s="19">
        <v>2.4</v>
      </c>
      <c r="AI338" s="19">
        <v>95.02</v>
      </c>
      <c r="AJ338" s="19">
        <v>839</v>
      </c>
      <c r="AK338" s="3">
        <f t="shared" si="43"/>
        <v>0</v>
      </c>
      <c r="AL338" s="3">
        <v>0</v>
      </c>
      <c r="AM338" s="3">
        <f t="shared" si="42"/>
        <v>0</v>
      </c>
    </row>
    <row r="339" spans="1:39">
      <c r="A339" s="7">
        <v>2012</v>
      </c>
      <c r="B339" s="7" t="s">
        <v>51</v>
      </c>
      <c r="C339" s="7">
        <v>0.0566643</v>
      </c>
      <c r="D339" s="7">
        <v>0.015498</v>
      </c>
      <c r="E339" s="7">
        <v>0.003894</v>
      </c>
      <c r="F339" s="7">
        <v>0.007143</v>
      </c>
      <c r="G339" s="7">
        <v>0.002482</v>
      </c>
      <c r="H339" s="7">
        <v>0.001979</v>
      </c>
      <c r="I339" s="7">
        <v>0.015504</v>
      </c>
      <c r="J339" s="7">
        <v>0.007621</v>
      </c>
      <c r="K339" s="16">
        <v>11831</v>
      </c>
      <c r="L339" s="17">
        <v>2253</v>
      </c>
      <c r="M339" s="16">
        <v>7505.31</v>
      </c>
      <c r="N339" s="7">
        <f t="shared" si="44"/>
        <v>5.25122059476254</v>
      </c>
      <c r="O339" s="7">
        <f t="shared" si="45"/>
        <v>1.57635061043448</v>
      </c>
      <c r="P339" s="8">
        <v>240269795.8</v>
      </c>
      <c r="Q339" s="8">
        <f t="shared" si="46"/>
        <v>3.20133073517283</v>
      </c>
      <c r="R339" s="9">
        <v>590.9</v>
      </c>
      <c r="S339" s="9">
        <v>2493.3</v>
      </c>
      <c r="T339" s="9">
        <v>2308.9</v>
      </c>
      <c r="U339" s="9">
        <v>21141</v>
      </c>
      <c r="V339" s="18">
        <v>0</v>
      </c>
      <c r="W339" s="18">
        <v>1</v>
      </c>
      <c r="X339" s="18">
        <f t="shared" si="47"/>
        <v>0</v>
      </c>
      <c r="Y339" s="12">
        <f t="shared" si="48"/>
        <v>2.01609935715007</v>
      </c>
      <c r="Z339" s="12">
        <f t="shared" si="49"/>
        <v>0</v>
      </c>
      <c r="AA339" s="19">
        <v>11831.39</v>
      </c>
      <c r="AB339" s="19">
        <v>12028</v>
      </c>
      <c r="AC339" s="19">
        <v>1011.07</v>
      </c>
      <c r="AD339" s="19">
        <v>2594.85</v>
      </c>
      <c r="AE339" s="19">
        <v>154.63</v>
      </c>
      <c r="AF339" s="19">
        <v>45.34</v>
      </c>
      <c r="AG339" s="19">
        <v>433.35</v>
      </c>
      <c r="AH339" s="19">
        <v>8.06</v>
      </c>
      <c r="AI339" s="19">
        <v>101.95</v>
      </c>
      <c r="AJ339" s="19">
        <v>1151.5</v>
      </c>
      <c r="AK339" s="3">
        <f t="shared" si="43"/>
        <v>0</v>
      </c>
      <c r="AL339" s="3">
        <v>0</v>
      </c>
      <c r="AM339" s="3">
        <f t="shared" si="42"/>
        <v>0</v>
      </c>
    </row>
    <row r="340" spans="1:39">
      <c r="A340" s="7">
        <v>2013</v>
      </c>
      <c r="B340" s="7" t="s">
        <v>51</v>
      </c>
      <c r="C340" s="7">
        <v>0.04786279</v>
      </c>
      <c r="D340" s="7">
        <v>0.014105</v>
      </c>
      <c r="E340" s="7">
        <v>0.003432</v>
      </c>
      <c r="F340" s="7">
        <v>0.006417</v>
      </c>
      <c r="G340" s="7">
        <v>0.002126</v>
      </c>
      <c r="H340" s="7">
        <v>0.00213</v>
      </c>
      <c r="I340" s="7">
        <v>0.013713</v>
      </c>
      <c r="J340" s="7">
        <v>0.007236</v>
      </c>
      <c r="K340" s="16">
        <v>13632</v>
      </c>
      <c r="L340" s="17">
        <v>2285</v>
      </c>
      <c r="M340" s="16">
        <v>8443.84</v>
      </c>
      <c r="N340" s="7">
        <f t="shared" si="44"/>
        <v>5.96586433260394</v>
      </c>
      <c r="O340" s="7">
        <f t="shared" si="45"/>
        <v>1.61443134877023</v>
      </c>
      <c r="P340" s="8">
        <v>273563753.9</v>
      </c>
      <c r="Q340" s="8">
        <f t="shared" si="46"/>
        <v>3.23980267153333</v>
      </c>
      <c r="R340" s="9">
        <v>658.1</v>
      </c>
      <c r="S340" s="9">
        <v>2674</v>
      </c>
      <c r="T340" s="9">
        <v>2682.4</v>
      </c>
      <c r="U340" s="9">
        <v>23647</v>
      </c>
      <c r="V340" s="18">
        <v>0</v>
      </c>
      <c r="W340" s="18">
        <v>1</v>
      </c>
      <c r="X340" s="18">
        <f t="shared" si="47"/>
        <v>0</v>
      </c>
      <c r="Y340" s="12">
        <f t="shared" si="48"/>
        <v>1.91398219724656</v>
      </c>
      <c r="Z340" s="12">
        <f t="shared" si="49"/>
        <v>0</v>
      </c>
      <c r="AA340" s="19">
        <v>13632</v>
      </c>
      <c r="AB340" s="19">
        <v>14205.5</v>
      </c>
      <c r="AC340" s="19">
        <v>1110.05</v>
      </c>
      <c r="AD340" s="19">
        <v>2560.76</v>
      </c>
      <c r="AE340" s="19">
        <v>209.36</v>
      </c>
      <c r="AF340" s="19">
        <v>22.93</v>
      </c>
      <c r="AG340" s="19">
        <v>545.89</v>
      </c>
      <c r="AH340" s="19">
        <v>13.19</v>
      </c>
      <c r="AI340" s="19">
        <v>127.41</v>
      </c>
      <c r="AJ340" s="19">
        <v>1539.75</v>
      </c>
      <c r="AK340" s="3">
        <f t="shared" si="43"/>
        <v>1</v>
      </c>
      <c r="AL340" s="3">
        <v>0</v>
      </c>
      <c r="AM340" s="3">
        <f t="shared" si="42"/>
        <v>0</v>
      </c>
    </row>
    <row r="341" spans="1:39">
      <c r="A341" s="7">
        <v>2014</v>
      </c>
      <c r="B341" s="7" t="s">
        <v>51</v>
      </c>
      <c r="C341" s="7">
        <v>0.05846509</v>
      </c>
      <c r="D341" s="7">
        <v>0.01621</v>
      </c>
      <c r="E341" s="7">
        <v>0.004129</v>
      </c>
      <c r="F341" s="7">
        <v>0.007371</v>
      </c>
      <c r="G341" s="7">
        <v>0.002338</v>
      </c>
      <c r="H341" s="7">
        <v>0.002373</v>
      </c>
      <c r="I341" s="7">
        <v>0.015316</v>
      </c>
      <c r="J341" s="7">
        <v>0.007127</v>
      </c>
      <c r="K341" s="16">
        <v>14926</v>
      </c>
      <c r="L341" s="17">
        <v>2325</v>
      </c>
      <c r="M341" s="16">
        <v>9273.46</v>
      </c>
      <c r="N341" s="7">
        <f t="shared" si="44"/>
        <v>6.41978494623656</v>
      </c>
      <c r="O341" s="7">
        <f t="shared" si="45"/>
        <v>1.60953948148803</v>
      </c>
      <c r="P341" s="8">
        <v>321638839.7</v>
      </c>
      <c r="Q341" s="8">
        <f t="shared" si="46"/>
        <v>3.46838008359339</v>
      </c>
      <c r="R341" s="9">
        <v>695.8</v>
      </c>
      <c r="S341" s="9">
        <v>2823.3</v>
      </c>
      <c r="T341" s="9">
        <v>2999.4</v>
      </c>
      <c r="U341" s="9">
        <v>25724</v>
      </c>
      <c r="V341" s="18">
        <v>0</v>
      </c>
      <c r="W341" s="18">
        <v>1</v>
      </c>
      <c r="X341" s="18">
        <f t="shared" si="47"/>
        <v>0</v>
      </c>
      <c r="Y341" s="12">
        <f t="shared" si="48"/>
        <v>1.79640226266579</v>
      </c>
      <c r="Z341" s="12">
        <f t="shared" si="49"/>
        <v>0</v>
      </c>
      <c r="AA341" s="19">
        <v>14926.08</v>
      </c>
      <c r="AB341" s="19">
        <v>16088.03</v>
      </c>
      <c r="AC341" s="19">
        <v>1073.73</v>
      </c>
      <c r="AD341" s="19">
        <v>2693.05</v>
      </c>
      <c r="AE341" s="19">
        <v>215.84</v>
      </c>
      <c r="AF341" s="19">
        <v>22.57</v>
      </c>
      <c r="AG341" s="19">
        <v>561.52</v>
      </c>
      <c r="AH341" s="19">
        <v>6.22</v>
      </c>
      <c r="AI341" s="19">
        <v>169.87</v>
      </c>
      <c r="AJ341" s="19">
        <v>1900.24</v>
      </c>
      <c r="AK341" s="3">
        <f t="shared" si="43"/>
        <v>1</v>
      </c>
      <c r="AL341" s="3">
        <v>0</v>
      </c>
      <c r="AM341" s="3">
        <f t="shared" si="42"/>
        <v>0</v>
      </c>
    </row>
    <row r="342" spans="1:39">
      <c r="A342" s="7">
        <v>2015</v>
      </c>
      <c r="B342" s="7" t="s">
        <v>51</v>
      </c>
      <c r="C342" s="7">
        <v>0.05347495</v>
      </c>
      <c r="D342" s="7">
        <v>0.014389</v>
      </c>
      <c r="E342" s="7">
        <v>0.00354</v>
      </c>
      <c r="F342" s="7">
        <v>0.006433</v>
      </c>
      <c r="G342" s="7">
        <v>0.002153</v>
      </c>
      <c r="H342" s="7">
        <v>0.002263</v>
      </c>
      <c r="I342" s="7">
        <v>0.015926</v>
      </c>
      <c r="J342" s="7">
        <v>0.007559</v>
      </c>
      <c r="K342" s="16">
        <v>15666</v>
      </c>
      <c r="L342" s="17">
        <v>2385</v>
      </c>
      <c r="M342" s="16">
        <v>9324.8</v>
      </c>
      <c r="N342" s="7">
        <f t="shared" si="44"/>
        <v>6.5685534591195</v>
      </c>
      <c r="O342" s="7">
        <f t="shared" si="45"/>
        <v>1.68003603294441</v>
      </c>
      <c r="P342" s="8">
        <v>342200268.2</v>
      </c>
      <c r="Q342" s="8">
        <f t="shared" si="46"/>
        <v>3.66978667853466</v>
      </c>
      <c r="R342" s="9">
        <v>733.4</v>
      </c>
      <c r="S342" s="9">
        <v>2505.4</v>
      </c>
      <c r="T342" s="9">
        <v>3317.8</v>
      </c>
      <c r="U342" s="9">
        <v>25946</v>
      </c>
      <c r="V342" s="18">
        <v>0</v>
      </c>
      <c r="W342" s="18">
        <v>1</v>
      </c>
      <c r="X342" s="18">
        <f t="shared" si="47"/>
        <v>0</v>
      </c>
      <c r="Y342" s="12">
        <f t="shared" si="48"/>
        <v>1.71577514742415</v>
      </c>
      <c r="Z342" s="12">
        <f t="shared" si="49"/>
        <v>0</v>
      </c>
      <c r="AA342" s="19">
        <v>15666</v>
      </c>
      <c r="AB342" s="19">
        <v>18119.78</v>
      </c>
      <c r="AC342" s="19">
        <v>748.59</v>
      </c>
      <c r="AD342" s="19">
        <v>2489.49</v>
      </c>
      <c r="AE342" s="19">
        <v>234.82</v>
      </c>
      <c r="AF342" s="19">
        <v>46.93</v>
      </c>
      <c r="AG342" s="19">
        <v>537.18</v>
      </c>
      <c r="AH342" s="19">
        <v>1.76</v>
      </c>
      <c r="AI342" s="19">
        <v>136.82</v>
      </c>
      <c r="AJ342" s="19">
        <v>2160</v>
      </c>
      <c r="AK342" s="3">
        <f t="shared" si="43"/>
        <v>1</v>
      </c>
      <c r="AL342" s="3">
        <v>0</v>
      </c>
      <c r="AM342" s="3">
        <f t="shared" si="42"/>
        <v>0</v>
      </c>
    </row>
    <row r="343" spans="1:39">
      <c r="A343" s="7">
        <v>2016</v>
      </c>
      <c r="B343" s="7" t="s">
        <v>51</v>
      </c>
      <c r="C343" s="7">
        <v>0.05830101</v>
      </c>
      <c r="D343" s="7">
        <v>0.015603</v>
      </c>
      <c r="E343" s="7">
        <v>0.003944</v>
      </c>
      <c r="F343" s="7">
        <v>0.007099</v>
      </c>
      <c r="G343" s="7">
        <v>0.002476</v>
      </c>
      <c r="H343" s="7">
        <v>0.002084</v>
      </c>
      <c r="I343" s="7">
        <v>0.016246</v>
      </c>
      <c r="J343" s="7">
        <v>0.007549</v>
      </c>
      <c r="K343" s="16">
        <v>16302</v>
      </c>
      <c r="L343" s="17">
        <v>2428</v>
      </c>
      <c r="M343" s="16">
        <v>9649.7</v>
      </c>
      <c r="N343" s="7">
        <f t="shared" si="44"/>
        <v>6.71416803953872</v>
      </c>
      <c r="O343" s="7">
        <f t="shared" si="45"/>
        <v>1.68937894442314</v>
      </c>
      <c r="P343" s="8">
        <v>359341479.4</v>
      </c>
      <c r="Q343" s="8">
        <f t="shared" si="46"/>
        <v>3.72386166823839</v>
      </c>
      <c r="R343" s="9">
        <v>800.8</v>
      </c>
      <c r="S343" s="9">
        <v>2483.5</v>
      </c>
      <c r="T343" s="9">
        <v>3623.7</v>
      </c>
      <c r="U343" s="9">
        <v>27396</v>
      </c>
      <c r="V343" s="18">
        <v>0</v>
      </c>
      <c r="W343" s="18">
        <v>1</v>
      </c>
      <c r="X343" s="18">
        <f t="shared" si="47"/>
        <v>0</v>
      </c>
      <c r="Y343" s="12">
        <f t="shared" si="48"/>
        <v>1.62438398605541</v>
      </c>
      <c r="Z343" s="12">
        <f t="shared" si="49"/>
        <v>0</v>
      </c>
      <c r="AA343" s="19">
        <v>16302</v>
      </c>
      <c r="AB343" s="19">
        <v>19245.92</v>
      </c>
      <c r="AC343" s="19">
        <v>801.03</v>
      </c>
      <c r="AD343" s="19">
        <v>2452.8</v>
      </c>
      <c r="AE343" s="19">
        <v>245.89</v>
      </c>
      <c r="AF343" s="19">
        <v>57.08</v>
      </c>
      <c r="AG343" s="19">
        <v>546.57</v>
      </c>
      <c r="AH343" s="19">
        <v>0.99</v>
      </c>
      <c r="AI343" s="19">
        <v>130.64</v>
      </c>
      <c r="AJ343" s="19">
        <v>2316.46</v>
      </c>
      <c r="AK343" s="3">
        <f t="shared" si="43"/>
        <v>1</v>
      </c>
      <c r="AL343" s="3">
        <v>0</v>
      </c>
      <c r="AM343" s="3">
        <f t="shared" si="42"/>
        <v>0</v>
      </c>
    </row>
    <row r="344" spans="1:39">
      <c r="A344" s="7">
        <v>2017</v>
      </c>
      <c r="B344" s="7" t="s">
        <v>51</v>
      </c>
      <c r="C344" s="7">
        <v>0.06262902</v>
      </c>
      <c r="D344" s="7">
        <v>0.016099</v>
      </c>
      <c r="E344" s="7">
        <v>0.004074</v>
      </c>
      <c r="F344" s="7">
        <v>0.007213</v>
      </c>
      <c r="G344" s="7">
        <v>0.002323</v>
      </c>
      <c r="H344" s="7">
        <v>0.002488</v>
      </c>
      <c r="I344" s="7">
        <v>0.017244</v>
      </c>
      <c r="J344" s="7">
        <v>0.007657</v>
      </c>
      <c r="K344" s="16">
        <v>17386</v>
      </c>
      <c r="L344" s="17">
        <v>2480</v>
      </c>
      <c r="M344" s="16">
        <v>10881.96</v>
      </c>
      <c r="N344" s="7">
        <f t="shared" si="44"/>
        <v>7.01048387096774</v>
      </c>
      <c r="O344" s="7">
        <f t="shared" si="45"/>
        <v>1.59769012200008</v>
      </c>
      <c r="P344" s="8">
        <v>390093572.3</v>
      </c>
      <c r="Q344" s="8">
        <f t="shared" si="46"/>
        <v>3.58477307672515</v>
      </c>
      <c r="R344" s="9">
        <v>859.8</v>
      </c>
      <c r="S344" s="9">
        <v>2515.8</v>
      </c>
      <c r="T344" s="9">
        <v>3961.2</v>
      </c>
      <c r="U344" s="9">
        <v>29103</v>
      </c>
      <c r="V344" s="18">
        <v>1</v>
      </c>
      <c r="W344" s="18">
        <v>1</v>
      </c>
      <c r="X344" s="18">
        <f t="shared" si="47"/>
        <v>1</v>
      </c>
      <c r="Y344" s="12">
        <f t="shared" si="48"/>
        <v>1.56738551218677</v>
      </c>
      <c r="Z344" s="12">
        <f t="shared" si="49"/>
        <v>0</v>
      </c>
      <c r="AA344" s="19">
        <v>17386</v>
      </c>
      <c r="AB344" s="19">
        <v>20437.23</v>
      </c>
      <c r="AC344" s="19">
        <v>1003.89</v>
      </c>
      <c r="AD344" s="19">
        <v>2532</v>
      </c>
      <c r="AE344" s="19">
        <v>282.06</v>
      </c>
      <c r="AF344" s="19">
        <v>78.04</v>
      </c>
      <c r="AG344" s="19">
        <v>600.92</v>
      </c>
      <c r="AH344" s="19">
        <v>0.37</v>
      </c>
      <c r="AI344" s="19">
        <v>122.49</v>
      </c>
      <c r="AJ344" s="19">
        <v>2542.85</v>
      </c>
      <c r="AK344" s="3">
        <f t="shared" si="43"/>
        <v>1</v>
      </c>
      <c r="AL344" s="3">
        <v>0</v>
      </c>
      <c r="AM344" s="3">
        <f t="shared" si="42"/>
        <v>0</v>
      </c>
    </row>
    <row r="345" spans="1:39">
      <c r="A345" s="7">
        <v>2018</v>
      </c>
      <c r="B345" s="7" t="s">
        <v>51</v>
      </c>
      <c r="C345" s="7">
        <v>0.06891873</v>
      </c>
      <c r="D345" s="7">
        <v>0.016771</v>
      </c>
      <c r="E345" s="7">
        <v>0.004294</v>
      </c>
      <c r="F345" s="7">
        <v>0.00753</v>
      </c>
      <c r="G345" s="7">
        <v>0.002608</v>
      </c>
      <c r="H345" s="7">
        <v>0.00234</v>
      </c>
      <c r="I345" s="7">
        <v>0.018142</v>
      </c>
      <c r="J345" s="7">
        <v>0.008611</v>
      </c>
      <c r="K345" s="16">
        <v>17694</v>
      </c>
      <c r="L345" s="17">
        <v>2520</v>
      </c>
      <c r="M345" s="16">
        <v>12199.08</v>
      </c>
      <c r="N345" s="7">
        <f t="shared" si="44"/>
        <v>7.02142857142857</v>
      </c>
      <c r="O345" s="7">
        <f t="shared" si="45"/>
        <v>1.45043724608741</v>
      </c>
      <c r="P345" s="8">
        <v>417543305.3</v>
      </c>
      <c r="Q345" s="8">
        <f t="shared" si="46"/>
        <v>3.42274421759674</v>
      </c>
      <c r="R345" s="9">
        <v>926.1</v>
      </c>
      <c r="S345" s="9">
        <v>2761.6</v>
      </c>
      <c r="T345" s="9">
        <v>4416.4</v>
      </c>
      <c r="U345" s="9">
        <v>32178</v>
      </c>
      <c r="V345" s="18">
        <v>1</v>
      </c>
      <c r="W345" s="18">
        <v>1</v>
      </c>
      <c r="X345" s="18">
        <f t="shared" si="47"/>
        <v>1</v>
      </c>
      <c r="Y345" s="12">
        <f t="shared" si="48"/>
        <v>1.51591455826218</v>
      </c>
      <c r="Z345" s="12">
        <f t="shared" si="49"/>
        <v>0</v>
      </c>
      <c r="AA345" s="19">
        <v>17694</v>
      </c>
      <c r="AB345" s="19">
        <v>21790.02</v>
      </c>
      <c r="AC345" s="19">
        <v>995.29</v>
      </c>
      <c r="AD345" s="19">
        <v>2404.54</v>
      </c>
      <c r="AE345" s="19">
        <v>297.83</v>
      </c>
      <c r="AF345" s="19">
        <v>66.3</v>
      </c>
      <c r="AG345" s="19">
        <v>577.68</v>
      </c>
      <c r="AH345" s="19">
        <v>0.48</v>
      </c>
      <c r="AI345" s="19">
        <v>130.85</v>
      </c>
      <c r="AJ345" s="19">
        <v>2686.48</v>
      </c>
      <c r="AK345" s="3">
        <f t="shared" si="43"/>
        <v>1</v>
      </c>
      <c r="AL345" s="3">
        <v>0</v>
      </c>
      <c r="AM345" s="3">
        <f t="shared" si="42"/>
        <v>0</v>
      </c>
    </row>
    <row r="346" spans="1:39">
      <c r="A346" s="7">
        <v>2019</v>
      </c>
      <c r="B346" s="7" t="s">
        <v>51</v>
      </c>
      <c r="C346" s="7">
        <v>0.06992055</v>
      </c>
      <c r="D346" s="7">
        <v>0.017466</v>
      </c>
      <c r="E346" s="7">
        <v>0.004313</v>
      </c>
      <c r="F346" s="7">
        <v>0.007773</v>
      </c>
      <c r="G346" s="7">
        <v>0.002715</v>
      </c>
      <c r="H346" s="7">
        <v>0.002666</v>
      </c>
      <c r="I346" s="7">
        <v>0.016998</v>
      </c>
      <c r="J346" s="7">
        <v>0.008319</v>
      </c>
      <c r="K346" s="16">
        <v>18490</v>
      </c>
      <c r="L346" s="17">
        <v>2559</v>
      </c>
      <c r="M346" s="16">
        <v>13597.11</v>
      </c>
      <c r="N346" s="7">
        <f t="shared" si="44"/>
        <v>7.22547870261821</v>
      </c>
      <c r="O346" s="7">
        <f t="shared" si="45"/>
        <v>1.35984779118504</v>
      </c>
      <c r="P346" s="8">
        <v>430888589.8</v>
      </c>
      <c r="Q346" s="8">
        <f t="shared" si="46"/>
        <v>3.16897186093221</v>
      </c>
      <c r="R346" s="9">
        <v>1059.3</v>
      </c>
      <c r="S346" s="9">
        <v>2862.4</v>
      </c>
      <c r="T346" s="9">
        <v>4796.6</v>
      </c>
      <c r="U346" s="9">
        <v>34707</v>
      </c>
      <c r="V346" s="18">
        <v>1</v>
      </c>
      <c r="W346" s="18">
        <v>1</v>
      </c>
      <c r="X346" s="18">
        <f t="shared" si="47"/>
        <v>1</v>
      </c>
      <c r="Y346" s="12">
        <f t="shared" si="48"/>
        <v>1.5000536746505</v>
      </c>
      <c r="Z346" s="12">
        <f t="shared" si="49"/>
        <v>0</v>
      </c>
      <c r="AA346" s="19">
        <v>18490</v>
      </c>
      <c r="AB346" s="19">
        <v>23702.13</v>
      </c>
      <c r="AC346" s="19">
        <v>1016.41</v>
      </c>
      <c r="AD346" s="19">
        <v>2376.51</v>
      </c>
      <c r="AE346" s="19">
        <v>307.42</v>
      </c>
      <c r="AF346" s="19">
        <v>61.44</v>
      </c>
      <c r="AG346" s="19">
        <v>591.8</v>
      </c>
      <c r="AH346" s="19">
        <v>0.76</v>
      </c>
      <c r="AI346" s="19">
        <v>131.09</v>
      </c>
      <c r="AJ346" s="19">
        <v>2867.55</v>
      </c>
      <c r="AK346" s="3">
        <f t="shared" si="43"/>
        <v>1</v>
      </c>
      <c r="AL346" s="3">
        <v>0</v>
      </c>
      <c r="AM346" s="3">
        <f t="shared" si="42"/>
        <v>0</v>
      </c>
    </row>
    <row r="347" spans="1:39">
      <c r="A347" s="7">
        <v>2020</v>
      </c>
      <c r="B347" s="7" t="s">
        <v>51</v>
      </c>
      <c r="C347" s="7">
        <v>0.07876251</v>
      </c>
      <c r="D347" s="7">
        <v>0.018795</v>
      </c>
      <c r="E347" s="7">
        <v>0.004829</v>
      </c>
      <c r="F347" s="7">
        <v>0.008557</v>
      </c>
      <c r="G347" s="7">
        <v>0.002652</v>
      </c>
      <c r="H347" s="7">
        <v>0.002757</v>
      </c>
      <c r="I347" s="7">
        <v>0.018661</v>
      </c>
      <c r="J347" s="7">
        <v>0.008975</v>
      </c>
      <c r="K347" s="16">
        <v>18981.81</v>
      </c>
      <c r="L347" s="17">
        <v>2590.49</v>
      </c>
      <c r="M347" s="16">
        <v>13797.58</v>
      </c>
      <c r="N347" s="7">
        <f t="shared" si="44"/>
        <v>7.32749788650024</v>
      </c>
      <c r="O347" s="7">
        <f t="shared" si="45"/>
        <v>1.37573473029328</v>
      </c>
      <c r="P347" s="8">
        <v>443138738</v>
      </c>
      <c r="Q347" s="8">
        <f t="shared" si="46"/>
        <v>3.21171348888718</v>
      </c>
      <c r="R347" s="9">
        <v>1188.1</v>
      </c>
      <c r="S347" s="9">
        <v>2824.8</v>
      </c>
      <c r="T347" s="9">
        <v>4966.7</v>
      </c>
      <c r="U347" s="9">
        <v>35848</v>
      </c>
      <c r="V347" s="18">
        <v>1</v>
      </c>
      <c r="W347" s="18">
        <v>1</v>
      </c>
      <c r="X347" s="18">
        <f t="shared" si="47"/>
        <v>1</v>
      </c>
      <c r="Y347" s="12">
        <f t="shared" si="48"/>
        <v>1.47141701078949</v>
      </c>
      <c r="Z347" s="12">
        <f t="shared" si="49"/>
        <v>0</v>
      </c>
      <c r="AA347" s="19">
        <v>18981.8</v>
      </c>
      <c r="AB347" s="19">
        <v>25504.36</v>
      </c>
      <c r="AC347" s="19">
        <v>1018.67</v>
      </c>
      <c r="AD347" s="19">
        <v>2471.55</v>
      </c>
      <c r="AE347" s="19">
        <v>257.1</v>
      </c>
      <c r="AF347" s="19">
        <v>51.03</v>
      </c>
      <c r="AG347" s="19">
        <v>505.34</v>
      </c>
      <c r="AH347" s="19">
        <v>0.69</v>
      </c>
      <c r="AI347" s="19">
        <v>138.55</v>
      </c>
      <c r="AJ347" s="19">
        <v>3099</v>
      </c>
      <c r="AK347" s="3">
        <f t="shared" si="43"/>
        <v>1</v>
      </c>
      <c r="AL347" s="3">
        <v>0</v>
      </c>
      <c r="AM347" s="3">
        <f t="shared" si="42"/>
        <v>0</v>
      </c>
    </row>
    <row r="348" spans="1:39">
      <c r="A348" s="7">
        <v>2021</v>
      </c>
      <c r="B348" s="7" t="s">
        <v>51</v>
      </c>
      <c r="C348" s="7">
        <v>0.0808396</v>
      </c>
      <c r="D348" s="7">
        <v>0.018691</v>
      </c>
      <c r="E348" s="7">
        <v>0.004765</v>
      </c>
      <c r="F348" s="7">
        <v>0.008159</v>
      </c>
      <c r="G348" s="7">
        <v>0.002763</v>
      </c>
      <c r="H348" s="7">
        <v>0.003004</v>
      </c>
      <c r="I348" s="7">
        <v>0.018629</v>
      </c>
      <c r="J348" s="7">
        <v>0.009515</v>
      </c>
      <c r="K348" s="16">
        <v>19661.2231088512</v>
      </c>
      <c r="L348" s="17">
        <v>2589</v>
      </c>
      <c r="M348" s="16">
        <v>15983.6</v>
      </c>
      <c r="N348" s="7">
        <f t="shared" si="44"/>
        <v>7.59413793312136</v>
      </c>
      <c r="O348" s="7">
        <f t="shared" si="45"/>
        <v>1.23008728376906</v>
      </c>
      <c r="P348" s="8">
        <v>479659763.8</v>
      </c>
      <c r="Q348" s="8">
        <f t="shared" si="46"/>
        <v>3.00094949698441</v>
      </c>
      <c r="R348" s="9">
        <v>1364.8</v>
      </c>
      <c r="S348" s="9">
        <v>3451.2</v>
      </c>
      <c r="T348" s="9">
        <v>5409.5</v>
      </c>
      <c r="U348" s="9">
        <v>40976</v>
      </c>
      <c r="V348" s="18">
        <v>1</v>
      </c>
      <c r="W348" s="18">
        <v>1</v>
      </c>
      <c r="X348" s="18">
        <f t="shared" si="47"/>
        <v>1</v>
      </c>
      <c r="Y348" s="12">
        <f t="shared" si="48"/>
        <v>1.36781889095748</v>
      </c>
      <c r="Z348" s="12">
        <f t="shared" si="49"/>
        <v>0</v>
      </c>
      <c r="AA348" s="19">
        <v>20538.3076</v>
      </c>
      <c r="AB348" s="19">
        <v>29160.52</v>
      </c>
      <c r="AC348" s="19">
        <v>1054.12</v>
      </c>
      <c r="AD348" s="19">
        <v>2529.32</v>
      </c>
      <c r="AE348" s="19">
        <v>289.94</v>
      </c>
      <c r="AF348" s="19">
        <v>48.03</v>
      </c>
      <c r="AG348" s="19">
        <v>519.41</v>
      </c>
      <c r="AH348" s="19">
        <v>0.52</v>
      </c>
      <c r="AI348" s="19">
        <v>153.07</v>
      </c>
      <c r="AJ348" s="19">
        <v>3460</v>
      </c>
      <c r="AK348" s="3">
        <f t="shared" si="43"/>
        <v>1</v>
      </c>
      <c r="AL348" s="3">
        <v>0</v>
      </c>
      <c r="AM348" s="3">
        <f t="shared" si="42"/>
        <v>0</v>
      </c>
    </row>
    <row r="349" spans="1:39">
      <c r="A349" s="7">
        <v>2022</v>
      </c>
      <c r="B349" s="7" t="s">
        <v>51</v>
      </c>
      <c r="C349" s="7">
        <v>0.08560039</v>
      </c>
      <c r="D349" s="7">
        <v>0.019256</v>
      </c>
      <c r="E349" s="7">
        <v>0.004891</v>
      </c>
      <c r="F349" s="7">
        <v>0.008898</v>
      </c>
      <c r="G349" s="7">
        <v>0.002988</v>
      </c>
      <c r="H349" s="7">
        <v>0.002479</v>
      </c>
      <c r="I349" s="7">
        <v>0.020905</v>
      </c>
      <c r="J349" s="7">
        <v>0.0098</v>
      </c>
      <c r="K349" s="16">
        <v>20340.6362177024</v>
      </c>
      <c r="L349" s="17">
        <v>2587</v>
      </c>
      <c r="M349" s="16">
        <v>17741.3</v>
      </c>
      <c r="N349" s="7">
        <f t="shared" si="44"/>
        <v>7.8626347961741</v>
      </c>
      <c r="O349" s="7">
        <f t="shared" si="45"/>
        <v>1.14651328920104</v>
      </c>
      <c r="P349" s="8">
        <v>481241147.5</v>
      </c>
      <c r="Q349" s="8">
        <f t="shared" si="46"/>
        <v>2.71254726260195</v>
      </c>
      <c r="R349" s="9">
        <v>1499.7</v>
      </c>
      <c r="S349" s="9">
        <v>3928.3</v>
      </c>
      <c r="T349" s="9">
        <v>5693.4</v>
      </c>
      <c r="U349" s="9">
        <v>44646</v>
      </c>
      <c r="V349" s="18">
        <v>1</v>
      </c>
      <c r="W349" s="18">
        <v>1</v>
      </c>
      <c r="X349" s="18">
        <f t="shared" si="47"/>
        <v>1</v>
      </c>
      <c r="Y349" s="12">
        <f t="shared" si="48"/>
        <v>1.27047633725244</v>
      </c>
      <c r="Z349" s="12">
        <f t="shared" si="49"/>
        <v>0</v>
      </c>
      <c r="AA349" s="19">
        <v>20723.1523684</v>
      </c>
      <c r="AB349" s="19">
        <v>29942.69</v>
      </c>
      <c r="AC349" s="19">
        <v>1013.62</v>
      </c>
      <c r="AD349" s="19">
        <v>2529.3</v>
      </c>
      <c r="AE349" s="19">
        <v>237.77</v>
      </c>
      <c r="AF349" s="19">
        <v>50.87</v>
      </c>
      <c r="AG349" s="19">
        <v>544.49</v>
      </c>
      <c r="AH349" s="19">
        <v>0.8</v>
      </c>
      <c r="AI349" s="19">
        <v>156.63</v>
      </c>
      <c r="AJ349" s="19">
        <v>3585.48</v>
      </c>
      <c r="AK349" s="3">
        <f t="shared" si="43"/>
        <v>1</v>
      </c>
      <c r="AL349" s="3">
        <v>0</v>
      </c>
      <c r="AM349" s="3">
        <f t="shared" si="42"/>
        <v>0</v>
      </c>
    </row>
    <row r="350" spans="1:39">
      <c r="A350" s="7">
        <v>2023</v>
      </c>
      <c r="B350" s="7" t="s">
        <v>51</v>
      </c>
      <c r="C350" s="7">
        <v>0.27676109</v>
      </c>
      <c r="D350" s="7">
        <v>0.029015</v>
      </c>
      <c r="E350" s="7">
        <v>0.014211</v>
      </c>
      <c r="F350" s="7">
        <v>0.018832</v>
      </c>
      <c r="G350" s="7">
        <v>0.012408</v>
      </c>
      <c r="H350" s="7">
        <v>0.011149</v>
      </c>
      <c r="I350" s="7">
        <v>0.032377</v>
      </c>
      <c r="J350" s="7">
        <v>0.019279</v>
      </c>
      <c r="K350" s="16">
        <v>21020.0493265536</v>
      </c>
      <c r="L350" s="17">
        <v>2598</v>
      </c>
      <c r="M350" s="16">
        <v>19125.9</v>
      </c>
      <c r="N350" s="7">
        <f t="shared" si="44"/>
        <v>8.09085809336166</v>
      </c>
      <c r="O350" s="7">
        <f t="shared" si="45"/>
        <v>1.09903582715342</v>
      </c>
      <c r="P350" s="8">
        <v>512796560.3</v>
      </c>
      <c r="Q350" s="8">
        <f t="shared" si="46"/>
        <v>2.68116303180504</v>
      </c>
      <c r="R350" s="9">
        <v>1641.3</v>
      </c>
      <c r="S350" s="9">
        <v>4080.8</v>
      </c>
      <c r="T350" s="9">
        <v>6141.8</v>
      </c>
      <c r="U350" s="9">
        <v>47867</v>
      </c>
      <c r="V350" s="18">
        <v>1</v>
      </c>
      <c r="W350" s="18">
        <v>1</v>
      </c>
      <c r="X350" s="18">
        <f t="shared" si="47"/>
        <v>1</v>
      </c>
      <c r="Y350" s="12">
        <f t="shared" si="48"/>
        <v>1.2756783895882</v>
      </c>
      <c r="Z350" s="12">
        <f t="shared" si="49"/>
        <v>0</v>
      </c>
      <c r="AA350" s="12"/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3">
        <f t="shared" si="43"/>
        <v>1</v>
      </c>
      <c r="AL350" s="3">
        <v>0</v>
      </c>
      <c r="AM350" s="3">
        <f t="shared" ref="AM350:AM413" si="50">AK350*AL350</f>
        <v>0</v>
      </c>
    </row>
    <row r="351" spans="1:39">
      <c r="A351" s="7">
        <v>2024</v>
      </c>
      <c r="B351" s="7" t="s">
        <v>51</v>
      </c>
      <c r="C351" s="7">
        <v>0.40769713</v>
      </c>
      <c r="D351" s="7">
        <v>0.032781</v>
      </c>
      <c r="E351" s="7">
        <v>0.020018</v>
      </c>
      <c r="F351" s="7">
        <v>0.023704</v>
      </c>
      <c r="G351" s="7">
        <v>0.020581</v>
      </c>
      <c r="H351" s="7">
        <v>0.019145</v>
      </c>
      <c r="I351" s="7">
        <v>0.036935</v>
      </c>
      <c r="J351" s="7">
        <v>0.023529</v>
      </c>
      <c r="K351" s="16">
        <v>21699.4624354048</v>
      </c>
      <c r="L351" s="17">
        <v>2623</v>
      </c>
      <c r="M351" s="16">
        <v>20534.1</v>
      </c>
      <c r="N351" s="7">
        <f t="shared" si="44"/>
        <v>8.27276493915547</v>
      </c>
      <c r="O351" s="7">
        <f t="shared" si="45"/>
        <v>1.05675254505456</v>
      </c>
      <c r="P351" s="8">
        <v>510683439.5</v>
      </c>
      <c r="Q351" s="8">
        <f t="shared" si="46"/>
        <v>2.48700181405564</v>
      </c>
      <c r="R351" s="9">
        <v>1621.7</v>
      </c>
      <c r="S351" s="9">
        <v>4436.4</v>
      </c>
      <c r="T351" s="9">
        <v>6944.8</v>
      </c>
      <c r="U351" s="9">
        <v>52825</v>
      </c>
      <c r="V351" s="18">
        <v>1</v>
      </c>
      <c r="W351" s="18">
        <v>1</v>
      </c>
      <c r="X351" s="18">
        <f t="shared" si="47"/>
        <v>1</v>
      </c>
      <c r="Y351" s="12">
        <f t="shared" si="48"/>
        <v>1.21200651315194</v>
      </c>
      <c r="Z351" s="12">
        <f t="shared" si="49"/>
        <v>0</v>
      </c>
      <c r="AA351" s="12"/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3">
        <f t="shared" ref="AK351:AK414" si="51">IF(A351&gt;=2013,1,0)</f>
        <v>1</v>
      </c>
      <c r="AL351" s="3">
        <v>0</v>
      </c>
      <c r="AM351" s="3">
        <f t="shared" si="50"/>
        <v>0</v>
      </c>
    </row>
    <row r="352" spans="1:39">
      <c r="A352" s="7">
        <v>2000</v>
      </c>
      <c r="B352" s="7" t="s">
        <v>52</v>
      </c>
      <c r="C352" s="7">
        <v>0.17594047</v>
      </c>
      <c r="D352" s="7">
        <v>0.032857</v>
      </c>
      <c r="E352" s="7">
        <v>0.008455</v>
      </c>
      <c r="F352" s="7">
        <v>0.014907</v>
      </c>
      <c r="G352" s="7">
        <v>0.005201</v>
      </c>
      <c r="H352" s="7">
        <v>0.004295</v>
      </c>
      <c r="I352" s="7">
        <v>0.032876</v>
      </c>
      <c r="J352" s="7">
        <v>0.016052</v>
      </c>
      <c r="K352" s="16">
        <v>8612</v>
      </c>
      <c r="L352" s="17">
        <v>7327.24</v>
      </c>
      <c r="M352" s="16">
        <v>8582.72763</v>
      </c>
      <c r="N352" s="7">
        <f t="shared" si="44"/>
        <v>1.17534023725168</v>
      </c>
      <c r="O352" s="7">
        <f t="shared" si="45"/>
        <v>1.00341061388196</v>
      </c>
      <c r="P352" s="8">
        <v>278077897.8</v>
      </c>
      <c r="Q352" s="8">
        <f t="shared" si="46"/>
        <v>3.23997113491064</v>
      </c>
      <c r="R352" s="9">
        <v>1252.1</v>
      </c>
      <c r="S352" s="9">
        <v>4120.2</v>
      </c>
      <c r="T352" s="9">
        <v>2905.8</v>
      </c>
      <c r="U352" s="9">
        <v>9260</v>
      </c>
      <c r="V352" s="18">
        <v>0</v>
      </c>
      <c r="W352" s="18">
        <v>0</v>
      </c>
      <c r="X352" s="18">
        <f t="shared" si="47"/>
        <v>0</v>
      </c>
      <c r="Y352" s="12">
        <f t="shared" si="48"/>
        <v>4.53658228674969</v>
      </c>
      <c r="Z352" s="12">
        <f t="shared" si="49"/>
        <v>0.285812329609043</v>
      </c>
      <c r="AA352" s="19">
        <v>8612.43</v>
      </c>
      <c r="AB352" s="19">
        <v>8769.8</v>
      </c>
      <c r="AC352" s="19">
        <v>383.69</v>
      </c>
      <c r="AD352" s="19">
        <v>1376.65</v>
      </c>
      <c r="AE352" s="19">
        <v>187.3</v>
      </c>
      <c r="AF352" s="19">
        <v>38.94</v>
      </c>
      <c r="AG352" s="19">
        <v>345.02</v>
      </c>
      <c r="AH352" s="19">
        <v>202.44</v>
      </c>
      <c r="AI352" s="19">
        <v>0.24</v>
      </c>
      <c r="AJ352" s="19">
        <v>971.34</v>
      </c>
      <c r="AK352" s="3">
        <f t="shared" si="51"/>
        <v>0</v>
      </c>
      <c r="AL352" s="3">
        <v>0</v>
      </c>
      <c r="AM352" s="3">
        <f t="shared" si="50"/>
        <v>0</v>
      </c>
    </row>
    <row r="353" spans="1:39">
      <c r="A353" s="7">
        <v>2001</v>
      </c>
      <c r="B353" s="7" t="s">
        <v>52</v>
      </c>
      <c r="C353" s="7">
        <v>0.21389944</v>
      </c>
      <c r="D353" s="7">
        <v>0.037024</v>
      </c>
      <c r="E353" s="7">
        <v>0.009006</v>
      </c>
      <c r="F353" s="7">
        <v>0.016297</v>
      </c>
      <c r="G353" s="7">
        <v>0.005764</v>
      </c>
      <c r="H353" s="7">
        <v>0.005957</v>
      </c>
      <c r="I353" s="7">
        <v>0.039632</v>
      </c>
      <c r="J353" s="7">
        <v>0.019157</v>
      </c>
      <c r="K353" s="16">
        <v>8881</v>
      </c>
      <c r="L353" s="17">
        <v>7358.52</v>
      </c>
      <c r="M353" s="16">
        <v>9456.84</v>
      </c>
      <c r="N353" s="7">
        <f t="shared" si="44"/>
        <v>1.20690030060393</v>
      </c>
      <c r="O353" s="7">
        <f t="shared" si="45"/>
        <v>0.939108624022401</v>
      </c>
      <c r="P353" s="8">
        <v>296178708</v>
      </c>
      <c r="Q353" s="8">
        <f t="shared" si="46"/>
        <v>3.13189932366414</v>
      </c>
      <c r="R353" s="9">
        <v>1340.5</v>
      </c>
      <c r="S353" s="9">
        <v>4466.7</v>
      </c>
      <c r="T353" s="9">
        <v>3269</v>
      </c>
      <c r="U353" s="9">
        <v>10063</v>
      </c>
      <c r="V353" s="18">
        <v>0</v>
      </c>
      <c r="W353" s="18">
        <v>0</v>
      </c>
      <c r="X353" s="18">
        <f t="shared" si="47"/>
        <v>0</v>
      </c>
      <c r="Y353" s="12">
        <f t="shared" si="48"/>
        <v>4.16809156222866</v>
      </c>
      <c r="Z353" s="12">
        <f t="shared" si="49"/>
        <v>0.248601121903012</v>
      </c>
      <c r="AA353" s="19">
        <v>8881</v>
      </c>
      <c r="AB353" s="19">
        <v>8963</v>
      </c>
      <c r="AC353" s="19">
        <v>374.61</v>
      </c>
      <c r="AD353" s="19">
        <v>1317.61</v>
      </c>
      <c r="AE353" s="19">
        <v>247.71</v>
      </c>
      <c r="AF353" s="19">
        <v>6.08</v>
      </c>
      <c r="AG353" s="19">
        <v>355.95</v>
      </c>
      <c r="AH353" s="19">
        <v>170.64</v>
      </c>
      <c r="AI353" s="19">
        <v>0.23</v>
      </c>
      <c r="AJ353" s="19">
        <v>1078.44</v>
      </c>
      <c r="AK353" s="3">
        <f t="shared" si="51"/>
        <v>0</v>
      </c>
      <c r="AL353" s="3">
        <v>0</v>
      </c>
      <c r="AM353" s="3">
        <f t="shared" si="50"/>
        <v>0</v>
      </c>
    </row>
    <row r="354" spans="1:39">
      <c r="A354" s="7">
        <v>2002</v>
      </c>
      <c r="B354" s="7" t="s">
        <v>52</v>
      </c>
      <c r="C354" s="7">
        <v>0.21589839</v>
      </c>
      <c r="D354" s="7">
        <v>0.037546</v>
      </c>
      <c r="E354" s="7">
        <v>0.009263</v>
      </c>
      <c r="F354" s="7">
        <v>0.017201</v>
      </c>
      <c r="G354" s="7">
        <v>0.005791</v>
      </c>
      <c r="H354" s="7">
        <v>0.005292</v>
      </c>
      <c r="I354" s="7">
        <v>0.039884</v>
      </c>
      <c r="J354" s="7">
        <v>0.019924</v>
      </c>
      <c r="K354" s="16">
        <v>9609</v>
      </c>
      <c r="L354" s="17">
        <v>7405.5</v>
      </c>
      <c r="M354" s="16">
        <v>10606.85</v>
      </c>
      <c r="N354" s="7">
        <f t="shared" si="44"/>
        <v>1.29754911889812</v>
      </c>
      <c r="O354" s="7">
        <f t="shared" si="45"/>
        <v>0.905924001942141</v>
      </c>
      <c r="P354" s="8">
        <v>311325995.4</v>
      </c>
      <c r="Q354" s="8">
        <f t="shared" si="46"/>
        <v>2.93514092685387</v>
      </c>
      <c r="R354" s="9">
        <v>1369.2</v>
      </c>
      <c r="S354" s="9">
        <v>5037.6</v>
      </c>
      <c r="T354" s="9">
        <v>3669.7</v>
      </c>
      <c r="U354" s="9">
        <v>11120</v>
      </c>
      <c r="V354" s="18">
        <v>0</v>
      </c>
      <c r="W354" s="18">
        <v>0</v>
      </c>
      <c r="X354" s="18">
        <f t="shared" si="47"/>
        <v>0</v>
      </c>
      <c r="Y354" s="12">
        <f t="shared" si="48"/>
        <v>4.06804884448575</v>
      </c>
      <c r="Z354" s="12">
        <f t="shared" si="49"/>
        <v>0.278489261299687</v>
      </c>
      <c r="AA354" s="19">
        <v>9609</v>
      </c>
      <c r="AB354" s="19">
        <v>9663</v>
      </c>
      <c r="AC354" s="19">
        <v>398.92</v>
      </c>
      <c r="AD354" s="19">
        <v>1407.68</v>
      </c>
      <c r="AE354" s="19">
        <v>293.39</v>
      </c>
      <c r="AF354" s="19">
        <v>6.52</v>
      </c>
      <c r="AG354" s="19">
        <v>379.28</v>
      </c>
      <c r="AH354" s="19">
        <v>181.52</v>
      </c>
      <c r="AI354" s="19">
        <v>1.01</v>
      </c>
      <c r="AJ354" s="19">
        <v>1244.6</v>
      </c>
      <c r="AK354" s="3">
        <f t="shared" si="51"/>
        <v>0</v>
      </c>
      <c r="AL354" s="3">
        <v>0</v>
      </c>
      <c r="AM354" s="3">
        <f t="shared" si="50"/>
        <v>0</v>
      </c>
    </row>
    <row r="355" spans="1:39">
      <c r="A355" s="7">
        <v>2003</v>
      </c>
      <c r="B355" s="7" t="s">
        <v>52</v>
      </c>
      <c r="C355" s="7">
        <v>0.19873116</v>
      </c>
      <c r="D355" s="7">
        <v>0.033177</v>
      </c>
      <c r="E355" s="7">
        <v>0.008489</v>
      </c>
      <c r="F355" s="7">
        <v>0.015083</v>
      </c>
      <c r="G355" s="7">
        <v>0.005488</v>
      </c>
      <c r="H355" s="7">
        <v>0.004118</v>
      </c>
      <c r="I355" s="7">
        <v>0.038201</v>
      </c>
      <c r="J355" s="7">
        <v>0.021471</v>
      </c>
      <c r="K355" s="16">
        <v>11060</v>
      </c>
      <c r="L355" s="17">
        <v>7457.7</v>
      </c>
      <c r="M355" s="16">
        <v>12442.87</v>
      </c>
      <c r="N355" s="7">
        <f t="shared" si="44"/>
        <v>1.48303096128833</v>
      </c>
      <c r="O355" s="7">
        <f t="shared" si="45"/>
        <v>0.888862456973351</v>
      </c>
      <c r="P355" s="8">
        <v>362865736.3</v>
      </c>
      <c r="Q355" s="8">
        <f t="shared" si="46"/>
        <v>2.91625433923203</v>
      </c>
      <c r="R355" s="9">
        <v>1457</v>
      </c>
      <c r="S355" s="9">
        <v>5720</v>
      </c>
      <c r="T355" s="9">
        <v>3726.2</v>
      </c>
      <c r="U355" s="9">
        <v>11977</v>
      </c>
      <c r="V355" s="18">
        <v>0</v>
      </c>
      <c r="W355" s="18">
        <v>0</v>
      </c>
      <c r="X355" s="18">
        <f t="shared" si="47"/>
        <v>0</v>
      </c>
      <c r="Y355" s="12">
        <f t="shared" si="48"/>
        <v>4.08414499624993</v>
      </c>
      <c r="Z355" s="12">
        <f t="shared" si="49"/>
        <v>0.285957197428167</v>
      </c>
      <c r="AA355" s="19">
        <v>11060.15</v>
      </c>
      <c r="AB355" s="19">
        <v>10848.82</v>
      </c>
      <c r="AC355" s="19">
        <v>448.06</v>
      </c>
      <c r="AD355" s="19">
        <v>1714.54</v>
      </c>
      <c r="AE355" s="19">
        <v>339.17</v>
      </c>
      <c r="AF355" s="19">
        <v>14.92</v>
      </c>
      <c r="AG355" s="19">
        <v>413.94</v>
      </c>
      <c r="AH355" s="19">
        <v>216.31</v>
      </c>
      <c r="AI355" s="19">
        <v>0.62</v>
      </c>
      <c r="AJ355" s="19">
        <v>1505.13</v>
      </c>
      <c r="AK355" s="3">
        <f t="shared" si="51"/>
        <v>0</v>
      </c>
      <c r="AL355" s="3">
        <v>0</v>
      </c>
      <c r="AM355" s="3">
        <f t="shared" si="50"/>
        <v>0</v>
      </c>
    </row>
    <row r="356" spans="1:39">
      <c r="A356" s="7">
        <v>2004</v>
      </c>
      <c r="B356" s="7" t="s">
        <v>52</v>
      </c>
      <c r="C356" s="7">
        <v>0.21954251</v>
      </c>
      <c r="D356" s="7">
        <v>0.037102</v>
      </c>
      <c r="E356" s="7">
        <v>0.009844</v>
      </c>
      <c r="F356" s="7">
        <v>0.016307</v>
      </c>
      <c r="G356" s="7">
        <v>0.005234</v>
      </c>
      <c r="H356" s="7">
        <v>0.005717</v>
      </c>
      <c r="I356" s="7">
        <v>0.041669</v>
      </c>
      <c r="J356" s="7">
        <v>0.020542</v>
      </c>
      <c r="K356" s="16">
        <v>13652</v>
      </c>
      <c r="L356" s="17">
        <v>7522.95</v>
      </c>
      <c r="M356" s="16">
        <v>15003.6</v>
      </c>
      <c r="N356" s="7">
        <f t="shared" si="44"/>
        <v>1.81471364291933</v>
      </c>
      <c r="O356" s="7">
        <f t="shared" si="45"/>
        <v>0.909914953744435</v>
      </c>
      <c r="P356" s="8">
        <v>433528736.4</v>
      </c>
      <c r="Q356" s="8">
        <f t="shared" si="46"/>
        <v>2.88949809645685</v>
      </c>
      <c r="R356" s="9">
        <v>1748.2</v>
      </c>
      <c r="S356" s="9">
        <v>7327.6</v>
      </c>
      <c r="T356" s="9">
        <v>4232.3</v>
      </c>
      <c r="U356" s="9">
        <v>14540</v>
      </c>
      <c r="V356" s="18">
        <v>0</v>
      </c>
      <c r="W356" s="18">
        <v>0</v>
      </c>
      <c r="X356" s="18">
        <f t="shared" si="47"/>
        <v>0</v>
      </c>
      <c r="Y356" s="12">
        <f t="shared" si="48"/>
        <v>3.89549779892895</v>
      </c>
      <c r="Z356" s="12">
        <f t="shared" si="49"/>
        <v>0.258246764443993</v>
      </c>
      <c r="AA356" s="19">
        <v>13651.69</v>
      </c>
      <c r="AB356" s="19">
        <v>13272.08</v>
      </c>
      <c r="AC356" s="19">
        <v>801.07</v>
      </c>
      <c r="AD356" s="19">
        <v>1875.39</v>
      </c>
      <c r="AE356" s="19">
        <v>364.23</v>
      </c>
      <c r="AF356" s="19">
        <v>20.18</v>
      </c>
      <c r="AG356" s="19">
        <v>508.11</v>
      </c>
      <c r="AH356" s="19">
        <v>328.2</v>
      </c>
      <c r="AI356" s="19">
        <v>3.14</v>
      </c>
      <c r="AJ356" s="19">
        <v>1820.08</v>
      </c>
      <c r="AK356" s="3">
        <f t="shared" si="51"/>
        <v>0</v>
      </c>
      <c r="AL356" s="3">
        <v>0</v>
      </c>
      <c r="AM356" s="3">
        <f t="shared" si="50"/>
        <v>0</v>
      </c>
    </row>
    <row r="357" spans="1:39">
      <c r="A357" s="7">
        <v>2005</v>
      </c>
      <c r="B357" s="7" t="s">
        <v>52</v>
      </c>
      <c r="C357" s="7">
        <v>0.2175249</v>
      </c>
      <c r="D357" s="7">
        <v>0.039125</v>
      </c>
      <c r="E357" s="7">
        <v>0.009617</v>
      </c>
      <c r="F357" s="7">
        <v>0.017638</v>
      </c>
      <c r="G357" s="7">
        <v>0.006001</v>
      </c>
      <c r="H357" s="7">
        <v>0.00587</v>
      </c>
      <c r="I357" s="7">
        <v>0.037716</v>
      </c>
      <c r="J357" s="7">
        <v>0.018831</v>
      </c>
      <c r="K357" s="16">
        <v>17167</v>
      </c>
      <c r="L357" s="17">
        <v>7588.24</v>
      </c>
      <c r="M357" s="16">
        <v>18598.69</v>
      </c>
      <c r="N357" s="7">
        <f t="shared" si="44"/>
        <v>2.26231642647043</v>
      </c>
      <c r="O357" s="7">
        <f t="shared" si="45"/>
        <v>0.923021997785866</v>
      </c>
      <c r="P357" s="8">
        <v>530050202.1</v>
      </c>
      <c r="Q357" s="8">
        <f t="shared" si="46"/>
        <v>2.8499329904418</v>
      </c>
      <c r="R357" s="9">
        <v>1928.2</v>
      </c>
      <c r="S357" s="9">
        <v>8841.1</v>
      </c>
      <c r="T357" s="9">
        <v>5178.2</v>
      </c>
      <c r="U357" s="9">
        <v>17308</v>
      </c>
      <c r="V357" s="18">
        <v>0</v>
      </c>
      <c r="W357" s="18">
        <v>0</v>
      </c>
      <c r="X357" s="18">
        <f t="shared" si="47"/>
        <v>0</v>
      </c>
      <c r="Y357" s="12">
        <f t="shared" si="48"/>
        <v>3.71995059106252</v>
      </c>
      <c r="Z357" s="12">
        <f t="shared" si="49"/>
        <v>0.23387880546344</v>
      </c>
      <c r="AA357" s="19">
        <v>16895.4</v>
      </c>
      <c r="AB357" s="19">
        <v>16778.57</v>
      </c>
      <c r="AC357" s="19">
        <v>1593.12</v>
      </c>
      <c r="AD357" s="19">
        <v>2264.76</v>
      </c>
      <c r="AE357" s="19">
        <v>420.13</v>
      </c>
      <c r="AF357" s="19">
        <v>21.55</v>
      </c>
      <c r="AG357" s="19">
        <v>515.12</v>
      </c>
      <c r="AH357" s="19">
        <v>257.72</v>
      </c>
      <c r="AI357" s="19">
        <v>13.62</v>
      </c>
      <c r="AJ357" s="19">
        <v>2193.45</v>
      </c>
      <c r="AK357" s="3">
        <f t="shared" si="51"/>
        <v>0</v>
      </c>
      <c r="AL357" s="3">
        <v>0</v>
      </c>
      <c r="AM357" s="3">
        <f t="shared" si="50"/>
        <v>0</v>
      </c>
    </row>
    <row r="358" spans="1:39">
      <c r="A358" s="7">
        <v>2006</v>
      </c>
      <c r="B358" s="7" t="s">
        <v>52</v>
      </c>
      <c r="C358" s="7">
        <v>0.2529073</v>
      </c>
      <c r="D358" s="7">
        <v>0.045719</v>
      </c>
      <c r="E358" s="7">
        <v>0.01093</v>
      </c>
      <c r="F358" s="7">
        <v>0.019661</v>
      </c>
      <c r="G358" s="7">
        <v>0.005959</v>
      </c>
      <c r="H358" s="7">
        <v>0.009169</v>
      </c>
      <c r="I358" s="7">
        <v>0.038892</v>
      </c>
      <c r="J358" s="7">
        <v>0.019465</v>
      </c>
      <c r="K358" s="16">
        <v>19041</v>
      </c>
      <c r="L358" s="17">
        <v>7655.66</v>
      </c>
      <c r="M358" s="16">
        <v>21742.05</v>
      </c>
      <c r="N358" s="7">
        <f t="shared" si="44"/>
        <v>2.48717942019369</v>
      </c>
      <c r="O358" s="7">
        <f t="shared" si="45"/>
        <v>0.875768384305988</v>
      </c>
      <c r="P358" s="8">
        <v>595855389.8</v>
      </c>
      <c r="Q358" s="8">
        <f t="shared" si="46"/>
        <v>2.74056673496749</v>
      </c>
      <c r="R358" s="9">
        <v>2098.3</v>
      </c>
      <c r="S358" s="9">
        <v>10568.5</v>
      </c>
      <c r="T358" s="9">
        <v>6301.1</v>
      </c>
      <c r="U358" s="9">
        <v>20443</v>
      </c>
      <c r="V358" s="18">
        <v>0</v>
      </c>
      <c r="W358" s="18">
        <v>0</v>
      </c>
      <c r="X358" s="18">
        <f t="shared" si="47"/>
        <v>0</v>
      </c>
      <c r="Y358" s="12">
        <f t="shared" si="48"/>
        <v>3.57740717995078</v>
      </c>
      <c r="Z358" s="12">
        <f t="shared" si="49"/>
        <v>0.233923733835298</v>
      </c>
      <c r="AA358" s="19">
        <v>18742.19</v>
      </c>
      <c r="AB358" s="19">
        <v>18427.68</v>
      </c>
      <c r="AC358" s="19">
        <v>1844.49</v>
      </c>
      <c r="AD358" s="19">
        <v>2302.7</v>
      </c>
      <c r="AE358" s="19">
        <v>449.51</v>
      </c>
      <c r="AF358" s="19">
        <v>18.41</v>
      </c>
      <c r="AG358" s="19">
        <v>587.17</v>
      </c>
      <c r="AH358" s="19">
        <v>201.06</v>
      </c>
      <c r="AI358" s="19">
        <v>31.3</v>
      </c>
      <c r="AJ358" s="19">
        <v>2569.75</v>
      </c>
      <c r="AK358" s="3">
        <f t="shared" si="51"/>
        <v>0</v>
      </c>
      <c r="AL358" s="3">
        <v>0</v>
      </c>
      <c r="AM358" s="3">
        <f t="shared" si="50"/>
        <v>0</v>
      </c>
    </row>
    <row r="359" spans="1:39">
      <c r="A359" s="7">
        <v>2007</v>
      </c>
      <c r="B359" s="7" t="s">
        <v>52</v>
      </c>
      <c r="C359" s="7">
        <v>0.2540119</v>
      </c>
      <c r="D359" s="7">
        <v>0.04265</v>
      </c>
      <c r="E359" s="7">
        <v>0.011139</v>
      </c>
      <c r="F359" s="7">
        <v>0.019677</v>
      </c>
      <c r="G359" s="7">
        <v>0.006154</v>
      </c>
      <c r="H359" s="7">
        <v>0.00568</v>
      </c>
      <c r="I359" s="7">
        <v>0.045315</v>
      </c>
      <c r="J359" s="7">
        <v>0.023995</v>
      </c>
      <c r="K359" s="16">
        <v>20948</v>
      </c>
      <c r="L359" s="17">
        <v>7723.13</v>
      </c>
      <c r="M359" s="16">
        <v>26018.48</v>
      </c>
      <c r="N359" s="7">
        <f t="shared" si="44"/>
        <v>2.71237179744482</v>
      </c>
      <c r="O359" s="7">
        <f t="shared" si="45"/>
        <v>0.805120053131467</v>
      </c>
      <c r="P359" s="8">
        <v>616874556.9</v>
      </c>
      <c r="Q359" s="8">
        <f t="shared" si="46"/>
        <v>2.37090928025004</v>
      </c>
      <c r="R359" s="9">
        <v>2451</v>
      </c>
      <c r="S359" s="9">
        <v>12529.4</v>
      </c>
      <c r="T359" s="9">
        <v>7737.6</v>
      </c>
      <c r="U359" s="9">
        <v>24329</v>
      </c>
      <c r="V359" s="18">
        <v>0</v>
      </c>
      <c r="W359" s="18">
        <v>0</v>
      </c>
      <c r="X359" s="18">
        <f t="shared" si="47"/>
        <v>0</v>
      </c>
      <c r="Y359" s="12">
        <f t="shared" si="48"/>
        <v>3.23986794305777</v>
      </c>
      <c r="Z359" s="12">
        <f t="shared" si="49"/>
        <v>0.26820804985885</v>
      </c>
      <c r="AA359" s="19">
        <v>20604.43</v>
      </c>
      <c r="AB359" s="19">
        <v>19951.8</v>
      </c>
      <c r="AC359" s="19">
        <v>1884.7</v>
      </c>
      <c r="AD359" s="19">
        <v>2454</v>
      </c>
      <c r="AE359" s="19">
        <v>481.56</v>
      </c>
      <c r="AF359" s="19">
        <v>20.79</v>
      </c>
      <c r="AG359" s="19">
        <v>607.99</v>
      </c>
      <c r="AH359" s="19">
        <v>236.59</v>
      </c>
      <c r="AI359" s="19">
        <v>44.58</v>
      </c>
      <c r="AJ359" s="19">
        <v>2952.02</v>
      </c>
      <c r="AK359" s="3">
        <f t="shared" si="51"/>
        <v>0</v>
      </c>
      <c r="AL359" s="3">
        <v>0</v>
      </c>
      <c r="AM359" s="3">
        <f t="shared" si="50"/>
        <v>0</v>
      </c>
    </row>
    <row r="360" spans="1:39">
      <c r="A360" s="7">
        <v>2008</v>
      </c>
      <c r="B360" s="7" t="s">
        <v>52</v>
      </c>
      <c r="C360" s="7">
        <v>0.26883919</v>
      </c>
      <c r="D360" s="7">
        <v>0.044464</v>
      </c>
      <c r="E360" s="7">
        <v>0.011249</v>
      </c>
      <c r="F360" s="7">
        <v>0.019454</v>
      </c>
      <c r="G360" s="7">
        <v>0.006435</v>
      </c>
      <c r="H360" s="7">
        <v>0.007325</v>
      </c>
      <c r="I360" s="7">
        <v>0.049188</v>
      </c>
      <c r="J360" s="7">
        <v>0.022918</v>
      </c>
      <c r="K360" s="16">
        <v>22232</v>
      </c>
      <c r="L360" s="17">
        <v>7762.48</v>
      </c>
      <c r="M360" s="16">
        <v>30981.98</v>
      </c>
      <c r="N360" s="7">
        <f t="shared" si="44"/>
        <v>2.86403314404675</v>
      </c>
      <c r="O360" s="7">
        <f t="shared" si="45"/>
        <v>0.717578411709</v>
      </c>
      <c r="P360" s="8">
        <v>628449599.3</v>
      </c>
      <c r="Q360" s="8">
        <f t="shared" si="46"/>
        <v>2.02843588208371</v>
      </c>
      <c r="R360" s="9">
        <v>2876.2</v>
      </c>
      <c r="S360" s="9">
        <v>14911.5</v>
      </c>
      <c r="T360" s="9">
        <v>9318.5</v>
      </c>
      <c r="U360" s="9">
        <v>28861</v>
      </c>
      <c r="V360" s="18">
        <v>0</v>
      </c>
      <c r="W360" s="18">
        <v>0</v>
      </c>
      <c r="X360" s="18">
        <f t="shared" si="47"/>
        <v>0</v>
      </c>
      <c r="Y360" s="12">
        <f t="shared" si="48"/>
        <v>2.71728515287532</v>
      </c>
      <c r="Z360" s="12">
        <f t="shared" si="49"/>
        <v>0.253506434561237</v>
      </c>
      <c r="AA360" s="19">
        <v>22232</v>
      </c>
      <c r="AB360" s="19">
        <v>20737</v>
      </c>
      <c r="AC360" s="19">
        <v>1888.95</v>
      </c>
      <c r="AD360" s="19">
        <v>2313.13</v>
      </c>
      <c r="AE360" s="19">
        <v>561.8</v>
      </c>
      <c r="AF360" s="19">
        <v>21.45</v>
      </c>
      <c r="AG360" s="19">
        <v>646.21</v>
      </c>
      <c r="AH360" s="19">
        <v>218</v>
      </c>
      <c r="AI360" s="19">
        <v>63.13</v>
      </c>
      <c r="AJ360" s="19">
        <v>3118.33</v>
      </c>
      <c r="AK360" s="3">
        <f t="shared" si="51"/>
        <v>0</v>
      </c>
      <c r="AL360" s="3">
        <v>0</v>
      </c>
      <c r="AM360" s="3">
        <f t="shared" si="50"/>
        <v>0</v>
      </c>
    </row>
    <row r="361" spans="1:39">
      <c r="A361" s="7">
        <v>2009</v>
      </c>
      <c r="B361" s="7" t="s">
        <v>52</v>
      </c>
      <c r="C361" s="7">
        <v>0.28145085</v>
      </c>
      <c r="D361" s="7">
        <v>0.047171</v>
      </c>
      <c r="E361" s="7">
        <v>0.011736</v>
      </c>
      <c r="F361" s="7">
        <v>0.021437</v>
      </c>
      <c r="G361" s="7">
        <v>0.006857</v>
      </c>
      <c r="H361" s="7">
        <v>0.007141</v>
      </c>
      <c r="I361" s="7">
        <v>0.049595</v>
      </c>
      <c r="J361" s="7">
        <v>0.02408</v>
      </c>
      <c r="K361" s="16">
        <v>23709</v>
      </c>
      <c r="L361" s="17">
        <v>7810.27</v>
      </c>
      <c r="M361" s="16">
        <v>34457.3</v>
      </c>
      <c r="N361" s="7">
        <f t="shared" si="44"/>
        <v>3.03561848694091</v>
      </c>
      <c r="O361" s="7">
        <f t="shared" si="45"/>
        <v>0.688069001343692</v>
      </c>
      <c r="P361" s="8">
        <v>668045287.5</v>
      </c>
      <c r="Q361" s="8">
        <f t="shared" si="46"/>
        <v>1.93876272226785</v>
      </c>
      <c r="R361" s="9">
        <v>3076.2</v>
      </c>
      <c r="S361" s="9">
        <v>15919.7</v>
      </c>
      <c r="T361" s="9">
        <v>10544.9</v>
      </c>
      <c r="U361" s="9">
        <v>31282</v>
      </c>
      <c r="V361" s="18">
        <v>0</v>
      </c>
      <c r="W361" s="18">
        <v>0</v>
      </c>
      <c r="X361" s="18">
        <f t="shared" si="47"/>
        <v>0</v>
      </c>
      <c r="Y361" s="12">
        <f t="shared" si="48"/>
        <v>2.66960201713366</v>
      </c>
      <c r="Z361" s="12">
        <f t="shared" si="49"/>
        <v>0.273763388765531</v>
      </c>
      <c r="AA361" s="19">
        <v>23709</v>
      </c>
      <c r="AB361" s="19">
        <v>21003</v>
      </c>
      <c r="AC361" s="19">
        <v>2221.2</v>
      </c>
      <c r="AD361" s="19">
        <v>2661.44</v>
      </c>
      <c r="AE361" s="19">
        <v>585.66</v>
      </c>
      <c r="AF361" s="19">
        <v>21.18</v>
      </c>
      <c r="AG361" s="19">
        <v>655.87</v>
      </c>
      <c r="AH361" s="19">
        <v>217.1</v>
      </c>
      <c r="AI361" s="19">
        <v>63.43</v>
      </c>
      <c r="AJ361" s="19">
        <v>3313.98</v>
      </c>
      <c r="AK361" s="3">
        <f t="shared" si="51"/>
        <v>0</v>
      </c>
      <c r="AL361" s="3">
        <v>0</v>
      </c>
      <c r="AM361" s="3">
        <f t="shared" si="50"/>
        <v>0</v>
      </c>
    </row>
    <row r="362" spans="1:39">
      <c r="A362" s="7">
        <v>2010</v>
      </c>
      <c r="B362" s="7" t="s">
        <v>52</v>
      </c>
      <c r="C362" s="7">
        <v>0.28611668</v>
      </c>
      <c r="D362" s="7">
        <v>0.050893</v>
      </c>
      <c r="E362" s="7">
        <v>0.012801</v>
      </c>
      <c r="F362" s="7">
        <v>0.022082</v>
      </c>
      <c r="G362" s="7">
        <v>0.00819</v>
      </c>
      <c r="H362" s="7">
        <v>0.007819</v>
      </c>
      <c r="I362" s="7">
        <v>0.044575</v>
      </c>
      <c r="J362" s="7">
        <v>0.021647</v>
      </c>
      <c r="K362" s="16">
        <v>25774</v>
      </c>
      <c r="L362" s="17">
        <v>7869.34</v>
      </c>
      <c r="M362" s="16">
        <v>41425.48</v>
      </c>
      <c r="N362" s="7">
        <f t="shared" si="44"/>
        <v>3.27524290474169</v>
      </c>
      <c r="O362" s="7">
        <f t="shared" si="45"/>
        <v>0.622177461794046</v>
      </c>
      <c r="P362" s="8">
        <v>729570991.2</v>
      </c>
      <c r="Q362" s="8">
        <f t="shared" si="46"/>
        <v>1.76116484636992</v>
      </c>
      <c r="R362" s="9">
        <v>3411.3</v>
      </c>
      <c r="S362" s="9">
        <v>17733.1</v>
      </c>
      <c r="T362" s="9">
        <v>12778.1</v>
      </c>
      <c r="U362" s="9">
        <v>35599</v>
      </c>
      <c r="V362" s="18">
        <v>0</v>
      </c>
      <c r="W362" s="18">
        <v>0</v>
      </c>
      <c r="X362" s="18">
        <f t="shared" si="47"/>
        <v>0</v>
      </c>
      <c r="Y362" s="12">
        <f t="shared" si="48"/>
        <v>2.40850270516871</v>
      </c>
      <c r="Z362" s="12">
        <f t="shared" si="49"/>
        <v>0.268771904390883</v>
      </c>
      <c r="AA362" s="19">
        <v>25773.71</v>
      </c>
      <c r="AB362" s="19">
        <v>23100.48</v>
      </c>
      <c r="AC362" s="19">
        <v>2663.47</v>
      </c>
      <c r="AD362" s="19">
        <v>2998.55</v>
      </c>
      <c r="AE362" s="19">
        <v>749.84</v>
      </c>
      <c r="AF362" s="19">
        <v>35.69</v>
      </c>
      <c r="AG362" s="19">
        <v>727.96</v>
      </c>
      <c r="AH362" s="19">
        <v>157.71</v>
      </c>
      <c r="AI362" s="19">
        <v>71.57</v>
      </c>
      <c r="AJ362" s="19">
        <v>3864.37</v>
      </c>
      <c r="AK362" s="3">
        <f t="shared" si="51"/>
        <v>0</v>
      </c>
      <c r="AL362" s="3">
        <v>0</v>
      </c>
      <c r="AM362" s="3">
        <f t="shared" si="50"/>
        <v>0</v>
      </c>
    </row>
    <row r="363" spans="1:39">
      <c r="A363" s="7">
        <v>2011</v>
      </c>
      <c r="B363" s="7" t="s">
        <v>52</v>
      </c>
      <c r="C363" s="7">
        <v>0.30500871</v>
      </c>
      <c r="D363" s="7">
        <v>0.051222</v>
      </c>
      <c r="E363" s="7">
        <v>0.012534</v>
      </c>
      <c r="F363" s="7">
        <v>0.022597</v>
      </c>
      <c r="G363" s="7">
        <v>0.007955</v>
      </c>
      <c r="H363" s="7">
        <v>0.008136</v>
      </c>
      <c r="I363" s="7">
        <v>0.048744</v>
      </c>
      <c r="J363" s="7">
        <v>0.026273</v>
      </c>
      <c r="K363" s="16">
        <v>27589</v>
      </c>
      <c r="L363" s="17">
        <v>8023</v>
      </c>
      <c r="M363" s="16">
        <v>49110.27</v>
      </c>
      <c r="N363" s="7">
        <f t="shared" si="44"/>
        <v>3.43873862644896</v>
      </c>
      <c r="O363" s="7">
        <f t="shared" si="45"/>
        <v>0.561776589703131</v>
      </c>
      <c r="P363" s="8">
        <v>794859728.8</v>
      </c>
      <c r="Q363" s="8">
        <f t="shared" si="46"/>
        <v>1.61852038036036</v>
      </c>
      <c r="R363" s="9">
        <v>3768.6</v>
      </c>
      <c r="S363" s="9">
        <v>19926.1</v>
      </c>
      <c r="T363" s="9">
        <v>15370.3</v>
      </c>
      <c r="U363" s="9">
        <v>40581</v>
      </c>
      <c r="V363" s="18">
        <v>0</v>
      </c>
      <c r="W363" s="18">
        <v>0</v>
      </c>
      <c r="X363" s="18">
        <f t="shared" si="47"/>
        <v>0</v>
      </c>
      <c r="Y363" s="12">
        <f t="shared" si="48"/>
        <v>2.18035126729488</v>
      </c>
      <c r="Z363" s="12">
        <f t="shared" si="49"/>
        <v>0.257679070047999</v>
      </c>
      <c r="AA363" s="19">
        <v>27589</v>
      </c>
      <c r="AB363" s="19">
        <v>27364</v>
      </c>
      <c r="AC363" s="19">
        <v>3151.47</v>
      </c>
      <c r="AD363" s="19">
        <v>2981.07</v>
      </c>
      <c r="AE363" s="19">
        <v>827.38</v>
      </c>
      <c r="AF363" s="19">
        <v>44.73</v>
      </c>
      <c r="AG363" s="19">
        <v>759.4</v>
      </c>
      <c r="AH363" s="19">
        <v>151.19</v>
      </c>
      <c r="AI363" s="19">
        <v>93.74</v>
      </c>
      <c r="AJ363" s="19">
        <v>4282</v>
      </c>
      <c r="AK363" s="3">
        <f t="shared" si="51"/>
        <v>0</v>
      </c>
      <c r="AL363" s="3">
        <v>0</v>
      </c>
      <c r="AM363" s="3">
        <f t="shared" si="50"/>
        <v>0</v>
      </c>
    </row>
    <row r="364" spans="1:39">
      <c r="A364" s="7">
        <v>2012</v>
      </c>
      <c r="B364" s="7" t="s">
        <v>52</v>
      </c>
      <c r="C364" s="7">
        <v>0.32057975</v>
      </c>
      <c r="D364" s="7">
        <v>0.052102</v>
      </c>
      <c r="E364" s="7">
        <v>0.013198</v>
      </c>
      <c r="F364" s="7">
        <v>0.023387</v>
      </c>
      <c r="G364" s="7">
        <v>0.00757</v>
      </c>
      <c r="H364" s="7">
        <v>0.007948</v>
      </c>
      <c r="I364" s="7">
        <v>0.053841</v>
      </c>
      <c r="J364" s="7">
        <v>0.028731</v>
      </c>
      <c r="K364" s="16">
        <v>28850</v>
      </c>
      <c r="L364" s="17">
        <v>8120</v>
      </c>
      <c r="M364" s="16">
        <v>54058.22</v>
      </c>
      <c r="N364" s="7">
        <f t="shared" si="44"/>
        <v>3.55295566502463</v>
      </c>
      <c r="O364" s="7">
        <f t="shared" si="45"/>
        <v>0.533683868984217</v>
      </c>
      <c r="P364" s="8">
        <v>817930757.6</v>
      </c>
      <c r="Q364" s="8">
        <f t="shared" si="46"/>
        <v>1.51305529038877</v>
      </c>
      <c r="R364" s="9">
        <v>4047.1</v>
      </c>
      <c r="S364" s="9">
        <v>21275.9</v>
      </c>
      <c r="T364" s="9">
        <v>17634.4</v>
      </c>
      <c r="U364" s="9">
        <v>44348</v>
      </c>
      <c r="V364" s="18">
        <v>0</v>
      </c>
      <c r="W364" s="18">
        <v>0</v>
      </c>
      <c r="X364" s="18">
        <f t="shared" si="47"/>
        <v>0</v>
      </c>
      <c r="Y364" s="12">
        <f t="shared" si="48"/>
        <v>2.01609935715007</v>
      </c>
      <c r="Z364" s="12">
        <f t="shared" si="49"/>
        <v>0.249513529666712</v>
      </c>
      <c r="AA364" s="19">
        <v>28849.84</v>
      </c>
      <c r="AB364" s="19">
        <v>27762</v>
      </c>
      <c r="AC364" s="19">
        <v>3170.1</v>
      </c>
      <c r="AD364" s="19">
        <v>2947.99</v>
      </c>
      <c r="AE364" s="19">
        <v>935</v>
      </c>
      <c r="AF364" s="19">
        <v>53.14</v>
      </c>
      <c r="AG364" s="19">
        <v>803.54</v>
      </c>
      <c r="AH364" s="19">
        <v>158.35</v>
      </c>
      <c r="AI364" s="19">
        <v>113.14</v>
      </c>
      <c r="AJ364" s="19">
        <v>4580.91</v>
      </c>
      <c r="AK364" s="3">
        <f t="shared" si="51"/>
        <v>0</v>
      </c>
      <c r="AL364" s="3">
        <v>0</v>
      </c>
      <c r="AM364" s="3">
        <f t="shared" si="50"/>
        <v>0</v>
      </c>
    </row>
    <row r="365" spans="1:39">
      <c r="A365" s="7">
        <v>2013</v>
      </c>
      <c r="B365" s="7" t="s">
        <v>52</v>
      </c>
      <c r="C365" s="7">
        <v>0.3411389</v>
      </c>
      <c r="D365" s="7">
        <v>0.052885</v>
      </c>
      <c r="E365" s="7">
        <v>0.01306</v>
      </c>
      <c r="F365" s="7">
        <v>0.023141</v>
      </c>
      <c r="G365" s="7">
        <v>0.007801</v>
      </c>
      <c r="H365" s="7">
        <v>0.008884</v>
      </c>
      <c r="I365" s="7">
        <v>0.058483</v>
      </c>
      <c r="J365" s="7">
        <v>0.031799</v>
      </c>
      <c r="K365" s="16">
        <v>29205</v>
      </c>
      <c r="L365" s="17">
        <v>8192</v>
      </c>
      <c r="M365" s="16">
        <v>59753.37</v>
      </c>
      <c r="N365" s="7">
        <f t="shared" si="44"/>
        <v>3.5650634765625</v>
      </c>
      <c r="O365" s="7">
        <f t="shared" si="45"/>
        <v>0.48875904405057</v>
      </c>
      <c r="P365" s="8">
        <v>860018044</v>
      </c>
      <c r="Q365" s="8">
        <f t="shared" si="46"/>
        <v>1.43927956531991</v>
      </c>
      <c r="R365" s="9">
        <v>4454.1</v>
      </c>
      <c r="S365" s="9">
        <v>22615.9</v>
      </c>
      <c r="T365" s="9">
        <v>20274.3</v>
      </c>
      <c r="U365" s="9">
        <v>48673</v>
      </c>
      <c r="V365" s="18">
        <v>0</v>
      </c>
      <c r="W365" s="18">
        <v>0</v>
      </c>
      <c r="X365" s="18">
        <f t="shared" si="47"/>
        <v>0</v>
      </c>
      <c r="Y365" s="12">
        <f t="shared" si="48"/>
        <v>1.91398219724656</v>
      </c>
      <c r="Z365" s="12">
        <f t="shared" si="49"/>
        <v>0.248018311042576</v>
      </c>
      <c r="AA365" s="19">
        <v>29205</v>
      </c>
      <c r="AB365" s="19">
        <v>27946.07</v>
      </c>
      <c r="AC365" s="19">
        <v>3190.61</v>
      </c>
      <c r="AD365" s="19">
        <v>3394.78</v>
      </c>
      <c r="AE365" s="19">
        <v>891.46</v>
      </c>
      <c r="AF365" s="19">
        <v>63.79</v>
      </c>
      <c r="AG365" s="19">
        <v>752.28</v>
      </c>
      <c r="AH365" s="19">
        <v>182.7</v>
      </c>
      <c r="AI365" s="19">
        <v>124.47</v>
      </c>
      <c r="AJ365" s="19">
        <v>4956.62</v>
      </c>
      <c r="AK365" s="3">
        <f t="shared" si="51"/>
        <v>1</v>
      </c>
      <c r="AL365" s="3">
        <v>0</v>
      </c>
      <c r="AM365" s="3">
        <f t="shared" si="50"/>
        <v>0</v>
      </c>
    </row>
    <row r="366" spans="1:39">
      <c r="A366" s="7">
        <v>2014</v>
      </c>
      <c r="B366" s="7" t="s">
        <v>52</v>
      </c>
      <c r="C366" s="7">
        <v>0.32917466</v>
      </c>
      <c r="D366" s="7">
        <v>0.055487</v>
      </c>
      <c r="E366" s="7">
        <v>0.014672</v>
      </c>
      <c r="F366" s="7">
        <v>0.025371</v>
      </c>
      <c r="G366" s="7">
        <v>0.009466</v>
      </c>
      <c r="H366" s="7">
        <v>0.005978</v>
      </c>
      <c r="I366" s="7">
        <v>0.054467</v>
      </c>
      <c r="J366" s="7">
        <v>0.027624</v>
      </c>
      <c r="K366" s="16">
        <v>29863</v>
      </c>
      <c r="L366" s="17">
        <v>8281</v>
      </c>
      <c r="M366" s="16">
        <v>65088.32</v>
      </c>
      <c r="N366" s="7">
        <f t="shared" ref="N366:N429" si="52">K366/L366</f>
        <v>3.60620697983335</v>
      </c>
      <c r="O366" s="7">
        <f t="shared" ref="O366:O429" si="53">K366/M366</f>
        <v>0.458807355912704</v>
      </c>
      <c r="P366" s="8">
        <v>868470666.9</v>
      </c>
      <c r="Q366" s="8">
        <f t="shared" si="46"/>
        <v>1.33429571834086</v>
      </c>
      <c r="R366" s="9">
        <v>4662.8</v>
      </c>
      <c r="S366" s="9">
        <v>23588</v>
      </c>
      <c r="T366" s="9">
        <v>22524</v>
      </c>
      <c r="U366" s="9">
        <v>51933</v>
      </c>
      <c r="V366" s="18">
        <v>0</v>
      </c>
      <c r="W366" s="18">
        <v>0</v>
      </c>
      <c r="X366" s="18">
        <f t="shared" si="47"/>
        <v>0</v>
      </c>
      <c r="Y366" s="12">
        <f t="shared" si="48"/>
        <v>1.79640226266579</v>
      </c>
      <c r="Z366" s="12">
        <f t="shared" si="49"/>
        <v>0.257240014627447</v>
      </c>
      <c r="AA366" s="19">
        <v>29863.03</v>
      </c>
      <c r="AB366" s="19">
        <v>26912.61</v>
      </c>
      <c r="AC366" s="19">
        <v>3408.6</v>
      </c>
      <c r="AD366" s="19">
        <v>3511.4</v>
      </c>
      <c r="AE366" s="19">
        <v>974.61</v>
      </c>
      <c r="AF366" s="19">
        <v>82.77</v>
      </c>
      <c r="AG366" s="19">
        <v>814.06</v>
      </c>
      <c r="AH366" s="19">
        <v>151.78</v>
      </c>
      <c r="AI366" s="19">
        <v>127.7</v>
      </c>
      <c r="AJ366" s="19">
        <v>5012.54</v>
      </c>
      <c r="AK366" s="3">
        <f t="shared" si="51"/>
        <v>1</v>
      </c>
      <c r="AL366" s="3">
        <v>0</v>
      </c>
      <c r="AM366" s="3">
        <f t="shared" si="50"/>
        <v>0</v>
      </c>
    </row>
    <row r="367" spans="1:39">
      <c r="A367" s="7">
        <v>2015</v>
      </c>
      <c r="B367" s="7" t="s">
        <v>52</v>
      </c>
      <c r="C367" s="7">
        <v>0.3357438</v>
      </c>
      <c r="D367" s="7">
        <v>0.058236</v>
      </c>
      <c r="E367" s="7">
        <v>0.014873</v>
      </c>
      <c r="F367" s="7">
        <v>0.026424</v>
      </c>
      <c r="G367" s="7">
        <v>0.008396</v>
      </c>
      <c r="H367" s="7">
        <v>0.008542</v>
      </c>
      <c r="I367" s="7">
        <v>0.051839</v>
      </c>
      <c r="J367" s="7">
        <v>0.026242</v>
      </c>
      <c r="K367" s="16">
        <v>30374</v>
      </c>
      <c r="L367" s="17">
        <v>8315</v>
      </c>
      <c r="M367" s="16">
        <v>70116.38</v>
      </c>
      <c r="N367" s="7">
        <f t="shared" si="52"/>
        <v>3.65291641611545</v>
      </c>
      <c r="O367" s="7">
        <f t="shared" si="53"/>
        <v>0.43319406963109</v>
      </c>
      <c r="P367" s="8">
        <v>832392293.3</v>
      </c>
      <c r="Q367" s="8">
        <f t="shared" si="46"/>
        <v>1.18715811241253</v>
      </c>
      <c r="R367" s="9">
        <v>4902.8</v>
      </c>
      <c r="S367" s="9">
        <v>24814.9</v>
      </c>
      <c r="T367" s="9">
        <v>25571.1</v>
      </c>
      <c r="U367" s="9">
        <v>56205</v>
      </c>
      <c r="V367" s="18">
        <v>0</v>
      </c>
      <c r="W367" s="18">
        <v>0</v>
      </c>
      <c r="X367" s="18">
        <f t="shared" si="47"/>
        <v>0</v>
      </c>
      <c r="Y367" s="12">
        <f t="shared" si="48"/>
        <v>1.71577514742415</v>
      </c>
      <c r="Z367" s="12">
        <f t="shared" si="49"/>
        <v>0.30809225544805</v>
      </c>
      <c r="AA367" s="19">
        <v>30374</v>
      </c>
      <c r="AB367" s="19">
        <v>27209.12</v>
      </c>
      <c r="AC367" s="19">
        <v>3588.61</v>
      </c>
      <c r="AD367" s="19">
        <v>3823.2</v>
      </c>
      <c r="AE367" s="19">
        <v>1003.89</v>
      </c>
      <c r="AF367" s="19">
        <v>84.85</v>
      </c>
      <c r="AG367" s="19">
        <v>819.38</v>
      </c>
      <c r="AH367" s="19">
        <v>143.73</v>
      </c>
      <c r="AI367" s="19">
        <v>165.02</v>
      </c>
      <c r="AJ367" s="19">
        <v>5115</v>
      </c>
      <c r="AK367" s="3">
        <f t="shared" si="51"/>
        <v>1</v>
      </c>
      <c r="AL367" s="3">
        <v>0</v>
      </c>
      <c r="AM367" s="3">
        <f t="shared" si="50"/>
        <v>0</v>
      </c>
    </row>
    <row r="368" spans="1:39">
      <c r="A368" s="7">
        <v>2016</v>
      </c>
      <c r="B368" s="7" t="s">
        <v>52</v>
      </c>
      <c r="C368" s="7">
        <v>0.3740584</v>
      </c>
      <c r="D368" s="7">
        <v>0.063358</v>
      </c>
      <c r="E368" s="7">
        <v>0.015579</v>
      </c>
      <c r="F368" s="7">
        <v>0.02808</v>
      </c>
      <c r="G368" s="7">
        <v>0.009422</v>
      </c>
      <c r="H368" s="7">
        <v>0.010277</v>
      </c>
      <c r="I368" s="7">
        <v>0.058678</v>
      </c>
      <c r="J368" s="7">
        <v>0.027652</v>
      </c>
      <c r="K368" s="16">
        <v>31210</v>
      </c>
      <c r="L368" s="17">
        <v>8381</v>
      </c>
      <c r="M368" s="16">
        <v>77388.28</v>
      </c>
      <c r="N368" s="7">
        <f t="shared" si="52"/>
        <v>3.72389929602673</v>
      </c>
      <c r="O368" s="7">
        <f t="shared" si="53"/>
        <v>0.403291040968994</v>
      </c>
      <c r="P368" s="8">
        <v>829472519.1</v>
      </c>
      <c r="Q368" s="8">
        <f t="shared" si="46"/>
        <v>1.07183221942651</v>
      </c>
      <c r="R368" s="9">
        <v>4830.3</v>
      </c>
      <c r="S368" s="9">
        <v>25565</v>
      </c>
      <c r="T368" s="9">
        <v>28367.2</v>
      </c>
      <c r="U368" s="9">
        <v>59239</v>
      </c>
      <c r="V368" s="18">
        <v>0</v>
      </c>
      <c r="W368" s="18">
        <v>0</v>
      </c>
      <c r="X368" s="18">
        <f t="shared" si="47"/>
        <v>0</v>
      </c>
      <c r="Y368" s="12">
        <f t="shared" si="48"/>
        <v>1.62438398605541</v>
      </c>
      <c r="Z368" s="12">
        <f t="shared" si="49"/>
        <v>0.34016080641788</v>
      </c>
      <c r="AA368" s="19">
        <v>31210</v>
      </c>
      <c r="AB368" s="19">
        <v>28048.13</v>
      </c>
      <c r="AC368" s="19">
        <v>3840.21</v>
      </c>
      <c r="AD368" s="19">
        <v>4092.04</v>
      </c>
      <c r="AE368" s="19">
        <v>1027.31</v>
      </c>
      <c r="AF368" s="19">
        <v>90.58</v>
      </c>
      <c r="AG368" s="19">
        <v>821.31</v>
      </c>
      <c r="AH368" s="19">
        <v>151.6</v>
      </c>
      <c r="AI368" s="19">
        <v>172.73</v>
      </c>
      <c r="AJ368" s="19">
        <v>5458.95</v>
      </c>
      <c r="AK368" s="3">
        <f t="shared" si="51"/>
        <v>1</v>
      </c>
      <c r="AL368" s="3">
        <v>0</v>
      </c>
      <c r="AM368" s="3">
        <f t="shared" si="50"/>
        <v>0</v>
      </c>
    </row>
    <row r="369" spans="1:39">
      <c r="A369" s="7">
        <v>2017</v>
      </c>
      <c r="B369" s="7" t="s">
        <v>52</v>
      </c>
      <c r="C369" s="7">
        <v>0.39186866</v>
      </c>
      <c r="D369" s="7">
        <v>0.066177</v>
      </c>
      <c r="E369" s="7">
        <v>0.016563</v>
      </c>
      <c r="F369" s="7">
        <v>0.030399</v>
      </c>
      <c r="G369" s="7">
        <v>0.009516</v>
      </c>
      <c r="H369" s="7">
        <v>0.009699</v>
      </c>
      <c r="I369" s="7">
        <v>0.059546</v>
      </c>
      <c r="J369" s="7">
        <v>0.031085</v>
      </c>
      <c r="K369" s="16">
        <v>31602</v>
      </c>
      <c r="L369" s="17">
        <v>8423</v>
      </c>
      <c r="M369" s="16">
        <v>85869.76</v>
      </c>
      <c r="N369" s="7">
        <f t="shared" si="52"/>
        <v>3.75186988009023</v>
      </c>
      <c r="O369" s="7">
        <f t="shared" si="53"/>
        <v>0.368022456333871</v>
      </c>
      <c r="P369" s="8">
        <v>846942215.3</v>
      </c>
      <c r="Q369" s="8">
        <f t="shared" si="46"/>
        <v>0.986310215959611</v>
      </c>
      <c r="R369" s="9">
        <v>4832.7</v>
      </c>
      <c r="S369" s="9">
        <v>26925.6</v>
      </c>
      <c r="T369" s="9">
        <v>31253.8</v>
      </c>
      <c r="U369" s="9">
        <v>62993</v>
      </c>
      <c r="V369" s="18">
        <v>1</v>
      </c>
      <c r="W369" s="18">
        <v>0</v>
      </c>
      <c r="X369" s="18">
        <f t="shared" si="47"/>
        <v>0</v>
      </c>
      <c r="Y369" s="12">
        <f t="shared" si="48"/>
        <v>1.56738551218677</v>
      </c>
      <c r="Z369" s="12">
        <f t="shared" si="49"/>
        <v>0.370729020849797</v>
      </c>
      <c r="AA369" s="19">
        <v>31602</v>
      </c>
      <c r="AB369" s="19">
        <v>26620.03</v>
      </c>
      <c r="AC369" s="19">
        <v>4070.64</v>
      </c>
      <c r="AD369" s="19">
        <v>3866.06</v>
      </c>
      <c r="AE369" s="19">
        <v>1047.25</v>
      </c>
      <c r="AF369" s="19">
        <v>105.37</v>
      </c>
      <c r="AG369" s="19">
        <v>862.43</v>
      </c>
      <c r="AH369" s="19">
        <v>246.02</v>
      </c>
      <c r="AI369" s="19">
        <v>237.69</v>
      </c>
      <c r="AJ369" s="19">
        <v>5807.89</v>
      </c>
      <c r="AK369" s="3">
        <f t="shared" si="51"/>
        <v>1</v>
      </c>
      <c r="AL369" s="3">
        <v>0</v>
      </c>
      <c r="AM369" s="3">
        <f t="shared" si="50"/>
        <v>0</v>
      </c>
    </row>
    <row r="370" spans="1:39">
      <c r="A370" s="7">
        <v>2018</v>
      </c>
      <c r="B370" s="7" t="s">
        <v>52</v>
      </c>
      <c r="C370" s="7">
        <v>0.39803057</v>
      </c>
      <c r="D370" s="7">
        <v>0.065486</v>
      </c>
      <c r="E370" s="7">
        <v>0.016232</v>
      </c>
      <c r="F370" s="7">
        <v>0.028998</v>
      </c>
      <c r="G370" s="7">
        <v>0.010734</v>
      </c>
      <c r="H370" s="7">
        <v>0.009523</v>
      </c>
      <c r="I370" s="7">
        <v>0.06096</v>
      </c>
      <c r="J370" s="7">
        <v>0.032562</v>
      </c>
      <c r="K370" s="16">
        <v>31635</v>
      </c>
      <c r="L370" s="17">
        <v>8446</v>
      </c>
      <c r="M370" s="16">
        <v>92595.4</v>
      </c>
      <c r="N370" s="7">
        <f t="shared" si="52"/>
        <v>3.74556002841582</v>
      </c>
      <c r="O370" s="7">
        <f t="shared" si="53"/>
        <v>0.341647641243518</v>
      </c>
      <c r="P370" s="8">
        <v>881791125.4</v>
      </c>
      <c r="Q370" s="8">
        <f t="shared" si="46"/>
        <v>0.952305541527981</v>
      </c>
      <c r="R370" s="9">
        <v>4950.5</v>
      </c>
      <c r="S370" s="9">
        <v>27523.7</v>
      </c>
      <c r="T370" s="9">
        <v>34174.7</v>
      </c>
      <c r="U370" s="9">
        <v>66284</v>
      </c>
      <c r="V370" s="18">
        <v>1</v>
      </c>
      <c r="W370" s="18">
        <v>0</v>
      </c>
      <c r="X370" s="18">
        <f t="shared" si="47"/>
        <v>0</v>
      </c>
      <c r="Y370" s="12">
        <f t="shared" si="48"/>
        <v>1.51591455826218</v>
      </c>
      <c r="Z370" s="12">
        <f t="shared" si="49"/>
        <v>0.371794712084769</v>
      </c>
      <c r="AA370" s="19">
        <v>31635</v>
      </c>
      <c r="AB370" s="19">
        <v>25407.28</v>
      </c>
      <c r="AC370" s="19">
        <v>4052.63</v>
      </c>
      <c r="AD370" s="19">
        <v>4067.87</v>
      </c>
      <c r="AE370" s="19">
        <v>1073.12</v>
      </c>
      <c r="AF370" s="19">
        <v>113.23</v>
      </c>
      <c r="AG370" s="19">
        <v>881.47</v>
      </c>
      <c r="AH370" s="19">
        <v>247.11</v>
      </c>
      <c r="AI370" s="19">
        <v>276.21</v>
      </c>
      <c r="AJ370" s="19">
        <v>6128.27</v>
      </c>
      <c r="AK370" s="3">
        <f t="shared" si="51"/>
        <v>1</v>
      </c>
      <c r="AL370" s="3">
        <v>0</v>
      </c>
      <c r="AM370" s="3">
        <f t="shared" si="50"/>
        <v>0</v>
      </c>
    </row>
    <row r="371" spans="1:39">
      <c r="A371" s="7">
        <v>2019</v>
      </c>
      <c r="B371" s="7" t="s">
        <v>52</v>
      </c>
      <c r="C371" s="7">
        <v>0.40392346</v>
      </c>
      <c r="D371" s="7">
        <v>0.064873</v>
      </c>
      <c r="E371" s="7">
        <v>0.016352</v>
      </c>
      <c r="F371" s="7">
        <v>0.028275</v>
      </c>
      <c r="G371" s="7">
        <v>0.009638</v>
      </c>
      <c r="H371" s="7">
        <v>0.010607</v>
      </c>
      <c r="I371" s="7">
        <v>0.06449</v>
      </c>
      <c r="J371" s="7">
        <v>0.033199</v>
      </c>
      <c r="K371" s="16">
        <v>32526</v>
      </c>
      <c r="L371" s="17">
        <v>8469</v>
      </c>
      <c r="M371" s="16">
        <v>99631.52</v>
      </c>
      <c r="N371" s="7">
        <f t="shared" si="52"/>
        <v>3.84059511158342</v>
      </c>
      <c r="O371" s="7">
        <f t="shared" si="53"/>
        <v>0.326462950680668</v>
      </c>
      <c r="P371" s="8">
        <v>902740443.2</v>
      </c>
      <c r="Q371" s="8">
        <f t="shared" si="46"/>
        <v>0.906079163702411</v>
      </c>
      <c r="R371" s="9">
        <v>5117</v>
      </c>
      <c r="S371" s="9">
        <v>28171.8</v>
      </c>
      <c r="T371" s="9">
        <v>37251.7</v>
      </c>
      <c r="U371" s="9">
        <v>69901</v>
      </c>
      <c r="V371" s="18">
        <v>1</v>
      </c>
      <c r="W371" s="18">
        <v>0</v>
      </c>
      <c r="X371" s="18">
        <f t="shared" si="47"/>
        <v>0</v>
      </c>
      <c r="Y371" s="12">
        <f t="shared" si="48"/>
        <v>1.5000536746505</v>
      </c>
      <c r="Z371" s="12">
        <f t="shared" si="49"/>
        <v>0.395968838306056</v>
      </c>
      <c r="AA371" s="19">
        <v>32526</v>
      </c>
      <c r="AB371" s="19">
        <v>24902.05</v>
      </c>
      <c r="AC371" s="19">
        <v>4953.14</v>
      </c>
      <c r="AD371" s="19">
        <v>4121.21</v>
      </c>
      <c r="AE371" s="19">
        <v>1085.87</v>
      </c>
      <c r="AF371" s="19">
        <v>132.85</v>
      </c>
      <c r="AG371" s="19">
        <v>887.19</v>
      </c>
      <c r="AH371" s="19">
        <v>159.03</v>
      </c>
      <c r="AI371" s="19">
        <v>288.06</v>
      </c>
      <c r="AJ371" s="19">
        <v>6264.36</v>
      </c>
      <c r="AK371" s="3">
        <f t="shared" si="51"/>
        <v>1</v>
      </c>
      <c r="AL371" s="3">
        <v>0</v>
      </c>
      <c r="AM371" s="3">
        <f t="shared" si="50"/>
        <v>0</v>
      </c>
    </row>
    <row r="372" spans="1:39">
      <c r="A372" s="7">
        <v>2020</v>
      </c>
      <c r="B372" s="7" t="s">
        <v>52</v>
      </c>
      <c r="C372" s="7">
        <v>0.41610889</v>
      </c>
      <c r="D372" s="7">
        <v>0.063476</v>
      </c>
      <c r="E372" s="7">
        <v>0.014664</v>
      </c>
      <c r="F372" s="7">
        <v>0.028599</v>
      </c>
      <c r="G372" s="7">
        <v>0.010019</v>
      </c>
      <c r="H372" s="7">
        <v>0.010194</v>
      </c>
      <c r="I372" s="7">
        <v>0.071029</v>
      </c>
      <c r="J372" s="7">
        <v>0.036845</v>
      </c>
      <c r="K372" s="16">
        <v>32672.49</v>
      </c>
      <c r="L372" s="17">
        <v>8477.26</v>
      </c>
      <c r="M372" s="16">
        <v>102718.98</v>
      </c>
      <c r="N372" s="7">
        <f t="shared" si="52"/>
        <v>3.85413329306875</v>
      </c>
      <c r="O372" s="7">
        <f t="shared" si="53"/>
        <v>0.318076464544333</v>
      </c>
      <c r="P372" s="8">
        <v>892490442.5</v>
      </c>
      <c r="Q372" s="8">
        <f t="shared" si="46"/>
        <v>0.86886614576975</v>
      </c>
      <c r="R372" s="9">
        <v>5364.4</v>
      </c>
      <c r="S372" s="9">
        <v>28456.7</v>
      </c>
      <c r="T372" s="9">
        <v>38977.2</v>
      </c>
      <c r="U372" s="9">
        <v>71825</v>
      </c>
      <c r="V372" s="18">
        <v>1</v>
      </c>
      <c r="W372" s="18">
        <v>0</v>
      </c>
      <c r="X372" s="18">
        <f t="shared" si="47"/>
        <v>0</v>
      </c>
      <c r="Y372" s="12">
        <f t="shared" si="48"/>
        <v>1.47141701078949</v>
      </c>
      <c r="Z372" s="12">
        <f t="shared" si="49"/>
        <v>0.40950380524447</v>
      </c>
      <c r="AA372" s="19">
        <v>32672.49</v>
      </c>
      <c r="AB372" s="19">
        <v>24141.74</v>
      </c>
      <c r="AC372" s="19">
        <v>4485.53</v>
      </c>
      <c r="AD372" s="19">
        <v>4017.88</v>
      </c>
      <c r="AE372" s="19">
        <v>1104.53</v>
      </c>
      <c r="AF372" s="19">
        <v>106.68</v>
      </c>
      <c r="AG372" s="19">
        <v>900.78</v>
      </c>
      <c r="AH372" s="19">
        <v>160.37</v>
      </c>
      <c r="AI372" s="19">
        <v>273.32</v>
      </c>
      <c r="AJ372" s="19">
        <v>6374</v>
      </c>
      <c r="AK372" s="3">
        <f t="shared" si="51"/>
        <v>1</v>
      </c>
      <c r="AL372" s="3">
        <v>0</v>
      </c>
      <c r="AM372" s="3">
        <f t="shared" si="50"/>
        <v>0</v>
      </c>
    </row>
    <row r="373" spans="1:39">
      <c r="A373" s="7">
        <v>2021</v>
      </c>
      <c r="B373" s="7" t="s">
        <v>52</v>
      </c>
      <c r="C373" s="7">
        <v>0.42930433</v>
      </c>
      <c r="D373" s="7">
        <v>0.070031</v>
      </c>
      <c r="E373" s="7">
        <v>0.016134</v>
      </c>
      <c r="F373" s="7">
        <v>0.030936</v>
      </c>
      <c r="G373" s="7">
        <v>0.010535</v>
      </c>
      <c r="H373" s="7">
        <v>0.012426</v>
      </c>
      <c r="I373" s="7">
        <v>0.064843</v>
      </c>
      <c r="J373" s="7">
        <v>0.033814</v>
      </c>
      <c r="K373" s="16">
        <v>34679.94</v>
      </c>
      <c r="L373" s="17">
        <v>8505</v>
      </c>
      <c r="M373" s="16">
        <v>116364.2</v>
      </c>
      <c r="N373" s="7">
        <f t="shared" si="52"/>
        <v>4.07759435626102</v>
      </c>
      <c r="O373" s="7">
        <f t="shared" si="53"/>
        <v>0.298029290795623</v>
      </c>
      <c r="P373" s="8">
        <v>933213322.4</v>
      </c>
      <c r="Q373" s="8">
        <f t="shared" si="46"/>
        <v>0.801976314364727</v>
      </c>
      <c r="R373" s="9">
        <v>6029</v>
      </c>
      <c r="S373" s="9">
        <v>32834.5</v>
      </c>
      <c r="T373" s="9">
        <v>44011.7</v>
      </c>
      <c r="U373" s="9">
        <v>81510</v>
      </c>
      <c r="V373" s="18">
        <v>1</v>
      </c>
      <c r="W373" s="18">
        <v>0</v>
      </c>
      <c r="X373" s="18">
        <f t="shared" si="47"/>
        <v>0</v>
      </c>
      <c r="Y373" s="12">
        <f t="shared" si="48"/>
        <v>1.36781889095748</v>
      </c>
      <c r="Z373" s="12">
        <f t="shared" si="49"/>
        <v>0.413682381734514</v>
      </c>
      <c r="AA373" s="19">
        <v>34679.94</v>
      </c>
      <c r="AB373" s="19">
        <v>24547.21</v>
      </c>
      <c r="AC373" s="19">
        <v>4403.65</v>
      </c>
      <c r="AD373" s="19">
        <v>4020</v>
      </c>
      <c r="AE373" s="19">
        <v>992.99</v>
      </c>
      <c r="AF373" s="19">
        <v>115.66</v>
      </c>
      <c r="AG373" s="19">
        <v>946.18</v>
      </c>
      <c r="AH373" s="19">
        <v>141.59</v>
      </c>
      <c r="AI373" s="19">
        <v>295.82</v>
      </c>
      <c r="AJ373" s="19">
        <v>7101</v>
      </c>
      <c r="AK373" s="3">
        <f t="shared" si="51"/>
        <v>1</v>
      </c>
      <c r="AL373" s="3">
        <v>0</v>
      </c>
      <c r="AM373" s="3">
        <f t="shared" si="50"/>
        <v>0</v>
      </c>
    </row>
    <row r="374" spans="1:39">
      <c r="A374" s="7">
        <v>2022</v>
      </c>
      <c r="B374" s="7" t="s">
        <v>52</v>
      </c>
      <c r="C374" s="7">
        <v>0.40252793</v>
      </c>
      <c r="D374" s="7">
        <v>0.060642</v>
      </c>
      <c r="E374" s="7">
        <v>0.014735</v>
      </c>
      <c r="F374" s="7">
        <v>0.027697</v>
      </c>
      <c r="G374" s="7">
        <v>0.008499</v>
      </c>
      <c r="H374" s="7">
        <v>0.009712</v>
      </c>
      <c r="I374" s="7">
        <v>0.072914</v>
      </c>
      <c r="J374" s="7">
        <v>0.035888</v>
      </c>
      <c r="K374" s="16">
        <v>35823.95</v>
      </c>
      <c r="L374" s="17">
        <v>8515</v>
      </c>
      <c r="M374" s="16">
        <v>122875.6</v>
      </c>
      <c r="N374" s="7">
        <f t="shared" si="52"/>
        <v>4.20715795654727</v>
      </c>
      <c r="O374" s="7">
        <f t="shared" si="53"/>
        <v>0.291546490922526</v>
      </c>
      <c r="P374" s="8">
        <v>925366833.9</v>
      </c>
      <c r="Q374" s="8">
        <f t="shared" si="46"/>
        <v>0.75309242347545</v>
      </c>
      <c r="R374" s="9">
        <v>6296.5</v>
      </c>
      <c r="S374" s="9">
        <v>34562.3</v>
      </c>
      <c r="T374" s="9">
        <v>46718.1</v>
      </c>
      <c r="U374" s="9">
        <v>86143</v>
      </c>
      <c r="V374" s="18">
        <v>1</v>
      </c>
      <c r="W374" s="18">
        <v>0</v>
      </c>
      <c r="X374" s="18">
        <f t="shared" si="47"/>
        <v>0</v>
      </c>
      <c r="Y374" s="12">
        <f t="shared" si="48"/>
        <v>1.27047633725244</v>
      </c>
      <c r="Z374" s="12">
        <f t="shared" si="49"/>
        <v>0.407236166944986</v>
      </c>
      <c r="AA374" s="19">
        <v>35823.95</v>
      </c>
      <c r="AB374" s="19">
        <v>24804.29</v>
      </c>
      <c r="AC374" s="19">
        <v>4460.07</v>
      </c>
      <c r="AD374" s="19">
        <v>3991.61</v>
      </c>
      <c r="AE374" s="19">
        <v>976.53</v>
      </c>
      <c r="AF374" s="19">
        <v>77.47</v>
      </c>
      <c r="AG374" s="19">
        <v>960.27</v>
      </c>
      <c r="AH374" s="19">
        <v>139.52</v>
      </c>
      <c r="AI374" s="19">
        <v>305.34</v>
      </c>
      <c r="AJ374" s="19">
        <v>7399.55</v>
      </c>
      <c r="AK374" s="3">
        <f t="shared" si="51"/>
        <v>1</v>
      </c>
      <c r="AL374" s="3">
        <v>0</v>
      </c>
      <c r="AM374" s="3">
        <f t="shared" si="50"/>
        <v>0</v>
      </c>
    </row>
    <row r="375" spans="1:39">
      <c r="A375" s="7">
        <v>2023</v>
      </c>
      <c r="B375" s="7" t="s">
        <v>52</v>
      </c>
      <c r="C375" s="7">
        <v>0.48305058</v>
      </c>
      <c r="D375" s="7">
        <v>0.056546</v>
      </c>
      <c r="E375" s="7">
        <v>0.018628</v>
      </c>
      <c r="F375" s="7">
        <v>0.029751</v>
      </c>
      <c r="G375" s="7">
        <v>0.011756</v>
      </c>
      <c r="H375" s="7">
        <v>0.01229</v>
      </c>
      <c r="I375" s="7">
        <v>0.086278</v>
      </c>
      <c r="J375" s="7">
        <v>0.043254</v>
      </c>
      <c r="K375" s="16">
        <v>39170.7</v>
      </c>
      <c r="L375" s="17">
        <v>8526</v>
      </c>
      <c r="M375" s="16">
        <v>128222.2</v>
      </c>
      <c r="N375" s="7">
        <f t="shared" si="52"/>
        <v>4.59426460239268</v>
      </c>
      <c r="O375" s="7">
        <f t="shared" si="53"/>
        <v>0.305490780847622</v>
      </c>
      <c r="P375" s="8">
        <v>950264775.1</v>
      </c>
      <c r="Q375" s="8">
        <f t="shared" si="46"/>
        <v>0.741107838658204</v>
      </c>
      <c r="R375" s="9">
        <v>6506.2</v>
      </c>
      <c r="S375" s="9">
        <v>35987.9</v>
      </c>
      <c r="T375" s="9">
        <v>49574.6</v>
      </c>
      <c r="U375" s="9">
        <v>90771</v>
      </c>
      <c r="V375" s="18">
        <v>1</v>
      </c>
      <c r="W375" s="18">
        <v>0</v>
      </c>
      <c r="X375" s="18">
        <f t="shared" si="47"/>
        <v>0</v>
      </c>
      <c r="Y375" s="12">
        <f t="shared" si="48"/>
        <v>1.2756783895882</v>
      </c>
      <c r="Z375" s="12">
        <f t="shared" si="49"/>
        <v>0.419048057326234</v>
      </c>
      <c r="AA375" s="12"/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3">
        <f t="shared" si="51"/>
        <v>1</v>
      </c>
      <c r="AL375" s="3">
        <v>0</v>
      </c>
      <c r="AM375" s="3">
        <f t="shared" si="50"/>
        <v>0</v>
      </c>
    </row>
    <row r="376" spans="1:39">
      <c r="A376" s="7">
        <v>2024</v>
      </c>
      <c r="B376" s="7" t="s">
        <v>52</v>
      </c>
      <c r="C376" s="7">
        <v>0.5073844</v>
      </c>
      <c r="D376" s="7">
        <v>0.055084</v>
      </c>
      <c r="E376" s="7">
        <v>0.019306</v>
      </c>
      <c r="F376" s="7">
        <v>0.029975</v>
      </c>
      <c r="G376" s="7">
        <v>0.012176</v>
      </c>
      <c r="H376" s="7">
        <v>0.013128</v>
      </c>
      <c r="I376" s="7">
        <v>0.092835</v>
      </c>
      <c r="J376" s="7">
        <v>0.045968</v>
      </c>
      <c r="K376" s="16">
        <v>41812.45</v>
      </c>
      <c r="L376" s="17">
        <v>8526</v>
      </c>
      <c r="M376" s="16">
        <v>137008</v>
      </c>
      <c r="N376" s="7">
        <f t="shared" si="52"/>
        <v>4.90411095472672</v>
      </c>
      <c r="O376" s="7">
        <f t="shared" si="53"/>
        <v>0.305182544085017</v>
      </c>
      <c r="P376" s="8">
        <v>951084969.9</v>
      </c>
      <c r="Q376" s="8">
        <f t="shared" si="46"/>
        <v>0.694182069587177</v>
      </c>
      <c r="R376" s="9">
        <v>6616.9</v>
      </c>
      <c r="S376" s="9">
        <v>39608.6</v>
      </c>
      <c r="T376" s="9">
        <v>52340.3</v>
      </c>
      <c r="U376" s="9">
        <v>97575</v>
      </c>
      <c r="V376" s="18">
        <v>1</v>
      </c>
      <c r="W376" s="18">
        <v>0</v>
      </c>
      <c r="X376" s="18">
        <f t="shared" si="47"/>
        <v>0</v>
      </c>
      <c r="Y376" s="12">
        <f t="shared" si="48"/>
        <v>1.21200651315194</v>
      </c>
      <c r="Z376" s="12">
        <f t="shared" si="49"/>
        <v>0.427245594760139</v>
      </c>
      <c r="AA376" s="12"/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3">
        <f t="shared" si="51"/>
        <v>1</v>
      </c>
      <c r="AL376" s="3">
        <v>0</v>
      </c>
      <c r="AM376" s="3">
        <f t="shared" si="50"/>
        <v>0</v>
      </c>
    </row>
    <row r="377" spans="1:39">
      <c r="A377" s="7">
        <v>2000</v>
      </c>
      <c r="B377" s="7" t="s">
        <v>53</v>
      </c>
      <c r="C377" s="7">
        <v>0.08279434</v>
      </c>
      <c r="D377" s="7">
        <v>0.019089</v>
      </c>
      <c r="E377" s="7">
        <v>0.004621</v>
      </c>
      <c r="F377" s="7">
        <v>0.008488</v>
      </c>
      <c r="G377" s="7">
        <v>0.003084</v>
      </c>
      <c r="H377" s="7">
        <v>0.002895</v>
      </c>
      <c r="I377" s="7">
        <v>0.019344</v>
      </c>
      <c r="J377" s="7">
        <v>0.009285</v>
      </c>
      <c r="K377" s="16">
        <v>2505</v>
      </c>
      <c r="L377" s="17">
        <v>4149</v>
      </c>
      <c r="M377" s="16">
        <v>2003.07</v>
      </c>
      <c r="N377" s="7">
        <f t="shared" si="52"/>
        <v>0.603759942154736</v>
      </c>
      <c r="O377" s="7">
        <f t="shared" si="53"/>
        <v>1.25058035914871</v>
      </c>
      <c r="P377" s="8">
        <v>80389531.61</v>
      </c>
      <c r="Q377" s="8">
        <f t="shared" si="46"/>
        <v>4.01331614022476</v>
      </c>
      <c r="R377" s="9">
        <v>1124.9</v>
      </c>
      <c r="S377" s="9">
        <v>2282.5</v>
      </c>
      <c r="T377" s="9">
        <v>1645.6</v>
      </c>
      <c r="U377" s="9">
        <v>5450</v>
      </c>
      <c r="V377" s="18">
        <v>0</v>
      </c>
      <c r="W377" s="18">
        <v>1</v>
      </c>
      <c r="X377" s="18">
        <f t="shared" si="47"/>
        <v>0</v>
      </c>
      <c r="Y377" s="12">
        <f t="shared" si="48"/>
        <v>4.53658228674969</v>
      </c>
      <c r="Z377" s="12">
        <f t="shared" si="49"/>
        <v>0.11534369123057</v>
      </c>
      <c r="AA377" s="19">
        <v>2505</v>
      </c>
      <c r="AB377" s="19">
        <v>2468.63</v>
      </c>
      <c r="AC377" s="19">
        <v>205.94</v>
      </c>
      <c r="AD377" s="19">
        <v>331.18</v>
      </c>
      <c r="AE377" s="19">
        <v>58.46</v>
      </c>
      <c r="AF377" s="19">
        <v>2.81</v>
      </c>
      <c r="AG377" s="19">
        <v>104.78</v>
      </c>
      <c r="AH377" s="19">
        <v>34.2</v>
      </c>
      <c r="AI377" s="12">
        <v>0</v>
      </c>
      <c r="AJ377" s="19">
        <v>208.15</v>
      </c>
      <c r="AK377" s="3">
        <f t="shared" si="51"/>
        <v>0</v>
      </c>
      <c r="AL377" s="3">
        <v>0</v>
      </c>
      <c r="AM377" s="3">
        <f t="shared" si="50"/>
        <v>0</v>
      </c>
    </row>
    <row r="378" spans="1:39">
      <c r="A378" s="7">
        <v>2001</v>
      </c>
      <c r="B378" s="7" t="s">
        <v>53</v>
      </c>
      <c r="C378" s="7">
        <v>0.11537662</v>
      </c>
      <c r="D378" s="7">
        <v>0.024499</v>
      </c>
      <c r="E378" s="7">
        <v>0.006252</v>
      </c>
      <c r="F378" s="7">
        <v>0.011156</v>
      </c>
      <c r="G378" s="7">
        <v>0.003411</v>
      </c>
      <c r="H378" s="7">
        <v>0.003679</v>
      </c>
      <c r="I378" s="7">
        <v>0.022636</v>
      </c>
      <c r="J378" s="7">
        <v>0.011719</v>
      </c>
      <c r="K378" s="16">
        <v>2628</v>
      </c>
      <c r="L378" s="17">
        <v>4186</v>
      </c>
      <c r="M378" s="16">
        <v>2175.68</v>
      </c>
      <c r="N378" s="7">
        <f t="shared" si="52"/>
        <v>0.627806975633063</v>
      </c>
      <c r="O378" s="7">
        <f t="shared" si="53"/>
        <v>1.20789822032652</v>
      </c>
      <c r="P378" s="8">
        <v>84603914.38</v>
      </c>
      <c r="Q378" s="8">
        <f t="shared" si="46"/>
        <v>3.88861939163848</v>
      </c>
      <c r="R378" s="9">
        <v>1195.4</v>
      </c>
      <c r="S378" s="9">
        <v>2497.7</v>
      </c>
      <c r="T378" s="9">
        <v>1839.9</v>
      </c>
      <c r="U378" s="9">
        <v>5959</v>
      </c>
      <c r="V378" s="18">
        <v>0</v>
      </c>
      <c r="W378" s="18">
        <v>1</v>
      </c>
      <c r="X378" s="18">
        <f t="shared" si="47"/>
        <v>0</v>
      </c>
      <c r="Y378" s="12">
        <f t="shared" si="48"/>
        <v>4.16809156222866</v>
      </c>
      <c r="Z378" s="12">
        <f t="shared" si="49"/>
        <v>0.0670503913884156</v>
      </c>
      <c r="AA378" s="19">
        <v>2329</v>
      </c>
      <c r="AB378" s="19">
        <v>2584</v>
      </c>
      <c r="AC378" s="19">
        <v>215.02</v>
      </c>
      <c r="AD378" s="19">
        <v>299.57</v>
      </c>
      <c r="AE378" s="19">
        <v>60.37</v>
      </c>
      <c r="AF378" s="19">
        <v>0.77</v>
      </c>
      <c r="AG378" s="19">
        <v>130.84</v>
      </c>
      <c r="AH378" s="19">
        <v>27.28</v>
      </c>
      <c r="AI378" s="12">
        <v>0</v>
      </c>
      <c r="AJ378" s="19">
        <v>222.29</v>
      </c>
      <c r="AK378" s="3">
        <f t="shared" si="51"/>
        <v>0</v>
      </c>
      <c r="AL378" s="3">
        <v>0</v>
      </c>
      <c r="AM378" s="3">
        <f t="shared" si="50"/>
        <v>0</v>
      </c>
    </row>
    <row r="379" spans="1:39">
      <c r="A379" s="7">
        <v>2002</v>
      </c>
      <c r="B379" s="7" t="s">
        <v>53</v>
      </c>
      <c r="C379" s="7">
        <v>0.11154207</v>
      </c>
      <c r="D379" s="7">
        <v>0.022691</v>
      </c>
      <c r="E379" s="7">
        <v>0.005788</v>
      </c>
      <c r="F379" s="7">
        <v>0.010353</v>
      </c>
      <c r="G379" s="7">
        <v>0.003517</v>
      </c>
      <c r="H379" s="7">
        <v>0.003034</v>
      </c>
      <c r="I379" s="7">
        <v>0.023511</v>
      </c>
      <c r="J379" s="7">
        <v>0.012768</v>
      </c>
      <c r="K379" s="16">
        <v>2933</v>
      </c>
      <c r="L379" s="17">
        <v>4222</v>
      </c>
      <c r="M379" s="16">
        <v>2450.48</v>
      </c>
      <c r="N379" s="7">
        <f t="shared" si="52"/>
        <v>0.694694457603032</v>
      </c>
      <c r="O379" s="7">
        <f t="shared" si="53"/>
        <v>1.19690836081094</v>
      </c>
      <c r="P379" s="8">
        <v>90379575.61</v>
      </c>
      <c r="Q379" s="8">
        <f t="shared" si="46"/>
        <v>3.68823967590023</v>
      </c>
      <c r="R379" s="9">
        <v>1207.1</v>
      </c>
      <c r="S379" s="9">
        <v>2881.6</v>
      </c>
      <c r="T379" s="9">
        <v>1946.8</v>
      </c>
      <c r="U379" s="9">
        <v>6487</v>
      </c>
      <c r="V379" s="18">
        <v>0</v>
      </c>
      <c r="W379" s="18">
        <v>1</v>
      </c>
      <c r="X379" s="18">
        <f t="shared" si="47"/>
        <v>0</v>
      </c>
      <c r="Y379" s="12">
        <f t="shared" si="48"/>
        <v>4.06804884448575</v>
      </c>
      <c r="Z379" s="12">
        <f t="shared" si="49"/>
        <v>0.0933639646683088</v>
      </c>
      <c r="AA379" s="19">
        <v>2933</v>
      </c>
      <c r="AB379" s="19">
        <v>2557</v>
      </c>
      <c r="AC379" s="19">
        <v>261.39</v>
      </c>
      <c r="AD379" s="19">
        <v>297.27</v>
      </c>
      <c r="AE379" s="19">
        <v>82.19</v>
      </c>
      <c r="AF379" s="19">
        <v>0.82</v>
      </c>
      <c r="AG379" s="19">
        <v>163.87</v>
      </c>
      <c r="AH379" s="19">
        <v>46.15</v>
      </c>
      <c r="AI379" s="12">
        <v>0</v>
      </c>
      <c r="AJ379" s="19">
        <v>246.56</v>
      </c>
      <c r="AK379" s="3">
        <f t="shared" si="51"/>
        <v>0</v>
      </c>
      <c r="AL379" s="3">
        <v>0</v>
      </c>
      <c r="AM379" s="3">
        <f t="shared" si="50"/>
        <v>0</v>
      </c>
    </row>
    <row r="380" spans="1:39">
      <c r="A380" s="7">
        <v>2003</v>
      </c>
      <c r="B380" s="7" t="s">
        <v>53</v>
      </c>
      <c r="C380" s="7">
        <v>0.11477548</v>
      </c>
      <c r="D380" s="7">
        <v>0.02269</v>
      </c>
      <c r="E380" s="7">
        <v>0.005843</v>
      </c>
      <c r="F380" s="7">
        <v>0.009917</v>
      </c>
      <c r="G380" s="7">
        <v>0.003535</v>
      </c>
      <c r="H380" s="7">
        <v>0.003395</v>
      </c>
      <c r="I380" s="7">
        <v>0.024701</v>
      </c>
      <c r="J380" s="7">
        <v>0.01281</v>
      </c>
      <c r="K380" s="16">
        <v>3426</v>
      </c>
      <c r="L380" s="17">
        <v>4254</v>
      </c>
      <c r="M380" s="16">
        <v>2807.41</v>
      </c>
      <c r="N380" s="7">
        <f t="shared" si="52"/>
        <v>0.805359661495063</v>
      </c>
      <c r="O380" s="7">
        <f t="shared" si="53"/>
        <v>1.22034188095077</v>
      </c>
      <c r="P380" s="8">
        <v>105066056.7</v>
      </c>
      <c r="Q380" s="8">
        <f t="shared" si="46"/>
        <v>3.74245502794391</v>
      </c>
      <c r="R380" s="9">
        <v>1198.7</v>
      </c>
      <c r="S380" s="9">
        <v>3348.6</v>
      </c>
      <c r="T380" s="9">
        <v>2395.1</v>
      </c>
      <c r="U380" s="9">
        <v>7376</v>
      </c>
      <c r="V380" s="18">
        <v>0</v>
      </c>
      <c r="W380" s="18">
        <v>1</v>
      </c>
      <c r="X380" s="18">
        <f t="shared" si="47"/>
        <v>0</v>
      </c>
      <c r="Y380" s="12">
        <f t="shared" si="48"/>
        <v>4.08414499624993</v>
      </c>
      <c r="Z380" s="12">
        <f t="shared" si="49"/>
        <v>0.0836625459232628</v>
      </c>
      <c r="AA380" s="19">
        <v>3426</v>
      </c>
      <c r="AB380" s="19">
        <v>3088.6</v>
      </c>
      <c r="AC380" s="19">
        <v>297.68</v>
      </c>
      <c r="AD380" s="19">
        <v>314.07</v>
      </c>
      <c r="AE380" s="19">
        <v>59.63</v>
      </c>
      <c r="AF380" s="19">
        <v>5.32</v>
      </c>
      <c r="AG380" s="19">
        <v>251.6</v>
      </c>
      <c r="AH380" s="19">
        <v>39.73</v>
      </c>
      <c r="AI380" s="19">
        <v>0</v>
      </c>
      <c r="AJ380" s="19">
        <v>299.53</v>
      </c>
      <c r="AK380" s="3">
        <f t="shared" si="51"/>
        <v>0</v>
      </c>
      <c r="AL380" s="3">
        <v>0</v>
      </c>
      <c r="AM380" s="3">
        <f t="shared" si="50"/>
        <v>0</v>
      </c>
    </row>
    <row r="381" spans="1:39">
      <c r="A381" s="7">
        <v>2004</v>
      </c>
      <c r="B381" s="7" t="s">
        <v>53</v>
      </c>
      <c r="C381" s="7">
        <v>0.12415851</v>
      </c>
      <c r="D381" s="7">
        <v>0.02475</v>
      </c>
      <c r="E381" s="7">
        <v>0.00574</v>
      </c>
      <c r="F381" s="7">
        <v>0.010515</v>
      </c>
      <c r="G381" s="7">
        <v>0.003665</v>
      </c>
      <c r="H381" s="7">
        <v>0.00483</v>
      </c>
      <c r="I381" s="7">
        <v>0.02374</v>
      </c>
      <c r="J381" s="7">
        <v>0.012715</v>
      </c>
      <c r="K381" s="16">
        <v>3814</v>
      </c>
      <c r="L381" s="17">
        <v>4284</v>
      </c>
      <c r="M381" s="16">
        <v>3456.7</v>
      </c>
      <c r="N381" s="7">
        <f t="shared" si="52"/>
        <v>0.890289449112978</v>
      </c>
      <c r="O381" s="7">
        <f t="shared" si="53"/>
        <v>1.10336448057396</v>
      </c>
      <c r="P381" s="8">
        <v>117143382.5</v>
      </c>
      <c r="Q381" s="8">
        <f t="shared" si="46"/>
        <v>3.38887906095409</v>
      </c>
      <c r="R381" s="9">
        <v>1647.6</v>
      </c>
      <c r="S381" s="9">
        <v>4080.7</v>
      </c>
      <c r="T381" s="9">
        <v>2682.9</v>
      </c>
      <c r="U381" s="9">
        <v>9047</v>
      </c>
      <c r="V381" s="18">
        <v>0</v>
      </c>
      <c r="W381" s="18">
        <v>1</v>
      </c>
      <c r="X381" s="18">
        <f t="shared" si="47"/>
        <v>0</v>
      </c>
      <c r="Y381" s="12">
        <f t="shared" si="48"/>
        <v>3.89549779892895</v>
      </c>
      <c r="Z381" s="12">
        <f t="shared" si="49"/>
        <v>0.130052374336895</v>
      </c>
      <c r="AA381" s="19">
        <v>3814</v>
      </c>
      <c r="AB381" s="19">
        <v>3943.91</v>
      </c>
      <c r="AC381" s="19">
        <v>379.57</v>
      </c>
      <c r="AD381" s="19">
        <v>363.41</v>
      </c>
      <c r="AE381" s="19">
        <v>61.82</v>
      </c>
      <c r="AF381" s="19">
        <v>8.66</v>
      </c>
      <c r="AG381" s="19">
        <v>199.49</v>
      </c>
      <c r="AH381" s="19">
        <v>46.88</v>
      </c>
      <c r="AI381" s="19">
        <v>0</v>
      </c>
      <c r="AJ381" s="19">
        <v>389.2</v>
      </c>
      <c r="AK381" s="3">
        <f t="shared" si="51"/>
        <v>0</v>
      </c>
      <c r="AL381" s="3">
        <v>0</v>
      </c>
      <c r="AM381" s="3">
        <f t="shared" si="50"/>
        <v>0</v>
      </c>
    </row>
    <row r="382" spans="1:39">
      <c r="A382" s="7">
        <v>2005</v>
      </c>
      <c r="B382" s="7" t="s">
        <v>53</v>
      </c>
      <c r="C382" s="7">
        <v>0.13315436</v>
      </c>
      <c r="D382" s="7">
        <v>0.026112</v>
      </c>
      <c r="E382" s="7">
        <v>0.006399</v>
      </c>
      <c r="F382" s="7">
        <v>0.011426</v>
      </c>
      <c r="G382" s="7">
        <v>0.003785</v>
      </c>
      <c r="H382" s="7">
        <v>0.004501</v>
      </c>
      <c r="I382" s="7">
        <v>0.026956</v>
      </c>
      <c r="J382" s="7">
        <v>0.012762</v>
      </c>
      <c r="K382" s="16">
        <v>4286.01</v>
      </c>
      <c r="L382" s="17">
        <v>4311.24</v>
      </c>
      <c r="M382" s="16">
        <v>4056.76</v>
      </c>
      <c r="N382" s="7">
        <f t="shared" si="52"/>
        <v>0.994147855373396</v>
      </c>
      <c r="O382" s="7">
        <f t="shared" si="53"/>
        <v>1.05651061438192</v>
      </c>
      <c r="P382" s="8">
        <v>128307488.2</v>
      </c>
      <c r="Q382" s="8">
        <f t="shared" si="46"/>
        <v>3.16280697403839</v>
      </c>
      <c r="R382" s="9">
        <v>1844</v>
      </c>
      <c r="S382" s="9">
        <v>5202.3</v>
      </c>
      <c r="T382" s="9">
        <v>3197.2</v>
      </c>
      <c r="U382" s="9">
        <v>10978</v>
      </c>
      <c r="V382" s="18">
        <v>0</v>
      </c>
      <c r="W382" s="18">
        <v>1</v>
      </c>
      <c r="X382" s="18">
        <f t="shared" si="47"/>
        <v>0</v>
      </c>
      <c r="Y382" s="12">
        <f t="shared" si="48"/>
        <v>3.71995059106252</v>
      </c>
      <c r="Z382" s="12">
        <f t="shared" si="49"/>
        <v>0.149771778787254</v>
      </c>
      <c r="AA382" s="19">
        <v>4286</v>
      </c>
      <c r="AB382" s="19">
        <v>4242.9</v>
      </c>
      <c r="AC382" s="19">
        <v>452.86</v>
      </c>
      <c r="AD382" s="19">
        <v>368.02</v>
      </c>
      <c r="AE382" s="19">
        <v>64.49</v>
      </c>
      <c r="AF382" s="19">
        <v>7.14</v>
      </c>
      <c r="AG382" s="19">
        <v>302.07</v>
      </c>
      <c r="AH382" s="19">
        <v>31.08</v>
      </c>
      <c r="AI382" s="19">
        <v>0.11</v>
      </c>
      <c r="AJ382" s="19">
        <v>391.98</v>
      </c>
      <c r="AK382" s="3">
        <f t="shared" si="51"/>
        <v>0</v>
      </c>
      <c r="AL382" s="3">
        <v>0</v>
      </c>
      <c r="AM382" s="3">
        <f t="shared" si="50"/>
        <v>0</v>
      </c>
    </row>
    <row r="383" spans="1:39">
      <c r="A383" s="7">
        <v>2006</v>
      </c>
      <c r="B383" s="7" t="s">
        <v>53</v>
      </c>
      <c r="C383" s="7">
        <v>0.13605908</v>
      </c>
      <c r="D383" s="7">
        <v>0.025023</v>
      </c>
      <c r="E383" s="7">
        <v>0.006369</v>
      </c>
      <c r="F383" s="7">
        <v>0.011163</v>
      </c>
      <c r="G383" s="7">
        <v>0.003666</v>
      </c>
      <c r="H383" s="7">
        <v>0.003826</v>
      </c>
      <c r="I383" s="7">
        <v>0.028668</v>
      </c>
      <c r="J383" s="7">
        <v>0.015207</v>
      </c>
      <c r="K383" s="16">
        <v>4660.1</v>
      </c>
      <c r="L383" s="17">
        <v>4339.13</v>
      </c>
      <c r="M383" s="16">
        <v>4820.53</v>
      </c>
      <c r="N383" s="7">
        <f t="shared" si="52"/>
        <v>1.0739710494961</v>
      </c>
      <c r="O383" s="7">
        <f t="shared" si="53"/>
        <v>0.966719427116935</v>
      </c>
      <c r="P383" s="8">
        <v>135783339.3</v>
      </c>
      <c r="Q383" s="8">
        <f t="shared" si="46"/>
        <v>2.81677200017425</v>
      </c>
      <c r="R383" s="9">
        <v>1869.8</v>
      </c>
      <c r="S383" s="9">
        <v>6316.2</v>
      </c>
      <c r="T383" s="9">
        <v>3791.9</v>
      </c>
      <c r="U383" s="9">
        <v>12761</v>
      </c>
      <c r="V383" s="18">
        <v>0</v>
      </c>
      <c r="W383" s="18">
        <v>1</v>
      </c>
      <c r="X383" s="18">
        <f t="shared" si="47"/>
        <v>0</v>
      </c>
      <c r="Y383" s="12">
        <f t="shared" si="48"/>
        <v>3.57740717995078</v>
      </c>
      <c r="Z383" s="12">
        <f t="shared" si="49"/>
        <v>0.212621919036623</v>
      </c>
      <c r="AA383" s="19">
        <v>4660.51</v>
      </c>
      <c r="AB383" s="19">
        <v>4592.26</v>
      </c>
      <c r="AC383" s="19">
        <v>527.26</v>
      </c>
      <c r="AD383" s="19">
        <v>417.99</v>
      </c>
      <c r="AE383" s="19">
        <v>65.99</v>
      </c>
      <c r="AF383" s="19">
        <v>7.95</v>
      </c>
      <c r="AG383" s="19">
        <v>313.59</v>
      </c>
      <c r="AH383" s="19">
        <v>26.5</v>
      </c>
      <c r="AI383" s="19">
        <v>0.68</v>
      </c>
      <c r="AJ383" s="19">
        <v>453.28</v>
      </c>
      <c r="AK383" s="3">
        <f t="shared" si="51"/>
        <v>0</v>
      </c>
      <c r="AL383" s="3">
        <v>0</v>
      </c>
      <c r="AM383" s="3">
        <f t="shared" si="50"/>
        <v>0</v>
      </c>
    </row>
    <row r="384" spans="1:39">
      <c r="A384" s="7">
        <v>2007</v>
      </c>
      <c r="B384" s="7" t="s">
        <v>53</v>
      </c>
      <c r="C384" s="7">
        <v>0.14263439</v>
      </c>
      <c r="D384" s="7">
        <v>0.027037</v>
      </c>
      <c r="E384" s="7">
        <v>0.007027</v>
      </c>
      <c r="F384" s="7">
        <v>0.012345</v>
      </c>
      <c r="G384" s="7">
        <v>0.00379</v>
      </c>
      <c r="H384" s="7">
        <v>0.003876</v>
      </c>
      <c r="I384" s="7">
        <v>0.030116</v>
      </c>
      <c r="J384" s="7">
        <v>0.014078</v>
      </c>
      <c r="K384" s="16">
        <v>5052.5</v>
      </c>
      <c r="L384" s="17">
        <v>4368.41</v>
      </c>
      <c r="M384" s="16">
        <v>5800.25</v>
      </c>
      <c r="N384" s="7">
        <f t="shared" si="52"/>
        <v>1.15659931187778</v>
      </c>
      <c r="O384" s="7">
        <f t="shared" si="53"/>
        <v>0.871083142967976</v>
      </c>
      <c r="P384" s="8">
        <v>154913666.4</v>
      </c>
      <c r="Q384" s="8">
        <f t="shared" si="46"/>
        <v>2.67081016163096</v>
      </c>
      <c r="R384" s="9">
        <v>2156.7</v>
      </c>
      <c r="S384" s="9">
        <v>7904</v>
      </c>
      <c r="T384" s="9">
        <v>4763.8</v>
      </c>
      <c r="U384" s="9">
        <v>15811</v>
      </c>
      <c r="V384" s="18">
        <v>0</v>
      </c>
      <c r="W384" s="18">
        <v>1</v>
      </c>
      <c r="X384" s="18">
        <f t="shared" si="47"/>
        <v>0</v>
      </c>
      <c r="Y384" s="12">
        <f t="shared" si="48"/>
        <v>3.23986794305777</v>
      </c>
      <c r="Z384" s="12">
        <f t="shared" si="49"/>
        <v>0.175642276607649</v>
      </c>
      <c r="AA384" s="19">
        <v>5053.76</v>
      </c>
      <c r="AB384" s="19">
        <v>5169.99</v>
      </c>
      <c r="AC384" s="19">
        <v>597.65</v>
      </c>
      <c r="AD384" s="19">
        <v>396.47</v>
      </c>
      <c r="AE384" s="19">
        <v>70.61</v>
      </c>
      <c r="AF384" s="19">
        <v>7.8</v>
      </c>
      <c r="AG384" s="19">
        <v>295.27</v>
      </c>
      <c r="AH384" s="19">
        <v>20.95</v>
      </c>
      <c r="AI384" s="19">
        <v>1.04</v>
      </c>
      <c r="AJ384" s="19">
        <v>516.09</v>
      </c>
      <c r="AK384" s="3">
        <f t="shared" si="51"/>
        <v>0</v>
      </c>
      <c r="AL384" s="3">
        <v>0</v>
      </c>
      <c r="AM384" s="3">
        <f t="shared" si="50"/>
        <v>0</v>
      </c>
    </row>
    <row r="385" spans="1:39">
      <c r="A385" s="7">
        <v>2008</v>
      </c>
      <c r="B385" s="7" t="s">
        <v>53</v>
      </c>
      <c r="C385" s="7">
        <v>0.17175654</v>
      </c>
      <c r="D385" s="7">
        <v>0.03276</v>
      </c>
      <c r="E385" s="7">
        <v>0.00813</v>
      </c>
      <c r="F385" s="7">
        <v>0.01418</v>
      </c>
      <c r="G385" s="7">
        <v>0.005339</v>
      </c>
      <c r="H385" s="7">
        <v>0.005111</v>
      </c>
      <c r="I385" s="7">
        <v>0.031376</v>
      </c>
      <c r="J385" s="7">
        <v>0.014322</v>
      </c>
      <c r="K385" s="16">
        <v>5382.96</v>
      </c>
      <c r="L385" s="17">
        <v>4400.1</v>
      </c>
      <c r="M385" s="16">
        <v>6971.05</v>
      </c>
      <c r="N385" s="7">
        <f t="shared" si="52"/>
        <v>1.22337219608645</v>
      </c>
      <c r="O385" s="7">
        <f t="shared" si="53"/>
        <v>0.772187833970492</v>
      </c>
      <c r="P385" s="8">
        <v>158256309.8</v>
      </c>
      <c r="Q385" s="8">
        <f t="shared" si="46"/>
        <v>2.27019329656221</v>
      </c>
      <c r="R385" s="9">
        <v>2575.8</v>
      </c>
      <c r="S385" s="9">
        <v>9713.4</v>
      </c>
      <c r="T385" s="9">
        <v>5446.7</v>
      </c>
      <c r="U385" s="9">
        <v>18879</v>
      </c>
      <c r="V385" s="18">
        <v>0</v>
      </c>
      <c r="W385" s="18">
        <v>1</v>
      </c>
      <c r="X385" s="18">
        <f t="shared" si="47"/>
        <v>0</v>
      </c>
      <c r="Y385" s="12">
        <f t="shared" si="48"/>
        <v>2.71728515287532</v>
      </c>
      <c r="Z385" s="12">
        <f t="shared" si="49"/>
        <v>0.164536230524063</v>
      </c>
      <c r="AA385" s="19">
        <v>5383</v>
      </c>
      <c r="AB385" s="19">
        <v>5267</v>
      </c>
      <c r="AC385" s="19">
        <v>581.4</v>
      </c>
      <c r="AD385" s="19">
        <v>411</v>
      </c>
      <c r="AE385" s="19">
        <v>75.68</v>
      </c>
      <c r="AF385" s="19">
        <v>8.01</v>
      </c>
      <c r="AG385" s="19">
        <v>288.47</v>
      </c>
      <c r="AH385" s="19">
        <v>26.98</v>
      </c>
      <c r="AI385" s="19">
        <v>2.5</v>
      </c>
      <c r="AJ385" s="19">
        <v>546.77</v>
      </c>
      <c r="AK385" s="3">
        <f t="shared" si="51"/>
        <v>0</v>
      </c>
      <c r="AL385" s="3">
        <v>0</v>
      </c>
      <c r="AM385" s="3">
        <f t="shared" si="50"/>
        <v>0</v>
      </c>
    </row>
    <row r="386" spans="1:39">
      <c r="A386" s="7">
        <v>2009</v>
      </c>
      <c r="B386" s="7" t="s">
        <v>53</v>
      </c>
      <c r="C386" s="7">
        <v>0.15739836</v>
      </c>
      <c r="D386" s="7">
        <v>0.02869</v>
      </c>
      <c r="E386" s="7">
        <v>0.007393</v>
      </c>
      <c r="F386" s="7">
        <v>0.01294</v>
      </c>
      <c r="G386" s="7">
        <v>0.004555</v>
      </c>
      <c r="H386" s="7">
        <v>0.003802</v>
      </c>
      <c r="I386" s="7">
        <v>0.031387</v>
      </c>
      <c r="J386" s="7">
        <v>0.016331</v>
      </c>
      <c r="K386" s="16">
        <v>5812.5</v>
      </c>
      <c r="L386" s="17">
        <v>4432.16</v>
      </c>
      <c r="M386" s="16">
        <v>7655.18</v>
      </c>
      <c r="N386" s="7">
        <f t="shared" si="52"/>
        <v>1.31143731273239</v>
      </c>
      <c r="O386" s="7">
        <f t="shared" si="53"/>
        <v>0.759289788091201</v>
      </c>
      <c r="P386" s="8">
        <v>176328164</v>
      </c>
      <c r="Q386" s="8">
        <f t="shared" si="46"/>
        <v>2.30338364349369</v>
      </c>
      <c r="R386" s="9">
        <v>2665.7</v>
      </c>
      <c r="S386" s="9">
        <v>10324.6</v>
      </c>
      <c r="T386" s="9">
        <v>6190.8</v>
      </c>
      <c r="U386" s="9">
        <v>20280</v>
      </c>
      <c r="V386" s="18">
        <v>0</v>
      </c>
      <c r="W386" s="18">
        <v>1</v>
      </c>
      <c r="X386" s="18">
        <f t="shared" si="47"/>
        <v>0</v>
      </c>
      <c r="Y386" s="12">
        <f t="shared" si="48"/>
        <v>2.66960201713366</v>
      </c>
      <c r="Z386" s="12">
        <f t="shared" si="49"/>
        <v>0.137180887371809</v>
      </c>
      <c r="AA386" s="19">
        <v>5813</v>
      </c>
      <c r="AB386" s="19">
        <v>5356</v>
      </c>
      <c r="AC386" s="19">
        <v>710.41</v>
      </c>
      <c r="AD386" s="19">
        <v>451.68</v>
      </c>
      <c r="AE386" s="19">
        <v>77.21</v>
      </c>
      <c r="AF386" s="19">
        <v>7.65</v>
      </c>
      <c r="AG386" s="19">
        <v>293.17</v>
      </c>
      <c r="AH386" s="19">
        <v>22.04</v>
      </c>
      <c r="AI386" s="19">
        <v>2.58</v>
      </c>
      <c r="AJ386" s="19">
        <v>609.22</v>
      </c>
      <c r="AK386" s="3">
        <f t="shared" si="51"/>
        <v>0</v>
      </c>
      <c r="AL386" s="3">
        <v>0</v>
      </c>
      <c r="AM386" s="3">
        <f t="shared" si="50"/>
        <v>0</v>
      </c>
    </row>
    <row r="387" spans="1:39">
      <c r="A387" s="7">
        <v>2010</v>
      </c>
      <c r="B387" s="7" t="s">
        <v>53</v>
      </c>
      <c r="C387" s="7">
        <v>0.15885048</v>
      </c>
      <c r="D387" s="7">
        <v>0.030492</v>
      </c>
      <c r="E387" s="7">
        <v>0.007452</v>
      </c>
      <c r="F387" s="7">
        <v>0.013342</v>
      </c>
      <c r="G387" s="7">
        <v>0.004314</v>
      </c>
      <c r="H387" s="7">
        <v>0.005384</v>
      </c>
      <c r="I387" s="7">
        <v>0.028046</v>
      </c>
      <c r="J387" s="7">
        <v>0.014917</v>
      </c>
      <c r="K387" s="16">
        <v>6280.55</v>
      </c>
      <c r="L387" s="17">
        <v>4462.25</v>
      </c>
      <c r="M387" s="16">
        <v>9451.26</v>
      </c>
      <c r="N387" s="7">
        <f t="shared" si="52"/>
        <v>1.407485013166</v>
      </c>
      <c r="O387" s="7">
        <f t="shared" si="53"/>
        <v>0.664519862960071</v>
      </c>
      <c r="P387" s="8">
        <v>184469389.2</v>
      </c>
      <c r="Q387" s="8">
        <f t="shared" ref="Q387:Q450" si="54">P387/10000/M387</f>
        <v>1.95179678899956</v>
      </c>
      <c r="R387" s="9">
        <v>3127.1</v>
      </c>
      <c r="S387" s="9">
        <v>12173.5</v>
      </c>
      <c r="T387" s="9">
        <v>7354.4</v>
      </c>
      <c r="U387" s="9">
        <v>23984</v>
      </c>
      <c r="V387" s="18">
        <v>0</v>
      </c>
      <c r="W387" s="18">
        <v>1</v>
      </c>
      <c r="X387" s="18">
        <f t="shared" ref="X387:X450" si="55">V387*W387</f>
        <v>0</v>
      </c>
      <c r="Y387" s="12">
        <f t="shared" ref="Y387:Y450" si="56">AVERAGEIF($A:$A,$A387,$Q:$Q)</f>
        <v>2.40850270516871</v>
      </c>
      <c r="Z387" s="12">
        <f t="shared" ref="Z387:Z450" si="57">MAX(0,1-Q387/Y387)</f>
        <v>0.189622338886747</v>
      </c>
      <c r="AA387" s="19">
        <v>6354.88</v>
      </c>
      <c r="AB387" s="19">
        <v>6246.24</v>
      </c>
      <c r="AC387" s="19">
        <v>772.61</v>
      </c>
      <c r="AD387" s="19">
        <v>469.92</v>
      </c>
      <c r="AE387" s="19">
        <v>155.23</v>
      </c>
      <c r="AF387" s="19">
        <v>8.5</v>
      </c>
      <c r="AG387" s="19">
        <v>368.75</v>
      </c>
      <c r="AH387" s="19">
        <v>23.67</v>
      </c>
      <c r="AI387" s="19">
        <v>3.85</v>
      </c>
      <c r="AJ387" s="19">
        <v>700.51</v>
      </c>
      <c r="AK387" s="3">
        <f t="shared" si="51"/>
        <v>0</v>
      </c>
      <c r="AL387" s="3">
        <v>0</v>
      </c>
      <c r="AM387" s="3">
        <f t="shared" si="50"/>
        <v>0</v>
      </c>
    </row>
    <row r="388" spans="1:39">
      <c r="A388" s="7">
        <v>2011</v>
      </c>
      <c r="B388" s="7" t="s">
        <v>53</v>
      </c>
      <c r="C388" s="7">
        <v>0.1955117</v>
      </c>
      <c r="D388" s="7">
        <v>0.037902</v>
      </c>
      <c r="E388" s="7">
        <v>0.009139</v>
      </c>
      <c r="F388" s="7">
        <v>0.016964</v>
      </c>
      <c r="G388" s="7">
        <v>0.005658</v>
      </c>
      <c r="H388" s="7">
        <v>0.006141</v>
      </c>
      <c r="I388" s="7">
        <v>0.031571</v>
      </c>
      <c r="J388" s="7">
        <v>0.01542</v>
      </c>
      <c r="K388" s="16">
        <v>6847.1</v>
      </c>
      <c r="L388" s="17">
        <v>4474</v>
      </c>
      <c r="M388" s="16">
        <v>11702.82</v>
      </c>
      <c r="N388" s="7">
        <f t="shared" si="52"/>
        <v>1.53042020563254</v>
      </c>
      <c r="O388" s="7">
        <f t="shared" si="53"/>
        <v>0.585081202650301</v>
      </c>
      <c r="P388" s="8">
        <v>202838134.3</v>
      </c>
      <c r="Q388" s="8">
        <f t="shared" si="54"/>
        <v>1.73324151187492</v>
      </c>
      <c r="R388" s="9">
        <v>3349.3</v>
      </c>
      <c r="S388" s="9">
        <v>14021.6</v>
      </c>
      <c r="T388" s="9">
        <v>8947.8</v>
      </c>
      <c r="U388" s="9">
        <v>27901</v>
      </c>
      <c r="V388" s="18">
        <v>0</v>
      </c>
      <c r="W388" s="18">
        <v>1</v>
      </c>
      <c r="X388" s="18">
        <f t="shared" si="55"/>
        <v>0</v>
      </c>
      <c r="Y388" s="12">
        <f t="shared" si="56"/>
        <v>2.18035126729488</v>
      </c>
      <c r="Z388" s="12">
        <f t="shared" si="57"/>
        <v>0.205063175886645</v>
      </c>
      <c r="AA388" s="19">
        <v>6928</v>
      </c>
      <c r="AB388" s="19">
        <v>6988</v>
      </c>
      <c r="AC388" s="19">
        <v>872.32</v>
      </c>
      <c r="AD388" s="19">
        <v>432.77</v>
      </c>
      <c r="AE388" s="19">
        <v>182.76</v>
      </c>
      <c r="AF388" s="19">
        <v>9.05</v>
      </c>
      <c r="AG388" s="19">
        <v>392.54</v>
      </c>
      <c r="AH388" s="19">
        <v>1466.6</v>
      </c>
      <c r="AI388" s="19">
        <v>6.34</v>
      </c>
      <c r="AJ388" s="19">
        <v>835</v>
      </c>
      <c r="AK388" s="3">
        <f t="shared" si="51"/>
        <v>0</v>
      </c>
      <c r="AL388" s="3">
        <v>0</v>
      </c>
      <c r="AM388" s="3">
        <f t="shared" si="50"/>
        <v>0</v>
      </c>
    </row>
    <row r="389" spans="1:39">
      <c r="A389" s="7">
        <v>2012</v>
      </c>
      <c r="B389" s="7" t="s">
        <v>53</v>
      </c>
      <c r="C389" s="7">
        <v>0.18870454</v>
      </c>
      <c r="D389" s="7">
        <v>0.035437</v>
      </c>
      <c r="E389" s="7">
        <v>0.008575</v>
      </c>
      <c r="F389" s="7">
        <v>0.015924</v>
      </c>
      <c r="G389" s="7">
        <v>0.005148</v>
      </c>
      <c r="H389" s="7">
        <v>0.00579</v>
      </c>
      <c r="I389" s="7">
        <v>0.033951</v>
      </c>
      <c r="J389" s="7">
        <v>0.015497</v>
      </c>
      <c r="K389" s="16">
        <v>7148.3</v>
      </c>
      <c r="L389" s="17">
        <v>4475</v>
      </c>
      <c r="M389" s="16">
        <v>12948.88</v>
      </c>
      <c r="N389" s="7">
        <f t="shared" si="52"/>
        <v>1.59738547486034</v>
      </c>
      <c r="O389" s="7">
        <f t="shared" si="53"/>
        <v>0.55204002199418</v>
      </c>
      <c r="P389" s="8">
        <v>209299499.7</v>
      </c>
      <c r="Q389" s="8">
        <f t="shared" si="54"/>
        <v>1.61635214551374</v>
      </c>
      <c r="R389" s="9">
        <v>3577.2</v>
      </c>
      <c r="S389" s="9">
        <v>15042.6</v>
      </c>
      <c r="T389" s="9">
        <v>10342.2</v>
      </c>
      <c r="U389" s="9">
        <v>30497</v>
      </c>
      <c r="V389" s="18">
        <v>0</v>
      </c>
      <c r="W389" s="18">
        <v>1</v>
      </c>
      <c r="X389" s="18">
        <f t="shared" si="55"/>
        <v>0</v>
      </c>
      <c r="Y389" s="12">
        <f t="shared" si="56"/>
        <v>2.01609935715007</v>
      </c>
      <c r="Z389" s="12">
        <f t="shared" si="57"/>
        <v>0.19827753538963</v>
      </c>
      <c r="AA389" s="19">
        <v>7232.92</v>
      </c>
      <c r="AB389" s="19">
        <v>6802</v>
      </c>
      <c r="AC389" s="19">
        <v>878.66</v>
      </c>
      <c r="AD389" s="19">
        <v>508.22</v>
      </c>
      <c r="AE389" s="19">
        <v>198.42</v>
      </c>
      <c r="AF389" s="19">
        <v>9.51</v>
      </c>
      <c r="AG389" s="19">
        <v>416.65</v>
      </c>
      <c r="AH389" s="19">
        <v>29.85</v>
      </c>
      <c r="AI389" s="19">
        <v>10.04</v>
      </c>
      <c r="AJ389" s="19">
        <v>867.67</v>
      </c>
      <c r="AK389" s="3">
        <f t="shared" si="51"/>
        <v>0</v>
      </c>
      <c r="AL389" s="3">
        <v>0</v>
      </c>
      <c r="AM389" s="3">
        <f t="shared" si="50"/>
        <v>0</v>
      </c>
    </row>
    <row r="390" spans="1:39">
      <c r="A390" s="7">
        <v>2013</v>
      </c>
      <c r="B390" s="7" t="s">
        <v>53</v>
      </c>
      <c r="C390" s="7">
        <v>0.19995401</v>
      </c>
      <c r="D390" s="7">
        <v>0.036391</v>
      </c>
      <c r="E390" s="7">
        <v>0.009113</v>
      </c>
      <c r="F390" s="7">
        <v>0.016894</v>
      </c>
      <c r="G390" s="7">
        <v>0.005308</v>
      </c>
      <c r="H390" s="7">
        <v>0.005076</v>
      </c>
      <c r="I390" s="7">
        <v>0.03762</v>
      </c>
      <c r="J390" s="7">
        <v>0.017175</v>
      </c>
      <c r="K390" s="16">
        <v>7582.9</v>
      </c>
      <c r="L390" s="17">
        <v>4476</v>
      </c>
      <c r="M390" s="16">
        <v>14410.19</v>
      </c>
      <c r="N390" s="7">
        <f t="shared" si="52"/>
        <v>1.69412421805183</v>
      </c>
      <c r="O390" s="7">
        <f t="shared" si="53"/>
        <v>0.526217905523799</v>
      </c>
      <c r="P390" s="8">
        <v>213480851.9</v>
      </c>
      <c r="Q390" s="8">
        <f t="shared" si="54"/>
        <v>1.4814575789771</v>
      </c>
      <c r="R390" s="9">
        <v>3827.2</v>
      </c>
      <c r="S390" s="9">
        <v>15995.4</v>
      </c>
      <c r="T390" s="9">
        <v>11809.9</v>
      </c>
      <c r="U390" s="9">
        <v>33114</v>
      </c>
      <c r="V390" s="18">
        <v>0</v>
      </c>
      <c r="W390" s="18">
        <v>1</v>
      </c>
      <c r="X390" s="18">
        <f t="shared" si="55"/>
        <v>0</v>
      </c>
      <c r="Y390" s="12">
        <f t="shared" si="56"/>
        <v>1.91398219724656</v>
      </c>
      <c r="Z390" s="12">
        <f t="shared" si="57"/>
        <v>0.225981526312881</v>
      </c>
      <c r="AA390" s="19">
        <v>7583</v>
      </c>
      <c r="AB390" s="19">
        <v>7254.69</v>
      </c>
      <c r="AC390" s="19">
        <v>854.93</v>
      </c>
      <c r="AD390" s="19">
        <v>520.28</v>
      </c>
      <c r="AE390" s="19">
        <v>236.92</v>
      </c>
      <c r="AF390" s="19">
        <v>1.7</v>
      </c>
      <c r="AG390" s="19">
        <v>526.48</v>
      </c>
      <c r="AH390" s="19">
        <v>31.47</v>
      </c>
      <c r="AI390" s="19">
        <v>13.43</v>
      </c>
      <c r="AJ390" s="19">
        <v>947.11</v>
      </c>
      <c r="AK390" s="3">
        <f t="shared" si="51"/>
        <v>1</v>
      </c>
      <c r="AL390" s="3">
        <v>0</v>
      </c>
      <c r="AM390" s="3">
        <f t="shared" si="50"/>
        <v>0</v>
      </c>
    </row>
    <row r="391" spans="1:39">
      <c r="A391" s="7">
        <v>2014</v>
      </c>
      <c r="B391" s="7" t="s">
        <v>53</v>
      </c>
      <c r="C391" s="7">
        <v>0.1868659</v>
      </c>
      <c r="D391" s="7">
        <v>0.033275</v>
      </c>
      <c r="E391" s="7">
        <v>0.008075</v>
      </c>
      <c r="F391" s="7">
        <v>0.015236</v>
      </c>
      <c r="G391" s="7">
        <v>0.004892</v>
      </c>
      <c r="H391" s="7">
        <v>0.005072</v>
      </c>
      <c r="I391" s="7">
        <v>0.034815</v>
      </c>
      <c r="J391" s="7">
        <v>0.018262</v>
      </c>
      <c r="K391" s="16">
        <v>8055.4</v>
      </c>
      <c r="L391" s="17">
        <v>4480</v>
      </c>
      <c r="M391" s="16">
        <v>15714.63</v>
      </c>
      <c r="N391" s="7">
        <f t="shared" si="52"/>
        <v>1.79808035714286</v>
      </c>
      <c r="O391" s="7">
        <f t="shared" si="53"/>
        <v>0.512605132923906</v>
      </c>
      <c r="P391" s="8">
        <v>211619004.8</v>
      </c>
      <c r="Q391" s="8">
        <f t="shared" si="54"/>
        <v>1.34663689059176</v>
      </c>
      <c r="R391" s="9">
        <v>3988.2</v>
      </c>
      <c r="S391" s="9">
        <v>17139.6</v>
      </c>
      <c r="T391" s="9">
        <v>13446.9</v>
      </c>
      <c r="U391" s="9">
        <v>35982</v>
      </c>
      <c r="V391" s="18">
        <v>0</v>
      </c>
      <c r="W391" s="18">
        <v>1</v>
      </c>
      <c r="X391" s="18">
        <f t="shared" si="55"/>
        <v>0</v>
      </c>
      <c r="Y391" s="12">
        <f t="shared" si="56"/>
        <v>1.79640226266579</v>
      </c>
      <c r="Z391" s="12">
        <f t="shared" si="57"/>
        <v>0.250370076581062</v>
      </c>
      <c r="AA391" s="19">
        <v>8055.36</v>
      </c>
      <c r="AB391" s="19">
        <v>7477.31</v>
      </c>
      <c r="AC391" s="19">
        <v>871.13</v>
      </c>
      <c r="AD391" s="19">
        <v>472.24</v>
      </c>
      <c r="AE391" s="19">
        <v>251.8</v>
      </c>
      <c r="AF391" s="19">
        <v>2.13</v>
      </c>
      <c r="AG391" s="19">
        <v>526.52</v>
      </c>
      <c r="AH391" s="19">
        <v>15.8</v>
      </c>
      <c r="AI391" s="19">
        <v>15.19</v>
      </c>
      <c r="AJ391" s="19">
        <v>1018.52</v>
      </c>
      <c r="AK391" s="3">
        <f t="shared" si="51"/>
        <v>1</v>
      </c>
      <c r="AL391" s="3">
        <v>0</v>
      </c>
      <c r="AM391" s="3">
        <f t="shared" si="50"/>
        <v>0</v>
      </c>
    </row>
    <row r="392" spans="1:39">
      <c r="A392" s="7">
        <v>2015</v>
      </c>
      <c r="B392" s="7" t="s">
        <v>53</v>
      </c>
      <c r="C392" s="7">
        <v>0.19185102</v>
      </c>
      <c r="D392" s="7">
        <v>0.034879</v>
      </c>
      <c r="E392" s="7">
        <v>0.008866</v>
      </c>
      <c r="F392" s="7">
        <v>0.015333</v>
      </c>
      <c r="G392" s="7">
        <v>0.004974</v>
      </c>
      <c r="H392" s="7">
        <v>0.005707</v>
      </c>
      <c r="I392" s="7">
        <v>0.035472</v>
      </c>
      <c r="J392" s="7">
        <v>0.016626</v>
      </c>
      <c r="K392" s="16">
        <v>8423.44</v>
      </c>
      <c r="L392" s="17">
        <v>4485</v>
      </c>
      <c r="M392" s="16">
        <v>16723.78</v>
      </c>
      <c r="N392" s="7">
        <f t="shared" si="52"/>
        <v>1.87813600891862</v>
      </c>
      <c r="O392" s="7">
        <f t="shared" si="53"/>
        <v>0.503680388046243</v>
      </c>
      <c r="P392" s="8">
        <v>212081930.5</v>
      </c>
      <c r="Q392" s="8">
        <f t="shared" si="54"/>
        <v>1.26814590062773</v>
      </c>
      <c r="R392" s="9">
        <v>4015.6</v>
      </c>
      <c r="S392" s="9">
        <v>17947.9</v>
      </c>
      <c r="T392" s="9">
        <v>15120.7</v>
      </c>
      <c r="U392" s="9">
        <v>38338</v>
      </c>
      <c r="V392" s="18">
        <v>0</v>
      </c>
      <c r="W392" s="18">
        <v>1</v>
      </c>
      <c r="X392" s="18">
        <f t="shared" si="55"/>
        <v>0</v>
      </c>
      <c r="Y392" s="12">
        <f t="shared" si="56"/>
        <v>1.71577514742415</v>
      </c>
      <c r="Z392" s="12">
        <f t="shared" si="57"/>
        <v>0.260890389669317</v>
      </c>
      <c r="AA392" s="19">
        <v>8423</v>
      </c>
      <c r="AB392" s="19">
        <v>7658.74</v>
      </c>
      <c r="AC392" s="19">
        <v>891.7</v>
      </c>
      <c r="AD392" s="19">
        <v>555.96</v>
      </c>
      <c r="AE392" s="19">
        <v>284</v>
      </c>
      <c r="AF392" s="19">
        <v>10.12</v>
      </c>
      <c r="AG392" s="19">
        <v>537.51</v>
      </c>
      <c r="AH392" s="19">
        <v>17.59</v>
      </c>
      <c r="AI392" s="19">
        <v>18.02</v>
      </c>
      <c r="AJ392" s="19">
        <v>1087</v>
      </c>
      <c r="AK392" s="3">
        <f t="shared" si="51"/>
        <v>1</v>
      </c>
      <c r="AL392" s="3">
        <v>0</v>
      </c>
      <c r="AM392" s="3">
        <f t="shared" si="50"/>
        <v>0</v>
      </c>
    </row>
    <row r="393" spans="1:39">
      <c r="A393" s="7">
        <v>2016</v>
      </c>
      <c r="B393" s="7" t="s">
        <v>53</v>
      </c>
      <c r="C393" s="7">
        <v>0.20884685</v>
      </c>
      <c r="D393" s="7">
        <v>0.03869</v>
      </c>
      <c r="E393" s="7">
        <v>0.009936</v>
      </c>
      <c r="F393" s="7">
        <v>0.017998</v>
      </c>
      <c r="G393" s="7">
        <v>0.005436</v>
      </c>
      <c r="H393" s="7">
        <v>0.00532</v>
      </c>
      <c r="I393" s="7">
        <v>0.035591</v>
      </c>
      <c r="J393" s="7">
        <v>0.018332</v>
      </c>
      <c r="K393" s="16">
        <v>8730.06</v>
      </c>
      <c r="L393" s="17">
        <v>4496</v>
      </c>
      <c r="M393" s="16">
        <v>18499</v>
      </c>
      <c r="N393" s="7">
        <f t="shared" si="52"/>
        <v>1.94173932384342</v>
      </c>
      <c r="O393" s="7">
        <f t="shared" si="53"/>
        <v>0.471920644359155</v>
      </c>
      <c r="P393" s="8">
        <v>214791718.2</v>
      </c>
      <c r="Q393" s="8">
        <f t="shared" si="54"/>
        <v>1.16109907670685</v>
      </c>
      <c r="R393" s="9">
        <v>4063.6</v>
      </c>
      <c r="S393" s="9">
        <v>18986.9</v>
      </c>
      <c r="T393" s="9">
        <v>17198.8</v>
      </c>
      <c r="U393" s="9">
        <v>41326</v>
      </c>
      <c r="V393" s="18">
        <v>0</v>
      </c>
      <c r="W393" s="18">
        <v>1</v>
      </c>
      <c r="X393" s="18">
        <f t="shared" si="55"/>
        <v>0</v>
      </c>
      <c r="Y393" s="12">
        <f t="shared" si="56"/>
        <v>1.62438398605541</v>
      </c>
      <c r="Z393" s="12">
        <f t="shared" si="57"/>
        <v>0.285206523411734</v>
      </c>
      <c r="AA393" s="19">
        <v>8730</v>
      </c>
      <c r="AB393" s="19">
        <v>7533.19</v>
      </c>
      <c r="AC393" s="19">
        <v>839.82</v>
      </c>
      <c r="AD393" s="19">
        <v>725.75</v>
      </c>
      <c r="AE393" s="19">
        <v>313.63</v>
      </c>
      <c r="AF393" s="19">
        <v>12.48</v>
      </c>
      <c r="AG393" s="19">
        <v>546.71</v>
      </c>
      <c r="AH393" s="19">
        <v>15.05</v>
      </c>
      <c r="AI393" s="19">
        <v>20.04</v>
      </c>
      <c r="AJ393" s="19">
        <v>1182.5</v>
      </c>
      <c r="AK393" s="3">
        <f t="shared" si="51"/>
        <v>1</v>
      </c>
      <c r="AL393" s="3">
        <v>0</v>
      </c>
      <c r="AM393" s="3">
        <f t="shared" si="50"/>
        <v>0</v>
      </c>
    </row>
    <row r="394" spans="1:39">
      <c r="A394" s="7">
        <v>2017</v>
      </c>
      <c r="B394" s="7" t="s">
        <v>53</v>
      </c>
      <c r="C394" s="7">
        <v>0.19860049</v>
      </c>
      <c r="D394" s="7">
        <v>0.037873</v>
      </c>
      <c r="E394" s="7">
        <v>0.00997</v>
      </c>
      <c r="F394" s="7">
        <v>0.016861</v>
      </c>
      <c r="G394" s="7">
        <v>0.005993</v>
      </c>
      <c r="H394" s="7">
        <v>0.005048</v>
      </c>
      <c r="I394" s="7">
        <v>0.034956</v>
      </c>
      <c r="J394" s="7">
        <v>0.015319</v>
      </c>
      <c r="K394" s="16">
        <v>8971.87</v>
      </c>
      <c r="L394" s="17">
        <v>4511</v>
      </c>
      <c r="M394" s="16">
        <v>20006.31</v>
      </c>
      <c r="N394" s="7">
        <f t="shared" si="52"/>
        <v>1.98888716470849</v>
      </c>
      <c r="O394" s="7">
        <f t="shared" si="53"/>
        <v>0.448452013389776</v>
      </c>
      <c r="P394" s="8">
        <v>215473837.1</v>
      </c>
      <c r="Q394" s="8">
        <f t="shared" si="54"/>
        <v>1.07702938272975</v>
      </c>
      <c r="R394" s="9">
        <v>4139.3</v>
      </c>
      <c r="S394" s="9">
        <v>20940.3</v>
      </c>
      <c r="T394" s="9">
        <v>19745.3</v>
      </c>
      <c r="U394" s="9">
        <v>45723</v>
      </c>
      <c r="V394" s="18">
        <v>1</v>
      </c>
      <c r="W394" s="18">
        <v>1</v>
      </c>
      <c r="X394" s="18">
        <f t="shared" si="55"/>
        <v>1</v>
      </c>
      <c r="Y394" s="12">
        <f t="shared" si="56"/>
        <v>1.56738551218677</v>
      </c>
      <c r="Z394" s="12">
        <f t="shared" si="57"/>
        <v>0.312849726914273</v>
      </c>
      <c r="AA394" s="19">
        <v>8972</v>
      </c>
      <c r="AB394" s="19">
        <v>7671.45</v>
      </c>
      <c r="AC394" s="19">
        <v>862.33</v>
      </c>
      <c r="AD394" s="19">
        <v>699.38</v>
      </c>
      <c r="AE394" s="19">
        <v>351.52</v>
      </c>
      <c r="AF394" s="19">
        <v>15.82</v>
      </c>
      <c r="AG394" s="19">
        <v>556.6</v>
      </c>
      <c r="AH394" s="19">
        <v>11.95</v>
      </c>
      <c r="AI394" s="19">
        <v>21.73</v>
      </c>
      <c r="AJ394" s="19">
        <v>1293.98</v>
      </c>
      <c r="AK394" s="3">
        <f t="shared" si="51"/>
        <v>1</v>
      </c>
      <c r="AL394" s="3">
        <v>0</v>
      </c>
      <c r="AM394" s="3">
        <f t="shared" si="50"/>
        <v>0</v>
      </c>
    </row>
    <row r="395" spans="1:39">
      <c r="A395" s="7">
        <v>2018</v>
      </c>
      <c r="B395" s="7" t="s">
        <v>53</v>
      </c>
      <c r="C395" s="7">
        <v>0.22204804</v>
      </c>
      <c r="D395" s="7">
        <v>0.039603</v>
      </c>
      <c r="E395" s="7">
        <v>0.010267</v>
      </c>
      <c r="F395" s="7">
        <v>0.018285</v>
      </c>
      <c r="G395" s="7">
        <v>0.005491</v>
      </c>
      <c r="H395" s="7">
        <v>0.00556</v>
      </c>
      <c r="I395" s="7">
        <v>0.041443</v>
      </c>
      <c r="J395" s="7">
        <v>0.018493</v>
      </c>
      <c r="K395" s="16">
        <v>9285.68</v>
      </c>
      <c r="L395" s="17">
        <v>4513</v>
      </c>
      <c r="M395" s="16">
        <v>21984.78</v>
      </c>
      <c r="N395" s="7">
        <f t="shared" si="52"/>
        <v>2.05754043873255</v>
      </c>
      <c r="O395" s="7">
        <f t="shared" si="53"/>
        <v>0.422368565889675</v>
      </c>
      <c r="P395" s="8">
        <v>225201434.8</v>
      </c>
      <c r="Q395" s="8">
        <f t="shared" si="54"/>
        <v>1.02435155048174</v>
      </c>
      <c r="R395" s="9">
        <v>4311.1</v>
      </c>
      <c r="S395" s="9">
        <v>22038.6</v>
      </c>
      <c r="T395" s="9">
        <v>23586.2</v>
      </c>
      <c r="U395" s="9">
        <v>50714</v>
      </c>
      <c r="V395" s="18">
        <v>1</v>
      </c>
      <c r="W395" s="18">
        <v>1</v>
      </c>
      <c r="X395" s="18">
        <f t="shared" si="55"/>
        <v>1</v>
      </c>
      <c r="Y395" s="12">
        <f t="shared" si="56"/>
        <v>1.51591455826218</v>
      </c>
      <c r="Z395" s="12">
        <f t="shared" si="57"/>
        <v>0.324268280887781</v>
      </c>
      <c r="AA395" s="19">
        <v>9286</v>
      </c>
      <c r="AB395" s="19">
        <v>7877.77</v>
      </c>
      <c r="AC395" s="19">
        <v>918.13</v>
      </c>
      <c r="AD395" s="19">
        <v>768</v>
      </c>
      <c r="AE395" s="19">
        <v>374.5</v>
      </c>
      <c r="AF395" s="19">
        <v>17.93</v>
      </c>
      <c r="AG395" s="19">
        <v>588.21</v>
      </c>
      <c r="AH395" s="19">
        <v>11.74</v>
      </c>
      <c r="AI395" s="19">
        <v>25.93</v>
      </c>
      <c r="AJ395" s="19">
        <v>1428.77</v>
      </c>
      <c r="AK395" s="3">
        <f t="shared" si="51"/>
        <v>1</v>
      </c>
      <c r="AL395" s="3">
        <v>0</v>
      </c>
      <c r="AM395" s="3">
        <f t="shared" si="50"/>
        <v>0</v>
      </c>
    </row>
    <row r="396" spans="1:39">
      <c r="A396" s="7">
        <v>2019</v>
      </c>
      <c r="B396" s="7" t="s">
        <v>53</v>
      </c>
      <c r="C396" s="7">
        <v>0.24278922</v>
      </c>
      <c r="D396" s="7">
        <v>0.040427</v>
      </c>
      <c r="E396" s="7">
        <v>0.010393</v>
      </c>
      <c r="F396" s="7">
        <v>0.01796</v>
      </c>
      <c r="G396" s="7">
        <v>0.005922</v>
      </c>
      <c r="H396" s="7">
        <v>0.006152</v>
      </c>
      <c r="I396" s="7">
        <v>0.043681</v>
      </c>
      <c r="J396" s="7">
        <v>0.0231</v>
      </c>
      <c r="K396" s="16">
        <v>9889.81761429166</v>
      </c>
      <c r="L396" s="17">
        <v>4516</v>
      </c>
      <c r="M396" s="16">
        <v>24757.5</v>
      </c>
      <c r="N396" s="7">
        <f t="shared" si="52"/>
        <v>2.18995075604333</v>
      </c>
      <c r="O396" s="7">
        <f t="shared" si="53"/>
        <v>0.399467539706823</v>
      </c>
      <c r="P396" s="8">
        <v>226460232.8</v>
      </c>
      <c r="Q396" s="8">
        <f t="shared" si="54"/>
        <v>0.914713653640311</v>
      </c>
      <c r="R396" s="9">
        <v>4635.7</v>
      </c>
      <c r="S396" s="9">
        <v>23035.6</v>
      </c>
      <c r="T396" s="9">
        <v>26046.5</v>
      </c>
      <c r="U396" s="9">
        <v>54356</v>
      </c>
      <c r="V396" s="18">
        <v>1</v>
      </c>
      <c r="W396" s="18">
        <v>1</v>
      </c>
      <c r="X396" s="18">
        <f t="shared" si="55"/>
        <v>1</v>
      </c>
      <c r="Y396" s="12">
        <f t="shared" si="56"/>
        <v>1.5000536746505</v>
      </c>
      <c r="Z396" s="12">
        <f t="shared" si="57"/>
        <v>0.390212717652632</v>
      </c>
      <c r="AA396" s="19">
        <v>9665</v>
      </c>
      <c r="AB396" s="19">
        <v>7995.94</v>
      </c>
      <c r="AC396" s="19">
        <v>939.44</v>
      </c>
      <c r="AD396" s="19">
        <v>787.96</v>
      </c>
      <c r="AE396" s="19">
        <v>405.37</v>
      </c>
      <c r="AF396" s="19">
        <v>19.32</v>
      </c>
      <c r="AG396" s="19">
        <v>598.82</v>
      </c>
      <c r="AH396" s="19">
        <v>12.25</v>
      </c>
      <c r="AI396" s="19">
        <v>26.96</v>
      </c>
      <c r="AJ396" s="19">
        <v>1535.7</v>
      </c>
      <c r="AK396" s="3">
        <f t="shared" si="51"/>
        <v>1</v>
      </c>
      <c r="AL396" s="3">
        <v>0</v>
      </c>
      <c r="AM396" s="3">
        <f t="shared" si="50"/>
        <v>0</v>
      </c>
    </row>
    <row r="397" spans="1:39">
      <c r="A397" s="7">
        <v>2020</v>
      </c>
      <c r="B397" s="7" t="s">
        <v>53</v>
      </c>
      <c r="C397" s="7">
        <v>0.237125</v>
      </c>
      <c r="D397" s="7">
        <v>0.040227</v>
      </c>
      <c r="E397" s="7">
        <v>0.0097</v>
      </c>
      <c r="F397" s="7">
        <v>0.018554</v>
      </c>
      <c r="G397" s="7">
        <v>0.005841</v>
      </c>
      <c r="H397" s="7">
        <v>0.006133</v>
      </c>
      <c r="I397" s="7">
        <v>0.043795</v>
      </c>
      <c r="J397" s="7">
        <v>0.02152</v>
      </c>
      <c r="K397" s="16">
        <v>10066.1416376508</v>
      </c>
      <c r="L397" s="17">
        <v>4519.45</v>
      </c>
      <c r="M397" s="16">
        <v>25691.5</v>
      </c>
      <c r="N397" s="7">
        <f t="shared" si="52"/>
        <v>2.22729350643348</v>
      </c>
      <c r="O397" s="7">
        <f t="shared" si="53"/>
        <v>0.391808249329576</v>
      </c>
      <c r="P397" s="8">
        <v>232048210.3</v>
      </c>
      <c r="Q397" s="8">
        <f t="shared" si="54"/>
        <v>0.903210051184244</v>
      </c>
      <c r="R397" s="9">
        <v>5354</v>
      </c>
      <c r="S397" s="9">
        <v>22220.9</v>
      </c>
      <c r="T397" s="9">
        <v>26684.5</v>
      </c>
      <c r="U397" s="9">
        <v>54691</v>
      </c>
      <c r="V397" s="18">
        <v>1</v>
      </c>
      <c r="W397" s="18">
        <v>1</v>
      </c>
      <c r="X397" s="18">
        <f t="shared" si="55"/>
        <v>1</v>
      </c>
      <c r="Y397" s="12">
        <f t="shared" si="56"/>
        <v>1.47141701078949</v>
      </c>
      <c r="Z397" s="12">
        <f t="shared" si="57"/>
        <v>0.38616310361967</v>
      </c>
      <c r="AA397" s="19">
        <v>9808.6</v>
      </c>
      <c r="AB397" s="19">
        <v>7976.57</v>
      </c>
      <c r="AC397" s="19">
        <v>961.92</v>
      </c>
      <c r="AD397" s="19">
        <v>702.48</v>
      </c>
      <c r="AE397" s="19">
        <v>387.3</v>
      </c>
      <c r="AF397" s="19">
        <v>14.19</v>
      </c>
      <c r="AG397" s="19">
        <v>532.68</v>
      </c>
      <c r="AH397" s="19">
        <v>9.74</v>
      </c>
      <c r="AI397" s="19">
        <v>26.2</v>
      </c>
      <c r="AJ397" s="19">
        <v>1627</v>
      </c>
      <c r="AK397" s="3">
        <f t="shared" si="51"/>
        <v>1</v>
      </c>
      <c r="AL397" s="3">
        <v>0</v>
      </c>
      <c r="AM397" s="3">
        <f t="shared" si="50"/>
        <v>0</v>
      </c>
    </row>
    <row r="398" spans="1:39">
      <c r="A398" s="7">
        <v>2021</v>
      </c>
      <c r="B398" s="7" t="s">
        <v>53</v>
      </c>
      <c r="C398" s="7">
        <v>0.23409062</v>
      </c>
      <c r="D398" s="7">
        <v>0.041928</v>
      </c>
      <c r="E398" s="7">
        <v>0.010705</v>
      </c>
      <c r="F398" s="7">
        <v>0.018169</v>
      </c>
      <c r="G398" s="7">
        <v>0.006631</v>
      </c>
      <c r="H398" s="7">
        <v>0.006422</v>
      </c>
      <c r="I398" s="7">
        <v>0.040877</v>
      </c>
      <c r="J398" s="7">
        <v>0.01827</v>
      </c>
      <c r="K398" s="16">
        <v>10751.1236327974</v>
      </c>
      <c r="L398" s="17">
        <v>4517</v>
      </c>
      <c r="M398" s="16">
        <v>29619.7</v>
      </c>
      <c r="N398" s="7">
        <f t="shared" si="52"/>
        <v>2.38014691892792</v>
      </c>
      <c r="O398" s="7">
        <f t="shared" si="53"/>
        <v>0.362972063619733</v>
      </c>
      <c r="P398" s="8">
        <v>252011242.5</v>
      </c>
      <c r="Q398" s="8">
        <f t="shared" si="54"/>
        <v>0.850823075520684</v>
      </c>
      <c r="R398" s="9">
        <v>5626.9</v>
      </c>
      <c r="S398" s="9">
        <v>23566.4</v>
      </c>
      <c r="T398" s="9">
        <v>28878.2</v>
      </c>
      <c r="U398" s="9">
        <v>58587</v>
      </c>
      <c r="V398" s="18">
        <v>1</v>
      </c>
      <c r="W398" s="18">
        <v>1</v>
      </c>
      <c r="X398" s="18">
        <f t="shared" si="55"/>
        <v>1</v>
      </c>
      <c r="Y398" s="12">
        <f t="shared" si="56"/>
        <v>1.36781889095748</v>
      </c>
      <c r="Z398" s="12">
        <f t="shared" si="57"/>
        <v>0.377970957160048</v>
      </c>
      <c r="AA398" s="19">
        <v>10517.78</v>
      </c>
      <c r="AB398" s="19">
        <v>7017.81</v>
      </c>
      <c r="AC398" s="19">
        <v>942.79</v>
      </c>
      <c r="AD398" s="19">
        <v>667.23</v>
      </c>
      <c r="AE398" s="19">
        <v>416.93</v>
      </c>
      <c r="AF398" s="19">
        <v>17.35</v>
      </c>
      <c r="AG398" s="19">
        <v>436.67</v>
      </c>
      <c r="AH398" s="19">
        <v>10.99</v>
      </c>
      <c r="AI398" s="19">
        <v>35.25</v>
      </c>
      <c r="AJ398" s="19">
        <v>1863</v>
      </c>
      <c r="AK398" s="3">
        <f t="shared" si="51"/>
        <v>1</v>
      </c>
      <c r="AL398" s="3">
        <v>0</v>
      </c>
      <c r="AM398" s="3">
        <f t="shared" si="50"/>
        <v>0</v>
      </c>
    </row>
    <row r="399" spans="1:39">
      <c r="A399" s="7">
        <v>2022</v>
      </c>
      <c r="B399" s="7" t="s">
        <v>53</v>
      </c>
      <c r="C399" s="7">
        <v>0.25153037</v>
      </c>
      <c r="D399" s="7">
        <v>0.040505</v>
      </c>
      <c r="E399" s="7">
        <v>0.009958</v>
      </c>
      <c r="F399" s="7">
        <v>0.017537</v>
      </c>
      <c r="G399" s="7">
        <v>0.005681</v>
      </c>
      <c r="H399" s="7">
        <v>0.007329</v>
      </c>
      <c r="I399" s="7">
        <v>0.045448</v>
      </c>
      <c r="J399" s="7">
        <v>0.024352</v>
      </c>
      <c r="K399" s="16">
        <v>10989.6</v>
      </c>
      <c r="L399" s="17">
        <v>4528</v>
      </c>
      <c r="M399" s="16">
        <v>32074.7</v>
      </c>
      <c r="N399" s="7">
        <f t="shared" si="52"/>
        <v>2.42703180212014</v>
      </c>
      <c r="O399" s="7">
        <f t="shared" si="53"/>
        <v>0.342625184335317</v>
      </c>
      <c r="P399" s="8">
        <v>262903581.5</v>
      </c>
      <c r="Q399" s="8">
        <f t="shared" si="54"/>
        <v>0.819660297680103</v>
      </c>
      <c r="R399" s="9">
        <v>5731.3</v>
      </c>
      <c r="S399" s="9">
        <v>22140.6</v>
      </c>
      <c r="T399" s="9">
        <v>30348.2</v>
      </c>
      <c r="U399" s="9">
        <v>58942</v>
      </c>
      <c r="V399" s="18">
        <v>1</v>
      </c>
      <c r="W399" s="18">
        <v>1</v>
      </c>
      <c r="X399" s="18">
        <f t="shared" si="55"/>
        <v>1</v>
      </c>
      <c r="Y399" s="12">
        <f t="shared" si="56"/>
        <v>1.27047633725244</v>
      </c>
      <c r="Z399" s="12">
        <f t="shared" si="57"/>
        <v>0.354840170063521</v>
      </c>
      <c r="AA399" s="19">
        <v>10785.69</v>
      </c>
      <c r="AB399" s="19">
        <v>7445.6</v>
      </c>
      <c r="AC399" s="19">
        <v>954.65</v>
      </c>
      <c r="AD399" s="19">
        <v>719.55</v>
      </c>
      <c r="AE399" s="19">
        <v>384.77</v>
      </c>
      <c r="AF399" s="19">
        <v>10.83</v>
      </c>
      <c r="AG399" s="19">
        <v>431.06</v>
      </c>
      <c r="AH399" s="19">
        <v>8.05</v>
      </c>
      <c r="AI399" s="19">
        <v>39.03</v>
      </c>
      <c r="AJ399" s="19">
        <v>1982.98</v>
      </c>
      <c r="AK399" s="3">
        <f t="shared" si="51"/>
        <v>1</v>
      </c>
      <c r="AL399" s="3">
        <v>0</v>
      </c>
      <c r="AM399" s="3">
        <f t="shared" si="50"/>
        <v>0</v>
      </c>
    </row>
    <row r="400" spans="1:39">
      <c r="A400" s="7">
        <v>2023</v>
      </c>
      <c r="B400" s="7" t="s">
        <v>53</v>
      </c>
      <c r="C400" s="7">
        <v>0.39386516</v>
      </c>
      <c r="D400" s="7">
        <v>0.045243</v>
      </c>
      <c r="E400" s="7">
        <v>0.015372</v>
      </c>
      <c r="F400" s="7">
        <v>0.023065</v>
      </c>
      <c r="G400" s="7">
        <v>0.010892</v>
      </c>
      <c r="H400" s="7">
        <v>0.014397</v>
      </c>
      <c r="I400" s="7">
        <v>0.056181</v>
      </c>
      <c r="J400" s="7">
        <v>0.036595</v>
      </c>
      <c r="K400" s="16">
        <v>11530.0507007281</v>
      </c>
      <c r="L400" s="17">
        <v>4515</v>
      </c>
      <c r="M400" s="16">
        <v>32200.1</v>
      </c>
      <c r="N400" s="7">
        <f t="shared" si="52"/>
        <v>2.55372108543258</v>
      </c>
      <c r="O400" s="7">
        <f t="shared" si="53"/>
        <v>0.358074996684113</v>
      </c>
      <c r="P400" s="8">
        <v>268373058.6</v>
      </c>
      <c r="Q400" s="8">
        <f t="shared" si="54"/>
        <v>0.83345411535989</v>
      </c>
      <c r="R400" s="9">
        <v>5360.1</v>
      </c>
      <c r="S400" s="9">
        <v>22175.3</v>
      </c>
      <c r="T400" s="9">
        <v>31597</v>
      </c>
      <c r="U400" s="9">
        <v>60073</v>
      </c>
      <c r="V400" s="18">
        <v>1</v>
      </c>
      <c r="W400" s="18">
        <v>1</v>
      </c>
      <c r="X400" s="18">
        <f t="shared" si="55"/>
        <v>1</v>
      </c>
      <c r="Y400" s="12">
        <f t="shared" si="56"/>
        <v>1.2756783895882</v>
      </c>
      <c r="Z400" s="12">
        <f t="shared" si="57"/>
        <v>0.34665812154352</v>
      </c>
      <c r="AA400" s="12"/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3">
        <f t="shared" si="51"/>
        <v>1</v>
      </c>
      <c r="AL400" s="3">
        <v>0</v>
      </c>
      <c r="AM400" s="3">
        <f t="shared" si="50"/>
        <v>0</v>
      </c>
    </row>
    <row r="401" spans="1:39">
      <c r="A401" s="7">
        <v>2024</v>
      </c>
      <c r="B401" s="7" t="s">
        <v>53</v>
      </c>
      <c r="C401" s="7">
        <v>0.45379771</v>
      </c>
      <c r="D401" s="7">
        <v>0.046521</v>
      </c>
      <c r="E401" s="7">
        <v>0.01698</v>
      </c>
      <c r="F401" s="7">
        <v>0.024334</v>
      </c>
      <c r="G401" s="7">
        <v>0.013014</v>
      </c>
      <c r="H401" s="7">
        <v>0.018014</v>
      </c>
      <c r="I401" s="7">
        <v>0.059978</v>
      </c>
      <c r="J401" s="7">
        <v>0.042928</v>
      </c>
      <c r="K401" s="16">
        <v>11942.0496103375</v>
      </c>
      <c r="L401" s="17">
        <v>4502</v>
      </c>
      <c r="M401" s="16">
        <v>34202.5</v>
      </c>
      <c r="N401" s="7">
        <f t="shared" si="52"/>
        <v>2.65260986457963</v>
      </c>
      <c r="O401" s="7">
        <f t="shared" si="53"/>
        <v>0.349157213956217</v>
      </c>
      <c r="P401" s="8">
        <v>270753111.2</v>
      </c>
      <c r="Q401" s="8">
        <f t="shared" si="54"/>
        <v>0.791617896937358</v>
      </c>
      <c r="R401" s="9">
        <v>5491.4</v>
      </c>
      <c r="S401" s="9">
        <v>24346.2</v>
      </c>
      <c r="T401" s="9">
        <v>33752.4</v>
      </c>
      <c r="U401" s="9">
        <v>64888</v>
      </c>
      <c r="V401" s="18">
        <v>1</v>
      </c>
      <c r="W401" s="18">
        <v>1</v>
      </c>
      <c r="X401" s="18">
        <f t="shared" si="55"/>
        <v>1</v>
      </c>
      <c r="Y401" s="12">
        <f t="shared" si="56"/>
        <v>1.21200651315194</v>
      </c>
      <c r="Z401" s="12">
        <f t="shared" si="57"/>
        <v>0.346853429955026</v>
      </c>
      <c r="AA401" s="12"/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3">
        <f t="shared" si="51"/>
        <v>1</v>
      </c>
      <c r="AL401" s="3">
        <v>0</v>
      </c>
      <c r="AM401" s="3">
        <f t="shared" si="50"/>
        <v>0</v>
      </c>
    </row>
    <row r="402" spans="1:39">
      <c r="A402" s="7">
        <v>2000</v>
      </c>
      <c r="B402" s="7" t="s">
        <v>54</v>
      </c>
      <c r="C402" s="7">
        <v>0.19598341</v>
      </c>
      <c r="D402" s="7">
        <v>0.03485</v>
      </c>
      <c r="E402" s="7">
        <v>0.008717</v>
      </c>
      <c r="F402" s="7">
        <v>0.015708</v>
      </c>
      <c r="G402" s="7">
        <v>0.004509</v>
      </c>
      <c r="H402" s="7">
        <v>0.005917</v>
      </c>
      <c r="I402" s="7">
        <v>0.036853</v>
      </c>
      <c r="J402" s="7">
        <v>0.017793</v>
      </c>
      <c r="K402" s="16">
        <v>11196</v>
      </c>
      <c r="L402" s="17">
        <v>6674.27</v>
      </c>
      <c r="M402" s="16">
        <v>5088.96</v>
      </c>
      <c r="N402" s="7">
        <f t="shared" si="52"/>
        <v>1.67748682627463</v>
      </c>
      <c r="O402" s="7">
        <f t="shared" si="53"/>
        <v>2.20005659309564</v>
      </c>
      <c r="P402" s="8">
        <v>252382234.9</v>
      </c>
      <c r="Q402" s="8">
        <f t="shared" si="54"/>
        <v>4.95940692990316</v>
      </c>
      <c r="R402" s="9">
        <v>74.8</v>
      </c>
      <c r="S402" s="9">
        <v>2215.8</v>
      </c>
      <c r="T402" s="9">
        <v>2521.6</v>
      </c>
      <c r="U402" s="9">
        <v>30307</v>
      </c>
      <c r="V402" s="18">
        <v>0</v>
      </c>
      <c r="W402" s="18">
        <v>0</v>
      </c>
      <c r="X402" s="18">
        <f t="shared" si="55"/>
        <v>0</v>
      </c>
      <c r="Y402" s="12">
        <f t="shared" si="56"/>
        <v>4.53658228674969</v>
      </c>
      <c r="Z402" s="12">
        <f t="shared" si="57"/>
        <v>0</v>
      </c>
      <c r="AA402" s="19">
        <v>11195.71</v>
      </c>
      <c r="AB402" s="19">
        <v>12115.08</v>
      </c>
      <c r="AC402" s="19">
        <v>1227.85</v>
      </c>
      <c r="AD402" s="19">
        <v>747.37</v>
      </c>
      <c r="AE402" s="19">
        <v>136.44</v>
      </c>
      <c r="AF402" s="19">
        <v>3.23</v>
      </c>
      <c r="AG402" s="19">
        <v>181.28</v>
      </c>
      <c r="AH402" s="19">
        <v>49.39</v>
      </c>
      <c r="AI402" s="19">
        <v>7.72</v>
      </c>
      <c r="AJ402" s="19">
        <v>809.34</v>
      </c>
      <c r="AK402" s="3">
        <f t="shared" si="51"/>
        <v>0</v>
      </c>
      <c r="AL402" s="3">
        <v>0</v>
      </c>
      <c r="AM402" s="3">
        <f t="shared" si="50"/>
        <v>0</v>
      </c>
    </row>
    <row r="403" spans="1:39">
      <c r="A403" s="7">
        <v>2001</v>
      </c>
      <c r="B403" s="7" t="s">
        <v>54</v>
      </c>
      <c r="C403" s="7">
        <v>0.20747304</v>
      </c>
      <c r="D403" s="7">
        <v>0.036228</v>
      </c>
      <c r="E403" s="7">
        <v>0.009145</v>
      </c>
      <c r="F403" s="7">
        <v>0.015882</v>
      </c>
      <c r="G403" s="7">
        <v>0.005399</v>
      </c>
      <c r="H403" s="7">
        <v>0.005802</v>
      </c>
      <c r="I403" s="7">
        <v>0.039449</v>
      </c>
      <c r="J403" s="7">
        <v>0.018167</v>
      </c>
      <c r="K403" s="16">
        <v>10391</v>
      </c>
      <c r="L403" s="17">
        <v>6699.13</v>
      </c>
      <c r="M403" s="16">
        <v>5516.76</v>
      </c>
      <c r="N403" s="7">
        <f t="shared" si="52"/>
        <v>1.55109693348241</v>
      </c>
      <c r="O403" s="7">
        <f t="shared" si="53"/>
        <v>1.88353308826195</v>
      </c>
      <c r="P403" s="8">
        <v>270605987</v>
      </c>
      <c r="Q403" s="8">
        <f t="shared" si="54"/>
        <v>4.90516148971498</v>
      </c>
      <c r="R403" s="9">
        <v>76.1</v>
      </c>
      <c r="S403" s="9">
        <v>2413.8</v>
      </c>
      <c r="T403" s="9">
        <v>2767.8</v>
      </c>
      <c r="U403" s="9">
        <v>32089</v>
      </c>
      <c r="V403" s="18">
        <v>0</v>
      </c>
      <c r="W403" s="18">
        <v>0</v>
      </c>
      <c r="X403" s="18">
        <f t="shared" si="55"/>
        <v>0</v>
      </c>
      <c r="Y403" s="12">
        <f t="shared" si="56"/>
        <v>4.16809156222866</v>
      </c>
      <c r="Z403" s="12">
        <f t="shared" si="57"/>
        <v>0</v>
      </c>
      <c r="AA403" s="19">
        <v>10391</v>
      </c>
      <c r="AB403" s="19">
        <v>12641</v>
      </c>
      <c r="AC403" s="19">
        <v>1359.97</v>
      </c>
      <c r="AD403" s="19">
        <v>670.55</v>
      </c>
      <c r="AE403" s="19">
        <v>141.85</v>
      </c>
      <c r="AF403" s="19">
        <v>3</v>
      </c>
      <c r="AG403" s="19">
        <v>168.08</v>
      </c>
      <c r="AH403" s="19">
        <v>55.37</v>
      </c>
      <c r="AI403" s="19">
        <v>6.97</v>
      </c>
      <c r="AJ403" s="19">
        <v>869.55</v>
      </c>
      <c r="AK403" s="3">
        <f t="shared" si="51"/>
        <v>0</v>
      </c>
      <c r="AL403" s="3">
        <v>0</v>
      </c>
      <c r="AM403" s="3">
        <f t="shared" si="50"/>
        <v>0</v>
      </c>
    </row>
    <row r="404" spans="1:39">
      <c r="A404" s="7">
        <v>2002</v>
      </c>
      <c r="B404" s="7" t="s">
        <v>54</v>
      </c>
      <c r="C404" s="7">
        <v>0.20796765</v>
      </c>
      <c r="D404" s="7">
        <v>0.036772</v>
      </c>
      <c r="E404" s="7">
        <v>0.009403</v>
      </c>
      <c r="F404" s="7">
        <v>0.016357</v>
      </c>
      <c r="G404" s="7">
        <v>0.004812</v>
      </c>
      <c r="H404" s="7">
        <v>0.0062</v>
      </c>
      <c r="I404" s="7">
        <v>0.035582</v>
      </c>
      <c r="J404" s="7">
        <v>0.019986</v>
      </c>
      <c r="K404" s="16">
        <v>11588</v>
      </c>
      <c r="L404" s="17">
        <v>6735</v>
      </c>
      <c r="M404" s="16">
        <v>6018.28</v>
      </c>
      <c r="N404" s="7">
        <f t="shared" si="52"/>
        <v>1.72056421677803</v>
      </c>
      <c r="O404" s="7">
        <f t="shared" si="53"/>
        <v>1.92546707697216</v>
      </c>
      <c r="P404" s="8">
        <v>307604087.2</v>
      </c>
      <c r="Q404" s="8">
        <f t="shared" si="54"/>
        <v>5.11116277740484</v>
      </c>
      <c r="R404" s="9">
        <v>77.7</v>
      </c>
      <c r="S404" s="9">
        <v>2635.3</v>
      </c>
      <c r="T404" s="9">
        <v>3082.1</v>
      </c>
      <c r="U404" s="9">
        <v>34277</v>
      </c>
      <c r="V404" s="18">
        <v>0</v>
      </c>
      <c r="W404" s="18">
        <v>0</v>
      </c>
      <c r="X404" s="18">
        <f t="shared" si="55"/>
        <v>0</v>
      </c>
      <c r="Y404" s="12">
        <f t="shared" si="56"/>
        <v>4.06804884448575</v>
      </c>
      <c r="Z404" s="12">
        <f t="shared" si="57"/>
        <v>0</v>
      </c>
      <c r="AA404" s="19">
        <v>13405</v>
      </c>
      <c r="AB404" s="19">
        <v>13739</v>
      </c>
      <c r="AC404" s="19">
        <v>1808.02</v>
      </c>
      <c r="AD404" s="19">
        <v>697.59</v>
      </c>
      <c r="AE404" s="19">
        <v>147.41</v>
      </c>
      <c r="AF404" s="19">
        <v>2.83</v>
      </c>
      <c r="AG404" s="19">
        <v>169.52</v>
      </c>
      <c r="AH404" s="19">
        <v>61.08</v>
      </c>
      <c r="AI404" s="19">
        <v>7.74</v>
      </c>
      <c r="AJ404" s="19">
        <v>965.08</v>
      </c>
      <c r="AK404" s="3">
        <f t="shared" si="51"/>
        <v>0</v>
      </c>
      <c r="AL404" s="3">
        <v>0</v>
      </c>
      <c r="AM404" s="3">
        <f t="shared" si="50"/>
        <v>0</v>
      </c>
    </row>
    <row r="405" spans="1:39">
      <c r="A405" s="7">
        <v>2003</v>
      </c>
      <c r="B405" s="7" t="s">
        <v>54</v>
      </c>
      <c r="C405" s="7">
        <v>0.21504497</v>
      </c>
      <c r="D405" s="7">
        <v>0.039584</v>
      </c>
      <c r="E405" s="7">
        <v>0.010278</v>
      </c>
      <c r="F405" s="7">
        <v>0.017517</v>
      </c>
      <c r="G405" s="7">
        <v>0.005986</v>
      </c>
      <c r="H405" s="7">
        <v>0.005803</v>
      </c>
      <c r="I405" s="7">
        <v>0.037287</v>
      </c>
      <c r="J405" s="7">
        <v>0.017314</v>
      </c>
      <c r="K405" s="16">
        <v>13483</v>
      </c>
      <c r="L405" s="17">
        <v>6769.44</v>
      </c>
      <c r="M405" s="16">
        <v>6921.29</v>
      </c>
      <c r="N405" s="7">
        <f t="shared" si="52"/>
        <v>1.99174525514666</v>
      </c>
      <c r="O405" s="7">
        <f t="shared" si="53"/>
        <v>1.94804725708647</v>
      </c>
      <c r="P405" s="8">
        <v>345945617.4</v>
      </c>
      <c r="Q405" s="8">
        <f t="shared" si="54"/>
        <v>4.99828236354784</v>
      </c>
      <c r="R405" s="9">
        <v>79</v>
      </c>
      <c r="S405" s="9">
        <v>3239.6</v>
      </c>
      <c r="T405" s="9">
        <v>3485.4</v>
      </c>
      <c r="U405" s="9">
        <v>39117</v>
      </c>
      <c r="V405" s="18">
        <v>0</v>
      </c>
      <c r="W405" s="18">
        <v>0</v>
      </c>
      <c r="X405" s="18">
        <f t="shared" si="55"/>
        <v>0</v>
      </c>
      <c r="Y405" s="12">
        <f t="shared" si="56"/>
        <v>4.08414499624993</v>
      </c>
      <c r="Z405" s="12">
        <f t="shared" si="57"/>
        <v>0</v>
      </c>
      <c r="AA405" s="19">
        <v>15297.89</v>
      </c>
      <c r="AB405" s="19">
        <v>14851.4</v>
      </c>
      <c r="AC405" s="19">
        <v>2591.01</v>
      </c>
      <c r="AD405" s="19">
        <v>835.19</v>
      </c>
      <c r="AE405" s="19">
        <v>157</v>
      </c>
      <c r="AF405" s="19">
        <v>2.71</v>
      </c>
      <c r="AG405" s="19">
        <v>173.82</v>
      </c>
      <c r="AH405" s="19">
        <v>62.68</v>
      </c>
      <c r="AI405" s="19">
        <v>8.28</v>
      </c>
      <c r="AJ405" s="19">
        <v>1098.99</v>
      </c>
      <c r="AK405" s="3">
        <f t="shared" si="51"/>
        <v>0</v>
      </c>
      <c r="AL405" s="3">
        <v>0</v>
      </c>
      <c r="AM405" s="3">
        <f t="shared" si="50"/>
        <v>0</v>
      </c>
    </row>
    <row r="406" spans="1:39">
      <c r="A406" s="7">
        <v>2004</v>
      </c>
      <c r="B406" s="7" t="s">
        <v>54</v>
      </c>
      <c r="C406" s="7">
        <v>0.22595088</v>
      </c>
      <c r="D406" s="7">
        <v>0.038322</v>
      </c>
      <c r="E406" s="7">
        <v>0.009798</v>
      </c>
      <c r="F406" s="7">
        <v>0.017906</v>
      </c>
      <c r="G406" s="7">
        <v>0.005956</v>
      </c>
      <c r="H406" s="7">
        <v>0.004664</v>
      </c>
      <c r="I406" s="7">
        <v>0.042113</v>
      </c>
      <c r="J406" s="7">
        <v>0.022066</v>
      </c>
      <c r="K406" s="16">
        <v>15782</v>
      </c>
      <c r="L406" s="17">
        <v>6808.75</v>
      </c>
      <c r="M406" s="16">
        <v>8477.63</v>
      </c>
      <c r="N406" s="7">
        <f t="shared" si="52"/>
        <v>2.31789976133652</v>
      </c>
      <c r="O406" s="7">
        <f t="shared" si="53"/>
        <v>1.86160518918613</v>
      </c>
      <c r="P406" s="8">
        <v>392987144.7</v>
      </c>
      <c r="Q406" s="8">
        <f t="shared" si="54"/>
        <v>4.63557792331111</v>
      </c>
      <c r="R406" s="9">
        <v>81.4</v>
      </c>
      <c r="S406" s="9">
        <v>3872.2</v>
      </c>
      <c r="T406" s="9">
        <v>4148</v>
      </c>
      <c r="U406" s="9">
        <v>44998</v>
      </c>
      <c r="V406" s="18">
        <v>0</v>
      </c>
      <c r="W406" s="18">
        <v>0</v>
      </c>
      <c r="X406" s="18">
        <f t="shared" si="55"/>
        <v>0</v>
      </c>
      <c r="Y406" s="12">
        <f t="shared" si="56"/>
        <v>3.89549779892895</v>
      </c>
      <c r="Z406" s="12">
        <f t="shared" si="57"/>
        <v>0</v>
      </c>
      <c r="AA406" s="19">
        <v>17347.79</v>
      </c>
      <c r="AB406" s="19">
        <v>17073.96</v>
      </c>
      <c r="AC406" s="19">
        <v>3243.46</v>
      </c>
      <c r="AD406" s="19">
        <v>939.39</v>
      </c>
      <c r="AE406" s="19">
        <v>169.86</v>
      </c>
      <c r="AF406" s="19">
        <v>3.11</v>
      </c>
      <c r="AG406" s="19">
        <v>210.52</v>
      </c>
      <c r="AH406" s="19">
        <v>55.56</v>
      </c>
      <c r="AI406" s="19">
        <v>9.73</v>
      </c>
      <c r="AJ406" s="19">
        <v>1291.41</v>
      </c>
      <c r="AK406" s="3">
        <f t="shared" si="51"/>
        <v>0</v>
      </c>
      <c r="AL406" s="3">
        <v>0</v>
      </c>
      <c r="AM406" s="3">
        <f t="shared" si="50"/>
        <v>0</v>
      </c>
    </row>
    <row r="407" spans="1:39">
      <c r="A407" s="7">
        <v>2005</v>
      </c>
      <c r="B407" s="7" t="s">
        <v>54</v>
      </c>
      <c r="C407" s="7">
        <v>0.25983707</v>
      </c>
      <c r="D407" s="7">
        <v>0.043071</v>
      </c>
      <c r="E407" s="7">
        <v>0.010554</v>
      </c>
      <c r="F407" s="7">
        <v>0.018766</v>
      </c>
      <c r="G407" s="7">
        <v>0.0063</v>
      </c>
      <c r="H407" s="7">
        <v>0.00745</v>
      </c>
      <c r="I407" s="7">
        <v>0.04574</v>
      </c>
      <c r="J407" s="7">
        <v>0.023351</v>
      </c>
      <c r="K407" s="16">
        <v>19836</v>
      </c>
      <c r="L407" s="17">
        <v>6850.83</v>
      </c>
      <c r="M407" s="16">
        <v>10012.11</v>
      </c>
      <c r="N407" s="7">
        <f t="shared" si="52"/>
        <v>2.89541559197937</v>
      </c>
      <c r="O407" s="7">
        <f t="shared" si="53"/>
        <v>1.98120076587253</v>
      </c>
      <c r="P407" s="8">
        <v>455232995.7</v>
      </c>
      <c r="Q407" s="8">
        <f t="shared" si="54"/>
        <v>4.54682375343459</v>
      </c>
      <c r="R407" s="9">
        <v>88.1</v>
      </c>
      <c r="S407" s="9">
        <v>4314.9</v>
      </c>
      <c r="T407" s="9">
        <v>4794.2</v>
      </c>
      <c r="U407" s="9">
        <v>49377</v>
      </c>
      <c r="V407" s="18">
        <v>0</v>
      </c>
      <c r="W407" s="18">
        <v>0</v>
      </c>
      <c r="X407" s="18">
        <f t="shared" si="55"/>
        <v>0</v>
      </c>
      <c r="Y407" s="12">
        <f t="shared" si="56"/>
        <v>3.71995059106252</v>
      </c>
      <c r="Z407" s="12">
        <f t="shared" si="57"/>
        <v>0</v>
      </c>
      <c r="AA407" s="19">
        <v>19745.1</v>
      </c>
      <c r="AB407" s="19">
        <v>20542.39</v>
      </c>
      <c r="AC407" s="19">
        <v>4498.24</v>
      </c>
      <c r="AD407" s="19">
        <v>1003.29</v>
      </c>
      <c r="AE407" s="19">
        <v>221.91</v>
      </c>
      <c r="AF407" s="19">
        <v>3.21</v>
      </c>
      <c r="AG407" s="19">
        <v>438.68</v>
      </c>
      <c r="AH407" s="19">
        <v>60.78</v>
      </c>
      <c r="AI407" s="19">
        <v>9.14</v>
      </c>
      <c r="AJ407" s="19">
        <v>1501.92</v>
      </c>
      <c r="AK407" s="3">
        <f t="shared" si="51"/>
        <v>0</v>
      </c>
      <c r="AL407" s="3">
        <v>0</v>
      </c>
      <c r="AM407" s="3">
        <f t="shared" si="50"/>
        <v>0</v>
      </c>
    </row>
    <row r="408" spans="1:39">
      <c r="A408" s="7">
        <v>2006</v>
      </c>
      <c r="B408" s="7" t="s">
        <v>54</v>
      </c>
      <c r="C408" s="7">
        <v>0.23732048</v>
      </c>
      <c r="D408" s="7">
        <v>0.039682</v>
      </c>
      <c r="E408" s="7">
        <v>0.010326</v>
      </c>
      <c r="F408" s="7">
        <v>0.017932</v>
      </c>
      <c r="G408" s="7">
        <v>0.00601</v>
      </c>
      <c r="H408" s="7">
        <v>0.005414</v>
      </c>
      <c r="I408" s="7">
        <v>0.043321</v>
      </c>
      <c r="J408" s="7">
        <v>0.022932</v>
      </c>
      <c r="K408" s="16">
        <v>21794</v>
      </c>
      <c r="L408" s="17">
        <v>6897.86</v>
      </c>
      <c r="M408" s="16">
        <v>11467.6</v>
      </c>
      <c r="N408" s="7">
        <f t="shared" si="52"/>
        <v>3.15953063703815</v>
      </c>
      <c r="O408" s="7">
        <f t="shared" si="53"/>
        <v>1.90048484425686</v>
      </c>
      <c r="P408" s="8">
        <v>493225832.6</v>
      </c>
      <c r="Q408" s="8">
        <f t="shared" si="54"/>
        <v>4.3010379905124</v>
      </c>
      <c r="R408" s="9">
        <v>91.6</v>
      </c>
      <c r="S408" s="9">
        <v>4929.2</v>
      </c>
      <c r="T408" s="9">
        <v>5578.2</v>
      </c>
      <c r="U408" s="9">
        <v>54996</v>
      </c>
      <c r="V408" s="18">
        <v>0</v>
      </c>
      <c r="W408" s="18">
        <v>0</v>
      </c>
      <c r="X408" s="18">
        <f t="shared" si="55"/>
        <v>0</v>
      </c>
      <c r="Y408" s="12">
        <f t="shared" si="56"/>
        <v>3.57740717995078</v>
      </c>
      <c r="Z408" s="12">
        <f t="shared" si="57"/>
        <v>0</v>
      </c>
      <c r="AA408" s="19">
        <v>21690.37</v>
      </c>
      <c r="AB408" s="19">
        <v>21345.42</v>
      </c>
      <c r="AC408" s="19">
        <v>5460.55</v>
      </c>
      <c r="AD408" s="19">
        <v>1046.69</v>
      </c>
      <c r="AE408" s="19">
        <v>263.78</v>
      </c>
      <c r="AF408" s="19">
        <v>5.88</v>
      </c>
      <c r="AG408" s="19">
        <v>484.39</v>
      </c>
      <c r="AH408" s="19">
        <v>54.33</v>
      </c>
      <c r="AI408" s="19">
        <v>2.81</v>
      </c>
      <c r="AJ408" s="19">
        <v>1734.83</v>
      </c>
      <c r="AK408" s="3">
        <f t="shared" si="51"/>
        <v>0</v>
      </c>
      <c r="AL408" s="3">
        <v>0</v>
      </c>
      <c r="AM408" s="3">
        <f t="shared" si="50"/>
        <v>0</v>
      </c>
    </row>
    <row r="409" spans="1:39">
      <c r="A409" s="7">
        <v>2007</v>
      </c>
      <c r="B409" s="7" t="s">
        <v>54</v>
      </c>
      <c r="C409" s="7">
        <v>0.25305105</v>
      </c>
      <c r="D409" s="7">
        <v>0.045639</v>
      </c>
      <c r="E409" s="7">
        <v>0.011394</v>
      </c>
      <c r="F409" s="7">
        <v>0.020273</v>
      </c>
      <c r="G409" s="7">
        <v>0.006977</v>
      </c>
      <c r="H409" s="7">
        <v>0.006995</v>
      </c>
      <c r="I409" s="7">
        <v>0.044405</v>
      </c>
      <c r="J409" s="7">
        <v>0.017907</v>
      </c>
      <c r="K409" s="16">
        <v>23585</v>
      </c>
      <c r="L409" s="17">
        <v>6943.19</v>
      </c>
      <c r="M409" s="16">
        <v>13607.32</v>
      </c>
      <c r="N409" s="7">
        <f t="shared" si="52"/>
        <v>3.39685360763568</v>
      </c>
      <c r="O409" s="7">
        <f t="shared" si="53"/>
        <v>1.73325827569279</v>
      </c>
      <c r="P409" s="8">
        <v>542366122.4</v>
      </c>
      <c r="Q409" s="8">
        <f t="shared" si="54"/>
        <v>3.98584087388259</v>
      </c>
      <c r="R409" s="9">
        <v>99.4</v>
      </c>
      <c r="S409" s="9">
        <v>5677.5</v>
      </c>
      <c r="T409" s="9">
        <v>7101.8</v>
      </c>
      <c r="U409" s="9">
        <v>63951</v>
      </c>
      <c r="V409" s="18">
        <v>0</v>
      </c>
      <c r="W409" s="18">
        <v>0</v>
      </c>
      <c r="X409" s="18">
        <f t="shared" si="55"/>
        <v>0</v>
      </c>
      <c r="Y409" s="12">
        <f t="shared" si="56"/>
        <v>3.23986794305777</v>
      </c>
      <c r="Z409" s="12">
        <f t="shared" si="57"/>
        <v>0</v>
      </c>
      <c r="AA409" s="19">
        <v>23489.86</v>
      </c>
      <c r="AB409" s="19">
        <v>24548.51</v>
      </c>
      <c r="AC409" s="19">
        <v>5127.33</v>
      </c>
      <c r="AD409" s="19">
        <v>1124.77</v>
      </c>
      <c r="AE409" s="19">
        <v>249.04</v>
      </c>
      <c r="AF409" s="19">
        <v>6.22</v>
      </c>
      <c r="AG409" s="19">
        <v>532.74</v>
      </c>
      <c r="AH409" s="19">
        <v>48.31</v>
      </c>
      <c r="AI409" s="19">
        <v>12.05</v>
      </c>
      <c r="AJ409" s="19">
        <v>2013.68</v>
      </c>
      <c r="AK409" s="3">
        <f t="shared" si="51"/>
        <v>0</v>
      </c>
      <c r="AL409" s="3">
        <v>0</v>
      </c>
      <c r="AM409" s="3">
        <f t="shared" si="50"/>
        <v>0</v>
      </c>
    </row>
    <row r="410" spans="1:39">
      <c r="A410" s="7">
        <v>2008</v>
      </c>
      <c r="B410" s="7" t="s">
        <v>54</v>
      </c>
      <c r="C410" s="7">
        <v>0.27983034</v>
      </c>
      <c r="D410" s="7">
        <v>0.046026</v>
      </c>
      <c r="E410" s="7">
        <v>0.010603</v>
      </c>
      <c r="F410" s="7">
        <v>0.020374</v>
      </c>
      <c r="G410" s="7">
        <v>0.007067</v>
      </c>
      <c r="H410" s="7">
        <v>0.007981</v>
      </c>
      <c r="I410" s="7">
        <v>0.05081</v>
      </c>
      <c r="J410" s="7">
        <v>0.023304</v>
      </c>
      <c r="K410" s="16">
        <v>24322</v>
      </c>
      <c r="L410" s="17">
        <v>6988.82</v>
      </c>
      <c r="M410" s="16">
        <v>16011.97</v>
      </c>
      <c r="N410" s="7">
        <f t="shared" si="52"/>
        <v>3.4801296928523</v>
      </c>
      <c r="O410" s="7">
        <f t="shared" si="53"/>
        <v>1.51898860664865</v>
      </c>
      <c r="P410" s="8">
        <v>559464590.1</v>
      </c>
      <c r="Q410" s="8">
        <f t="shared" si="54"/>
        <v>3.49403970966721</v>
      </c>
      <c r="R410" s="9">
        <v>109.4</v>
      </c>
      <c r="S410" s="9">
        <v>6215.5</v>
      </c>
      <c r="T410" s="9">
        <v>8212.1</v>
      </c>
      <c r="U410" s="9">
        <v>69154</v>
      </c>
      <c r="V410" s="18">
        <v>0</v>
      </c>
      <c r="W410" s="18">
        <v>0</v>
      </c>
      <c r="X410" s="18">
        <f t="shared" si="55"/>
        <v>0</v>
      </c>
      <c r="Y410" s="12">
        <f t="shared" si="56"/>
        <v>2.71728515287532</v>
      </c>
      <c r="Z410" s="12">
        <f t="shared" si="57"/>
        <v>0</v>
      </c>
      <c r="AA410" s="19">
        <v>24322</v>
      </c>
      <c r="AB410" s="19">
        <v>24419</v>
      </c>
      <c r="AC410" s="19">
        <v>6007.69</v>
      </c>
      <c r="AD410" s="19">
        <v>1357.63</v>
      </c>
      <c r="AE410" s="19">
        <v>211.11</v>
      </c>
      <c r="AF410" s="19">
        <v>7.37</v>
      </c>
      <c r="AG410" s="19">
        <v>531.73</v>
      </c>
      <c r="AH410" s="19">
        <v>65.82</v>
      </c>
      <c r="AI410" s="19">
        <v>17.17</v>
      </c>
      <c r="AJ410" s="19">
        <v>2095.02</v>
      </c>
      <c r="AK410" s="3">
        <f t="shared" si="51"/>
        <v>0</v>
      </c>
      <c r="AL410" s="3">
        <v>0</v>
      </c>
      <c r="AM410" s="3">
        <f t="shared" si="50"/>
        <v>0</v>
      </c>
    </row>
    <row r="411" spans="1:39">
      <c r="A411" s="7">
        <v>2009</v>
      </c>
      <c r="B411" s="7" t="s">
        <v>54</v>
      </c>
      <c r="C411" s="7">
        <v>0.29440991</v>
      </c>
      <c r="D411" s="7">
        <v>0.053788</v>
      </c>
      <c r="E411" s="7">
        <v>0.013919</v>
      </c>
      <c r="F411" s="7">
        <v>0.024689</v>
      </c>
      <c r="G411" s="7">
        <v>0.00811</v>
      </c>
      <c r="H411" s="7">
        <v>0.00707</v>
      </c>
      <c r="I411" s="7">
        <v>0.043888</v>
      </c>
      <c r="J411" s="7">
        <v>0.022491</v>
      </c>
      <c r="K411" s="16">
        <v>25419</v>
      </c>
      <c r="L411" s="17">
        <v>7034.4</v>
      </c>
      <c r="M411" s="16">
        <v>17235.48</v>
      </c>
      <c r="N411" s="7">
        <f t="shared" si="52"/>
        <v>3.61352780620948</v>
      </c>
      <c r="O411" s="7">
        <f t="shared" si="53"/>
        <v>1.47480661983304</v>
      </c>
      <c r="P411" s="8">
        <v>629285923.8</v>
      </c>
      <c r="Q411" s="8">
        <f t="shared" si="54"/>
        <v>3.65110762102361</v>
      </c>
      <c r="R411" s="9">
        <v>112.4</v>
      </c>
      <c r="S411" s="9">
        <v>6184.8</v>
      </c>
      <c r="T411" s="9">
        <v>9445.3</v>
      </c>
      <c r="U411" s="9">
        <v>72363</v>
      </c>
      <c r="V411" s="18">
        <v>0</v>
      </c>
      <c r="W411" s="18">
        <v>0</v>
      </c>
      <c r="X411" s="18">
        <f t="shared" si="55"/>
        <v>0</v>
      </c>
      <c r="Y411" s="12">
        <f t="shared" si="56"/>
        <v>2.66960201713366</v>
      </c>
      <c r="Z411" s="12">
        <f t="shared" si="57"/>
        <v>0</v>
      </c>
      <c r="AA411" s="19">
        <v>25419</v>
      </c>
      <c r="AB411" s="19">
        <v>26516</v>
      </c>
      <c r="AC411" s="19">
        <v>6208.83</v>
      </c>
      <c r="AD411" s="19">
        <v>1379.12</v>
      </c>
      <c r="AE411" s="19">
        <v>212.06</v>
      </c>
      <c r="AF411" s="19">
        <v>6.25</v>
      </c>
      <c r="AG411" s="19">
        <v>521.67</v>
      </c>
      <c r="AH411" s="19">
        <v>59.76</v>
      </c>
      <c r="AI411" s="19">
        <v>23.11</v>
      </c>
      <c r="AJ411" s="19">
        <v>2344.18</v>
      </c>
      <c r="AK411" s="3">
        <f t="shared" si="51"/>
        <v>0</v>
      </c>
      <c r="AL411" s="3">
        <v>0</v>
      </c>
      <c r="AM411" s="3">
        <f t="shared" si="50"/>
        <v>0</v>
      </c>
    </row>
    <row r="412" spans="1:39">
      <c r="A412" s="7">
        <v>2010</v>
      </c>
      <c r="B412" s="7" t="s">
        <v>54</v>
      </c>
      <c r="C412" s="7">
        <v>0.28070786</v>
      </c>
      <c r="D412" s="7">
        <v>0.047109</v>
      </c>
      <c r="E412" s="7">
        <v>0.012006</v>
      </c>
      <c r="F412" s="7">
        <v>0.020865</v>
      </c>
      <c r="G412" s="7">
        <v>0.007297</v>
      </c>
      <c r="H412" s="7">
        <v>0.00694</v>
      </c>
      <c r="I412" s="7">
        <v>0.052672</v>
      </c>
      <c r="J412" s="7">
        <v>0.021677</v>
      </c>
      <c r="K412" s="16">
        <v>27531</v>
      </c>
      <c r="L412" s="17">
        <v>7193.6</v>
      </c>
      <c r="M412" s="16">
        <v>20394.26</v>
      </c>
      <c r="N412" s="7">
        <f t="shared" si="52"/>
        <v>3.82715191281139</v>
      </c>
      <c r="O412" s="7">
        <f t="shared" si="53"/>
        <v>1.34993865921097</v>
      </c>
      <c r="P412" s="8">
        <v>669982233.8</v>
      </c>
      <c r="Q412" s="8">
        <f t="shared" si="54"/>
        <v>3.2851509875818</v>
      </c>
      <c r="R412" s="9">
        <v>114.5</v>
      </c>
      <c r="S412" s="9">
        <v>7434.9</v>
      </c>
      <c r="T412" s="9">
        <v>10366.1</v>
      </c>
      <c r="U412" s="9">
        <v>79396</v>
      </c>
      <c r="V412" s="18">
        <v>0</v>
      </c>
      <c r="W412" s="18">
        <v>0</v>
      </c>
      <c r="X412" s="18">
        <f t="shared" si="55"/>
        <v>0</v>
      </c>
      <c r="Y412" s="12">
        <f t="shared" si="56"/>
        <v>2.40850270516871</v>
      </c>
      <c r="Z412" s="12">
        <f t="shared" si="57"/>
        <v>0</v>
      </c>
      <c r="AA412" s="19">
        <v>27531.11</v>
      </c>
      <c r="AB412" s="19">
        <v>27464.72</v>
      </c>
      <c r="AC412" s="19">
        <v>7319</v>
      </c>
      <c r="AD412" s="19">
        <v>1396.65</v>
      </c>
      <c r="AE412" s="19">
        <v>238.75</v>
      </c>
      <c r="AF412" s="19">
        <v>7.34</v>
      </c>
      <c r="AG412" s="19">
        <v>691.94</v>
      </c>
      <c r="AH412" s="19">
        <v>38.53</v>
      </c>
      <c r="AI412" s="19">
        <v>29.47</v>
      </c>
      <c r="AJ412" s="19">
        <v>2691.52</v>
      </c>
      <c r="AK412" s="3">
        <f t="shared" si="51"/>
        <v>0</v>
      </c>
      <c r="AL412" s="3">
        <v>0</v>
      </c>
      <c r="AM412" s="3">
        <f t="shared" si="50"/>
        <v>0</v>
      </c>
    </row>
    <row r="413" spans="1:39">
      <c r="A413" s="7">
        <v>2011</v>
      </c>
      <c r="B413" s="7" t="s">
        <v>54</v>
      </c>
      <c r="C413" s="7">
        <v>0.30657403</v>
      </c>
      <c r="D413" s="7">
        <v>0.052383</v>
      </c>
      <c r="E413" s="7">
        <v>0.013508</v>
      </c>
      <c r="F413" s="7">
        <v>0.022977</v>
      </c>
      <c r="G413" s="7">
        <v>0.008206</v>
      </c>
      <c r="H413" s="7">
        <v>0.007692</v>
      </c>
      <c r="I413" s="7">
        <v>0.052556</v>
      </c>
      <c r="J413" s="7">
        <v>0.023093</v>
      </c>
      <c r="K413" s="16">
        <v>29498</v>
      </c>
      <c r="L413" s="17">
        <v>7232</v>
      </c>
      <c r="M413" s="16">
        <v>24515.76</v>
      </c>
      <c r="N413" s="7">
        <f t="shared" si="52"/>
        <v>4.07881637168142</v>
      </c>
      <c r="O413" s="7">
        <f t="shared" si="53"/>
        <v>1.20322600645462</v>
      </c>
      <c r="P413" s="8">
        <v>720318762.9</v>
      </c>
      <c r="Q413" s="8">
        <f t="shared" si="54"/>
        <v>2.93818654979491</v>
      </c>
      <c r="R413" s="9">
        <v>126.4</v>
      </c>
      <c r="S413" s="9">
        <v>8169.3</v>
      </c>
      <c r="T413" s="9">
        <v>11713.9</v>
      </c>
      <c r="U413" s="9">
        <v>85897</v>
      </c>
      <c r="V413" s="18">
        <v>0</v>
      </c>
      <c r="W413" s="18">
        <v>0</v>
      </c>
      <c r="X413" s="18">
        <f t="shared" si="55"/>
        <v>0</v>
      </c>
      <c r="Y413" s="12">
        <f t="shared" si="56"/>
        <v>2.18035126729488</v>
      </c>
      <c r="Z413" s="12">
        <f t="shared" si="57"/>
        <v>0</v>
      </c>
      <c r="AA413" s="19">
        <v>29498</v>
      </c>
      <c r="AB413" s="19">
        <v>30792</v>
      </c>
      <c r="AC413" s="19">
        <v>8399.88</v>
      </c>
      <c r="AD413" s="19">
        <v>1564.68</v>
      </c>
      <c r="AE413" s="19">
        <v>305.74</v>
      </c>
      <c r="AF413" s="19">
        <v>8.94</v>
      </c>
      <c r="AG413" s="19">
        <v>796.12</v>
      </c>
      <c r="AH413" s="19">
        <v>47.29</v>
      </c>
      <c r="AI413" s="19">
        <v>35.09</v>
      </c>
      <c r="AJ413" s="19">
        <v>2985</v>
      </c>
      <c r="AK413" s="3">
        <f t="shared" si="51"/>
        <v>0</v>
      </c>
      <c r="AL413" s="3">
        <v>0</v>
      </c>
      <c r="AM413" s="3">
        <f t="shared" si="50"/>
        <v>0</v>
      </c>
    </row>
    <row r="414" spans="1:39">
      <c r="A414" s="7">
        <v>2012</v>
      </c>
      <c r="B414" s="7" t="s">
        <v>54</v>
      </c>
      <c r="C414" s="7">
        <v>0.32484116</v>
      </c>
      <c r="D414" s="7">
        <v>0.056441</v>
      </c>
      <c r="E414" s="7">
        <v>0.013293</v>
      </c>
      <c r="F414" s="7">
        <v>0.025858</v>
      </c>
      <c r="G414" s="7">
        <v>0.008562</v>
      </c>
      <c r="H414" s="7">
        <v>0.008727</v>
      </c>
      <c r="I414" s="7">
        <v>0.052711</v>
      </c>
      <c r="J414" s="7">
        <v>0.023918</v>
      </c>
      <c r="K414" s="16">
        <v>30250</v>
      </c>
      <c r="L414" s="17">
        <v>7262</v>
      </c>
      <c r="M414" s="16">
        <v>26575.01</v>
      </c>
      <c r="N414" s="7">
        <f t="shared" si="52"/>
        <v>4.16551914073258</v>
      </c>
      <c r="O414" s="7">
        <f t="shared" si="53"/>
        <v>1.13828743620416</v>
      </c>
      <c r="P414" s="8">
        <v>742070102.2</v>
      </c>
      <c r="Q414" s="8">
        <f t="shared" si="54"/>
        <v>2.79236057559339</v>
      </c>
      <c r="R414" s="9">
        <v>129.3</v>
      </c>
      <c r="S414" s="9">
        <v>8174.1</v>
      </c>
      <c r="T414" s="9">
        <v>13002.1</v>
      </c>
      <c r="U414" s="9">
        <v>89613</v>
      </c>
      <c r="V414" s="18">
        <v>0</v>
      </c>
      <c r="W414" s="18">
        <v>0</v>
      </c>
      <c r="X414" s="18">
        <f t="shared" si="55"/>
        <v>0</v>
      </c>
      <c r="Y414" s="12">
        <f t="shared" si="56"/>
        <v>2.01609935715007</v>
      </c>
      <c r="Z414" s="12">
        <f t="shared" si="57"/>
        <v>0</v>
      </c>
      <c r="AA414" s="19">
        <v>30250.21</v>
      </c>
      <c r="AB414" s="19">
        <v>31359</v>
      </c>
      <c r="AC414" s="19">
        <v>8402.28</v>
      </c>
      <c r="AD414" s="19">
        <v>1547.61</v>
      </c>
      <c r="AE414" s="19">
        <v>318.33</v>
      </c>
      <c r="AF414" s="19">
        <v>7.79</v>
      </c>
      <c r="AG414" s="19">
        <v>821.36</v>
      </c>
      <c r="AH414" s="19">
        <v>24.53</v>
      </c>
      <c r="AI414" s="19">
        <v>45.13</v>
      </c>
      <c r="AJ414" s="19">
        <v>3077.82</v>
      </c>
      <c r="AK414" s="3">
        <f t="shared" si="51"/>
        <v>0</v>
      </c>
      <c r="AL414" s="3">
        <v>0</v>
      </c>
      <c r="AM414" s="3">
        <f t="shared" ref="AM414:AM477" si="58">AK414*AL414</f>
        <v>0</v>
      </c>
    </row>
    <row r="415" spans="1:39">
      <c r="A415" s="7">
        <v>2013</v>
      </c>
      <c r="B415" s="7" t="s">
        <v>54</v>
      </c>
      <c r="C415" s="7">
        <v>0.31893318</v>
      </c>
      <c r="D415" s="7">
        <v>0.052255</v>
      </c>
      <c r="E415" s="7">
        <v>0.013353</v>
      </c>
      <c r="F415" s="7">
        <v>0.023164</v>
      </c>
      <c r="G415" s="7">
        <v>0.008363</v>
      </c>
      <c r="H415" s="7">
        <v>0.007374</v>
      </c>
      <c r="I415" s="7">
        <v>0.052788</v>
      </c>
      <c r="J415" s="7">
        <v>0.028336</v>
      </c>
      <c r="K415" s="16">
        <v>29664</v>
      </c>
      <c r="L415" s="17">
        <v>7288</v>
      </c>
      <c r="M415" s="16">
        <v>28442.95</v>
      </c>
      <c r="N415" s="7">
        <f t="shared" si="52"/>
        <v>4.07025246981339</v>
      </c>
      <c r="O415" s="7">
        <f t="shared" si="53"/>
        <v>1.04292979455366</v>
      </c>
      <c r="P415" s="8">
        <v>780300394.4</v>
      </c>
      <c r="Q415" s="8">
        <f t="shared" si="54"/>
        <v>2.74338770908081</v>
      </c>
      <c r="R415" s="9">
        <v>131.6</v>
      </c>
      <c r="S415" s="9">
        <v>8286.5</v>
      </c>
      <c r="T415" s="9">
        <v>14786</v>
      </c>
      <c r="U415" s="9">
        <v>95746</v>
      </c>
      <c r="V415" s="18">
        <v>0</v>
      </c>
      <c r="W415" s="18">
        <v>0</v>
      </c>
      <c r="X415" s="18">
        <f t="shared" si="55"/>
        <v>0</v>
      </c>
      <c r="Y415" s="12">
        <f t="shared" si="56"/>
        <v>1.91398219724656</v>
      </c>
      <c r="Z415" s="12">
        <f t="shared" si="57"/>
        <v>0</v>
      </c>
      <c r="AA415" s="19">
        <v>29664</v>
      </c>
      <c r="AB415" s="19">
        <v>31663.27</v>
      </c>
      <c r="AC415" s="19">
        <v>8339.85</v>
      </c>
      <c r="AD415" s="19">
        <v>1385.89</v>
      </c>
      <c r="AE415" s="19">
        <v>347.55</v>
      </c>
      <c r="AF415" s="19">
        <v>17.59</v>
      </c>
      <c r="AG415" s="19">
        <v>800.57</v>
      </c>
      <c r="AH415" s="19">
        <v>35.18</v>
      </c>
      <c r="AI415" s="19">
        <v>49.86</v>
      </c>
      <c r="AJ415" s="19">
        <v>3251.19</v>
      </c>
      <c r="AK415" s="3">
        <f t="shared" ref="AK415:AK478" si="59">IF(A415&gt;=2013,1,0)</f>
        <v>1</v>
      </c>
      <c r="AL415" s="3">
        <v>0</v>
      </c>
      <c r="AM415" s="3">
        <f t="shared" si="58"/>
        <v>0</v>
      </c>
    </row>
    <row r="416" spans="1:39">
      <c r="A416" s="7">
        <v>2014</v>
      </c>
      <c r="B416" s="7" t="s">
        <v>54</v>
      </c>
      <c r="C416" s="7">
        <v>0.34216468</v>
      </c>
      <c r="D416" s="7">
        <v>0.055842</v>
      </c>
      <c r="E416" s="7">
        <v>0.014531</v>
      </c>
      <c r="F416" s="7">
        <v>0.02475</v>
      </c>
      <c r="G416" s="7">
        <v>0.008817</v>
      </c>
      <c r="H416" s="7">
        <v>0.007744</v>
      </c>
      <c r="I416" s="7">
        <v>0.057234</v>
      </c>
      <c r="J416" s="7">
        <v>0.029146</v>
      </c>
      <c r="K416" s="16">
        <v>29320</v>
      </c>
      <c r="L416" s="17">
        <v>7323</v>
      </c>
      <c r="M416" s="16">
        <v>29421.15</v>
      </c>
      <c r="N416" s="7">
        <f t="shared" si="52"/>
        <v>4.00382356957531</v>
      </c>
      <c r="O416" s="7">
        <f t="shared" si="53"/>
        <v>0.996561997066736</v>
      </c>
      <c r="P416" s="8">
        <v>800572356.2</v>
      </c>
      <c r="Q416" s="8">
        <f t="shared" si="54"/>
        <v>2.72107771518109</v>
      </c>
      <c r="R416" s="9">
        <v>132</v>
      </c>
      <c r="S416" s="9">
        <v>8633.3</v>
      </c>
      <c r="T416" s="9">
        <v>16504.5</v>
      </c>
      <c r="U416" s="9">
        <v>102827</v>
      </c>
      <c r="V416" s="18">
        <v>0</v>
      </c>
      <c r="W416" s="18">
        <v>0</v>
      </c>
      <c r="X416" s="18">
        <f t="shared" si="55"/>
        <v>0</v>
      </c>
      <c r="Y416" s="12">
        <f t="shared" si="56"/>
        <v>1.79640226266579</v>
      </c>
      <c r="Z416" s="12">
        <f t="shared" si="57"/>
        <v>0</v>
      </c>
      <c r="AA416" s="19">
        <v>29320.21</v>
      </c>
      <c r="AB416" s="19">
        <v>29635.54</v>
      </c>
      <c r="AC416" s="19">
        <v>8127.2</v>
      </c>
      <c r="AD416" s="19">
        <v>1356.61</v>
      </c>
      <c r="AE416" s="19">
        <v>314.64</v>
      </c>
      <c r="AF416" s="19">
        <v>17.59</v>
      </c>
      <c r="AG416" s="19">
        <v>788.8</v>
      </c>
      <c r="AH416" s="19">
        <v>31.97</v>
      </c>
      <c r="AI416" s="19">
        <v>56.08</v>
      </c>
      <c r="AJ416" s="19">
        <v>3314.11</v>
      </c>
      <c r="AK416" s="3">
        <f t="shared" si="59"/>
        <v>1</v>
      </c>
      <c r="AL416" s="3">
        <v>0</v>
      </c>
      <c r="AM416" s="3">
        <f t="shared" si="58"/>
        <v>0</v>
      </c>
    </row>
    <row r="417" spans="1:39">
      <c r="A417" s="7">
        <v>2015</v>
      </c>
      <c r="B417" s="7" t="s">
        <v>54</v>
      </c>
      <c r="C417" s="7">
        <v>0.36806312</v>
      </c>
      <c r="D417" s="7">
        <v>0.059465</v>
      </c>
      <c r="E417" s="7">
        <v>0.015623</v>
      </c>
      <c r="F417" s="7">
        <v>0.026684</v>
      </c>
      <c r="G417" s="7">
        <v>0.008097</v>
      </c>
      <c r="H417" s="7">
        <v>0.009061</v>
      </c>
      <c r="I417" s="7">
        <v>0.061454</v>
      </c>
      <c r="J417" s="7">
        <v>0.031173</v>
      </c>
      <c r="K417" s="16">
        <v>31037</v>
      </c>
      <c r="L417" s="17">
        <v>7345</v>
      </c>
      <c r="M417" s="16">
        <v>29806.11</v>
      </c>
      <c r="N417" s="7">
        <f t="shared" si="52"/>
        <v>4.22559564329476</v>
      </c>
      <c r="O417" s="7">
        <f t="shared" si="53"/>
        <v>1.04129656637515</v>
      </c>
      <c r="P417" s="8">
        <v>762457612.3</v>
      </c>
      <c r="Q417" s="8">
        <f t="shared" si="54"/>
        <v>2.55805810385857</v>
      </c>
      <c r="R417" s="9">
        <v>125.5</v>
      </c>
      <c r="S417" s="9">
        <v>8408.7</v>
      </c>
      <c r="T417" s="9">
        <v>18352.8</v>
      </c>
      <c r="U417" s="9">
        <v>109186</v>
      </c>
      <c r="V417" s="18">
        <v>0</v>
      </c>
      <c r="W417" s="18">
        <v>0</v>
      </c>
      <c r="X417" s="18">
        <f t="shared" si="55"/>
        <v>0</v>
      </c>
      <c r="Y417" s="12">
        <f t="shared" si="56"/>
        <v>1.71577514742415</v>
      </c>
      <c r="Z417" s="12">
        <f t="shared" si="57"/>
        <v>0</v>
      </c>
      <c r="AA417" s="19">
        <v>31037</v>
      </c>
      <c r="AB417" s="19">
        <v>31700.5</v>
      </c>
      <c r="AC417" s="19">
        <v>7905.6</v>
      </c>
      <c r="AD417" s="19">
        <v>1666.82</v>
      </c>
      <c r="AE417" s="19">
        <v>405.32</v>
      </c>
      <c r="AF417" s="19">
        <v>8.24</v>
      </c>
      <c r="AG417" s="19">
        <v>484.18</v>
      </c>
      <c r="AH417" s="19">
        <v>51.73</v>
      </c>
      <c r="AI417" s="19">
        <v>72.97</v>
      </c>
      <c r="AJ417" s="19">
        <v>3176</v>
      </c>
      <c r="AK417" s="3">
        <f t="shared" si="59"/>
        <v>1</v>
      </c>
      <c r="AL417" s="3">
        <v>0</v>
      </c>
      <c r="AM417" s="3">
        <f t="shared" si="58"/>
        <v>0</v>
      </c>
    </row>
    <row r="418" spans="1:39">
      <c r="A418" s="7">
        <v>2016</v>
      </c>
      <c r="B418" s="7" t="s">
        <v>54</v>
      </c>
      <c r="C418" s="7">
        <v>0.35473074</v>
      </c>
      <c r="D418" s="7">
        <v>0.057987</v>
      </c>
      <c r="E418" s="7">
        <v>0.015014</v>
      </c>
      <c r="F418" s="7">
        <v>0.026317</v>
      </c>
      <c r="G418" s="7">
        <v>0.008804</v>
      </c>
      <c r="H418" s="7">
        <v>0.007852</v>
      </c>
      <c r="I418" s="7">
        <v>0.060118</v>
      </c>
      <c r="J418" s="7">
        <v>0.029563</v>
      </c>
      <c r="K418" s="16">
        <v>31458</v>
      </c>
      <c r="L418" s="17">
        <v>7375</v>
      </c>
      <c r="M418" s="16">
        <v>32070.45</v>
      </c>
      <c r="N418" s="7">
        <f t="shared" si="52"/>
        <v>4.26549152542373</v>
      </c>
      <c r="O418" s="7">
        <f t="shared" si="53"/>
        <v>0.980902980781374</v>
      </c>
      <c r="P418" s="8">
        <v>746985038</v>
      </c>
      <c r="Q418" s="8">
        <f t="shared" si="54"/>
        <v>2.32920036357457</v>
      </c>
      <c r="R418" s="9">
        <v>114.3</v>
      </c>
      <c r="S418" s="9">
        <v>8570.2</v>
      </c>
      <c r="T418" s="9">
        <v>21202.4</v>
      </c>
      <c r="U418" s="9">
        <v>121369</v>
      </c>
      <c r="V418" s="18">
        <v>0</v>
      </c>
      <c r="W418" s="18">
        <v>0</v>
      </c>
      <c r="X418" s="18">
        <f t="shared" si="55"/>
        <v>0</v>
      </c>
      <c r="Y418" s="12">
        <f t="shared" si="56"/>
        <v>1.62438398605541</v>
      </c>
      <c r="Z418" s="12">
        <f t="shared" si="57"/>
        <v>0</v>
      </c>
      <c r="AA418" s="19">
        <v>31458</v>
      </c>
      <c r="AB418" s="19">
        <v>30863.5</v>
      </c>
      <c r="AC418" s="19">
        <v>8294.9</v>
      </c>
      <c r="AD418" s="19">
        <v>1761.93</v>
      </c>
      <c r="AE418" s="19">
        <v>434.86</v>
      </c>
      <c r="AF418" s="19">
        <v>11.46</v>
      </c>
      <c r="AG418" s="19">
        <v>503.59</v>
      </c>
      <c r="AH418" s="19">
        <v>53.7</v>
      </c>
      <c r="AI418" s="19">
        <v>80.95</v>
      </c>
      <c r="AJ418" s="19">
        <v>3264.52</v>
      </c>
      <c r="AK418" s="3">
        <f t="shared" si="59"/>
        <v>1</v>
      </c>
      <c r="AL418" s="3">
        <v>0</v>
      </c>
      <c r="AM418" s="3">
        <f t="shared" si="58"/>
        <v>0</v>
      </c>
    </row>
    <row r="419" spans="1:39">
      <c r="A419" s="7">
        <v>2017</v>
      </c>
      <c r="B419" s="7" t="s">
        <v>54</v>
      </c>
      <c r="C419" s="7">
        <v>0.37486395</v>
      </c>
      <c r="D419" s="7">
        <v>0.062223</v>
      </c>
      <c r="E419" s="7">
        <v>0.016238</v>
      </c>
      <c r="F419" s="7">
        <v>0.027701</v>
      </c>
      <c r="G419" s="7">
        <v>0.009043</v>
      </c>
      <c r="H419" s="7">
        <v>0.009241</v>
      </c>
      <c r="I419" s="7">
        <v>0.059662</v>
      </c>
      <c r="J419" s="7">
        <v>0.030135</v>
      </c>
      <c r="K419" s="16">
        <v>32083</v>
      </c>
      <c r="L419" s="17">
        <v>7409</v>
      </c>
      <c r="M419" s="16">
        <v>34016.32</v>
      </c>
      <c r="N419" s="7">
        <f t="shared" si="52"/>
        <v>4.33027399109192</v>
      </c>
      <c r="O419" s="7">
        <f t="shared" si="53"/>
        <v>0.943164927893435</v>
      </c>
      <c r="P419" s="8">
        <v>752269261.4</v>
      </c>
      <c r="Q419" s="8">
        <f t="shared" si="54"/>
        <v>2.21149513351238</v>
      </c>
      <c r="R419" s="9">
        <v>110.8</v>
      </c>
      <c r="S419" s="9">
        <v>9525.9</v>
      </c>
      <c r="T419" s="9">
        <v>23288.3</v>
      </c>
      <c r="U419" s="9">
        <v>133489</v>
      </c>
      <c r="V419" s="18">
        <v>1</v>
      </c>
      <c r="W419" s="18">
        <v>0</v>
      </c>
      <c r="X419" s="18">
        <f t="shared" si="55"/>
        <v>0</v>
      </c>
      <c r="Y419" s="12">
        <f t="shared" si="56"/>
        <v>1.56738551218677</v>
      </c>
      <c r="Z419" s="12">
        <f t="shared" si="57"/>
        <v>0</v>
      </c>
      <c r="AA419" s="19">
        <v>32083</v>
      </c>
      <c r="AB419" s="19">
        <v>30174.5</v>
      </c>
      <c r="AC419" s="19">
        <v>8700.26</v>
      </c>
      <c r="AD419" s="19">
        <v>1542.17</v>
      </c>
      <c r="AE419" s="19">
        <v>380.39</v>
      </c>
      <c r="AF419" s="19">
        <v>27.56</v>
      </c>
      <c r="AG419" s="19">
        <v>526.81</v>
      </c>
      <c r="AH419" s="19">
        <v>43.13</v>
      </c>
      <c r="AI419" s="19">
        <v>95.12</v>
      </c>
      <c r="AJ419" s="19">
        <v>3441.74</v>
      </c>
      <c r="AK419" s="3">
        <f t="shared" si="59"/>
        <v>1</v>
      </c>
      <c r="AL419" s="3">
        <v>0</v>
      </c>
      <c r="AM419" s="3">
        <f t="shared" si="58"/>
        <v>0</v>
      </c>
    </row>
    <row r="420" spans="1:39">
      <c r="A420" s="7">
        <v>2018</v>
      </c>
      <c r="B420" s="7" t="s">
        <v>54</v>
      </c>
      <c r="C420" s="7">
        <v>0.39678221</v>
      </c>
      <c r="D420" s="7">
        <v>0.067445</v>
      </c>
      <c r="E420" s="7">
        <v>0.016709</v>
      </c>
      <c r="F420" s="7">
        <v>0.030661</v>
      </c>
      <c r="G420" s="7">
        <v>0.01053</v>
      </c>
      <c r="H420" s="7">
        <v>0.009545</v>
      </c>
      <c r="I420" s="7">
        <v>0.057791</v>
      </c>
      <c r="J420" s="7">
        <v>0.031622</v>
      </c>
      <c r="K420" s="16">
        <v>32185</v>
      </c>
      <c r="L420" s="17">
        <v>7426</v>
      </c>
      <c r="M420" s="16">
        <v>36010.27</v>
      </c>
      <c r="N420" s="7">
        <f t="shared" si="52"/>
        <v>4.33409641799084</v>
      </c>
      <c r="O420" s="7">
        <f t="shared" si="53"/>
        <v>0.893772804258341</v>
      </c>
      <c r="P420" s="8">
        <v>793603585.5</v>
      </c>
      <c r="Q420" s="8">
        <f t="shared" si="54"/>
        <v>2.20382570166789</v>
      </c>
      <c r="R420" s="9">
        <v>104.8</v>
      </c>
      <c r="S420" s="9">
        <v>10360.8</v>
      </c>
      <c r="T420" s="9">
        <v>25546.3</v>
      </c>
      <c r="U420" s="9">
        <v>145767</v>
      </c>
      <c r="V420" s="18">
        <v>1</v>
      </c>
      <c r="W420" s="18">
        <v>0</v>
      </c>
      <c r="X420" s="18">
        <f t="shared" si="55"/>
        <v>0</v>
      </c>
      <c r="Y420" s="12">
        <f t="shared" si="56"/>
        <v>1.51591455826218</v>
      </c>
      <c r="Z420" s="12">
        <f t="shared" si="57"/>
        <v>0</v>
      </c>
      <c r="AA420" s="19">
        <v>32185</v>
      </c>
      <c r="AB420" s="19">
        <v>29593.75</v>
      </c>
      <c r="AC420" s="19">
        <v>9341.63</v>
      </c>
      <c r="AD420" s="19">
        <v>1704.43</v>
      </c>
      <c r="AE420" s="19">
        <v>489.83</v>
      </c>
      <c r="AF420" s="19">
        <v>27.65</v>
      </c>
      <c r="AG420" s="19">
        <v>441.96</v>
      </c>
      <c r="AH420" s="19">
        <v>121.36</v>
      </c>
      <c r="AI420" s="19">
        <v>133.07</v>
      </c>
      <c r="AJ420" s="19">
        <v>3665.66</v>
      </c>
      <c r="AK420" s="3">
        <f t="shared" si="59"/>
        <v>1</v>
      </c>
      <c r="AL420" s="3">
        <v>0</v>
      </c>
      <c r="AM420" s="3">
        <f t="shared" si="58"/>
        <v>0</v>
      </c>
    </row>
    <row r="421" spans="1:39">
      <c r="A421" s="7">
        <v>2019</v>
      </c>
      <c r="B421" s="7" t="s">
        <v>54</v>
      </c>
      <c r="C421" s="7">
        <v>0.39437989</v>
      </c>
      <c r="D421" s="7">
        <v>0.060066</v>
      </c>
      <c r="E421" s="7">
        <v>0.014417</v>
      </c>
      <c r="F421" s="7">
        <v>0.026899</v>
      </c>
      <c r="G421" s="7">
        <v>0.008832</v>
      </c>
      <c r="H421" s="7">
        <v>0.009919</v>
      </c>
      <c r="I421" s="7">
        <v>0.071925</v>
      </c>
      <c r="J421" s="7">
        <v>0.033437</v>
      </c>
      <c r="K421" s="16">
        <v>32545</v>
      </c>
      <c r="L421" s="17">
        <v>7447</v>
      </c>
      <c r="M421" s="16">
        <v>35104.52</v>
      </c>
      <c r="N421" s="7">
        <f t="shared" si="52"/>
        <v>4.37021619444071</v>
      </c>
      <c r="O421" s="7">
        <f t="shared" si="53"/>
        <v>0.927088591440646</v>
      </c>
      <c r="P421" s="8">
        <v>825793015.4</v>
      </c>
      <c r="Q421" s="8">
        <f t="shared" si="54"/>
        <v>2.35238372551455</v>
      </c>
      <c r="R421" s="9">
        <v>107.1</v>
      </c>
      <c r="S421" s="9">
        <v>10193.6</v>
      </c>
      <c r="T421" s="9">
        <v>27686.9</v>
      </c>
      <c r="U421" s="9">
        <v>153299</v>
      </c>
      <c r="V421" s="18">
        <v>1</v>
      </c>
      <c r="W421" s="18">
        <v>0</v>
      </c>
      <c r="X421" s="18">
        <f t="shared" si="55"/>
        <v>0</v>
      </c>
      <c r="Y421" s="12">
        <f t="shared" si="56"/>
        <v>1.5000536746505</v>
      </c>
      <c r="Z421" s="12">
        <f t="shared" si="57"/>
        <v>0</v>
      </c>
      <c r="AA421" s="19">
        <v>32545</v>
      </c>
      <c r="AB421" s="19">
        <v>28738.44</v>
      </c>
      <c r="AC421" s="19">
        <v>9371.81</v>
      </c>
      <c r="AD421" s="19">
        <v>2091.04</v>
      </c>
      <c r="AE421" s="19">
        <v>423.19</v>
      </c>
      <c r="AF421" s="19">
        <v>32.17</v>
      </c>
      <c r="AG421" s="19">
        <v>464.49</v>
      </c>
      <c r="AH421" s="19">
        <v>103.77</v>
      </c>
      <c r="AI421" s="19">
        <v>165.48</v>
      </c>
      <c r="AJ421" s="19">
        <v>3856.06</v>
      </c>
      <c r="AK421" s="3">
        <f t="shared" si="59"/>
        <v>1</v>
      </c>
      <c r="AL421" s="3">
        <v>0</v>
      </c>
      <c r="AM421" s="3">
        <f t="shared" si="58"/>
        <v>0</v>
      </c>
    </row>
    <row r="422" spans="1:39">
      <c r="A422" s="7">
        <v>2020</v>
      </c>
      <c r="B422" s="7" t="s">
        <v>54</v>
      </c>
      <c r="C422" s="7">
        <v>0.42059324</v>
      </c>
      <c r="D422" s="7">
        <v>0.070092</v>
      </c>
      <c r="E422" s="7">
        <v>0.018575</v>
      </c>
      <c r="F422" s="7">
        <v>0.030795</v>
      </c>
      <c r="G422" s="7">
        <v>0.010147</v>
      </c>
      <c r="H422" s="7">
        <v>0.010575</v>
      </c>
      <c r="I422" s="7">
        <v>0.065772</v>
      </c>
      <c r="J422" s="7">
        <v>0.031304</v>
      </c>
      <c r="K422" s="16">
        <v>32782.76</v>
      </c>
      <c r="L422" s="17">
        <v>7463.84</v>
      </c>
      <c r="M422" s="16">
        <v>36206.89</v>
      </c>
      <c r="N422" s="7">
        <f t="shared" si="52"/>
        <v>4.39221097987095</v>
      </c>
      <c r="O422" s="7">
        <f t="shared" si="53"/>
        <v>0.905428773363302</v>
      </c>
      <c r="P422" s="8">
        <v>823045514</v>
      </c>
      <c r="Q422" s="8">
        <f t="shared" si="54"/>
        <v>2.27317373571715</v>
      </c>
      <c r="R422" s="9">
        <v>107.7</v>
      </c>
      <c r="S422" s="9">
        <v>10258.6</v>
      </c>
      <c r="T422" s="9">
        <v>28597.1</v>
      </c>
      <c r="U422" s="9">
        <v>156803</v>
      </c>
      <c r="V422" s="18">
        <v>1</v>
      </c>
      <c r="W422" s="18">
        <v>0</v>
      </c>
      <c r="X422" s="18">
        <f t="shared" si="55"/>
        <v>0</v>
      </c>
      <c r="Y422" s="12">
        <f t="shared" si="56"/>
        <v>1.47141701078949</v>
      </c>
      <c r="Z422" s="12">
        <f t="shared" si="57"/>
        <v>0</v>
      </c>
      <c r="AA422" s="19">
        <v>32783</v>
      </c>
      <c r="AB422" s="19">
        <v>28176.87</v>
      </c>
      <c r="AC422" s="19">
        <v>9609.9</v>
      </c>
      <c r="AD422" s="19">
        <v>2115.58</v>
      </c>
      <c r="AE422" s="19">
        <v>420.13</v>
      </c>
      <c r="AF422" s="19">
        <v>13.64</v>
      </c>
      <c r="AG422" s="19">
        <v>452.51</v>
      </c>
      <c r="AH422" s="19">
        <v>93.5</v>
      </c>
      <c r="AI422" s="19">
        <v>154.24</v>
      </c>
      <c r="AJ422" s="19">
        <v>3934</v>
      </c>
      <c r="AK422" s="3">
        <f t="shared" si="59"/>
        <v>1</v>
      </c>
      <c r="AL422" s="3">
        <v>0</v>
      </c>
      <c r="AM422" s="3">
        <f t="shared" si="58"/>
        <v>0</v>
      </c>
    </row>
    <row r="423" spans="1:39">
      <c r="A423" s="7">
        <v>2021</v>
      </c>
      <c r="B423" s="7" t="s">
        <v>54</v>
      </c>
      <c r="C423" s="7">
        <v>0.43679461</v>
      </c>
      <c r="D423" s="7">
        <v>0.07062</v>
      </c>
      <c r="E423" s="7">
        <v>0.018224</v>
      </c>
      <c r="F423" s="7">
        <v>0.032023</v>
      </c>
      <c r="G423" s="7">
        <v>0.010439</v>
      </c>
      <c r="H423" s="7">
        <v>0.009934</v>
      </c>
      <c r="I423" s="7">
        <v>0.071535</v>
      </c>
      <c r="J423" s="7">
        <v>0.034452</v>
      </c>
      <c r="K423" s="16">
        <v>33085.8515598411</v>
      </c>
      <c r="L423" s="17">
        <v>7448</v>
      </c>
      <c r="M423" s="16">
        <v>40391.3</v>
      </c>
      <c r="N423" s="7">
        <f t="shared" si="52"/>
        <v>4.44224645003237</v>
      </c>
      <c r="O423" s="7">
        <f t="shared" si="53"/>
        <v>0.819133119256897</v>
      </c>
      <c r="P423" s="8">
        <v>816163103.9</v>
      </c>
      <c r="Q423" s="8">
        <f t="shared" si="54"/>
        <v>2.0206408407256</v>
      </c>
      <c r="R423" s="9">
        <v>96.1</v>
      </c>
      <c r="S423" s="9">
        <v>11366.7</v>
      </c>
      <c r="T423" s="9">
        <v>32190.4</v>
      </c>
      <c r="U423" s="9">
        <v>175420</v>
      </c>
      <c r="V423" s="18">
        <v>1</v>
      </c>
      <c r="W423" s="18">
        <v>0</v>
      </c>
      <c r="X423" s="18">
        <f t="shared" si="55"/>
        <v>0</v>
      </c>
      <c r="Y423" s="12">
        <f t="shared" si="56"/>
        <v>1.36781889095748</v>
      </c>
      <c r="Z423" s="12">
        <f t="shared" si="57"/>
        <v>0</v>
      </c>
      <c r="AA423" s="19">
        <v>32590.1</v>
      </c>
      <c r="AB423" s="19">
        <v>24588.54</v>
      </c>
      <c r="AC423" s="19">
        <v>8464.94</v>
      </c>
      <c r="AD423" s="19">
        <v>2115.58</v>
      </c>
      <c r="AE423" s="19">
        <v>559.64</v>
      </c>
      <c r="AF423" s="19">
        <v>10.44</v>
      </c>
      <c r="AG423" s="19">
        <v>490.67</v>
      </c>
      <c r="AH423" s="19">
        <v>96.16</v>
      </c>
      <c r="AI423" s="19">
        <v>154.24</v>
      </c>
      <c r="AJ423" s="19">
        <v>4294</v>
      </c>
      <c r="AK423" s="3">
        <f t="shared" si="59"/>
        <v>1</v>
      </c>
      <c r="AL423" s="3">
        <v>0</v>
      </c>
      <c r="AM423" s="3">
        <f t="shared" si="58"/>
        <v>0</v>
      </c>
    </row>
    <row r="424" spans="1:39">
      <c r="A424" s="7">
        <v>2022</v>
      </c>
      <c r="B424" s="7" t="s">
        <v>54</v>
      </c>
      <c r="C424" s="7">
        <v>0.44776345</v>
      </c>
      <c r="D424" s="7">
        <v>0.071594</v>
      </c>
      <c r="E424" s="7">
        <v>0.01787</v>
      </c>
      <c r="F424" s="7">
        <v>0.031763</v>
      </c>
      <c r="G424" s="7">
        <v>0.011037</v>
      </c>
      <c r="H424" s="7">
        <v>0.010924</v>
      </c>
      <c r="I424" s="7">
        <v>0.072476</v>
      </c>
      <c r="J424" s="7">
        <v>0.03533</v>
      </c>
      <c r="K424" s="16">
        <v>32538.48</v>
      </c>
      <c r="L424" s="17">
        <v>7420</v>
      </c>
      <c r="M424" s="16">
        <v>42370.4</v>
      </c>
      <c r="N424" s="7">
        <f t="shared" si="52"/>
        <v>4.38523989218329</v>
      </c>
      <c r="O424" s="7">
        <f t="shared" si="53"/>
        <v>0.767953099333497</v>
      </c>
      <c r="P424" s="8">
        <v>788292819</v>
      </c>
      <c r="Q424" s="8">
        <f t="shared" si="54"/>
        <v>1.86048000254895</v>
      </c>
      <c r="R424" s="9">
        <v>100</v>
      </c>
      <c r="S424" s="9">
        <v>11407.2</v>
      </c>
      <c r="T424" s="9">
        <v>33302</v>
      </c>
      <c r="U424" s="9">
        <v>180536</v>
      </c>
      <c r="V424" s="18">
        <v>1</v>
      </c>
      <c r="W424" s="18">
        <v>0</v>
      </c>
      <c r="X424" s="18">
        <f t="shared" si="55"/>
        <v>0</v>
      </c>
      <c r="Y424" s="12">
        <f t="shared" si="56"/>
        <v>1.27047633725244</v>
      </c>
      <c r="Z424" s="12">
        <f t="shared" si="57"/>
        <v>0</v>
      </c>
      <c r="AA424" s="19">
        <v>32538.48</v>
      </c>
      <c r="AB424" s="19">
        <v>24815.22</v>
      </c>
      <c r="AC424" s="19">
        <v>8342.58</v>
      </c>
      <c r="AD424" s="19">
        <v>2184.52</v>
      </c>
      <c r="AE424" s="19">
        <v>479.54</v>
      </c>
      <c r="AF424" s="19">
        <v>10.03</v>
      </c>
      <c r="AG424" s="19">
        <v>458.13</v>
      </c>
      <c r="AH424" s="19">
        <v>179.64</v>
      </c>
      <c r="AI424" s="19">
        <v>188.02</v>
      </c>
      <c r="AJ424" s="19">
        <v>4559.75</v>
      </c>
      <c r="AK424" s="3">
        <f t="shared" si="59"/>
        <v>1</v>
      </c>
      <c r="AL424" s="3">
        <v>0</v>
      </c>
      <c r="AM424" s="3">
        <f t="shared" si="58"/>
        <v>0</v>
      </c>
    </row>
    <row r="425" spans="1:39">
      <c r="A425" s="7">
        <v>2023</v>
      </c>
      <c r="B425" s="7" t="s">
        <v>54</v>
      </c>
      <c r="C425" s="7">
        <v>0.54920567</v>
      </c>
      <c r="D425" s="7">
        <v>0.077031</v>
      </c>
      <c r="E425" s="7">
        <v>0.021979</v>
      </c>
      <c r="F425" s="7">
        <v>0.035967</v>
      </c>
      <c r="G425" s="7">
        <v>0.016098</v>
      </c>
      <c r="H425" s="7">
        <v>0.016376</v>
      </c>
      <c r="I425" s="7">
        <v>0.077879</v>
      </c>
      <c r="J425" s="7">
        <v>0.040672</v>
      </c>
      <c r="K425" s="16">
        <v>33615</v>
      </c>
      <c r="L425" s="17">
        <v>7393</v>
      </c>
      <c r="M425" s="16">
        <v>43944.1</v>
      </c>
      <c r="N425" s="7">
        <f t="shared" si="52"/>
        <v>4.54686865954281</v>
      </c>
      <c r="O425" s="7">
        <f t="shared" si="53"/>
        <v>0.764949105795772</v>
      </c>
      <c r="P425" s="8">
        <v>793394070.9</v>
      </c>
      <c r="Q425" s="8">
        <f t="shared" si="54"/>
        <v>1.80546210048675</v>
      </c>
      <c r="R425" s="9">
        <v>96.1</v>
      </c>
      <c r="S425" s="9">
        <v>11613</v>
      </c>
      <c r="T425" s="9">
        <v>35509.6</v>
      </c>
      <c r="U425" s="9">
        <v>190321</v>
      </c>
      <c r="V425" s="18">
        <v>1</v>
      </c>
      <c r="W425" s="18">
        <v>0</v>
      </c>
      <c r="X425" s="18">
        <f t="shared" si="55"/>
        <v>0</v>
      </c>
      <c r="Y425" s="12">
        <f t="shared" si="56"/>
        <v>1.2756783895882</v>
      </c>
      <c r="Z425" s="12">
        <f t="shared" si="57"/>
        <v>0</v>
      </c>
      <c r="AA425" s="12"/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3">
        <f t="shared" si="59"/>
        <v>1</v>
      </c>
      <c r="AL425" s="3">
        <v>0</v>
      </c>
      <c r="AM425" s="3">
        <f t="shared" si="58"/>
        <v>0</v>
      </c>
    </row>
    <row r="426" spans="1:39">
      <c r="A426" s="7">
        <v>2024</v>
      </c>
      <c r="B426" s="7" t="s">
        <v>54</v>
      </c>
      <c r="C426" s="7">
        <v>0.59172612</v>
      </c>
      <c r="D426" s="7">
        <v>0.079416</v>
      </c>
      <c r="E426" s="7">
        <v>0.023487</v>
      </c>
      <c r="F426" s="7">
        <v>0.037306</v>
      </c>
      <c r="G426" s="7">
        <v>0.017812</v>
      </c>
      <c r="H426" s="7">
        <v>0.018484</v>
      </c>
      <c r="I426" s="7">
        <v>0.083087</v>
      </c>
      <c r="J426" s="7">
        <v>0.042875</v>
      </c>
      <c r="K426" s="16">
        <v>34691.52</v>
      </c>
      <c r="L426" s="17">
        <v>7378</v>
      </c>
      <c r="M426" s="16">
        <v>47526.9</v>
      </c>
      <c r="N426" s="7">
        <f t="shared" si="52"/>
        <v>4.70202222824614</v>
      </c>
      <c r="O426" s="7">
        <f t="shared" si="53"/>
        <v>0.729934416088573</v>
      </c>
      <c r="P426" s="8">
        <v>782182428.9</v>
      </c>
      <c r="Q426" s="8">
        <f t="shared" si="54"/>
        <v>1.64576782601011</v>
      </c>
      <c r="R426" s="9">
        <v>99.7</v>
      </c>
      <c r="S426" s="9">
        <v>11637.6</v>
      </c>
      <c r="T426" s="9">
        <v>42189.4</v>
      </c>
      <c r="U426" s="9">
        <v>217140</v>
      </c>
      <c r="V426" s="18">
        <v>1</v>
      </c>
      <c r="W426" s="18">
        <v>0</v>
      </c>
      <c r="X426" s="18">
        <f t="shared" si="55"/>
        <v>0</v>
      </c>
      <c r="Y426" s="12">
        <f t="shared" si="56"/>
        <v>1.21200651315194</v>
      </c>
      <c r="Z426" s="12">
        <f t="shared" si="57"/>
        <v>0</v>
      </c>
      <c r="AA426" s="12"/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3">
        <f t="shared" si="59"/>
        <v>1</v>
      </c>
      <c r="AL426" s="3">
        <v>0</v>
      </c>
      <c r="AM426" s="3">
        <f t="shared" si="58"/>
        <v>0</v>
      </c>
    </row>
    <row r="427" spans="1:39">
      <c r="A427" s="7">
        <v>2000</v>
      </c>
      <c r="B427" s="7" t="s">
        <v>55</v>
      </c>
      <c r="C427" s="7">
        <v>0.09770716</v>
      </c>
      <c r="D427" s="7">
        <v>0.021593</v>
      </c>
      <c r="E427" s="7">
        <v>0.005608</v>
      </c>
      <c r="F427" s="7">
        <v>0.0097</v>
      </c>
      <c r="G427" s="7">
        <v>0.003154</v>
      </c>
      <c r="H427" s="7">
        <v>0.003131</v>
      </c>
      <c r="I427" s="7">
        <v>0.021136</v>
      </c>
      <c r="J427" s="7">
        <v>0.010319</v>
      </c>
      <c r="K427" s="16">
        <v>7919</v>
      </c>
      <c r="L427" s="17">
        <v>9488</v>
      </c>
      <c r="M427" s="16">
        <v>5137.66</v>
      </c>
      <c r="N427" s="7">
        <f t="shared" si="52"/>
        <v>0.834633220910624</v>
      </c>
      <c r="O427" s="7">
        <f t="shared" si="53"/>
        <v>1.54136318868901</v>
      </c>
      <c r="P427" s="8">
        <v>222162202.7</v>
      </c>
      <c r="Q427" s="8">
        <f t="shared" si="54"/>
        <v>4.32419044273074</v>
      </c>
      <c r="R427" s="9">
        <v>1048.3</v>
      </c>
      <c r="S427" s="9">
        <v>4435.9</v>
      </c>
      <c r="T427" s="9">
        <v>3069.5</v>
      </c>
      <c r="U427" s="9">
        <v>11765</v>
      </c>
      <c r="V427" s="18">
        <v>0</v>
      </c>
      <c r="W427" s="18">
        <v>0</v>
      </c>
      <c r="X427" s="18">
        <f t="shared" si="55"/>
        <v>0</v>
      </c>
      <c r="Y427" s="12">
        <f t="shared" si="56"/>
        <v>4.53658228674969</v>
      </c>
      <c r="Z427" s="12">
        <f t="shared" si="57"/>
        <v>0.0468175887913017</v>
      </c>
      <c r="AA427" s="19">
        <v>7918.84</v>
      </c>
      <c r="AB427" s="19">
        <v>8724.85</v>
      </c>
      <c r="AC427" s="19">
        <v>426.75</v>
      </c>
      <c r="AD427" s="19">
        <v>610.58</v>
      </c>
      <c r="AE427" s="19">
        <v>120.86</v>
      </c>
      <c r="AF427" s="19">
        <v>14.34</v>
      </c>
      <c r="AG427" s="19">
        <v>155.02</v>
      </c>
      <c r="AH427" s="19">
        <v>57.55</v>
      </c>
      <c r="AI427" s="19">
        <v>11.23</v>
      </c>
      <c r="AJ427" s="19">
        <v>718.52</v>
      </c>
      <c r="AK427" s="3">
        <f t="shared" si="59"/>
        <v>0</v>
      </c>
      <c r="AL427" s="3">
        <v>0</v>
      </c>
      <c r="AM427" s="3">
        <f t="shared" si="58"/>
        <v>0</v>
      </c>
    </row>
    <row r="428" spans="1:39">
      <c r="A428" s="7">
        <v>2001</v>
      </c>
      <c r="B428" s="7" t="s">
        <v>55</v>
      </c>
      <c r="C428" s="7">
        <v>0.09755349</v>
      </c>
      <c r="D428" s="7">
        <v>0.021051</v>
      </c>
      <c r="E428" s="7">
        <v>0.00509</v>
      </c>
      <c r="F428" s="7">
        <v>0.009543</v>
      </c>
      <c r="G428" s="7">
        <v>0.003104</v>
      </c>
      <c r="H428" s="7">
        <v>0.003314</v>
      </c>
      <c r="I428" s="7">
        <v>0.021124</v>
      </c>
      <c r="J428" s="7">
        <v>0.010984</v>
      </c>
      <c r="K428" s="16">
        <v>8367</v>
      </c>
      <c r="L428" s="17">
        <v>9555</v>
      </c>
      <c r="M428" s="16">
        <v>5533.01</v>
      </c>
      <c r="N428" s="7">
        <f t="shared" si="52"/>
        <v>0.875667189952904</v>
      </c>
      <c r="O428" s="7">
        <f t="shared" si="53"/>
        <v>1.51219679704175</v>
      </c>
      <c r="P428" s="8">
        <v>239454149.9</v>
      </c>
      <c r="Q428" s="8">
        <f t="shared" si="54"/>
        <v>4.32773752261427</v>
      </c>
      <c r="R428" s="9">
        <v>1094.5</v>
      </c>
      <c r="S428" s="9">
        <v>4907.5</v>
      </c>
      <c r="T428" s="9">
        <v>3454.9</v>
      </c>
      <c r="U428" s="9">
        <v>12879</v>
      </c>
      <c r="V428" s="18">
        <v>0</v>
      </c>
      <c r="W428" s="18">
        <v>0</v>
      </c>
      <c r="X428" s="18">
        <f t="shared" si="55"/>
        <v>0</v>
      </c>
      <c r="Y428" s="12">
        <f t="shared" si="56"/>
        <v>4.16809156222866</v>
      </c>
      <c r="Z428" s="12">
        <f t="shared" si="57"/>
        <v>0</v>
      </c>
      <c r="AA428" s="19">
        <v>8244</v>
      </c>
      <c r="AB428" s="19">
        <v>9325</v>
      </c>
      <c r="AC428" s="19">
        <v>486.66</v>
      </c>
      <c r="AD428" s="19">
        <v>598.2</v>
      </c>
      <c r="AE428" s="19">
        <v>124.03</v>
      </c>
      <c r="AF428" s="19">
        <v>13.16</v>
      </c>
      <c r="AG428" s="19">
        <v>157.87</v>
      </c>
      <c r="AH428" s="19">
        <v>65.87</v>
      </c>
      <c r="AI428" s="19">
        <v>13.11</v>
      </c>
      <c r="AJ428" s="19">
        <v>808.41</v>
      </c>
      <c r="AK428" s="3">
        <f t="shared" si="59"/>
        <v>0</v>
      </c>
      <c r="AL428" s="3">
        <v>0</v>
      </c>
      <c r="AM428" s="3">
        <f t="shared" si="58"/>
        <v>0</v>
      </c>
    </row>
    <row r="429" spans="1:39">
      <c r="A429" s="7">
        <v>2002</v>
      </c>
      <c r="B429" s="7" t="s">
        <v>55</v>
      </c>
      <c r="C429" s="7">
        <v>0.11508718</v>
      </c>
      <c r="D429" s="7">
        <v>0.024636</v>
      </c>
      <c r="E429" s="7">
        <v>0.00631</v>
      </c>
      <c r="F429" s="7">
        <v>0.011432</v>
      </c>
      <c r="G429" s="7">
        <v>0.003712</v>
      </c>
      <c r="H429" s="7">
        <v>0.003182</v>
      </c>
      <c r="I429" s="7">
        <v>0.024329</v>
      </c>
      <c r="J429" s="7">
        <v>0.010755</v>
      </c>
      <c r="K429" s="16">
        <v>9005</v>
      </c>
      <c r="L429" s="17">
        <v>9613</v>
      </c>
      <c r="M429" s="16">
        <v>6035.48</v>
      </c>
      <c r="N429" s="7">
        <f t="shared" si="52"/>
        <v>0.936752314574014</v>
      </c>
      <c r="O429" s="7">
        <f t="shared" si="53"/>
        <v>1.492010577452</v>
      </c>
      <c r="P429" s="8">
        <v>255729069</v>
      </c>
      <c r="Q429" s="8">
        <f t="shared" si="54"/>
        <v>4.23709579022712</v>
      </c>
      <c r="R429" s="9">
        <v>1110.4</v>
      </c>
      <c r="S429" s="9">
        <v>5604.5</v>
      </c>
      <c r="T429" s="9">
        <v>3891.9</v>
      </c>
      <c r="U429" s="9">
        <v>14369</v>
      </c>
      <c r="V429" s="18">
        <v>0</v>
      </c>
      <c r="W429" s="18">
        <v>0</v>
      </c>
      <c r="X429" s="18">
        <f t="shared" si="55"/>
        <v>0</v>
      </c>
      <c r="Y429" s="12">
        <f t="shared" si="56"/>
        <v>4.06804884448575</v>
      </c>
      <c r="Z429" s="12">
        <f t="shared" si="57"/>
        <v>0</v>
      </c>
      <c r="AA429" s="19">
        <v>9055</v>
      </c>
      <c r="AB429" s="19">
        <v>10333</v>
      </c>
      <c r="AC429" s="19">
        <v>505.47</v>
      </c>
      <c r="AD429" s="19">
        <v>601.64</v>
      </c>
      <c r="AE429" s="19">
        <v>119.5</v>
      </c>
      <c r="AF429" s="19">
        <v>13.28</v>
      </c>
      <c r="AG429" s="19">
        <v>156.27</v>
      </c>
      <c r="AH429" s="19">
        <v>70.24</v>
      </c>
      <c r="AI429" s="19">
        <v>14.63</v>
      </c>
      <c r="AJ429" s="19">
        <v>927.56</v>
      </c>
      <c r="AK429" s="3">
        <f t="shared" si="59"/>
        <v>0</v>
      </c>
      <c r="AL429" s="3">
        <v>0</v>
      </c>
      <c r="AM429" s="3">
        <f t="shared" si="58"/>
        <v>0</v>
      </c>
    </row>
    <row r="430" spans="1:39">
      <c r="A430" s="7">
        <v>2003</v>
      </c>
      <c r="B430" s="7" t="s">
        <v>55</v>
      </c>
      <c r="C430" s="7">
        <v>0.1292049</v>
      </c>
      <c r="D430" s="7">
        <v>0.026039</v>
      </c>
      <c r="E430" s="7">
        <v>0.006632</v>
      </c>
      <c r="F430" s="7">
        <v>0.011991</v>
      </c>
      <c r="G430" s="7">
        <v>0.004177</v>
      </c>
      <c r="H430" s="7">
        <v>0.003239</v>
      </c>
      <c r="I430" s="7">
        <v>0.02532</v>
      </c>
      <c r="J430" s="7">
        <v>0.013383</v>
      </c>
      <c r="K430" s="16">
        <v>10595</v>
      </c>
      <c r="L430" s="17">
        <v>9667</v>
      </c>
      <c r="M430" s="16">
        <v>6867.7</v>
      </c>
      <c r="N430" s="7">
        <f t="shared" ref="N430:N493" si="60">K430/L430</f>
        <v>1.09599668976932</v>
      </c>
      <c r="O430" s="7">
        <f t="shared" ref="O430:O493" si="61">K430/M430</f>
        <v>1.54272900679995</v>
      </c>
      <c r="P430" s="8">
        <v>296511988.2</v>
      </c>
      <c r="Q430" s="8">
        <f t="shared" si="54"/>
        <v>4.31748603171367</v>
      </c>
      <c r="R430" s="9">
        <v>1162.5</v>
      </c>
      <c r="S430" s="9">
        <v>6787.1</v>
      </c>
      <c r="T430" s="9">
        <v>4493.3</v>
      </c>
      <c r="U430" s="9">
        <v>16743</v>
      </c>
      <c r="V430" s="18">
        <v>0</v>
      </c>
      <c r="W430" s="18">
        <v>0</v>
      </c>
      <c r="X430" s="18">
        <f t="shared" si="55"/>
        <v>0</v>
      </c>
      <c r="Y430" s="12">
        <f t="shared" si="56"/>
        <v>4.08414499624993</v>
      </c>
      <c r="Z430" s="12">
        <f t="shared" si="57"/>
        <v>0</v>
      </c>
      <c r="AA430" s="19">
        <v>10594.88</v>
      </c>
      <c r="AB430" s="19">
        <v>11419.97</v>
      </c>
      <c r="AC430" s="19">
        <v>520.66</v>
      </c>
      <c r="AD430" s="19">
        <v>37.12</v>
      </c>
      <c r="AE430" s="19">
        <v>121.99</v>
      </c>
      <c r="AF430" s="19">
        <v>12.74</v>
      </c>
      <c r="AG430" s="19">
        <v>168.68</v>
      </c>
      <c r="AH430" s="19">
        <v>78.36</v>
      </c>
      <c r="AI430" s="19">
        <v>16.77</v>
      </c>
      <c r="AJ430" s="19">
        <v>1054.64</v>
      </c>
      <c r="AK430" s="3">
        <f t="shared" si="59"/>
        <v>0</v>
      </c>
      <c r="AL430" s="3">
        <v>0</v>
      </c>
      <c r="AM430" s="3">
        <f t="shared" si="58"/>
        <v>0</v>
      </c>
    </row>
    <row r="431" spans="1:39">
      <c r="A431" s="7">
        <v>2004</v>
      </c>
      <c r="B431" s="7" t="s">
        <v>55</v>
      </c>
      <c r="C431" s="7">
        <v>0.12824297</v>
      </c>
      <c r="D431" s="7">
        <v>0.026113</v>
      </c>
      <c r="E431" s="7">
        <v>0.006552</v>
      </c>
      <c r="F431" s="7">
        <v>0.011906</v>
      </c>
      <c r="G431" s="7">
        <v>0.003755</v>
      </c>
      <c r="H431" s="7">
        <v>0.003899</v>
      </c>
      <c r="I431" s="7">
        <v>0.024844</v>
      </c>
      <c r="J431" s="7">
        <v>0.012819</v>
      </c>
      <c r="K431" s="16">
        <v>13074</v>
      </c>
      <c r="L431" s="17">
        <v>9717</v>
      </c>
      <c r="M431" s="16">
        <v>8553.79</v>
      </c>
      <c r="N431" s="7">
        <f t="shared" si="60"/>
        <v>1.34547699907379</v>
      </c>
      <c r="O431" s="7">
        <f t="shared" si="61"/>
        <v>1.528445285657</v>
      </c>
      <c r="P431" s="8">
        <v>360704335.3</v>
      </c>
      <c r="Q431" s="8">
        <f t="shared" si="54"/>
        <v>4.21689491207991</v>
      </c>
      <c r="R431" s="9">
        <v>1300.4</v>
      </c>
      <c r="S431" s="9">
        <v>8325.8</v>
      </c>
      <c r="T431" s="9">
        <v>5197</v>
      </c>
      <c r="U431" s="9">
        <v>19790</v>
      </c>
      <c r="V431" s="18">
        <v>0</v>
      </c>
      <c r="W431" s="18">
        <v>0</v>
      </c>
      <c r="X431" s="18">
        <f t="shared" si="55"/>
        <v>0</v>
      </c>
      <c r="Y431" s="12">
        <f t="shared" si="56"/>
        <v>3.89549779892895</v>
      </c>
      <c r="Z431" s="12">
        <f t="shared" si="57"/>
        <v>0</v>
      </c>
      <c r="AA431" s="19">
        <v>13074.16</v>
      </c>
      <c r="AB431" s="19">
        <v>14937.64</v>
      </c>
      <c r="AC431" s="19">
        <v>818.01</v>
      </c>
      <c r="AD431" s="19">
        <v>704.54</v>
      </c>
      <c r="AE431" s="19">
        <v>221.95</v>
      </c>
      <c r="AF431" s="19">
        <v>12.63</v>
      </c>
      <c r="AG431" s="19">
        <v>274.83</v>
      </c>
      <c r="AH431" s="19">
        <v>77.25</v>
      </c>
      <c r="AI431" s="19">
        <v>20.29</v>
      </c>
      <c r="AJ431" s="19">
        <v>1299.63</v>
      </c>
      <c r="AK431" s="3">
        <f t="shared" si="59"/>
        <v>0</v>
      </c>
      <c r="AL431" s="3">
        <v>0</v>
      </c>
      <c r="AM431" s="3">
        <f t="shared" si="58"/>
        <v>0</v>
      </c>
    </row>
    <row r="432" spans="1:39">
      <c r="A432" s="7">
        <v>2005</v>
      </c>
      <c r="B432" s="7" t="s">
        <v>55</v>
      </c>
      <c r="C432" s="7">
        <v>0.12487746</v>
      </c>
      <c r="D432" s="7">
        <v>0.024683</v>
      </c>
      <c r="E432" s="7">
        <v>0.006128</v>
      </c>
      <c r="F432" s="7">
        <v>0.01121</v>
      </c>
      <c r="G432" s="7">
        <v>0.003801</v>
      </c>
      <c r="H432" s="7">
        <v>0.003544</v>
      </c>
      <c r="I432" s="7">
        <v>0.025633</v>
      </c>
      <c r="J432" s="7">
        <v>0.013324</v>
      </c>
      <c r="K432" s="16">
        <v>14625</v>
      </c>
      <c r="L432" s="17">
        <v>9380</v>
      </c>
      <c r="M432" s="16">
        <v>10587.42</v>
      </c>
      <c r="N432" s="7">
        <f t="shared" si="60"/>
        <v>1.5591684434968</v>
      </c>
      <c r="O432" s="7">
        <f t="shared" si="61"/>
        <v>1.38135636444006</v>
      </c>
      <c r="P432" s="8">
        <v>409374009.2</v>
      </c>
      <c r="Q432" s="8">
        <f t="shared" si="54"/>
        <v>3.8666078156907</v>
      </c>
      <c r="R432" s="9">
        <v>1390.2</v>
      </c>
      <c r="S432" s="9">
        <v>10234.1</v>
      </c>
      <c r="T432" s="9">
        <v>6497.1</v>
      </c>
      <c r="U432" s="9">
        <v>23984</v>
      </c>
      <c r="V432" s="18">
        <v>0</v>
      </c>
      <c r="W432" s="18">
        <v>0</v>
      </c>
      <c r="X432" s="18">
        <f t="shared" si="55"/>
        <v>0</v>
      </c>
      <c r="Y432" s="12">
        <f t="shared" si="56"/>
        <v>3.71995059106252</v>
      </c>
      <c r="Z432" s="12">
        <f t="shared" si="57"/>
        <v>0</v>
      </c>
      <c r="AA432" s="19">
        <v>14624.6</v>
      </c>
      <c r="AB432" s="19">
        <v>18467.89</v>
      </c>
      <c r="AC432" s="19">
        <v>994.37</v>
      </c>
      <c r="AD432" s="19">
        <v>668.82</v>
      </c>
      <c r="AE432" s="19">
        <v>234.54</v>
      </c>
      <c r="AF432" s="19">
        <v>13.91</v>
      </c>
      <c r="AG432" s="19">
        <v>329.47</v>
      </c>
      <c r="AH432" s="19">
        <v>78.46</v>
      </c>
      <c r="AI432" s="19">
        <v>23.71</v>
      </c>
      <c r="AJ432" s="19">
        <v>1352.74</v>
      </c>
      <c r="AK432" s="3">
        <f t="shared" si="59"/>
        <v>0</v>
      </c>
      <c r="AL432" s="3">
        <v>0</v>
      </c>
      <c r="AM432" s="3">
        <f t="shared" si="58"/>
        <v>0</v>
      </c>
    </row>
    <row r="433" spans="1:39">
      <c r="A433" s="7">
        <v>2006</v>
      </c>
      <c r="B433" s="7" t="s">
        <v>55</v>
      </c>
      <c r="C433" s="7">
        <v>0.13490728</v>
      </c>
      <c r="D433" s="7">
        <v>0.025541</v>
      </c>
      <c r="E433" s="7">
        <v>0.006366</v>
      </c>
      <c r="F433" s="7">
        <v>0.011526</v>
      </c>
      <c r="G433" s="7">
        <v>0.003915</v>
      </c>
      <c r="H433" s="7">
        <v>0.003735</v>
      </c>
      <c r="I433" s="7">
        <v>0.02863</v>
      </c>
      <c r="J433" s="7">
        <v>0.01403</v>
      </c>
      <c r="K433" s="16">
        <v>16234</v>
      </c>
      <c r="L433" s="17">
        <v>9392</v>
      </c>
      <c r="M433" s="16">
        <v>12362.79</v>
      </c>
      <c r="N433" s="7">
        <f t="shared" si="60"/>
        <v>1.72849233390119</v>
      </c>
      <c r="O433" s="7">
        <f t="shared" si="61"/>
        <v>1.31313400939432</v>
      </c>
      <c r="P433" s="8">
        <v>453770064.9</v>
      </c>
      <c r="Q433" s="8">
        <f t="shared" si="54"/>
        <v>3.6704503182534</v>
      </c>
      <c r="R433" s="9">
        <v>1468.3</v>
      </c>
      <c r="S433" s="9">
        <v>11991.1</v>
      </c>
      <c r="T433" s="9">
        <v>7781.4</v>
      </c>
      <c r="U433" s="9">
        <v>27868</v>
      </c>
      <c r="V433" s="18">
        <v>0</v>
      </c>
      <c r="W433" s="18">
        <v>0</v>
      </c>
      <c r="X433" s="18">
        <f t="shared" si="55"/>
        <v>0</v>
      </c>
      <c r="Y433" s="12">
        <f t="shared" si="56"/>
        <v>3.57740717995078</v>
      </c>
      <c r="Z433" s="12">
        <f t="shared" si="57"/>
        <v>0</v>
      </c>
      <c r="AA433" s="19">
        <v>16235.32</v>
      </c>
      <c r="AB433" s="19">
        <v>21002.82</v>
      </c>
      <c r="AC433" s="19">
        <v>1192.23</v>
      </c>
      <c r="AD433" s="19">
        <v>696.57</v>
      </c>
      <c r="AE433" s="19">
        <v>249.69</v>
      </c>
      <c r="AF433" s="19">
        <v>16.03</v>
      </c>
      <c r="AG433" s="19">
        <v>346.01</v>
      </c>
      <c r="AH433" s="19">
        <v>70.37</v>
      </c>
      <c r="AI433" s="19">
        <v>30.53</v>
      </c>
      <c r="AJ433" s="19">
        <v>1534.21</v>
      </c>
      <c r="AK433" s="3">
        <f t="shared" si="59"/>
        <v>0</v>
      </c>
      <c r="AL433" s="3">
        <v>0</v>
      </c>
      <c r="AM433" s="3">
        <f t="shared" si="58"/>
        <v>0</v>
      </c>
    </row>
    <row r="434" spans="1:39">
      <c r="A434" s="7">
        <v>2007</v>
      </c>
      <c r="B434" s="7" t="s">
        <v>55</v>
      </c>
      <c r="C434" s="7">
        <v>0.15477076</v>
      </c>
      <c r="D434" s="7">
        <v>0.030568</v>
      </c>
      <c r="E434" s="7">
        <v>0.00781</v>
      </c>
      <c r="F434" s="7">
        <v>0.014235</v>
      </c>
      <c r="G434" s="7">
        <v>0.004476</v>
      </c>
      <c r="H434" s="7">
        <v>0.004048</v>
      </c>
      <c r="I434" s="7">
        <v>0.028709</v>
      </c>
      <c r="J434" s="7">
        <v>0.014243</v>
      </c>
      <c r="K434" s="16">
        <v>17838</v>
      </c>
      <c r="L434" s="17">
        <v>9360</v>
      </c>
      <c r="M434" s="16">
        <v>15012.46</v>
      </c>
      <c r="N434" s="7">
        <f t="shared" si="60"/>
        <v>1.90576923076923</v>
      </c>
      <c r="O434" s="7">
        <f t="shared" si="61"/>
        <v>1.18821299107541</v>
      </c>
      <c r="P434" s="8">
        <v>498979481.6</v>
      </c>
      <c r="Q434" s="8">
        <f t="shared" si="54"/>
        <v>3.32376893327276</v>
      </c>
      <c r="R434" s="9">
        <v>1715.6</v>
      </c>
      <c r="S434" s="9">
        <v>14497.4</v>
      </c>
      <c r="T434" s="9">
        <v>9775.4</v>
      </c>
      <c r="U434" s="9">
        <v>33798</v>
      </c>
      <c r="V434" s="18">
        <v>0</v>
      </c>
      <c r="W434" s="18">
        <v>0</v>
      </c>
      <c r="X434" s="18">
        <f t="shared" si="55"/>
        <v>0</v>
      </c>
      <c r="Y434" s="12">
        <f t="shared" si="56"/>
        <v>3.23986794305777</v>
      </c>
      <c r="Z434" s="12">
        <f t="shared" si="57"/>
        <v>0</v>
      </c>
      <c r="AA434" s="19">
        <v>17841</v>
      </c>
      <c r="AB434" s="19">
        <v>23171</v>
      </c>
      <c r="AC434" s="19">
        <v>1437.05</v>
      </c>
      <c r="AD434" s="19">
        <v>713.83</v>
      </c>
      <c r="AE434" s="19">
        <v>210.9</v>
      </c>
      <c r="AF434" s="19">
        <v>17.03</v>
      </c>
      <c r="AG434" s="19">
        <v>460.51</v>
      </c>
      <c r="AH434" s="19">
        <v>62.78</v>
      </c>
      <c r="AI434" s="19">
        <v>33.14</v>
      </c>
      <c r="AJ434" s="19">
        <v>1864.14</v>
      </c>
      <c r="AK434" s="3">
        <f t="shared" si="59"/>
        <v>0</v>
      </c>
      <c r="AL434" s="3">
        <v>0</v>
      </c>
      <c r="AM434" s="3">
        <f t="shared" si="58"/>
        <v>0</v>
      </c>
    </row>
    <row r="435" spans="1:39">
      <c r="A435" s="7">
        <v>2008</v>
      </c>
      <c r="B435" s="7" t="s">
        <v>55</v>
      </c>
      <c r="C435" s="7">
        <v>0.16638113</v>
      </c>
      <c r="D435" s="7">
        <v>0.0311</v>
      </c>
      <c r="E435" s="7">
        <v>0.007744</v>
      </c>
      <c r="F435" s="7">
        <v>0.014057</v>
      </c>
      <c r="G435" s="7">
        <v>0.004531</v>
      </c>
      <c r="H435" s="7">
        <v>0.004768</v>
      </c>
      <c r="I435" s="7">
        <v>0.030956</v>
      </c>
      <c r="J435" s="7">
        <v>0.01591</v>
      </c>
      <c r="K435" s="16">
        <v>18976</v>
      </c>
      <c r="L435" s="17">
        <v>9429</v>
      </c>
      <c r="M435" s="16">
        <v>18018.53</v>
      </c>
      <c r="N435" s="7">
        <f t="shared" si="60"/>
        <v>2.01251458267048</v>
      </c>
      <c r="O435" s="7">
        <f t="shared" si="61"/>
        <v>1.0531380750816</v>
      </c>
      <c r="P435" s="8">
        <v>515464760.6</v>
      </c>
      <c r="Q435" s="8">
        <f t="shared" si="54"/>
        <v>2.8607481331718</v>
      </c>
      <c r="R435" s="9">
        <v>1988.2</v>
      </c>
      <c r="S435" s="9">
        <v>17051.1</v>
      </c>
      <c r="T435" s="9">
        <v>11906.2</v>
      </c>
      <c r="U435" s="9">
        <v>39967</v>
      </c>
      <c r="V435" s="18">
        <v>0</v>
      </c>
      <c r="W435" s="18">
        <v>0</v>
      </c>
      <c r="X435" s="18">
        <f t="shared" si="55"/>
        <v>0</v>
      </c>
      <c r="Y435" s="12">
        <f t="shared" si="56"/>
        <v>2.71728515287532</v>
      </c>
      <c r="Z435" s="12">
        <f t="shared" si="57"/>
        <v>0</v>
      </c>
      <c r="AA435" s="19">
        <v>18976</v>
      </c>
      <c r="AB435" s="19">
        <v>23868</v>
      </c>
      <c r="AC435" s="19">
        <v>1488.98</v>
      </c>
      <c r="AD435" s="19">
        <v>704.22</v>
      </c>
      <c r="AE435" s="19">
        <v>191.75</v>
      </c>
      <c r="AF435" s="19">
        <v>16.5</v>
      </c>
      <c r="AG435" s="19">
        <v>543.45</v>
      </c>
      <c r="AH435" s="19">
        <v>46.08</v>
      </c>
      <c r="AI435" s="19">
        <v>38.23</v>
      </c>
      <c r="AJ435" s="19">
        <v>2092.63</v>
      </c>
      <c r="AK435" s="3">
        <f t="shared" si="59"/>
        <v>0</v>
      </c>
      <c r="AL435" s="3">
        <v>0</v>
      </c>
      <c r="AM435" s="3">
        <f t="shared" si="58"/>
        <v>0</v>
      </c>
    </row>
    <row r="436" spans="1:39">
      <c r="A436" s="7">
        <v>2009</v>
      </c>
      <c r="B436" s="7" t="s">
        <v>55</v>
      </c>
      <c r="C436" s="7">
        <v>0.17257333</v>
      </c>
      <c r="D436" s="7">
        <v>0.031334</v>
      </c>
      <c r="E436" s="7">
        <v>0.007876</v>
      </c>
      <c r="F436" s="7">
        <v>0.014473</v>
      </c>
      <c r="G436" s="7">
        <v>0.004597</v>
      </c>
      <c r="H436" s="7">
        <v>0.004388</v>
      </c>
      <c r="I436" s="7">
        <v>0.032395</v>
      </c>
      <c r="J436" s="7">
        <v>0.017611</v>
      </c>
      <c r="K436" s="16">
        <v>19751</v>
      </c>
      <c r="L436" s="17">
        <v>9487.05</v>
      </c>
      <c r="M436" s="16">
        <v>19480.46</v>
      </c>
      <c r="N436" s="7">
        <f t="shared" si="60"/>
        <v>2.08189057715517</v>
      </c>
      <c r="O436" s="7">
        <f t="shared" si="61"/>
        <v>1.01388776240397</v>
      </c>
      <c r="P436" s="8">
        <v>539729858.5</v>
      </c>
      <c r="Q436" s="8">
        <f t="shared" si="54"/>
        <v>2.77062173326503</v>
      </c>
      <c r="R436" s="9">
        <v>2143.6</v>
      </c>
      <c r="S436" s="9">
        <v>18667.2</v>
      </c>
      <c r="T436" s="9">
        <v>13660.9</v>
      </c>
      <c r="U436" s="9">
        <v>44272</v>
      </c>
      <c r="V436" s="18">
        <v>0</v>
      </c>
      <c r="W436" s="18">
        <v>0</v>
      </c>
      <c r="X436" s="18">
        <f t="shared" si="55"/>
        <v>0</v>
      </c>
      <c r="Y436" s="12">
        <f t="shared" si="56"/>
        <v>2.66960201713366</v>
      </c>
      <c r="Z436" s="12">
        <f t="shared" si="57"/>
        <v>0</v>
      </c>
      <c r="AA436" s="19">
        <v>19751</v>
      </c>
      <c r="AB436" s="19">
        <v>24445</v>
      </c>
      <c r="AC436" s="19">
        <v>1441.74</v>
      </c>
      <c r="AD436" s="19">
        <v>785.82</v>
      </c>
      <c r="AE436" s="19">
        <v>196.36</v>
      </c>
      <c r="AF436" s="19">
        <v>25.63</v>
      </c>
      <c r="AG436" s="19">
        <v>526.18</v>
      </c>
      <c r="AH436" s="19">
        <v>25.93</v>
      </c>
      <c r="AI436" s="19">
        <v>41.5</v>
      </c>
      <c r="AJ436" s="19">
        <v>2275.19</v>
      </c>
      <c r="AK436" s="3">
        <f t="shared" si="59"/>
        <v>0</v>
      </c>
      <c r="AL436" s="3">
        <v>0</v>
      </c>
      <c r="AM436" s="3">
        <f t="shared" si="58"/>
        <v>0</v>
      </c>
    </row>
    <row r="437" spans="1:39">
      <c r="A437" s="7">
        <v>2010</v>
      </c>
      <c r="B437" s="7" t="s">
        <v>55</v>
      </c>
      <c r="C437" s="7">
        <v>0.18523264</v>
      </c>
      <c r="D437" s="7">
        <v>0.033727</v>
      </c>
      <c r="E437" s="7">
        <v>0.008181</v>
      </c>
      <c r="F437" s="7">
        <v>0.015117</v>
      </c>
      <c r="G437" s="7">
        <v>0.004823</v>
      </c>
      <c r="H437" s="7">
        <v>0.005606</v>
      </c>
      <c r="I437" s="7">
        <v>0.032673</v>
      </c>
      <c r="J437" s="7">
        <v>0.017659</v>
      </c>
      <c r="K437" s="16">
        <v>18964</v>
      </c>
      <c r="L437" s="17">
        <v>9405.47</v>
      </c>
      <c r="M437" s="16">
        <v>23092.36</v>
      </c>
      <c r="N437" s="7">
        <f t="shared" si="60"/>
        <v>2.01627350892619</v>
      </c>
      <c r="O437" s="7">
        <f t="shared" si="61"/>
        <v>0.821223989232802</v>
      </c>
      <c r="P437" s="8">
        <v>579721040.6</v>
      </c>
      <c r="Q437" s="8">
        <f t="shared" si="54"/>
        <v>2.51044518879837</v>
      </c>
      <c r="R437" s="9">
        <v>2409.2</v>
      </c>
      <c r="S437" s="9">
        <v>21853.6</v>
      </c>
      <c r="T437" s="9">
        <v>17121</v>
      </c>
      <c r="U437" s="9">
        <v>52787</v>
      </c>
      <c r="V437" s="18">
        <v>0</v>
      </c>
      <c r="W437" s="18">
        <v>0</v>
      </c>
      <c r="X437" s="18">
        <f t="shared" si="55"/>
        <v>0</v>
      </c>
      <c r="Y437" s="12">
        <f t="shared" si="56"/>
        <v>2.40850270516871</v>
      </c>
      <c r="Z437" s="12">
        <f t="shared" si="57"/>
        <v>0</v>
      </c>
      <c r="AA437" s="19">
        <v>21437.76</v>
      </c>
      <c r="AB437" s="19">
        <v>26050</v>
      </c>
      <c r="AC437" s="19">
        <v>1743.44</v>
      </c>
      <c r="AD437" s="19">
        <v>835.07</v>
      </c>
      <c r="AE437" s="19">
        <v>297.49</v>
      </c>
      <c r="AF437" s="19">
        <v>30.64</v>
      </c>
      <c r="AG437" s="19">
        <v>561.22</v>
      </c>
      <c r="AH437" s="19">
        <v>18.34</v>
      </c>
      <c r="AI437" s="19">
        <v>47.15</v>
      </c>
      <c r="AJ437" s="19">
        <v>2353.96</v>
      </c>
      <c r="AK437" s="3">
        <f t="shared" si="59"/>
        <v>0</v>
      </c>
      <c r="AL437" s="3">
        <v>0</v>
      </c>
      <c r="AM437" s="3">
        <f t="shared" si="58"/>
        <v>0</v>
      </c>
    </row>
    <row r="438" spans="1:39">
      <c r="A438" s="7">
        <v>2011</v>
      </c>
      <c r="B438" s="7" t="s">
        <v>55</v>
      </c>
      <c r="C438" s="7">
        <v>0.18645603</v>
      </c>
      <c r="D438" s="7">
        <v>0.034292</v>
      </c>
      <c r="E438" s="7">
        <v>0.008478</v>
      </c>
      <c r="F438" s="7">
        <v>0.015146</v>
      </c>
      <c r="G438" s="7">
        <v>0.005181</v>
      </c>
      <c r="H438" s="7">
        <v>0.005487</v>
      </c>
      <c r="I438" s="7">
        <v>0.034293</v>
      </c>
      <c r="J438" s="7">
        <v>0.016141</v>
      </c>
      <c r="K438" s="16">
        <v>20462</v>
      </c>
      <c r="L438" s="17">
        <v>9461</v>
      </c>
      <c r="M438" s="16">
        <v>26931.03</v>
      </c>
      <c r="N438" s="7">
        <f t="shared" si="60"/>
        <v>2.16277349117429</v>
      </c>
      <c r="O438" s="7">
        <f t="shared" si="61"/>
        <v>0.759792700093535</v>
      </c>
      <c r="P438" s="8">
        <v>629821628.5</v>
      </c>
      <c r="Q438" s="8">
        <f t="shared" si="54"/>
        <v>2.33864664106794</v>
      </c>
      <c r="R438" s="9">
        <v>2908.8</v>
      </c>
      <c r="S438" s="9">
        <v>25231.2</v>
      </c>
      <c r="T438" s="9">
        <v>20699.2</v>
      </c>
      <c r="U438" s="9">
        <v>61464</v>
      </c>
      <c r="V438" s="18">
        <v>0</v>
      </c>
      <c r="W438" s="18">
        <v>0</v>
      </c>
      <c r="X438" s="18">
        <f t="shared" si="55"/>
        <v>0</v>
      </c>
      <c r="Y438" s="12">
        <f t="shared" si="56"/>
        <v>2.18035126729488</v>
      </c>
      <c r="Z438" s="12">
        <f t="shared" si="57"/>
        <v>0</v>
      </c>
      <c r="AA438" s="19">
        <v>23062</v>
      </c>
      <c r="AB438" s="19">
        <v>28374</v>
      </c>
      <c r="AC438" s="19">
        <v>2052.63</v>
      </c>
      <c r="AD438" s="19">
        <v>874.63</v>
      </c>
      <c r="AE438" s="19">
        <v>358.53</v>
      </c>
      <c r="AF438" s="19">
        <v>49.64</v>
      </c>
      <c r="AG438" s="19">
        <v>663.34</v>
      </c>
      <c r="AH438" s="19">
        <v>41.83</v>
      </c>
      <c r="AI438" s="19">
        <v>54.96</v>
      </c>
      <c r="AJ438" s="19">
        <v>2823</v>
      </c>
      <c r="AK438" s="3">
        <f t="shared" si="59"/>
        <v>0</v>
      </c>
      <c r="AL438" s="3">
        <v>0</v>
      </c>
      <c r="AM438" s="3">
        <f t="shared" si="58"/>
        <v>0</v>
      </c>
    </row>
    <row r="439" spans="1:39">
      <c r="A439" s="7">
        <v>2012</v>
      </c>
      <c r="B439" s="7" t="s">
        <v>55</v>
      </c>
      <c r="C439" s="7">
        <v>0.17498082</v>
      </c>
      <c r="D439" s="7">
        <v>0.032951</v>
      </c>
      <c r="E439" s="7">
        <v>0.008337</v>
      </c>
      <c r="F439" s="7">
        <v>0.014775</v>
      </c>
      <c r="G439" s="7">
        <v>0.004867</v>
      </c>
      <c r="H439" s="7">
        <v>0.004971</v>
      </c>
      <c r="I439" s="7">
        <v>0.033477</v>
      </c>
      <c r="J439" s="7">
        <v>0.014735</v>
      </c>
      <c r="K439" s="16">
        <v>20920</v>
      </c>
      <c r="L439" s="17">
        <v>9532</v>
      </c>
      <c r="M439" s="16">
        <v>29599.31</v>
      </c>
      <c r="N439" s="7">
        <f t="shared" si="60"/>
        <v>2.1947125472094</v>
      </c>
      <c r="O439" s="7">
        <f t="shared" si="61"/>
        <v>0.706773232213859</v>
      </c>
      <c r="P439" s="8">
        <v>650228607.5</v>
      </c>
      <c r="Q439" s="8">
        <f t="shared" si="54"/>
        <v>2.19676947705876</v>
      </c>
      <c r="R439" s="9">
        <v>3241.4</v>
      </c>
      <c r="S439" s="9">
        <v>27150.8</v>
      </c>
      <c r="T439" s="9">
        <v>23309.8</v>
      </c>
      <c r="U439" s="9">
        <v>66533</v>
      </c>
      <c r="V439" s="18">
        <v>0</v>
      </c>
      <c r="W439" s="18">
        <v>0</v>
      </c>
      <c r="X439" s="18">
        <f t="shared" si="55"/>
        <v>0</v>
      </c>
      <c r="Y439" s="12">
        <f t="shared" si="56"/>
        <v>2.01609935715007</v>
      </c>
      <c r="Z439" s="12">
        <f t="shared" si="57"/>
        <v>0</v>
      </c>
      <c r="AA439" s="19">
        <v>23647.11</v>
      </c>
      <c r="AB439" s="19">
        <v>25240</v>
      </c>
      <c r="AC439" s="19">
        <v>2221.93</v>
      </c>
      <c r="AD439" s="19">
        <v>1010.02</v>
      </c>
      <c r="AE439" s="19">
        <v>426.92</v>
      </c>
      <c r="AF439" s="19">
        <v>53.39</v>
      </c>
      <c r="AG439" s="19">
        <v>738.19</v>
      </c>
      <c r="AH439" s="19">
        <v>13.16</v>
      </c>
      <c r="AI439" s="19">
        <v>73.92</v>
      </c>
      <c r="AJ439" s="19">
        <v>2926.2</v>
      </c>
      <c r="AK439" s="3">
        <f t="shared" si="59"/>
        <v>0</v>
      </c>
      <c r="AL439" s="3">
        <v>0</v>
      </c>
      <c r="AM439" s="3">
        <f t="shared" si="58"/>
        <v>0</v>
      </c>
    </row>
    <row r="440" spans="1:39">
      <c r="A440" s="7">
        <v>2013</v>
      </c>
      <c r="B440" s="7" t="s">
        <v>55</v>
      </c>
      <c r="C440" s="7">
        <v>0.19312562</v>
      </c>
      <c r="D440" s="7">
        <v>0.036216</v>
      </c>
      <c r="E440" s="7">
        <v>0.00906</v>
      </c>
      <c r="F440" s="7">
        <v>0.016632</v>
      </c>
      <c r="G440" s="7">
        <v>0.005024</v>
      </c>
      <c r="H440" s="7">
        <v>0.0055</v>
      </c>
      <c r="I440" s="7">
        <v>0.034541</v>
      </c>
      <c r="J440" s="7">
        <v>0.016261</v>
      </c>
      <c r="K440" s="16">
        <v>21909</v>
      </c>
      <c r="L440" s="17">
        <v>9573</v>
      </c>
      <c r="M440" s="16">
        <v>32191.3</v>
      </c>
      <c r="N440" s="7">
        <f t="shared" si="60"/>
        <v>2.28862425571921</v>
      </c>
      <c r="O440" s="7">
        <f t="shared" si="61"/>
        <v>0.680587612180931</v>
      </c>
      <c r="P440" s="8">
        <v>671934918.1</v>
      </c>
      <c r="Q440" s="8">
        <f t="shared" si="54"/>
        <v>2.08731836893819</v>
      </c>
      <c r="R440" s="9">
        <v>3447.5</v>
      </c>
      <c r="S440" s="9">
        <v>29149.4</v>
      </c>
      <c r="T440" s="9">
        <v>26752.5</v>
      </c>
      <c r="U440" s="9">
        <v>72768</v>
      </c>
      <c r="V440" s="18">
        <v>0</v>
      </c>
      <c r="W440" s="18">
        <v>0</v>
      </c>
      <c r="X440" s="18">
        <f t="shared" si="55"/>
        <v>0</v>
      </c>
      <c r="Y440" s="12">
        <f t="shared" si="56"/>
        <v>1.91398219724656</v>
      </c>
      <c r="Z440" s="12">
        <f t="shared" si="57"/>
        <v>0</v>
      </c>
      <c r="AA440" s="19">
        <v>21909</v>
      </c>
      <c r="AB440" s="19">
        <v>25058.14</v>
      </c>
      <c r="AC440" s="19">
        <v>1817.47</v>
      </c>
      <c r="AD440" s="19">
        <v>963.57</v>
      </c>
      <c r="AE440" s="19">
        <v>556.92</v>
      </c>
      <c r="AF440" s="19">
        <v>46.07</v>
      </c>
      <c r="AG440" s="19">
        <v>777.59</v>
      </c>
      <c r="AH440" s="19">
        <v>33.89</v>
      </c>
      <c r="AI440" s="19">
        <v>79.77</v>
      </c>
      <c r="AJ440" s="19">
        <v>2899.18</v>
      </c>
      <c r="AK440" s="3">
        <f t="shared" si="59"/>
        <v>1</v>
      </c>
      <c r="AL440" s="3">
        <v>0</v>
      </c>
      <c r="AM440" s="3">
        <f t="shared" si="58"/>
        <v>0</v>
      </c>
    </row>
    <row r="441" spans="1:39">
      <c r="A441" s="7">
        <v>2014</v>
      </c>
      <c r="B441" s="7" t="s">
        <v>55</v>
      </c>
      <c r="C441" s="7">
        <v>0.19788905</v>
      </c>
      <c r="D441" s="7">
        <v>0.035996</v>
      </c>
      <c r="E441" s="7">
        <v>0.009446</v>
      </c>
      <c r="F441" s="7">
        <v>0.016122</v>
      </c>
      <c r="G441" s="7">
        <v>0.005116</v>
      </c>
      <c r="H441" s="7">
        <v>0.005312</v>
      </c>
      <c r="I441" s="7">
        <v>0.03534</v>
      </c>
      <c r="J441" s="7">
        <v>0.017865</v>
      </c>
      <c r="K441" s="16">
        <v>22890</v>
      </c>
      <c r="L441" s="17">
        <v>9645</v>
      </c>
      <c r="M441" s="16">
        <v>34938.24</v>
      </c>
      <c r="N441" s="7">
        <f t="shared" si="60"/>
        <v>2.37325038880249</v>
      </c>
      <c r="O441" s="7">
        <f t="shared" si="61"/>
        <v>0.655156069681816</v>
      </c>
      <c r="P441" s="8">
        <v>662241931.5</v>
      </c>
      <c r="Q441" s="8">
        <f t="shared" si="54"/>
        <v>1.89546448676293</v>
      </c>
      <c r="R441" s="9">
        <v>3607.4</v>
      </c>
      <c r="S441" s="9">
        <v>31048.8</v>
      </c>
      <c r="T441" s="9">
        <v>30174.3</v>
      </c>
      <c r="U441" s="9">
        <v>78711</v>
      </c>
      <c r="V441" s="18">
        <v>0</v>
      </c>
      <c r="W441" s="18">
        <v>0</v>
      </c>
      <c r="X441" s="18">
        <f t="shared" si="55"/>
        <v>0</v>
      </c>
      <c r="Y441" s="12">
        <f t="shared" si="56"/>
        <v>1.79640226266579</v>
      </c>
      <c r="Z441" s="12">
        <f t="shared" si="57"/>
        <v>0</v>
      </c>
      <c r="AA441" s="19">
        <v>22889.93</v>
      </c>
      <c r="AB441" s="19">
        <v>24249.88</v>
      </c>
      <c r="AC441" s="19">
        <v>2700.94</v>
      </c>
      <c r="AD441" s="19">
        <v>845.17</v>
      </c>
      <c r="AE441" s="19">
        <v>529.82</v>
      </c>
      <c r="AF441" s="19">
        <v>50.5</v>
      </c>
      <c r="AG441" s="19">
        <v>800.47</v>
      </c>
      <c r="AH441" s="19">
        <v>49.3</v>
      </c>
      <c r="AI441" s="19">
        <v>76.87</v>
      </c>
      <c r="AJ441" s="19">
        <v>2919.57</v>
      </c>
      <c r="AK441" s="3">
        <f t="shared" si="59"/>
        <v>1</v>
      </c>
      <c r="AL441" s="3">
        <v>0</v>
      </c>
      <c r="AM441" s="3">
        <f t="shared" si="58"/>
        <v>0</v>
      </c>
    </row>
    <row r="442" spans="1:39">
      <c r="A442" s="7">
        <v>2015</v>
      </c>
      <c r="B442" s="7" t="s">
        <v>55</v>
      </c>
      <c r="C442" s="7">
        <v>0.20922908</v>
      </c>
      <c r="D442" s="7">
        <v>0.03526</v>
      </c>
      <c r="E442" s="7">
        <v>0.009135</v>
      </c>
      <c r="F442" s="7">
        <v>0.015774</v>
      </c>
      <c r="G442" s="7">
        <v>0.005294</v>
      </c>
      <c r="H442" s="7">
        <v>0.005057</v>
      </c>
      <c r="I442" s="7">
        <v>0.039373</v>
      </c>
      <c r="J442" s="7">
        <v>0.02114</v>
      </c>
      <c r="K442" s="16">
        <v>22343</v>
      </c>
      <c r="L442" s="17">
        <v>9701</v>
      </c>
      <c r="M442" s="16">
        <v>37002.16</v>
      </c>
      <c r="N442" s="7">
        <f t="shared" si="60"/>
        <v>2.3031646222039</v>
      </c>
      <c r="O442" s="7">
        <f t="shared" si="61"/>
        <v>0.603829614271167</v>
      </c>
      <c r="P442" s="8">
        <v>657402349.5</v>
      </c>
      <c r="Q442" s="8">
        <f t="shared" si="54"/>
        <v>1.77665938826274</v>
      </c>
      <c r="R442" s="9">
        <v>3952.5</v>
      </c>
      <c r="S442" s="9">
        <v>33371.8</v>
      </c>
      <c r="T442" s="9">
        <v>33931.7</v>
      </c>
      <c r="U442" s="9">
        <v>85871</v>
      </c>
      <c r="V442" s="18">
        <v>0</v>
      </c>
      <c r="W442" s="18">
        <v>0</v>
      </c>
      <c r="X442" s="18">
        <f t="shared" si="55"/>
        <v>0</v>
      </c>
      <c r="Y442" s="12">
        <f t="shared" si="56"/>
        <v>1.71577514742415</v>
      </c>
      <c r="Z442" s="12">
        <f t="shared" si="57"/>
        <v>0</v>
      </c>
      <c r="AA442" s="19">
        <v>22343</v>
      </c>
      <c r="AB442" s="19">
        <v>24253.68</v>
      </c>
      <c r="AC442" s="19">
        <v>1414.15</v>
      </c>
      <c r="AD442" s="19">
        <v>606.37</v>
      </c>
      <c r="AE442" s="19">
        <v>682.1</v>
      </c>
      <c r="AF442" s="19">
        <v>67.76</v>
      </c>
      <c r="AG442" s="19">
        <v>862.41</v>
      </c>
      <c r="AH442" s="19">
        <v>39.03</v>
      </c>
      <c r="AI442" s="19">
        <v>87.14</v>
      </c>
      <c r="AJ442" s="19">
        <v>2880</v>
      </c>
      <c r="AK442" s="3">
        <f t="shared" si="59"/>
        <v>1</v>
      </c>
      <c r="AL442" s="3">
        <v>0</v>
      </c>
      <c r="AM442" s="3">
        <f t="shared" si="58"/>
        <v>0</v>
      </c>
    </row>
    <row r="443" spans="1:39">
      <c r="A443" s="7">
        <v>2016</v>
      </c>
      <c r="B443" s="7" t="s">
        <v>55</v>
      </c>
      <c r="C443" s="7">
        <v>0.17299482</v>
      </c>
      <c r="D443" s="7">
        <v>0.032269</v>
      </c>
      <c r="E443" s="7">
        <v>0.008408</v>
      </c>
      <c r="F443" s="7">
        <v>0.014506</v>
      </c>
      <c r="G443" s="7">
        <v>0.00482</v>
      </c>
      <c r="H443" s="7">
        <v>0.004534</v>
      </c>
      <c r="I443" s="7">
        <v>0.032648</v>
      </c>
      <c r="J443" s="7">
        <v>0.015819</v>
      </c>
      <c r="K443" s="16">
        <v>22323</v>
      </c>
      <c r="L443" s="17">
        <v>9778</v>
      </c>
      <c r="M443" s="16">
        <v>40471.79</v>
      </c>
      <c r="N443" s="7">
        <f t="shared" si="60"/>
        <v>2.28298220494989</v>
      </c>
      <c r="O443" s="7">
        <f t="shared" si="61"/>
        <v>0.551569377089573</v>
      </c>
      <c r="P443" s="8">
        <v>644779440.1</v>
      </c>
      <c r="Q443" s="8">
        <f t="shared" si="54"/>
        <v>1.5931577034275</v>
      </c>
      <c r="R443" s="9">
        <v>4039.8</v>
      </c>
      <c r="S443" s="9">
        <v>35041.5</v>
      </c>
      <c r="T443" s="9">
        <v>38269.6</v>
      </c>
      <c r="U443" s="9">
        <v>92658</v>
      </c>
      <c r="V443" s="18">
        <v>0</v>
      </c>
      <c r="W443" s="18">
        <v>0</v>
      </c>
      <c r="X443" s="18">
        <f t="shared" si="55"/>
        <v>0</v>
      </c>
      <c r="Y443" s="12">
        <f t="shared" si="56"/>
        <v>1.62438398605541</v>
      </c>
      <c r="Z443" s="12">
        <f t="shared" si="57"/>
        <v>0.0192234612603738</v>
      </c>
      <c r="AA443" s="19">
        <v>22323</v>
      </c>
      <c r="AB443" s="19">
        <v>23662.33</v>
      </c>
      <c r="AC443" s="19">
        <v>1341.97</v>
      </c>
      <c r="AD443" s="19">
        <v>685.33</v>
      </c>
      <c r="AE443" s="19">
        <v>700.29</v>
      </c>
      <c r="AF443" s="19">
        <v>74</v>
      </c>
      <c r="AG443" s="19">
        <v>928.12</v>
      </c>
      <c r="AH443" s="19">
        <v>38.66</v>
      </c>
      <c r="AI443" s="19">
        <v>90.38</v>
      </c>
      <c r="AJ443" s="19">
        <v>2989.15</v>
      </c>
      <c r="AK443" s="3">
        <f t="shared" si="59"/>
        <v>1</v>
      </c>
      <c r="AL443" s="3">
        <v>0</v>
      </c>
      <c r="AM443" s="3">
        <f t="shared" si="58"/>
        <v>0</v>
      </c>
    </row>
    <row r="444" spans="1:39">
      <c r="A444" s="7">
        <v>2017</v>
      </c>
      <c r="B444" s="7" t="s">
        <v>55</v>
      </c>
      <c r="C444" s="7">
        <v>0.20908158</v>
      </c>
      <c r="D444" s="7">
        <v>0.036433</v>
      </c>
      <c r="E444" s="7">
        <v>0.00883</v>
      </c>
      <c r="F444" s="7">
        <v>0.016236</v>
      </c>
      <c r="G444" s="7">
        <v>0.005375</v>
      </c>
      <c r="H444" s="7">
        <v>0.005991</v>
      </c>
      <c r="I444" s="7">
        <v>0.038813</v>
      </c>
      <c r="J444" s="7">
        <v>0.018892</v>
      </c>
      <c r="K444" s="16">
        <v>22162</v>
      </c>
      <c r="L444" s="17">
        <v>9829</v>
      </c>
      <c r="M444" s="16">
        <v>44552.83</v>
      </c>
      <c r="N444" s="7">
        <f t="shared" si="60"/>
        <v>2.25475633329942</v>
      </c>
      <c r="O444" s="7">
        <f t="shared" si="61"/>
        <v>0.497431925199813</v>
      </c>
      <c r="P444" s="8">
        <v>647660998.1</v>
      </c>
      <c r="Q444" s="8">
        <f t="shared" si="54"/>
        <v>1.45369216298942</v>
      </c>
      <c r="R444" s="9">
        <v>4045.2</v>
      </c>
      <c r="S444" s="9">
        <v>39124.1</v>
      </c>
      <c r="T444" s="9">
        <v>42700.5</v>
      </c>
      <c r="U444" s="9">
        <v>102202</v>
      </c>
      <c r="V444" s="18">
        <v>1</v>
      </c>
      <c r="W444" s="18">
        <v>0</v>
      </c>
      <c r="X444" s="18">
        <f t="shared" si="55"/>
        <v>0</v>
      </c>
      <c r="Y444" s="12">
        <f t="shared" si="56"/>
        <v>1.56738551218677</v>
      </c>
      <c r="Z444" s="12">
        <f t="shared" si="57"/>
        <v>0.0725369402188285</v>
      </c>
      <c r="AA444" s="19">
        <v>22162</v>
      </c>
      <c r="AB444" s="19">
        <v>22976.12</v>
      </c>
      <c r="AC444" s="19">
        <v>1233.39</v>
      </c>
      <c r="AD444" s="19">
        <v>650.45</v>
      </c>
      <c r="AE444" s="19">
        <v>740.64</v>
      </c>
      <c r="AF444" s="19">
        <v>72.36</v>
      </c>
      <c r="AG444" s="19">
        <v>972.82</v>
      </c>
      <c r="AH444" s="19">
        <v>27.91</v>
      </c>
      <c r="AI444" s="19">
        <v>100.17</v>
      </c>
      <c r="AJ444" s="19">
        <v>3166.17</v>
      </c>
      <c r="AK444" s="3">
        <f t="shared" si="59"/>
        <v>1</v>
      </c>
      <c r="AL444" s="3">
        <v>0</v>
      </c>
      <c r="AM444" s="3">
        <f t="shared" si="58"/>
        <v>0</v>
      </c>
    </row>
    <row r="445" spans="1:39">
      <c r="A445" s="7">
        <v>2018</v>
      </c>
      <c r="B445" s="7" t="s">
        <v>55</v>
      </c>
      <c r="C445" s="7">
        <v>0.21640231</v>
      </c>
      <c r="D445" s="7">
        <v>0.038371</v>
      </c>
      <c r="E445" s="7">
        <v>0.009629</v>
      </c>
      <c r="F445" s="7">
        <v>0.017506</v>
      </c>
      <c r="G445" s="7">
        <v>0.006065</v>
      </c>
      <c r="H445" s="7">
        <v>0.005172</v>
      </c>
      <c r="I445" s="7">
        <v>0.037941</v>
      </c>
      <c r="J445" s="7">
        <v>0.01998</v>
      </c>
      <c r="K445" s="16">
        <v>22659</v>
      </c>
      <c r="L445" s="17">
        <v>9864</v>
      </c>
      <c r="M445" s="16">
        <v>48055.86</v>
      </c>
      <c r="N445" s="7">
        <f t="shared" si="60"/>
        <v>2.29714111922141</v>
      </c>
      <c r="O445" s="7">
        <f t="shared" si="61"/>
        <v>0.471513775843362</v>
      </c>
      <c r="P445" s="8">
        <v>671046223.9</v>
      </c>
      <c r="Q445" s="8">
        <f t="shared" si="54"/>
        <v>1.39638792001641</v>
      </c>
      <c r="R445" s="9">
        <v>4141.7</v>
      </c>
      <c r="S445" s="9">
        <v>42129.4</v>
      </c>
      <c r="T445" s="9">
        <v>46936.5</v>
      </c>
      <c r="U445" s="9">
        <v>110508</v>
      </c>
      <c r="V445" s="18">
        <v>1</v>
      </c>
      <c r="W445" s="18">
        <v>0</v>
      </c>
      <c r="X445" s="18">
        <f t="shared" si="55"/>
        <v>0</v>
      </c>
      <c r="Y445" s="12">
        <f t="shared" si="56"/>
        <v>1.51591455826218</v>
      </c>
      <c r="Z445" s="12">
        <f t="shared" si="57"/>
        <v>0.0788478727869661</v>
      </c>
      <c r="AA445" s="19">
        <v>22659</v>
      </c>
      <c r="AB445" s="19">
        <v>22332.79</v>
      </c>
      <c r="AC445" s="19">
        <v>1423.42</v>
      </c>
      <c r="AD445" s="19">
        <v>828.75</v>
      </c>
      <c r="AE445" s="19">
        <v>761.76</v>
      </c>
      <c r="AF445" s="19">
        <v>81.89</v>
      </c>
      <c r="AG445" s="19">
        <v>993.8</v>
      </c>
      <c r="AH445" s="19">
        <v>31.68</v>
      </c>
      <c r="AI445" s="19">
        <v>106.31</v>
      </c>
      <c r="AJ445" s="19">
        <v>3417.68</v>
      </c>
      <c r="AK445" s="3">
        <f t="shared" si="59"/>
        <v>1</v>
      </c>
      <c r="AL445" s="3">
        <v>0</v>
      </c>
      <c r="AM445" s="3">
        <f t="shared" si="58"/>
        <v>0</v>
      </c>
    </row>
    <row r="446" spans="1:39">
      <c r="A446" s="7">
        <v>2019</v>
      </c>
      <c r="B446" s="7" t="s">
        <v>55</v>
      </c>
      <c r="C446" s="7">
        <v>0.23466829</v>
      </c>
      <c r="D446" s="7">
        <v>0.042042</v>
      </c>
      <c r="E446" s="7">
        <v>0.010313</v>
      </c>
      <c r="F446" s="7">
        <v>0.018648</v>
      </c>
      <c r="G446" s="7">
        <v>0.006347</v>
      </c>
      <c r="H446" s="7">
        <v>0.006736</v>
      </c>
      <c r="I446" s="7">
        <v>0.039463</v>
      </c>
      <c r="J446" s="7">
        <v>0.019312</v>
      </c>
      <c r="K446" s="16">
        <v>22275</v>
      </c>
      <c r="L446" s="17">
        <v>9901</v>
      </c>
      <c r="M446" s="16">
        <v>54259.2</v>
      </c>
      <c r="N446" s="7">
        <f t="shared" si="60"/>
        <v>2.24977275022725</v>
      </c>
      <c r="O446" s="7">
        <f t="shared" si="61"/>
        <v>0.410529458598726</v>
      </c>
      <c r="P446" s="8">
        <v>687633160</v>
      </c>
      <c r="Q446" s="8">
        <f t="shared" si="54"/>
        <v>1.26731164484548</v>
      </c>
      <c r="R446" s="9">
        <v>4297.2</v>
      </c>
      <c r="S446" s="9">
        <v>43507.5</v>
      </c>
      <c r="T446" s="9">
        <v>50852.1</v>
      </c>
      <c r="U446" s="9">
        <v>116650</v>
      </c>
      <c r="V446" s="18">
        <v>1</v>
      </c>
      <c r="W446" s="18">
        <v>0</v>
      </c>
      <c r="X446" s="18">
        <f t="shared" si="55"/>
        <v>0</v>
      </c>
      <c r="Y446" s="12">
        <f t="shared" si="56"/>
        <v>1.5000536746505</v>
      </c>
      <c r="Z446" s="12">
        <f t="shared" si="57"/>
        <v>0.155155801247743</v>
      </c>
      <c r="AA446" s="19">
        <v>22300</v>
      </c>
      <c r="AB446" s="19">
        <v>20045.45</v>
      </c>
      <c r="AC446" s="19">
        <v>1431.96</v>
      </c>
      <c r="AD446" s="19">
        <v>799.61</v>
      </c>
      <c r="AE446" s="19">
        <v>769.77</v>
      </c>
      <c r="AF446" s="19">
        <v>92.65</v>
      </c>
      <c r="AG446" s="19">
        <v>1007.54</v>
      </c>
      <c r="AH446" s="19">
        <v>9.77</v>
      </c>
      <c r="AI446" s="19">
        <v>109.34</v>
      </c>
      <c r="AJ446" s="19">
        <v>3364.17</v>
      </c>
      <c r="AK446" s="3">
        <f t="shared" si="59"/>
        <v>1</v>
      </c>
      <c r="AL446" s="3">
        <v>0</v>
      </c>
      <c r="AM446" s="3">
        <f t="shared" si="58"/>
        <v>0</v>
      </c>
    </row>
    <row r="447" spans="1:39">
      <c r="A447" s="7">
        <v>2020</v>
      </c>
      <c r="B447" s="7" t="s">
        <v>55</v>
      </c>
      <c r="C447" s="7">
        <v>0.22841049</v>
      </c>
      <c r="D447" s="7">
        <v>0.039716</v>
      </c>
      <c r="E447" s="7">
        <v>0.009619</v>
      </c>
      <c r="F447" s="7">
        <v>0.01777</v>
      </c>
      <c r="G447" s="7">
        <v>0.005692</v>
      </c>
      <c r="H447" s="7">
        <v>0.006635</v>
      </c>
      <c r="I447" s="7">
        <v>0.039025</v>
      </c>
      <c r="J447" s="7">
        <v>0.021001</v>
      </c>
      <c r="K447" s="16">
        <v>22767</v>
      </c>
      <c r="L447" s="17">
        <v>9941.17</v>
      </c>
      <c r="M447" s="16">
        <v>54997.07</v>
      </c>
      <c r="N447" s="7">
        <f t="shared" si="60"/>
        <v>2.29017308827834</v>
      </c>
      <c r="O447" s="7">
        <f t="shared" si="61"/>
        <v>0.413967507723593</v>
      </c>
      <c r="P447" s="8">
        <v>692056170.3</v>
      </c>
      <c r="Q447" s="8">
        <f t="shared" si="54"/>
        <v>1.25835098178867</v>
      </c>
      <c r="R447" s="9">
        <v>4537.6</v>
      </c>
      <c r="S447" s="9">
        <v>44631.3</v>
      </c>
      <c r="T447" s="9">
        <v>53638.9</v>
      </c>
      <c r="U447" s="9">
        <v>121333</v>
      </c>
      <c r="V447" s="18">
        <v>1</v>
      </c>
      <c r="W447" s="18">
        <v>0</v>
      </c>
      <c r="X447" s="18">
        <f t="shared" si="55"/>
        <v>0</v>
      </c>
      <c r="Y447" s="12">
        <f t="shared" si="56"/>
        <v>1.47141701078949</v>
      </c>
      <c r="Z447" s="12">
        <f t="shared" si="57"/>
        <v>0.144803293314177</v>
      </c>
      <c r="AA447" s="19">
        <v>22752</v>
      </c>
      <c r="AB447" s="19">
        <v>20004.87</v>
      </c>
      <c r="AC447" s="19">
        <v>1481.35</v>
      </c>
      <c r="AD447" s="19">
        <v>890.73</v>
      </c>
      <c r="AE447" s="19">
        <v>762.26</v>
      </c>
      <c r="AF447" s="19">
        <v>95.14</v>
      </c>
      <c r="AG447" s="19">
        <v>1026.1</v>
      </c>
      <c r="AH447" s="19">
        <v>4.91</v>
      </c>
      <c r="AI447" s="19">
        <v>106.1</v>
      </c>
      <c r="AJ447" s="19">
        <v>3392</v>
      </c>
      <c r="AK447" s="3">
        <f t="shared" si="59"/>
        <v>1</v>
      </c>
      <c r="AL447" s="3">
        <v>0</v>
      </c>
      <c r="AM447" s="3">
        <f t="shared" si="58"/>
        <v>0</v>
      </c>
    </row>
    <row r="448" spans="1:39">
      <c r="A448" s="7">
        <v>2021</v>
      </c>
      <c r="B448" s="7" t="s">
        <v>55</v>
      </c>
      <c r="C448" s="7">
        <v>0.24681415</v>
      </c>
      <c r="D448" s="7">
        <v>0.043146</v>
      </c>
      <c r="E448" s="7">
        <v>0.010687</v>
      </c>
      <c r="F448" s="7">
        <v>0.019121</v>
      </c>
      <c r="G448" s="7">
        <v>0.006661</v>
      </c>
      <c r="H448" s="7">
        <v>0.006678</v>
      </c>
      <c r="I448" s="7">
        <v>0.043115</v>
      </c>
      <c r="J448" s="7">
        <v>0.020224</v>
      </c>
      <c r="K448" s="16">
        <v>23521</v>
      </c>
      <c r="L448" s="17">
        <v>9883</v>
      </c>
      <c r="M448" s="16">
        <v>58887.4</v>
      </c>
      <c r="N448" s="7">
        <f t="shared" si="60"/>
        <v>2.37994536072043</v>
      </c>
      <c r="O448" s="7">
        <f t="shared" si="61"/>
        <v>0.399423306174156</v>
      </c>
      <c r="P448" s="8">
        <v>724088439.7</v>
      </c>
      <c r="Q448" s="8">
        <f t="shared" si="54"/>
        <v>1.22961523127188</v>
      </c>
      <c r="R448" s="9">
        <v>4721</v>
      </c>
      <c r="S448" s="9">
        <v>52678.7</v>
      </c>
      <c r="T448" s="9">
        <v>59992.7</v>
      </c>
      <c r="U448" s="9">
        <v>138255</v>
      </c>
      <c r="V448" s="18">
        <v>1</v>
      </c>
      <c r="W448" s="18">
        <v>0</v>
      </c>
      <c r="X448" s="18">
        <f t="shared" si="55"/>
        <v>0</v>
      </c>
      <c r="Y448" s="12">
        <f t="shared" si="56"/>
        <v>1.36781889095748</v>
      </c>
      <c r="Z448" s="12">
        <f t="shared" si="57"/>
        <v>0.101039443598307</v>
      </c>
      <c r="AA448" s="19">
        <v>23501</v>
      </c>
      <c r="AB448" s="19">
        <v>22421.79</v>
      </c>
      <c r="AC448" s="19">
        <v>1582.19</v>
      </c>
      <c r="AD448" s="19">
        <v>922.74</v>
      </c>
      <c r="AE448" s="19">
        <v>775.89</v>
      </c>
      <c r="AF448" s="19">
        <v>89.78</v>
      </c>
      <c r="AG448" s="19">
        <v>1121.34</v>
      </c>
      <c r="AH448" s="19">
        <v>6.8</v>
      </c>
      <c r="AI448" s="19">
        <v>117.16</v>
      </c>
      <c r="AJ448" s="19">
        <v>3647</v>
      </c>
      <c r="AK448" s="3">
        <f t="shared" si="59"/>
        <v>1</v>
      </c>
      <c r="AL448" s="3">
        <v>0</v>
      </c>
      <c r="AM448" s="3">
        <f t="shared" si="58"/>
        <v>0</v>
      </c>
    </row>
    <row r="449" spans="1:39">
      <c r="A449" s="7">
        <v>2022</v>
      </c>
      <c r="B449" s="7" t="s">
        <v>55</v>
      </c>
      <c r="C449" s="7">
        <v>0.2674731</v>
      </c>
      <c r="D449" s="7">
        <v>0.045961</v>
      </c>
      <c r="E449" s="7">
        <v>0.011218</v>
      </c>
      <c r="F449" s="7">
        <v>0.020812</v>
      </c>
      <c r="G449" s="7">
        <v>0.007028</v>
      </c>
      <c r="H449" s="7">
        <v>0.006904</v>
      </c>
      <c r="I449" s="7">
        <v>0.045351</v>
      </c>
      <c r="J449" s="7">
        <v>0.022855</v>
      </c>
      <c r="K449" s="16">
        <v>24402</v>
      </c>
      <c r="L449" s="17">
        <v>9872</v>
      </c>
      <c r="M449" s="16">
        <v>61345.1</v>
      </c>
      <c r="N449" s="7">
        <f t="shared" si="60"/>
        <v>2.47183954619125</v>
      </c>
      <c r="O449" s="7">
        <f t="shared" si="61"/>
        <v>0.397782381966938</v>
      </c>
      <c r="P449" s="8">
        <v>708929929.7</v>
      </c>
      <c r="Q449" s="8">
        <f t="shared" si="54"/>
        <v>1.15564230835063</v>
      </c>
      <c r="R449" s="9">
        <v>4964.2</v>
      </c>
      <c r="S449" s="9">
        <v>54886.1</v>
      </c>
      <c r="T449" s="9">
        <v>62239</v>
      </c>
      <c r="U449" s="9">
        <v>143466</v>
      </c>
      <c r="V449" s="18">
        <v>1</v>
      </c>
      <c r="W449" s="18">
        <v>0</v>
      </c>
      <c r="X449" s="18">
        <f t="shared" si="55"/>
        <v>0</v>
      </c>
      <c r="Y449" s="12">
        <f t="shared" si="56"/>
        <v>1.27047633725244</v>
      </c>
      <c r="Z449" s="12">
        <f t="shared" si="57"/>
        <v>0.0903865940157139</v>
      </c>
      <c r="AA449" s="19">
        <v>24371.2858323834</v>
      </c>
      <c r="AB449" s="19">
        <v>24295.84</v>
      </c>
      <c r="AC449" s="19">
        <v>1582.44</v>
      </c>
      <c r="AD449" s="19">
        <v>875.7</v>
      </c>
      <c r="AE449" s="19">
        <v>800.83</v>
      </c>
      <c r="AF449" s="19">
        <v>95.65</v>
      </c>
      <c r="AG449" s="19">
        <v>1170.07</v>
      </c>
      <c r="AH449" s="19">
        <v>50.64</v>
      </c>
      <c r="AI449" s="19">
        <v>123.49</v>
      </c>
      <c r="AJ449" s="19">
        <v>3920.45</v>
      </c>
      <c r="AK449" s="3">
        <f t="shared" si="59"/>
        <v>1</v>
      </c>
      <c r="AL449" s="3">
        <v>0</v>
      </c>
      <c r="AM449" s="3">
        <f t="shared" si="58"/>
        <v>0</v>
      </c>
    </row>
    <row r="450" spans="1:39">
      <c r="A450" s="7">
        <v>2023</v>
      </c>
      <c r="B450" s="7" t="s">
        <v>55</v>
      </c>
      <c r="C450" s="7">
        <v>0.30824175</v>
      </c>
      <c r="D450" s="7">
        <v>0.049769</v>
      </c>
      <c r="E450" s="7">
        <v>0.012741</v>
      </c>
      <c r="F450" s="7">
        <v>0.023495</v>
      </c>
      <c r="G450" s="7">
        <v>0.008387</v>
      </c>
      <c r="H450" s="7">
        <v>0.008121</v>
      </c>
      <c r="I450" s="7">
        <v>0.048578</v>
      </c>
      <c r="J450" s="7">
        <v>0.026477</v>
      </c>
      <c r="K450" s="16">
        <v>24911</v>
      </c>
      <c r="L450" s="17">
        <v>9815</v>
      </c>
      <c r="M450" s="16">
        <v>59132.4</v>
      </c>
      <c r="N450" s="7">
        <f t="shared" si="60"/>
        <v>2.53805399898115</v>
      </c>
      <c r="O450" s="7">
        <f t="shared" si="61"/>
        <v>0.421274969390723</v>
      </c>
      <c r="P450" s="8">
        <v>719423511.7</v>
      </c>
      <c r="Q450" s="8">
        <f t="shared" si="54"/>
        <v>1.21663168026327</v>
      </c>
      <c r="R450" s="9">
        <v>5075.8</v>
      </c>
      <c r="S450" s="9">
        <v>56909.7</v>
      </c>
      <c r="T450" s="9">
        <v>66236.7</v>
      </c>
      <c r="U450" s="9">
        <v>150487</v>
      </c>
      <c r="V450" s="18">
        <v>1</v>
      </c>
      <c r="W450" s="18">
        <v>0</v>
      </c>
      <c r="X450" s="18">
        <f t="shared" si="55"/>
        <v>0</v>
      </c>
      <c r="Y450" s="12">
        <f t="shared" si="56"/>
        <v>1.2756783895882</v>
      </c>
      <c r="Z450" s="12">
        <f t="shared" si="57"/>
        <v>0.0462865168892509</v>
      </c>
      <c r="AA450" s="12"/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3">
        <f t="shared" si="59"/>
        <v>1</v>
      </c>
      <c r="AL450" s="3">
        <v>0</v>
      </c>
      <c r="AM450" s="3">
        <f t="shared" si="58"/>
        <v>0</v>
      </c>
    </row>
    <row r="451" spans="1:39">
      <c r="A451" s="7">
        <v>2024</v>
      </c>
      <c r="B451" s="7" t="s">
        <v>55</v>
      </c>
      <c r="C451" s="7">
        <v>0.33128288</v>
      </c>
      <c r="D451" s="7">
        <v>0.052504</v>
      </c>
      <c r="E451" s="7">
        <v>0.013506</v>
      </c>
      <c r="F451" s="7">
        <v>0.024959</v>
      </c>
      <c r="G451" s="7">
        <v>0.008995</v>
      </c>
      <c r="H451" s="7">
        <v>0.00894</v>
      </c>
      <c r="I451" s="7">
        <v>0.051074</v>
      </c>
      <c r="J451" s="7">
        <v>0.028096</v>
      </c>
      <c r="K451" s="16">
        <v>25970</v>
      </c>
      <c r="L451" s="17">
        <v>9785</v>
      </c>
      <c r="M451" s="16">
        <v>63590</v>
      </c>
      <c r="N451" s="7">
        <f t="shared" si="60"/>
        <v>2.65406234031681</v>
      </c>
      <c r="O451" s="7">
        <f t="shared" si="61"/>
        <v>0.408397546784086</v>
      </c>
      <c r="P451" s="8">
        <v>716767972.6</v>
      </c>
      <c r="Q451" s="8">
        <f t="shared" ref="Q451:Q514" si="62">P451/10000/M451</f>
        <v>1.12717089573832</v>
      </c>
      <c r="R451" s="9">
        <v>5245.2</v>
      </c>
      <c r="S451" s="9">
        <v>59180.1</v>
      </c>
      <c r="T451" s="9">
        <v>72582.8</v>
      </c>
      <c r="U451" s="9">
        <v>160694</v>
      </c>
      <c r="V451" s="18">
        <v>1</v>
      </c>
      <c r="W451" s="18">
        <v>0</v>
      </c>
      <c r="X451" s="18">
        <f t="shared" ref="X451:X514" si="63">V451*W451</f>
        <v>0</v>
      </c>
      <c r="Y451" s="12">
        <f t="shared" ref="Y451:Y514" si="64">AVERAGEIF($A:$A,$A451,$Q:$Q)</f>
        <v>1.21200651315194</v>
      </c>
      <c r="Z451" s="12">
        <f t="shared" ref="Z451:Z514" si="65">MAX(0,1-Q451/Y451)</f>
        <v>0.0699960078539488</v>
      </c>
      <c r="AA451" s="12"/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3">
        <f t="shared" si="59"/>
        <v>1</v>
      </c>
      <c r="AL451" s="3">
        <v>0</v>
      </c>
      <c r="AM451" s="3">
        <f t="shared" si="58"/>
        <v>0</v>
      </c>
    </row>
    <row r="452" spans="1:39">
      <c r="A452" s="7">
        <v>2000</v>
      </c>
      <c r="B452" s="7" t="s">
        <v>56</v>
      </c>
      <c r="C452" s="7">
        <v>0.19255032</v>
      </c>
      <c r="D452" s="7">
        <v>0.036606</v>
      </c>
      <c r="E452" s="7">
        <v>0.009202</v>
      </c>
      <c r="F452" s="7">
        <v>0.016132</v>
      </c>
      <c r="G452" s="7">
        <v>0.005219</v>
      </c>
      <c r="H452" s="7">
        <v>0.006054</v>
      </c>
      <c r="I452" s="7">
        <v>0.033076</v>
      </c>
      <c r="J452" s="7">
        <v>0.015411</v>
      </c>
      <c r="K452" s="16">
        <v>6560</v>
      </c>
      <c r="L452" s="17">
        <v>4679.91</v>
      </c>
      <c r="M452" s="16">
        <v>6036.34</v>
      </c>
      <c r="N452" s="7">
        <f t="shared" si="60"/>
        <v>1.40173635817783</v>
      </c>
      <c r="O452" s="7">
        <f t="shared" si="61"/>
        <v>1.08675124330306</v>
      </c>
      <c r="P452" s="8">
        <v>118554334.5</v>
      </c>
      <c r="Q452" s="8">
        <f t="shared" si="62"/>
        <v>1.96401021976893</v>
      </c>
      <c r="R452" s="9">
        <v>46</v>
      </c>
      <c r="S452" s="9">
        <v>121.4</v>
      </c>
      <c r="T452" s="9">
        <v>127.6</v>
      </c>
      <c r="U452" s="9">
        <v>5376</v>
      </c>
      <c r="V452" s="18">
        <v>0</v>
      </c>
      <c r="W452" s="18">
        <v>1</v>
      </c>
      <c r="X452" s="18">
        <f t="shared" si="63"/>
        <v>0</v>
      </c>
      <c r="Y452" s="12">
        <f t="shared" si="64"/>
        <v>4.53658228674969</v>
      </c>
      <c r="Z452" s="12">
        <f t="shared" si="65"/>
        <v>0.567072722232913</v>
      </c>
      <c r="AA452" s="19">
        <v>6560.37</v>
      </c>
      <c r="AB452" s="19">
        <v>5384.82</v>
      </c>
      <c r="AC452" s="19">
        <v>117.46</v>
      </c>
      <c r="AD452" s="19">
        <v>1112.48</v>
      </c>
      <c r="AE452" s="19">
        <v>196.19</v>
      </c>
      <c r="AF452" s="19">
        <v>11.25</v>
      </c>
      <c r="AG452" s="19">
        <v>434.22</v>
      </c>
      <c r="AH452" s="19">
        <v>182.52</v>
      </c>
      <c r="AI452" s="12">
        <v>0</v>
      </c>
      <c r="AJ452" s="19">
        <v>738.05</v>
      </c>
      <c r="AK452" s="3">
        <f t="shared" si="59"/>
        <v>0</v>
      </c>
      <c r="AL452" s="3">
        <v>0</v>
      </c>
      <c r="AM452" s="3">
        <f t="shared" si="58"/>
        <v>0</v>
      </c>
    </row>
    <row r="453" spans="1:39">
      <c r="A453" s="7">
        <v>2001</v>
      </c>
      <c r="B453" s="7" t="s">
        <v>56</v>
      </c>
      <c r="C453" s="7">
        <v>0.17477533</v>
      </c>
      <c r="D453" s="7">
        <v>0.031236</v>
      </c>
      <c r="E453" s="7">
        <v>0.008083</v>
      </c>
      <c r="F453" s="7">
        <v>0.014631</v>
      </c>
      <c r="G453" s="7">
        <v>0.004813</v>
      </c>
      <c r="H453" s="7">
        <v>0.003709</v>
      </c>
      <c r="I453" s="7">
        <v>0.035434</v>
      </c>
      <c r="J453" s="7">
        <v>0.017362</v>
      </c>
      <c r="K453" s="16">
        <v>6530</v>
      </c>
      <c r="L453" s="17">
        <v>4728.8</v>
      </c>
      <c r="M453" s="16">
        <v>6898.33884</v>
      </c>
      <c r="N453" s="7">
        <f t="shared" si="60"/>
        <v>1.38090001691761</v>
      </c>
      <c r="O453" s="7">
        <f t="shared" si="61"/>
        <v>0.946604704619004</v>
      </c>
      <c r="P453" s="8">
        <v>125957927.8</v>
      </c>
      <c r="Q453" s="8">
        <f t="shared" si="62"/>
        <v>1.82591679999297</v>
      </c>
      <c r="R453" s="9">
        <v>49.7</v>
      </c>
      <c r="S453" s="9">
        <v>135.9</v>
      </c>
      <c r="T453" s="9">
        <v>151.9</v>
      </c>
      <c r="U453" s="9">
        <v>6039</v>
      </c>
      <c r="V453" s="18">
        <v>0</v>
      </c>
      <c r="W453" s="18">
        <v>1</v>
      </c>
      <c r="X453" s="18">
        <f t="shared" si="63"/>
        <v>0</v>
      </c>
      <c r="Y453" s="12">
        <f t="shared" si="64"/>
        <v>4.16809156222866</v>
      </c>
      <c r="Z453" s="12">
        <f t="shared" si="65"/>
        <v>0.561929777037657</v>
      </c>
      <c r="AA453" s="19">
        <v>6530</v>
      </c>
      <c r="AB453" s="19">
        <v>5527</v>
      </c>
      <c r="AC453" s="19">
        <v>108.64</v>
      </c>
      <c r="AD453" s="19">
        <v>1123.85</v>
      </c>
      <c r="AE453" s="19">
        <v>212.87</v>
      </c>
      <c r="AF453" s="19">
        <v>9.92</v>
      </c>
      <c r="AG453" s="19">
        <v>471.67</v>
      </c>
      <c r="AH453" s="19">
        <v>193.19</v>
      </c>
      <c r="AI453" s="12">
        <v>0</v>
      </c>
      <c r="AJ453" s="19">
        <v>855.29</v>
      </c>
      <c r="AK453" s="3">
        <f t="shared" si="59"/>
        <v>0</v>
      </c>
      <c r="AL453" s="3">
        <v>0</v>
      </c>
      <c r="AM453" s="3">
        <f t="shared" si="58"/>
        <v>0</v>
      </c>
    </row>
    <row r="454" spans="1:39">
      <c r="A454" s="7">
        <v>2002</v>
      </c>
      <c r="B454" s="7" t="s">
        <v>56</v>
      </c>
      <c r="C454" s="7">
        <v>0.18305342</v>
      </c>
      <c r="D454" s="7">
        <v>0.032614</v>
      </c>
      <c r="E454" s="7">
        <v>0.007675</v>
      </c>
      <c r="F454" s="7">
        <v>0.015018</v>
      </c>
      <c r="G454" s="7">
        <v>0.005032</v>
      </c>
      <c r="H454" s="7">
        <v>0.00489</v>
      </c>
      <c r="I454" s="7">
        <v>0.035551</v>
      </c>
      <c r="J454" s="7">
        <v>0.017391</v>
      </c>
      <c r="K454" s="16">
        <v>8280</v>
      </c>
      <c r="L454" s="17">
        <v>4776.4</v>
      </c>
      <c r="M454" s="16">
        <v>8003.66999</v>
      </c>
      <c r="N454" s="7">
        <f t="shared" si="60"/>
        <v>1.73352315551461</v>
      </c>
      <c r="O454" s="7">
        <f t="shared" si="61"/>
        <v>1.03452541276005</v>
      </c>
      <c r="P454" s="8">
        <v>134737669.7</v>
      </c>
      <c r="Q454" s="8">
        <f t="shared" si="62"/>
        <v>1.68344859131305</v>
      </c>
      <c r="R454" s="9">
        <v>53</v>
      </c>
      <c r="S454" s="9">
        <v>153.1</v>
      </c>
      <c r="T454" s="9">
        <v>171.1</v>
      </c>
      <c r="U454" s="9">
        <v>6647</v>
      </c>
      <c r="V454" s="18">
        <v>0</v>
      </c>
      <c r="W454" s="18">
        <v>1</v>
      </c>
      <c r="X454" s="18">
        <f t="shared" si="63"/>
        <v>0</v>
      </c>
      <c r="Y454" s="12">
        <f t="shared" si="64"/>
        <v>4.06804884448575</v>
      </c>
      <c r="Z454" s="12">
        <f t="shared" si="65"/>
        <v>0.586177881419746</v>
      </c>
      <c r="AA454" s="19">
        <v>8280</v>
      </c>
      <c r="AB454" s="19">
        <v>6595</v>
      </c>
      <c r="AC454" s="19">
        <v>125.56</v>
      </c>
      <c r="AD454" s="19">
        <v>1241.04</v>
      </c>
      <c r="AE454" s="19">
        <v>231.44</v>
      </c>
      <c r="AF454" s="19">
        <v>9.37</v>
      </c>
      <c r="AG454" s="19">
        <v>502.15</v>
      </c>
      <c r="AH454" s="19">
        <v>192.42</v>
      </c>
      <c r="AI454" s="12">
        <v>0</v>
      </c>
      <c r="AJ454" s="19">
        <v>1015.84</v>
      </c>
      <c r="AK454" s="3">
        <f t="shared" si="59"/>
        <v>0</v>
      </c>
      <c r="AL454" s="3">
        <v>0</v>
      </c>
      <c r="AM454" s="3">
        <f t="shared" si="58"/>
        <v>0</v>
      </c>
    </row>
    <row r="455" spans="1:39">
      <c r="A455" s="7">
        <v>2003</v>
      </c>
      <c r="B455" s="7" t="s">
        <v>56</v>
      </c>
      <c r="C455" s="7">
        <v>0.23189395</v>
      </c>
      <c r="D455" s="7">
        <v>0.038869</v>
      </c>
      <c r="E455" s="7">
        <v>0.009187</v>
      </c>
      <c r="F455" s="7">
        <v>0.016916</v>
      </c>
      <c r="G455" s="7">
        <v>0.005825</v>
      </c>
      <c r="H455" s="7">
        <v>0.006941</v>
      </c>
      <c r="I455" s="7">
        <v>0.042133</v>
      </c>
      <c r="J455" s="7">
        <v>0.0212</v>
      </c>
      <c r="K455" s="16">
        <v>9523</v>
      </c>
      <c r="L455" s="17">
        <v>4856.8</v>
      </c>
      <c r="M455" s="16">
        <v>9705.02</v>
      </c>
      <c r="N455" s="7">
        <f t="shared" si="60"/>
        <v>1.96075605336847</v>
      </c>
      <c r="O455" s="7">
        <f t="shared" si="61"/>
        <v>0.981244757867578</v>
      </c>
      <c r="P455" s="8">
        <v>156963524.2</v>
      </c>
      <c r="Q455" s="8">
        <f t="shared" si="62"/>
        <v>1.61734364483535</v>
      </c>
      <c r="R455" s="9">
        <v>55.6</v>
      </c>
      <c r="S455" s="9">
        <v>191.8</v>
      </c>
      <c r="T455" s="9">
        <v>195.2</v>
      </c>
      <c r="U455" s="9">
        <v>7686</v>
      </c>
      <c r="V455" s="18">
        <v>0</v>
      </c>
      <c r="W455" s="18">
        <v>1</v>
      </c>
      <c r="X455" s="18">
        <f t="shared" si="63"/>
        <v>0</v>
      </c>
      <c r="Y455" s="12">
        <f t="shared" si="64"/>
        <v>4.08414499624993</v>
      </c>
      <c r="Z455" s="12">
        <f t="shared" si="65"/>
        <v>0.603994557901251</v>
      </c>
      <c r="AA455" s="19">
        <v>9522.56</v>
      </c>
      <c r="AB455" s="19">
        <v>7266.69</v>
      </c>
      <c r="AC455" s="19">
        <v>126.93</v>
      </c>
      <c r="AD455" s="19">
        <v>1425.16</v>
      </c>
      <c r="AE455" s="19">
        <v>262.15</v>
      </c>
      <c r="AF455" s="19">
        <v>10.4</v>
      </c>
      <c r="AG455" s="19">
        <v>569.98</v>
      </c>
      <c r="AH455" s="19">
        <v>261.6</v>
      </c>
      <c r="AI455" s="12">
        <v>0</v>
      </c>
      <c r="AJ455" s="19">
        <v>1240.35</v>
      </c>
      <c r="AK455" s="3">
        <f t="shared" si="59"/>
        <v>0</v>
      </c>
      <c r="AL455" s="3">
        <v>0</v>
      </c>
      <c r="AM455" s="3">
        <f t="shared" si="58"/>
        <v>0</v>
      </c>
    </row>
    <row r="456" spans="1:39">
      <c r="A456" s="7">
        <v>2004</v>
      </c>
      <c r="B456" s="7" t="s">
        <v>56</v>
      </c>
      <c r="C456" s="7">
        <v>0.20785352</v>
      </c>
      <c r="D456" s="7">
        <v>0.034528</v>
      </c>
      <c r="E456" s="7">
        <v>0.008697</v>
      </c>
      <c r="F456" s="7">
        <v>0.014963</v>
      </c>
      <c r="G456" s="7">
        <v>0.005346</v>
      </c>
      <c r="H456" s="7">
        <v>0.005523</v>
      </c>
      <c r="I456" s="7">
        <v>0.041694</v>
      </c>
      <c r="J456" s="7">
        <v>0.019626</v>
      </c>
      <c r="K456" s="16">
        <v>10825</v>
      </c>
      <c r="L456" s="17">
        <v>4925.2</v>
      </c>
      <c r="M456" s="16">
        <v>11648.7</v>
      </c>
      <c r="N456" s="7">
        <f t="shared" si="60"/>
        <v>2.19788028912531</v>
      </c>
      <c r="O456" s="7">
        <f t="shared" si="61"/>
        <v>0.929288246757149</v>
      </c>
      <c r="P456" s="8">
        <v>183858196.8</v>
      </c>
      <c r="Q456" s="8">
        <f t="shared" si="62"/>
        <v>1.57835807257462</v>
      </c>
      <c r="R456" s="9">
        <v>65.3</v>
      </c>
      <c r="S456" s="9">
        <v>232.6</v>
      </c>
      <c r="T456" s="9">
        <v>222</v>
      </c>
      <c r="U456" s="9">
        <v>8904</v>
      </c>
      <c r="V456" s="18">
        <v>0</v>
      </c>
      <c r="W456" s="18">
        <v>1</v>
      </c>
      <c r="X456" s="18">
        <f t="shared" si="63"/>
        <v>0</v>
      </c>
      <c r="Y456" s="12">
        <f t="shared" si="64"/>
        <v>3.89549779892895</v>
      </c>
      <c r="Z456" s="12">
        <f t="shared" si="65"/>
        <v>0.594825063690555</v>
      </c>
      <c r="AA456" s="19">
        <v>10824.69</v>
      </c>
      <c r="AB456" s="19">
        <v>8361.83</v>
      </c>
      <c r="AC456" s="19">
        <v>149.21</v>
      </c>
      <c r="AD456" s="19">
        <v>1853.44</v>
      </c>
      <c r="AE456" s="19">
        <v>278.66</v>
      </c>
      <c r="AF456" s="19">
        <v>10.55</v>
      </c>
      <c r="AG456" s="19">
        <v>641.82</v>
      </c>
      <c r="AH456" s="19">
        <v>292.31</v>
      </c>
      <c r="AI456" s="19">
        <v>0.32</v>
      </c>
      <c r="AJ456" s="19">
        <v>1419.53</v>
      </c>
      <c r="AK456" s="3">
        <f t="shared" si="59"/>
        <v>0</v>
      </c>
      <c r="AL456" s="3">
        <v>0</v>
      </c>
      <c r="AM456" s="3">
        <f t="shared" si="58"/>
        <v>0</v>
      </c>
    </row>
    <row r="457" spans="1:39">
      <c r="A457" s="7">
        <v>2005</v>
      </c>
      <c r="B457" s="7" t="s">
        <v>56</v>
      </c>
      <c r="C457" s="7">
        <v>0.23553246</v>
      </c>
      <c r="D457" s="7">
        <v>0.044329</v>
      </c>
      <c r="E457" s="7">
        <v>0.011312</v>
      </c>
      <c r="F457" s="7">
        <v>0.019817</v>
      </c>
      <c r="G457" s="7">
        <v>0.006188</v>
      </c>
      <c r="H457" s="7">
        <v>0.007011</v>
      </c>
      <c r="I457" s="7">
        <v>0.038078</v>
      </c>
      <c r="J457" s="7">
        <v>0.017098</v>
      </c>
      <c r="K457" s="16">
        <v>12032</v>
      </c>
      <c r="L457" s="17">
        <v>4990.9</v>
      </c>
      <c r="M457" s="16">
        <v>13417.68</v>
      </c>
      <c r="N457" s="7">
        <f t="shared" si="60"/>
        <v>2.41078763349296</v>
      </c>
      <c r="O457" s="7">
        <f t="shared" si="61"/>
        <v>0.896727303080711</v>
      </c>
      <c r="P457" s="8">
        <v>212000064.7</v>
      </c>
      <c r="Q457" s="8">
        <f t="shared" si="62"/>
        <v>1.58000537127134</v>
      </c>
      <c r="R457" s="9">
        <v>69.8</v>
      </c>
      <c r="S457" s="9">
        <v>259.8</v>
      </c>
      <c r="T457" s="9">
        <v>250.3</v>
      </c>
      <c r="U457" s="9">
        <v>9796</v>
      </c>
      <c r="V457" s="18">
        <v>0</v>
      </c>
      <c r="W457" s="18">
        <v>1</v>
      </c>
      <c r="X457" s="18">
        <f t="shared" si="63"/>
        <v>0</v>
      </c>
      <c r="Y457" s="12">
        <f t="shared" si="64"/>
        <v>3.71995059106252</v>
      </c>
      <c r="Z457" s="12">
        <f t="shared" si="65"/>
        <v>0.575261731952185</v>
      </c>
      <c r="AA457" s="19">
        <v>12031.7</v>
      </c>
      <c r="AB457" s="19">
        <v>9680.8</v>
      </c>
      <c r="AC457" s="19">
        <v>163.59</v>
      </c>
      <c r="AD457" s="19">
        <v>2113.04</v>
      </c>
      <c r="AE457" s="19">
        <v>368.53</v>
      </c>
      <c r="AF457" s="19">
        <v>40.98</v>
      </c>
      <c r="AG457" s="19">
        <v>803.11</v>
      </c>
      <c r="AH457" s="19">
        <v>303.66</v>
      </c>
      <c r="AI457" s="19">
        <v>2.25</v>
      </c>
      <c r="AJ457" s="19">
        <v>1642.31</v>
      </c>
      <c r="AK457" s="3">
        <f t="shared" si="59"/>
        <v>0</v>
      </c>
      <c r="AL457" s="3">
        <v>0</v>
      </c>
      <c r="AM457" s="3">
        <f t="shared" si="58"/>
        <v>0</v>
      </c>
    </row>
    <row r="458" spans="1:39">
      <c r="A458" s="7">
        <v>2006</v>
      </c>
      <c r="B458" s="7" t="s">
        <v>56</v>
      </c>
      <c r="C458" s="7">
        <v>0.24607922</v>
      </c>
      <c r="D458" s="7">
        <v>0.042537</v>
      </c>
      <c r="E458" s="7">
        <v>0.010405</v>
      </c>
      <c r="F458" s="7">
        <v>0.019415</v>
      </c>
      <c r="G458" s="7">
        <v>0.006175</v>
      </c>
      <c r="H458" s="7">
        <v>0.006541</v>
      </c>
      <c r="I458" s="7">
        <v>0.042711</v>
      </c>
      <c r="J458" s="7">
        <v>0.021746</v>
      </c>
      <c r="K458" s="16">
        <v>13219</v>
      </c>
      <c r="L458" s="17">
        <v>5071.8</v>
      </c>
      <c r="M458" s="16">
        <v>15718.47</v>
      </c>
      <c r="N458" s="7">
        <f t="shared" si="60"/>
        <v>2.60637249102883</v>
      </c>
      <c r="O458" s="7">
        <f t="shared" si="61"/>
        <v>0.840985159497076</v>
      </c>
      <c r="P458" s="8">
        <v>255761718</v>
      </c>
      <c r="Q458" s="8">
        <f t="shared" si="62"/>
        <v>1.62714130573777</v>
      </c>
      <c r="R458" s="9">
        <v>76.8</v>
      </c>
      <c r="S458" s="9">
        <v>321.9</v>
      </c>
      <c r="T458" s="9">
        <v>284.6</v>
      </c>
      <c r="U458" s="9">
        <v>11389</v>
      </c>
      <c r="V458" s="18">
        <v>0</v>
      </c>
      <c r="W458" s="18">
        <v>1</v>
      </c>
      <c r="X458" s="18">
        <f t="shared" si="63"/>
        <v>0</v>
      </c>
      <c r="Y458" s="12">
        <f t="shared" si="64"/>
        <v>3.57740717995078</v>
      </c>
      <c r="Z458" s="12">
        <f t="shared" si="65"/>
        <v>0.545161838200325</v>
      </c>
      <c r="AA458" s="19">
        <v>13221.53</v>
      </c>
      <c r="AB458" s="19">
        <v>11334.43</v>
      </c>
      <c r="AC458" s="19">
        <v>317.76</v>
      </c>
      <c r="AD458" s="19">
        <v>2114.73</v>
      </c>
      <c r="AE458" s="19">
        <v>404.8</v>
      </c>
      <c r="AF458" s="19">
        <v>46.47</v>
      </c>
      <c r="AG458" s="19">
        <v>842.43</v>
      </c>
      <c r="AH458" s="19">
        <v>240.95</v>
      </c>
      <c r="AI458" s="19">
        <v>11.89</v>
      </c>
      <c r="AJ458" s="19">
        <v>1909.23</v>
      </c>
      <c r="AK458" s="3">
        <f t="shared" si="59"/>
        <v>0</v>
      </c>
      <c r="AL458" s="3">
        <v>0</v>
      </c>
      <c r="AM458" s="3">
        <f t="shared" si="58"/>
        <v>0</v>
      </c>
    </row>
    <row r="459" spans="1:39">
      <c r="A459" s="7">
        <v>2007</v>
      </c>
      <c r="B459" s="7" t="s">
        <v>56</v>
      </c>
      <c r="C459" s="7">
        <v>0.26750143</v>
      </c>
      <c r="D459" s="7">
        <v>0.046416</v>
      </c>
      <c r="E459" s="7">
        <v>0.012359</v>
      </c>
      <c r="F459" s="7">
        <v>0.0206</v>
      </c>
      <c r="G459" s="7">
        <v>0.006569</v>
      </c>
      <c r="H459" s="7">
        <v>0.006887</v>
      </c>
      <c r="I459" s="7">
        <v>0.046386</v>
      </c>
      <c r="J459" s="7">
        <v>0.021627</v>
      </c>
      <c r="K459" s="16">
        <v>14524</v>
      </c>
      <c r="L459" s="17">
        <v>5154.9</v>
      </c>
      <c r="M459" s="16">
        <v>18753.73</v>
      </c>
      <c r="N459" s="7">
        <f t="shared" si="60"/>
        <v>2.81751343382025</v>
      </c>
      <c r="O459" s="7">
        <f t="shared" si="61"/>
        <v>0.774459267569705</v>
      </c>
      <c r="P459" s="8">
        <v>272431829.2</v>
      </c>
      <c r="Q459" s="8">
        <f t="shared" si="62"/>
        <v>1.45268076910567</v>
      </c>
      <c r="R459" s="9">
        <v>92.9</v>
      </c>
      <c r="S459" s="9">
        <v>422</v>
      </c>
      <c r="T459" s="9">
        <v>362.7</v>
      </c>
      <c r="U459" s="9">
        <v>14458</v>
      </c>
      <c r="V459" s="18">
        <v>0</v>
      </c>
      <c r="W459" s="18">
        <v>1</v>
      </c>
      <c r="X459" s="18">
        <f t="shared" si="63"/>
        <v>0</v>
      </c>
      <c r="Y459" s="12">
        <f t="shared" si="64"/>
        <v>3.23986794305777</v>
      </c>
      <c r="Z459" s="12">
        <f t="shared" si="65"/>
        <v>0.551623462857983</v>
      </c>
      <c r="AA459" s="19">
        <v>14532.91</v>
      </c>
      <c r="AB459" s="19">
        <v>13024.12</v>
      </c>
      <c r="AC459" s="19">
        <v>326.4</v>
      </c>
      <c r="AD459" s="19">
        <v>2248.73</v>
      </c>
      <c r="AE459" s="19">
        <v>447.09</v>
      </c>
      <c r="AF459" s="19">
        <v>49.48</v>
      </c>
      <c r="AG459" s="19">
        <v>874.4</v>
      </c>
      <c r="AH459" s="19">
        <v>227.29</v>
      </c>
      <c r="AI459" s="19">
        <v>18.09</v>
      </c>
      <c r="AJ459" s="19">
        <v>2189.33</v>
      </c>
      <c r="AK459" s="3">
        <f t="shared" si="59"/>
        <v>0</v>
      </c>
      <c r="AL459" s="3">
        <v>0</v>
      </c>
      <c r="AM459" s="3">
        <f t="shared" si="58"/>
        <v>0</v>
      </c>
    </row>
    <row r="460" spans="1:39">
      <c r="A460" s="7">
        <v>2008</v>
      </c>
      <c r="B460" s="7" t="s">
        <v>56</v>
      </c>
      <c r="C460" s="7">
        <v>0.28385632</v>
      </c>
      <c r="D460" s="7">
        <v>0.049281</v>
      </c>
      <c r="E460" s="7">
        <v>0.011867</v>
      </c>
      <c r="F460" s="7">
        <v>0.022546</v>
      </c>
      <c r="G460" s="7">
        <v>0.007282</v>
      </c>
      <c r="H460" s="7">
        <v>0.007586</v>
      </c>
      <c r="I460" s="7">
        <v>0.048343</v>
      </c>
      <c r="J460" s="7">
        <v>0.022211</v>
      </c>
      <c r="K460" s="16">
        <v>15107</v>
      </c>
      <c r="L460" s="17">
        <v>5212.4</v>
      </c>
      <c r="M460" s="16">
        <v>21462.69</v>
      </c>
      <c r="N460" s="7">
        <f t="shared" si="60"/>
        <v>2.89828102217788</v>
      </c>
      <c r="O460" s="7">
        <f t="shared" si="61"/>
        <v>0.703872627336089</v>
      </c>
      <c r="P460" s="8">
        <v>293551484.1</v>
      </c>
      <c r="Q460" s="8">
        <f t="shared" si="62"/>
        <v>1.36772922732425</v>
      </c>
      <c r="R460" s="9">
        <v>112.9</v>
      </c>
      <c r="S460" s="9">
        <v>558.1</v>
      </c>
      <c r="T460" s="9">
        <v>468.2</v>
      </c>
      <c r="U460" s="9">
        <v>18554</v>
      </c>
      <c r="V460" s="18">
        <v>0</v>
      </c>
      <c r="W460" s="18">
        <v>1</v>
      </c>
      <c r="X460" s="18">
        <f t="shared" si="63"/>
        <v>0</v>
      </c>
      <c r="Y460" s="12">
        <f t="shared" si="64"/>
        <v>2.71728515287532</v>
      </c>
      <c r="Z460" s="12">
        <f t="shared" si="65"/>
        <v>0.496655981843872</v>
      </c>
      <c r="AA460" s="19">
        <v>15107</v>
      </c>
      <c r="AB460" s="19">
        <v>13041</v>
      </c>
      <c r="AC460" s="19">
        <v>485.98</v>
      </c>
      <c r="AD460" s="19">
        <v>2287.35</v>
      </c>
      <c r="AE460" s="19">
        <v>475.36</v>
      </c>
      <c r="AF460" s="19">
        <v>54.91</v>
      </c>
      <c r="AG460" s="19">
        <v>898.63</v>
      </c>
      <c r="AH460" s="19">
        <v>219.86</v>
      </c>
      <c r="AI460" s="19">
        <v>17.7</v>
      </c>
      <c r="AJ460" s="19">
        <v>2322.87</v>
      </c>
      <c r="AK460" s="3">
        <f t="shared" si="59"/>
        <v>0</v>
      </c>
      <c r="AL460" s="3">
        <v>0</v>
      </c>
      <c r="AM460" s="3">
        <f t="shared" si="58"/>
        <v>0</v>
      </c>
    </row>
    <row r="461" spans="1:39">
      <c r="A461" s="7">
        <v>2009</v>
      </c>
      <c r="B461" s="7" t="s">
        <v>56</v>
      </c>
      <c r="C461" s="7">
        <v>0.31127225</v>
      </c>
      <c r="D461" s="7">
        <v>0.053218</v>
      </c>
      <c r="E461" s="7">
        <v>0.01409</v>
      </c>
      <c r="F461" s="7">
        <v>0.0235</v>
      </c>
      <c r="G461" s="7">
        <v>0.006737</v>
      </c>
      <c r="H461" s="7">
        <v>0.008891</v>
      </c>
      <c r="I461" s="7">
        <v>0.052321</v>
      </c>
      <c r="J461" s="7">
        <v>0.023816</v>
      </c>
      <c r="K461" s="16">
        <v>15567</v>
      </c>
      <c r="L461" s="17">
        <v>5275.5</v>
      </c>
      <c r="M461" s="16">
        <v>22990.35</v>
      </c>
      <c r="N461" s="7">
        <f t="shared" si="60"/>
        <v>2.95081034972988</v>
      </c>
      <c r="O461" s="7">
        <f t="shared" si="61"/>
        <v>0.677110178835903</v>
      </c>
      <c r="P461" s="8">
        <v>314122336.3</v>
      </c>
      <c r="Q461" s="8">
        <f t="shared" si="62"/>
        <v>1.36632254967845</v>
      </c>
      <c r="R461" s="9">
        <v>120.4</v>
      </c>
      <c r="S461" s="9">
        <v>593</v>
      </c>
      <c r="T461" s="9">
        <v>553.2</v>
      </c>
      <c r="U461" s="9">
        <v>20382</v>
      </c>
      <c r="V461" s="18">
        <v>0</v>
      </c>
      <c r="W461" s="18">
        <v>1</v>
      </c>
      <c r="X461" s="18">
        <f t="shared" si="63"/>
        <v>0</v>
      </c>
      <c r="Y461" s="12">
        <f t="shared" si="64"/>
        <v>2.66960201713366</v>
      </c>
      <c r="Z461" s="12">
        <f t="shared" si="65"/>
        <v>0.488192419353404</v>
      </c>
      <c r="AA461" s="19">
        <v>15567</v>
      </c>
      <c r="AB461" s="19">
        <v>13276</v>
      </c>
      <c r="AC461" s="19">
        <v>504.51</v>
      </c>
      <c r="AD461" s="19">
        <v>2505.8</v>
      </c>
      <c r="AE461" s="19">
        <v>508.62</v>
      </c>
      <c r="AF461" s="19">
        <v>62.9</v>
      </c>
      <c r="AG461" s="19">
        <v>897.23</v>
      </c>
      <c r="AH461" s="19">
        <v>289.53</v>
      </c>
      <c r="AI461" s="19">
        <v>19.3</v>
      </c>
      <c r="AJ461" s="19">
        <v>2471.44</v>
      </c>
      <c r="AK461" s="3">
        <f t="shared" si="59"/>
        <v>0</v>
      </c>
      <c r="AL461" s="3">
        <v>0</v>
      </c>
      <c r="AM461" s="3">
        <f t="shared" si="58"/>
        <v>0</v>
      </c>
    </row>
    <row r="462" spans="1:39">
      <c r="A462" s="7">
        <v>2010</v>
      </c>
      <c r="B462" s="7" t="s">
        <v>56</v>
      </c>
      <c r="C462" s="7">
        <v>0.29805916</v>
      </c>
      <c r="D462" s="7">
        <v>0.049695</v>
      </c>
      <c r="E462" s="7">
        <v>0.013011</v>
      </c>
      <c r="F462" s="7">
        <v>0.023274</v>
      </c>
      <c r="G462" s="7">
        <v>0.007443</v>
      </c>
      <c r="H462" s="7">
        <v>0.005966</v>
      </c>
      <c r="I462" s="7">
        <v>0.050285</v>
      </c>
      <c r="J462" s="7">
        <v>0.027579</v>
      </c>
      <c r="K462" s="16">
        <v>16865</v>
      </c>
      <c r="L462" s="17">
        <v>5446.51</v>
      </c>
      <c r="M462" s="16">
        <v>27722.31</v>
      </c>
      <c r="N462" s="7">
        <f t="shared" si="60"/>
        <v>3.09647829527532</v>
      </c>
      <c r="O462" s="7">
        <f t="shared" si="61"/>
        <v>0.608354787173219</v>
      </c>
      <c r="P462" s="8">
        <v>337658290.9</v>
      </c>
      <c r="Q462" s="8">
        <f t="shared" si="62"/>
        <v>1.21800200235839</v>
      </c>
      <c r="R462" s="9">
        <v>151.4</v>
      </c>
      <c r="S462" s="9">
        <v>733.4</v>
      </c>
      <c r="T462" s="9">
        <v>686.9</v>
      </c>
      <c r="U462" s="9">
        <v>24984</v>
      </c>
      <c r="V462" s="18">
        <v>0</v>
      </c>
      <c r="W462" s="18">
        <v>1</v>
      </c>
      <c r="X462" s="18">
        <f t="shared" si="63"/>
        <v>0</v>
      </c>
      <c r="Y462" s="12">
        <f t="shared" si="64"/>
        <v>2.40850270516871</v>
      </c>
      <c r="Z462" s="12">
        <f t="shared" si="65"/>
        <v>0.494290789151066</v>
      </c>
      <c r="AA462" s="19">
        <v>16865.29</v>
      </c>
      <c r="AB462" s="19">
        <v>13949.86</v>
      </c>
      <c r="AC462" s="19">
        <v>443.09</v>
      </c>
      <c r="AD462" s="19">
        <v>2835.41</v>
      </c>
      <c r="AE462" s="19">
        <v>586.7</v>
      </c>
      <c r="AF462" s="19">
        <v>70.42</v>
      </c>
      <c r="AG462" s="19">
        <v>958.33</v>
      </c>
      <c r="AH462" s="19">
        <v>330.48</v>
      </c>
      <c r="AI462" s="19">
        <v>31.81</v>
      </c>
      <c r="AJ462" s="19">
        <v>2820.93</v>
      </c>
      <c r="AK462" s="3">
        <f t="shared" si="59"/>
        <v>0</v>
      </c>
      <c r="AL462" s="3">
        <v>0</v>
      </c>
      <c r="AM462" s="3">
        <f t="shared" si="58"/>
        <v>0</v>
      </c>
    </row>
    <row r="463" spans="1:39">
      <c r="A463" s="7">
        <v>2011</v>
      </c>
      <c r="B463" s="7" t="s">
        <v>56</v>
      </c>
      <c r="C463" s="7">
        <v>0.28686589</v>
      </c>
      <c r="D463" s="7">
        <v>0.050602</v>
      </c>
      <c r="E463" s="7">
        <v>0.012972</v>
      </c>
      <c r="F463" s="7">
        <v>0.023187</v>
      </c>
      <c r="G463" s="7">
        <v>0.007128</v>
      </c>
      <c r="H463" s="7">
        <v>0.007315</v>
      </c>
      <c r="I463" s="7">
        <v>0.047598</v>
      </c>
      <c r="J463" s="7">
        <v>0.022248</v>
      </c>
      <c r="K463" s="16">
        <v>17827</v>
      </c>
      <c r="L463" s="17">
        <v>5570</v>
      </c>
      <c r="M463" s="16">
        <v>32318.85</v>
      </c>
      <c r="N463" s="7">
        <f t="shared" si="60"/>
        <v>3.20053859964093</v>
      </c>
      <c r="O463" s="7">
        <f t="shared" si="61"/>
        <v>0.551597597067965</v>
      </c>
      <c r="P463" s="8">
        <v>365746583.2</v>
      </c>
      <c r="Q463" s="8">
        <f t="shared" si="62"/>
        <v>1.13168192308823</v>
      </c>
      <c r="R463" s="9">
        <v>175</v>
      </c>
      <c r="S463" s="9">
        <v>919.8</v>
      </c>
      <c r="T463" s="9">
        <v>837</v>
      </c>
      <c r="U463" s="9">
        <v>30161</v>
      </c>
      <c r="V463" s="18">
        <v>0</v>
      </c>
      <c r="W463" s="18">
        <v>1</v>
      </c>
      <c r="X463" s="18">
        <f t="shared" si="63"/>
        <v>0</v>
      </c>
      <c r="Y463" s="12">
        <f t="shared" si="64"/>
        <v>2.18035126729488</v>
      </c>
      <c r="Z463" s="12">
        <f t="shared" si="65"/>
        <v>0.480963485075372</v>
      </c>
      <c r="AA463" s="19">
        <v>17827</v>
      </c>
      <c r="AB463" s="19">
        <v>14776</v>
      </c>
      <c r="AC463" s="19">
        <v>470</v>
      </c>
      <c r="AD463" s="19">
        <v>2939.77</v>
      </c>
      <c r="AE463" s="19">
        <v>647.76</v>
      </c>
      <c r="AF463" s="19">
        <v>74.75</v>
      </c>
      <c r="AG463" s="19">
        <v>958.44</v>
      </c>
      <c r="AH463" s="19">
        <v>370.29</v>
      </c>
      <c r="AI463" s="19">
        <v>43.88</v>
      </c>
      <c r="AJ463" s="19">
        <v>3117</v>
      </c>
      <c r="AK463" s="3">
        <f t="shared" si="59"/>
        <v>0</v>
      </c>
      <c r="AL463" s="3">
        <v>0</v>
      </c>
      <c r="AM463" s="3">
        <f t="shared" si="58"/>
        <v>0</v>
      </c>
    </row>
    <row r="464" spans="1:39">
      <c r="A464" s="7">
        <v>2012</v>
      </c>
      <c r="B464" s="7" t="s">
        <v>56</v>
      </c>
      <c r="C464" s="7">
        <v>0.34240068</v>
      </c>
      <c r="D464" s="7">
        <v>0.055656</v>
      </c>
      <c r="E464" s="7">
        <v>0.014786</v>
      </c>
      <c r="F464" s="7">
        <v>0.024852</v>
      </c>
      <c r="G464" s="7">
        <v>0.007953</v>
      </c>
      <c r="H464" s="7">
        <v>0.008066</v>
      </c>
      <c r="I464" s="7">
        <v>0.055729</v>
      </c>
      <c r="J464" s="7">
        <v>0.030719</v>
      </c>
      <c r="K464" s="16">
        <v>18076</v>
      </c>
      <c r="L464" s="17">
        <v>5685</v>
      </c>
      <c r="M464" s="16">
        <v>34665.33</v>
      </c>
      <c r="N464" s="7">
        <f t="shared" si="60"/>
        <v>3.17959542656113</v>
      </c>
      <c r="O464" s="7">
        <f t="shared" si="61"/>
        <v>0.521443182568866</v>
      </c>
      <c r="P464" s="8">
        <v>365857971.7</v>
      </c>
      <c r="Q464" s="8">
        <f t="shared" si="62"/>
        <v>1.05540022754724</v>
      </c>
      <c r="R464" s="9">
        <v>189</v>
      </c>
      <c r="S464" s="9">
        <v>992.5</v>
      </c>
      <c r="T464" s="9">
        <v>949.5</v>
      </c>
      <c r="U464" s="9">
        <v>32609</v>
      </c>
      <c r="V464" s="18">
        <v>0</v>
      </c>
      <c r="W464" s="18">
        <v>1</v>
      </c>
      <c r="X464" s="18">
        <f t="shared" si="63"/>
        <v>0</v>
      </c>
      <c r="Y464" s="12">
        <f t="shared" si="64"/>
        <v>2.01609935715007</v>
      </c>
      <c r="Z464" s="12">
        <f t="shared" si="65"/>
        <v>0.476513782019584</v>
      </c>
      <c r="AA464" s="19">
        <v>18076.18</v>
      </c>
      <c r="AB464" s="19">
        <v>14374</v>
      </c>
      <c r="AC464" s="19">
        <v>451.42</v>
      </c>
      <c r="AD464" s="19">
        <v>2732.59</v>
      </c>
      <c r="AE464" s="19">
        <v>706.16</v>
      </c>
      <c r="AF464" s="19">
        <v>80.07</v>
      </c>
      <c r="AG464" s="19">
        <v>938.9</v>
      </c>
      <c r="AH464" s="19">
        <v>328.67</v>
      </c>
      <c r="AI464" s="19">
        <v>48.08</v>
      </c>
      <c r="AJ464" s="19">
        <v>3210.55</v>
      </c>
      <c r="AK464" s="3">
        <f t="shared" si="59"/>
        <v>0</v>
      </c>
      <c r="AL464" s="3">
        <v>0</v>
      </c>
      <c r="AM464" s="3">
        <f t="shared" si="58"/>
        <v>0</v>
      </c>
    </row>
    <row r="465" spans="1:39">
      <c r="A465" s="7">
        <v>2013</v>
      </c>
      <c r="B465" s="7" t="s">
        <v>56</v>
      </c>
      <c r="C465" s="7">
        <v>0.33905693</v>
      </c>
      <c r="D465" s="7">
        <v>0.055369</v>
      </c>
      <c r="E465" s="7">
        <v>0.014402</v>
      </c>
      <c r="F465" s="7">
        <v>0.024804</v>
      </c>
      <c r="G465" s="7">
        <v>0.008521</v>
      </c>
      <c r="H465" s="7">
        <v>0.007642</v>
      </c>
      <c r="I465" s="7">
        <v>0.057628</v>
      </c>
      <c r="J465" s="7">
        <v>0.028761</v>
      </c>
      <c r="K465" s="16">
        <v>18640</v>
      </c>
      <c r="L465" s="17">
        <v>5784</v>
      </c>
      <c r="M465" s="16">
        <v>37756.58</v>
      </c>
      <c r="N465" s="7">
        <f t="shared" si="60"/>
        <v>3.22268326417704</v>
      </c>
      <c r="O465" s="7">
        <f t="shared" si="61"/>
        <v>0.493688782193726</v>
      </c>
      <c r="P465" s="8">
        <v>376030180.2</v>
      </c>
      <c r="Q465" s="8">
        <f t="shared" si="62"/>
        <v>0.995932841904643</v>
      </c>
      <c r="R465" s="9">
        <v>210.7</v>
      </c>
      <c r="S465" s="9">
        <v>1059.5</v>
      </c>
      <c r="T465" s="9">
        <v>1057.5</v>
      </c>
      <c r="U465" s="9">
        <v>35135</v>
      </c>
      <c r="V465" s="18">
        <v>0</v>
      </c>
      <c r="W465" s="18">
        <v>1</v>
      </c>
      <c r="X465" s="18">
        <f t="shared" si="63"/>
        <v>0</v>
      </c>
      <c r="Y465" s="12">
        <f t="shared" si="64"/>
        <v>1.91398219724656</v>
      </c>
      <c r="Z465" s="12">
        <f t="shared" si="65"/>
        <v>0.479654072364213</v>
      </c>
      <c r="AA465" s="19">
        <v>18640</v>
      </c>
      <c r="AB465" s="19">
        <v>14161.26</v>
      </c>
      <c r="AC465" s="19">
        <v>446.18</v>
      </c>
      <c r="AD465" s="19">
        <v>2853.65</v>
      </c>
      <c r="AE465" s="19">
        <v>706.14</v>
      </c>
      <c r="AF465" s="19">
        <v>92.15</v>
      </c>
      <c r="AG465" s="19">
        <v>946.63</v>
      </c>
      <c r="AH465" s="19">
        <v>328.49</v>
      </c>
      <c r="AI465" s="19">
        <v>56.72</v>
      </c>
      <c r="AJ465" s="19">
        <v>3453.05</v>
      </c>
      <c r="AK465" s="3">
        <f t="shared" si="59"/>
        <v>1</v>
      </c>
      <c r="AL465" s="3">
        <v>0</v>
      </c>
      <c r="AM465" s="3">
        <f t="shared" si="58"/>
        <v>0</v>
      </c>
    </row>
    <row r="466" spans="1:39">
      <c r="A466" s="7">
        <v>2014</v>
      </c>
      <c r="B466" s="7" t="s">
        <v>56</v>
      </c>
      <c r="C466" s="7">
        <v>0.308743</v>
      </c>
      <c r="D466" s="7">
        <v>0.046686</v>
      </c>
      <c r="E466" s="7">
        <v>0.011883</v>
      </c>
      <c r="F466" s="7">
        <v>0.020885</v>
      </c>
      <c r="G466" s="7">
        <v>0.007422</v>
      </c>
      <c r="H466" s="7">
        <v>0.006496</v>
      </c>
      <c r="I466" s="7">
        <v>0.058567</v>
      </c>
      <c r="J466" s="7">
        <v>0.030311</v>
      </c>
      <c r="K466" s="16">
        <v>18826</v>
      </c>
      <c r="L466" s="17">
        <v>5890</v>
      </c>
      <c r="M466" s="16">
        <v>40173.03</v>
      </c>
      <c r="N466" s="7">
        <f t="shared" si="60"/>
        <v>3.19626485568761</v>
      </c>
      <c r="O466" s="7">
        <f t="shared" si="61"/>
        <v>0.468622854686341</v>
      </c>
      <c r="P466" s="8">
        <v>387844908.2</v>
      </c>
      <c r="Q466" s="8">
        <f t="shared" si="62"/>
        <v>0.965436035569137</v>
      </c>
      <c r="R466" s="9">
        <v>216.9</v>
      </c>
      <c r="S466" s="9">
        <v>1113.7</v>
      </c>
      <c r="T466" s="9">
        <v>1143.4</v>
      </c>
      <c r="U466" s="9">
        <v>36815</v>
      </c>
      <c r="V466" s="18">
        <v>0</v>
      </c>
      <c r="W466" s="18">
        <v>1</v>
      </c>
      <c r="X466" s="18">
        <f t="shared" si="63"/>
        <v>0</v>
      </c>
      <c r="Y466" s="12">
        <f t="shared" si="64"/>
        <v>1.79640226266579</v>
      </c>
      <c r="Z466" s="12">
        <f t="shared" si="65"/>
        <v>0.462572467406899</v>
      </c>
      <c r="AA466" s="19">
        <v>18826.42</v>
      </c>
      <c r="AB466" s="19">
        <v>13824.37</v>
      </c>
      <c r="AC466" s="19">
        <v>465.07</v>
      </c>
      <c r="AD466" s="19">
        <v>2731.81</v>
      </c>
      <c r="AE466" s="19">
        <v>710.38</v>
      </c>
      <c r="AF466" s="19">
        <v>103.76</v>
      </c>
      <c r="AG466" s="19">
        <v>932.06</v>
      </c>
      <c r="AH466" s="19">
        <v>339.38</v>
      </c>
      <c r="AI466" s="19">
        <v>78.16</v>
      </c>
      <c r="AJ466" s="19">
        <v>3506.39</v>
      </c>
      <c r="AK466" s="3">
        <f t="shared" si="59"/>
        <v>1</v>
      </c>
      <c r="AL466" s="3">
        <v>0</v>
      </c>
      <c r="AM466" s="3">
        <f t="shared" si="58"/>
        <v>0</v>
      </c>
    </row>
    <row r="467" spans="1:39">
      <c r="A467" s="7">
        <v>2015</v>
      </c>
      <c r="B467" s="7" t="s">
        <v>56</v>
      </c>
      <c r="C467" s="7">
        <v>0.36351474</v>
      </c>
      <c r="D467" s="7">
        <v>0.061043</v>
      </c>
      <c r="E467" s="7">
        <v>0.014696</v>
      </c>
      <c r="F467" s="7">
        <v>0.027228</v>
      </c>
      <c r="G467" s="7">
        <v>0.009625</v>
      </c>
      <c r="H467" s="7">
        <v>0.009494</v>
      </c>
      <c r="I467" s="7">
        <v>0.057325</v>
      </c>
      <c r="J467" s="7">
        <v>0.02825</v>
      </c>
      <c r="K467" s="16">
        <v>19610</v>
      </c>
      <c r="L467" s="17">
        <v>5985</v>
      </c>
      <c r="M467" s="16">
        <v>42886.49</v>
      </c>
      <c r="N467" s="7">
        <f t="shared" si="60"/>
        <v>3.2765246449457</v>
      </c>
      <c r="O467" s="7">
        <f t="shared" si="61"/>
        <v>0.457253554674211</v>
      </c>
      <c r="P467" s="8">
        <v>392043877.7</v>
      </c>
      <c r="Q467" s="8">
        <f t="shared" si="62"/>
        <v>0.914143073261533</v>
      </c>
      <c r="R467" s="9">
        <v>236.8</v>
      </c>
      <c r="S467" s="9">
        <v>1116.8</v>
      </c>
      <c r="T467" s="9">
        <v>1225.8</v>
      </c>
      <c r="U467" s="9">
        <v>37876</v>
      </c>
      <c r="V467" s="18">
        <v>0</v>
      </c>
      <c r="W467" s="18">
        <v>1</v>
      </c>
      <c r="X467" s="18">
        <f t="shared" si="63"/>
        <v>0</v>
      </c>
      <c r="Y467" s="12">
        <f t="shared" si="64"/>
        <v>1.71577514742415</v>
      </c>
      <c r="Z467" s="12">
        <f t="shared" si="65"/>
        <v>0.467212778647648</v>
      </c>
      <c r="AA467" s="19">
        <v>19610</v>
      </c>
      <c r="AB467" s="19">
        <v>13826.07</v>
      </c>
      <c r="AC467" s="19">
        <v>427.59</v>
      </c>
      <c r="AD467" s="19">
        <v>2846.84</v>
      </c>
      <c r="AE467" s="19">
        <v>754.05</v>
      </c>
      <c r="AF467" s="19">
        <v>113.52</v>
      </c>
      <c r="AG467" s="19">
        <v>968.37</v>
      </c>
      <c r="AH467" s="19">
        <v>326.26</v>
      </c>
      <c r="AI467" s="19">
        <v>80.35</v>
      </c>
      <c r="AJ467" s="19">
        <v>3554</v>
      </c>
      <c r="AK467" s="3">
        <f t="shared" si="59"/>
        <v>1</v>
      </c>
      <c r="AL467" s="3">
        <v>0</v>
      </c>
      <c r="AM467" s="3">
        <f t="shared" si="58"/>
        <v>0</v>
      </c>
    </row>
    <row r="468" spans="1:39">
      <c r="A468" s="7">
        <v>2016</v>
      </c>
      <c r="B468" s="7" t="s">
        <v>56</v>
      </c>
      <c r="C468" s="7">
        <v>0.33208458</v>
      </c>
      <c r="D468" s="7">
        <v>0.056737</v>
      </c>
      <c r="E468" s="7">
        <v>0.014286</v>
      </c>
      <c r="F468" s="7">
        <v>0.025743</v>
      </c>
      <c r="G468" s="7">
        <v>0.008886</v>
      </c>
      <c r="H468" s="7">
        <v>0.007822</v>
      </c>
      <c r="I468" s="7">
        <v>0.052192</v>
      </c>
      <c r="J468" s="7">
        <v>0.02706</v>
      </c>
      <c r="K468" s="16">
        <v>20276</v>
      </c>
      <c r="L468" s="17">
        <v>6072</v>
      </c>
      <c r="M468" s="16">
        <v>47251.36</v>
      </c>
      <c r="N468" s="7">
        <f t="shared" si="60"/>
        <v>3.33926218708827</v>
      </c>
      <c r="O468" s="7">
        <f t="shared" si="61"/>
        <v>0.429109342037986</v>
      </c>
      <c r="P468" s="8">
        <v>388095170.5</v>
      </c>
      <c r="Q468" s="8">
        <f t="shared" si="62"/>
        <v>0.821341799474132</v>
      </c>
      <c r="R468" s="9">
        <v>241</v>
      </c>
      <c r="S468" s="9">
        <v>1179.7</v>
      </c>
      <c r="T468" s="9">
        <v>1360.7</v>
      </c>
      <c r="U468" s="9">
        <v>40339</v>
      </c>
      <c r="V468" s="18">
        <v>0</v>
      </c>
      <c r="W468" s="18">
        <v>1</v>
      </c>
      <c r="X468" s="18">
        <f t="shared" si="63"/>
        <v>0</v>
      </c>
      <c r="Y468" s="12">
        <f t="shared" si="64"/>
        <v>1.62438398605541</v>
      </c>
      <c r="Z468" s="12">
        <f t="shared" si="65"/>
        <v>0.494367214571816</v>
      </c>
      <c r="AA468" s="19">
        <v>20276</v>
      </c>
      <c r="AB468" s="19">
        <v>13948.49</v>
      </c>
      <c r="AC468" s="19">
        <v>329.47</v>
      </c>
      <c r="AD468" s="19">
        <v>2667.35</v>
      </c>
      <c r="AE468" s="19">
        <v>796.92</v>
      </c>
      <c r="AF468" s="19">
        <v>127.4</v>
      </c>
      <c r="AG468" s="19">
        <v>881.91</v>
      </c>
      <c r="AH468" s="19">
        <v>381.29</v>
      </c>
      <c r="AI468" s="19">
        <v>87.79</v>
      </c>
      <c r="AJ468" s="19">
        <v>3873.19</v>
      </c>
      <c r="AK468" s="3">
        <f t="shared" si="59"/>
        <v>1</v>
      </c>
      <c r="AL468" s="3">
        <v>0</v>
      </c>
      <c r="AM468" s="3">
        <f t="shared" si="58"/>
        <v>0</v>
      </c>
    </row>
    <row r="469" spans="1:39">
      <c r="A469" s="7">
        <v>2017</v>
      </c>
      <c r="B469" s="7" t="s">
        <v>56</v>
      </c>
      <c r="C469" s="7">
        <v>0.36406569</v>
      </c>
      <c r="D469" s="7">
        <v>0.060706</v>
      </c>
      <c r="E469" s="7">
        <v>0.01527</v>
      </c>
      <c r="F469" s="7">
        <v>0.026697</v>
      </c>
      <c r="G469" s="7">
        <v>0.008716</v>
      </c>
      <c r="H469" s="7">
        <v>0.010023</v>
      </c>
      <c r="I469" s="7">
        <v>0.057452</v>
      </c>
      <c r="J469" s="7">
        <v>0.028749</v>
      </c>
      <c r="K469" s="16">
        <v>21030</v>
      </c>
      <c r="L469" s="17">
        <v>6170</v>
      </c>
      <c r="M469" s="16">
        <v>51768.26</v>
      </c>
      <c r="N469" s="7">
        <f t="shared" si="60"/>
        <v>3.40842787682334</v>
      </c>
      <c r="O469" s="7">
        <f t="shared" si="61"/>
        <v>0.406233472015478</v>
      </c>
      <c r="P469" s="8">
        <v>391871805.1</v>
      </c>
      <c r="Q469" s="8">
        <f t="shared" si="62"/>
        <v>0.756973104948863</v>
      </c>
      <c r="R469" s="9">
        <v>250.6</v>
      </c>
      <c r="S469" s="9">
        <v>1406</v>
      </c>
      <c r="T469" s="9">
        <v>1543.7</v>
      </c>
      <c r="U469" s="9">
        <v>45718</v>
      </c>
      <c r="V469" s="18">
        <v>1</v>
      </c>
      <c r="W469" s="18">
        <v>1</v>
      </c>
      <c r="X469" s="18">
        <f t="shared" si="63"/>
        <v>1</v>
      </c>
      <c r="Y469" s="12">
        <f t="shared" si="64"/>
        <v>1.56738551218677</v>
      </c>
      <c r="Z469" s="12">
        <f t="shared" si="65"/>
        <v>0.517047274545267</v>
      </c>
      <c r="AA469" s="19">
        <v>21030</v>
      </c>
      <c r="AB469" s="19">
        <v>14262.04</v>
      </c>
      <c r="AC469" s="19">
        <v>320.17</v>
      </c>
      <c r="AD469" s="19">
        <v>3038.65</v>
      </c>
      <c r="AE469" s="19">
        <v>858.97</v>
      </c>
      <c r="AF469" s="19">
        <v>147.81</v>
      </c>
      <c r="AG469" s="19">
        <v>831.97</v>
      </c>
      <c r="AH469" s="19">
        <v>398.32</v>
      </c>
      <c r="AI469" s="19">
        <v>104.93</v>
      </c>
      <c r="AJ469" s="19">
        <v>4192.63</v>
      </c>
      <c r="AK469" s="3">
        <f t="shared" si="59"/>
        <v>1</v>
      </c>
      <c r="AL469" s="3">
        <v>0</v>
      </c>
      <c r="AM469" s="3">
        <f t="shared" si="58"/>
        <v>0</v>
      </c>
    </row>
    <row r="470" spans="1:39">
      <c r="A470" s="7">
        <v>2018</v>
      </c>
      <c r="B470" s="7" t="s">
        <v>56</v>
      </c>
      <c r="C470" s="7">
        <v>0.37059963</v>
      </c>
      <c r="D470" s="7">
        <v>0.059421</v>
      </c>
      <c r="E470" s="7">
        <v>0.015018</v>
      </c>
      <c r="F470" s="7">
        <v>0.026374</v>
      </c>
      <c r="G470" s="7">
        <v>0.008816</v>
      </c>
      <c r="H470" s="7">
        <v>0.009213</v>
      </c>
      <c r="I470" s="7">
        <v>0.061241</v>
      </c>
      <c r="J470" s="7">
        <v>0.031694</v>
      </c>
      <c r="K470" s="16">
        <v>21675</v>
      </c>
      <c r="L470" s="17">
        <v>6273</v>
      </c>
      <c r="M470" s="16">
        <v>56197.15</v>
      </c>
      <c r="N470" s="7">
        <f t="shared" si="60"/>
        <v>3.45528455284553</v>
      </c>
      <c r="O470" s="7">
        <f t="shared" si="61"/>
        <v>0.385695715885948</v>
      </c>
      <c r="P470" s="8">
        <v>402870023.2</v>
      </c>
      <c r="Q470" s="8">
        <f t="shared" si="62"/>
        <v>0.716886929675259</v>
      </c>
      <c r="R470" s="9">
        <v>279.4</v>
      </c>
      <c r="S470" s="9">
        <v>1488.1</v>
      </c>
      <c r="T470" s="9">
        <v>1742.7</v>
      </c>
      <c r="U470" s="9">
        <v>49614</v>
      </c>
      <c r="V470" s="18">
        <v>1</v>
      </c>
      <c r="W470" s="18">
        <v>1</v>
      </c>
      <c r="X470" s="18">
        <f t="shared" si="63"/>
        <v>1</v>
      </c>
      <c r="Y470" s="12">
        <f t="shared" si="64"/>
        <v>1.51591455826218</v>
      </c>
      <c r="Z470" s="12">
        <f t="shared" si="65"/>
        <v>0.527092786484557</v>
      </c>
      <c r="AA470" s="19">
        <v>21675</v>
      </c>
      <c r="AB470" s="19">
        <v>14180.08</v>
      </c>
      <c r="AC470" s="19">
        <v>323.05</v>
      </c>
      <c r="AD470" s="19">
        <v>2769.88</v>
      </c>
      <c r="AE470" s="19">
        <v>862.2</v>
      </c>
      <c r="AF470" s="19">
        <v>163.65</v>
      </c>
      <c r="AG470" s="19">
        <v>761.97</v>
      </c>
      <c r="AH470" s="19">
        <v>304.08</v>
      </c>
      <c r="AI470" s="19">
        <v>134.91</v>
      </c>
      <c r="AJ470" s="19">
        <v>4532.82</v>
      </c>
      <c r="AK470" s="3">
        <f t="shared" si="59"/>
        <v>1</v>
      </c>
      <c r="AL470" s="3">
        <v>0</v>
      </c>
      <c r="AM470" s="3">
        <f t="shared" si="58"/>
        <v>0</v>
      </c>
    </row>
    <row r="471" spans="1:39">
      <c r="A471" s="7">
        <v>2019</v>
      </c>
      <c r="B471" s="7" t="s">
        <v>56</v>
      </c>
      <c r="C471" s="7">
        <v>0.35247177</v>
      </c>
      <c r="D471" s="7">
        <v>0.053857</v>
      </c>
      <c r="E471" s="7">
        <v>0.013616</v>
      </c>
      <c r="F471" s="7">
        <v>0.024989</v>
      </c>
      <c r="G471" s="7">
        <v>0.008389</v>
      </c>
      <c r="H471" s="7">
        <v>0.006862</v>
      </c>
      <c r="I471" s="7">
        <v>0.065405</v>
      </c>
      <c r="J471" s="7">
        <v>0.03285</v>
      </c>
      <c r="K471" s="16">
        <v>22393</v>
      </c>
      <c r="L471" s="17">
        <v>6375</v>
      </c>
      <c r="M471" s="16">
        <v>62351.74</v>
      </c>
      <c r="N471" s="7">
        <f t="shared" si="60"/>
        <v>3.51262745098039</v>
      </c>
      <c r="O471" s="7">
        <f t="shared" si="61"/>
        <v>0.359139937393888</v>
      </c>
      <c r="P471" s="8">
        <v>403466940.7</v>
      </c>
      <c r="Q471" s="8">
        <f t="shared" si="62"/>
        <v>0.647082087364362</v>
      </c>
      <c r="R471" s="9">
        <v>280</v>
      </c>
      <c r="S471" s="9">
        <v>1587.1</v>
      </c>
      <c r="T471" s="9">
        <v>1881.4</v>
      </c>
      <c r="U471" s="9">
        <v>52537</v>
      </c>
      <c r="V471" s="18">
        <v>1</v>
      </c>
      <c r="W471" s="18">
        <v>1</v>
      </c>
      <c r="X471" s="18">
        <f t="shared" si="63"/>
        <v>1</v>
      </c>
      <c r="Y471" s="12">
        <f t="shared" si="64"/>
        <v>1.5000536746505</v>
      </c>
      <c r="Z471" s="12">
        <f t="shared" si="65"/>
        <v>0.56862737760692</v>
      </c>
      <c r="AA471" s="19">
        <v>22393</v>
      </c>
      <c r="AB471" s="19">
        <v>13676.9</v>
      </c>
      <c r="AC471" s="19">
        <v>302.02</v>
      </c>
      <c r="AD471" s="19">
        <v>3472.3</v>
      </c>
      <c r="AE471" s="19">
        <v>789.2</v>
      </c>
      <c r="AF471" s="19">
        <v>176.37</v>
      </c>
      <c r="AG471" s="19">
        <v>730.48</v>
      </c>
      <c r="AH471" s="19">
        <v>303.79</v>
      </c>
      <c r="AI471" s="19">
        <v>147.2</v>
      </c>
      <c r="AJ471" s="19">
        <v>4706.22</v>
      </c>
      <c r="AK471" s="3">
        <f t="shared" si="59"/>
        <v>1</v>
      </c>
      <c r="AL471" s="3">
        <v>0</v>
      </c>
      <c r="AM471" s="3">
        <f t="shared" si="58"/>
        <v>0</v>
      </c>
    </row>
    <row r="472" spans="1:39">
      <c r="A472" s="7">
        <v>2020</v>
      </c>
      <c r="B472" s="7" t="s">
        <v>56</v>
      </c>
      <c r="C472" s="7">
        <v>0.41844062</v>
      </c>
      <c r="D472" s="7">
        <v>0.071209</v>
      </c>
      <c r="E472" s="7">
        <v>0.017477</v>
      </c>
      <c r="F472" s="7">
        <v>0.031753</v>
      </c>
      <c r="G472" s="7">
        <v>0.011512</v>
      </c>
      <c r="H472" s="7">
        <v>0.010468</v>
      </c>
      <c r="I472" s="7">
        <v>0.062894</v>
      </c>
      <c r="J472" s="7">
        <v>0.030122</v>
      </c>
      <c r="K472" s="16">
        <v>24660</v>
      </c>
      <c r="L472" s="17">
        <v>6468.3</v>
      </c>
      <c r="M472" s="16">
        <v>64613.34</v>
      </c>
      <c r="N472" s="7">
        <f t="shared" si="60"/>
        <v>3.81243912620008</v>
      </c>
      <c r="O472" s="7">
        <f t="shared" si="61"/>
        <v>0.381654933795405</v>
      </c>
      <c r="P472" s="8">
        <v>405793469.4</v>
      </c>
      <c r="Q472" s="8">
        <f t="shared" si="62"/>
        <v>0.628033575419565</v>
      </c>
      <c r="R472" s="9">
        <v>338.1</v>
      </c>
      <c r="S472" s="9">
        <v>1629.3</v>
      </c>
      <c r="T472" s="9">
        <v>1989</v>
      </c>
      <c r="U472" s="9">
        <v>55021</v>
      </c>
      <c r="V472" s="18">
        <v>1</v>
      </c>
      <c r="W472" s="18">
        <v>1</v>
      </c>
      <c r="X472" s="18">
        <f t="shared" si="63"/>
        <v>1</v>
      </c>
      <c r="Y472" s="12">
        <f t="shared" si="64"/>
        <v>1.47141701078949</v>
      </c>
      <c r="Z472" s="12">
        <f t="shared" si="65"/>
        <v>0.573177711814958</v>
      </c>
      <c r="AA472" s="19">
        <v>24660</v>
      </c>
      <c r="AB472" s="19">
        <v>13131.53</v>
      </c>
      <c r="AC472" s="19">
        <v>312.48</v>
      </c>
      <c r="AD472" s="19">
        <v>5082.69</v>
      </c>
      <c r="AE472" s="19">
        <v>834.57</v>
      </c>
      <c r="AF472" s="19">
        <v>145.77</v>
      </c>
      <c r="AG472" s="19">
        <v>703.26</v>
      </c>
      <c r="AH472" s="19">
        <v>456.38</v>
      </c>
      <c r="AI472" s="19">
        <v>133.5</v>
      </c>
      <c r="AJ472" s="19">
        <v>4830</v>
      </c>
      <c r="AK472" s="3">
        <f t="shared" si="59"/>
        <v>1</v>
      </c>
      <c r="AL472" s="3">
        <v>0</v>
      </c>
      <c r="AM472" s="3">
        <f t="shared" si="58"/>
        <v>0</v>
      </c>
    </row>
    <row r="473" spans="1:39">
      <c r="A473" s="7">
        <v>2021</v>
      </c>
      <c r="B473" s="7" t="s">
        <v>56</v>
      </c>
      <c r="C473" s="7">
        <v>0.39185309</v>
      </c>
      <c r="D473" s="7">
        <v>0.061677</v>
      </c>
      <c r="E473" s="7">
        <v>0.015801</v>
      </c>
      <c r="F473" s="7">
        <v>0.028542</v>
      </c>
      <c r="G473" s="7">
        <v>0.008463</v>
      </c>
      <c r="H473" s="7">
        <v>0.00887</v>
      </c>
      <c r="I473" s="7">
        <v>0.071448</v>
      </c>
      <c r="J473" s="7">
        <v>0.031918</v>
      </c>
      <c r="K473" s="16">
        <v>26623.7</v>
      </c>
      <c r="L473" s="17">
        <v>6540</v>
      </c>
      <c r="M473" s="16">
        <v>73515.8</v>
      </c>
      <c r="N473" s="7">
        <f t="shared" si="60"/>
        <v>4.07090214067278</v>
      </c>
      <c r="O473" s="7">
        <f t="shared" si="61"/>
        <v>0.362149361089725</v>
      </c>
      <c r="P473" s="8">
        <v>424413186.2</v>
      </c>
      <c r="Q473" s="8">
        <f t="shared" si="62"/>
        <v>0.577308804637915</v>
      </c>
      <c r="R473" s="9">
        <v>364.6</v>
      </c>
      <c r="S473" s="9">
        <v>2099.2</v>
      </c>
      <c r="T473" s="9">
        <v>2124.4</v>
      </c>
      <c r="U473" s="9">
        <v>63461</v>
      </c>
      <c r="V473" s="18">
        <v>1</v>
      </c>
      <c r="W473" s="18">
        <v>1</v>
      </c>
      <c r="X473" s="18">
        <f t="shared" si="63"/>
        <v>1</v>
      </c>
      <c r="Y473" s="12">
        <f t="shared" si="64"/>
        <v>1.36781889095748</v>
      </c>
      <c r="Z473" s="12">
        <f t="shared" si="65"/>
        <v>0.577934762815129</v>
      </c>
      <c r="AA473" s="19">
        <v>26623.7</v>
      </c>
      <c r="AB473" s="19">
        <v>15429.95</v>
      </c>
      <c r="AC473" s="19">
        <v>285.53</v>
      </c>
      <c r="AD473" s="19">
        <v>5636.97</v>
      </c>
      <c r="AE473" s="19">
        <v>878.65</v>
      </c>
      <c r="AF473" s="19">
        <v>155.23</v>
      </c>
      <c r="AG473" s="19">
        <v>698.76</v>
      </c>
      <c r="AH473" s="19">
        <v>260.63</v>
      </c>
      <c r="AI473" s="19">
        <v>170.53</v>
      </c>
      <c r="AJ473" s="19">
        <v>5514</v>
      </c>
      <c r="AK473" s="3">
        <f t="shared" si="59"/>
        <v>1</v>
      </c>
      <c r="AL473" s="3">
        <v>0</v>
      </c>
      <c r="AM473" s="3">
        <f t="shared" si="58"/>
        <v>0</v>
      </c>
    </row>
    <row r="474" spans="1:39">
      <c r="A474" s="7">
        <v>2022</v>
      </c>
      <c r="B474" s="7" t="s">
        <v>56</v>
      </c>
      <c r="C474" s="7">
        <v>0.4730561</v>
      </c>
      <c r="D474" s="7">
        <v>0.07755</v>
      </c>
      <c r="E474" s="7">
        <v>0.019212</v>
      </c>
      <c r="F474" s="7">
        <v>0.035502</v>
      </c>
      <c r="G474" s="7">
        <v>0.012088</v>
      </c>
      <c r="H474" s="7">
        <v>0.010749</v>
      </c>
      <c r="I474" s="7">
        <v>0.071615</v>
      </c>
      <c r="J474" s="7">
        <v>0.037355</v>
      </c>
      <c r="K474" s="16">
        <v>29112.3</v>
      </c>
      <c r="L474" s="17">
        <v>6577</v>
      </c>
      <c r="M474" s="16">
        <v>77715.4</v>
      </c>
      <c r="N474" s="7">
        <f t="shared" si="60"/>
        <v>4.42637980842329</v>
      </c>
      <c r="O474" s="7">
        <f t="shared" si="61"/>
        <v>0.374601430347138</v>
      </c>
      <c r="P474" s="8">
        <v>418594960.8</v>
      </c>
      <c r="Q474" s="8">
        <f t="shared" si="62"/>
        <v>0.538625498678512</v>
      </c>
      <c r="R474" s="9">
        <v>407.5</v>
      </c>
      <c r="S474" s="9">
        <v>2439.1</v>
      </c>
      <c r="T474" s="9">
        <v>2258</v>
      </c>
      <c r="U474" s="9">
        <v>70263</v>
      </c>
      <c r="V474" s="18">
        <v>1</v>
      </c>
      <c r="W474" s="18">
        <v>1</v>
      </c>
      <c r="X474" s="18">
        <f t="shared" si="63"/>
        <v>1</v>
      </c>
      <c r="Y474" s="12">
        <f t="shared" si="64"/>
        <v>1.27047633725244</v>
      </c>
      <c r="Z474" s="12">
        <f t="shared" si="65"/>
        <v>0.576044446570838</v>
      </c>
      <c r="AA474" s="19">
        <v>29112.3</v>
      </c>
      <c r="AB474" s="19">
        <v>16145.79</v>
      </c>
      <c r="AC474" s="19">
        <v>292.63</v>
      </c>
      <c r="AD474" s="19">
        <v>6753.78</v>
      </c>
      <c r="AE474" s="19">
        <v>882.69</v>
      </c>
      <c r="AF474" s="19">
        <v>115.31</v>
      </c>
      <c r="AG474" s="19">
        <v>686.52</v>
      </c>
      <c r="AH474" s="19">
        <v>211.44</v>
      </c>
      <c r="AI474" s="19">
        <v>172.03</v>
      </c>
      <c r="AJ474" s="19">
        <v>5799.31</v>
      </c>
      <c r="AK474" s="3">
        <f t="shared" si="59"/>
        <v>1</v>
      </c>
      <c r="AL474" s="3">
        <v>0</v>
      </c>
      <c r="AM474" s="3">
        <f t="shared" si="58"/>
        <v>0</v>
      </c>
    </row>
    <row r="475" spans="1:39">
      <c r="A475" s="7">
        <v>2023</v>
      </c>
      <c r="B475" s="7" t="s">
        <v>56</v>
      </c>
      <c r="C475" s="7">
        <v>0.71848159</v>
      </c>
      <c r="D475" s="7">
        <v>0.101525</v>
      </c>
      <c r="E475" s="7">
        <v>0.030724</v>
      </c>
      <c r="F475" s="7">
        <v>0.050562</v>
      </c>
      <c r="G475" s="7">
        <v>0.023814</v>
      </c>
      <c r="H475" s="7">
        <v>0.020728</v>
      </c>
      <c r="I475" s="7">
        <v>0.079882</v>
      </c>
      <c r="J475" s="7">
        <v>0.050893</v>
      </c>
      <c r="K475" s="16">
        <v>31863.36</v>
      </c>
      <c r="L475" s="17">
        <v>6627</v>
      </c>
      <c r="M475" s="16">
        <v>82553.2</v>
      </c>
      <c r="N475" s="7">
        <f t="shared" si="60"/>
        <v>4.80811226799457</v>
      </c>
      <c r="O475" s="7">
        <f t="shared" si="61"/>
        <v>0.385973650930551</v>
      </c>
      <c r="P475" s="8">
        <v>437605135.4</v>
      </c>
      <c r="Q475" s="8">
        <f t="shared" si="62"/>
        <v>0.530088640294986</v>
      </c>
      <c r="R475" s="9">
        <v>428.1</v>
      </c>
      <c r="S475" s="9">
        <v>2487.2</v>
      </c>
      <c r="T475" s="9">
        <v>2399.6</v>
      </c>
      <c r="U475" s="9">
        <v>72957</v>
      </c>
      <c r="V475" s="18">
        <v>1</v>
      </c>
      <c r="W475" s="18">
        <v>1</v>
      </c>
      <c r="X475" s="18">
        <f t="shared" si="63"/>
        <v>1</v>
      </c>
      <c r="Y475" s="12">
        <f t="shared" si="64"/>
        <v>1.2756783895882</v>
      </c>
      <c r="Z475" s="12">
        <f t="shared" si="65"/>
        <v>0.584465297349668</v>
      </c>
      <c r="AA475" s="12"/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3">
        <f t="shared" si="59"/>
        <v>1</v>
      </c>
      <c r="AL475" s="3">
        <v>0</v>
      </c>
      <c r="AM475" s="3">
        <f t="shared" si="58"/>
        <v>0</v>
      </c>
    </row>
    <row r="476" spans="1:39">
      <c r="A476" s="7">
        <v>2024</v>
      </c>
      <c r="B476" s="7" t="s">
        <v>56</v>
      </c>
      <c r="C476" s="7">
        <v>0.84660993</v>
      </c>
      <c r="D476" s="7">
        <v>0.114951</v>
      </c>
      <c r="E476" s="7">
        <v>0.036312</v>
      </c>
      <c r="F476" s="7">
        <v>0.058501</v>
      </c>
      <c r="G476" s="7">
        <v>0.030756</v>
      </c>
      <c r="H476" s="7">
        <v>0.025943</v>
      </c>
      <c r="I476" s="7">
        <v>0.08441</v>
      </c>
      <c r="J476" s="7">
        <v>0.056448</v>
      </c>
      <c r="K476" s="16">
        <v>34599.66</v>
      </c>
      <c r="L476" s="17">
        <v>6670</v>
      </c>
      <c r="M476" s="16">
        <v>90130.6</v>
      </c>
      <c r="N476" s="7">
        <f t="shared" si="60"/>
        <v>5.18735532233883</v>
      </c>
      <c r="O476" s="7">
        <f t="shared" si="61"/>
        <v>0.383883608896424</v>
      </c>
      <c r="P476" s="8">
        <v>448234163.8</v>
      </c>
      <c r="Q476" s="8">
        <f t="shared" si="62"/>
        <v>0.497316298571184</v>
      </c>
      <c r="R476" s="9">
        <v>451.2</v>
      </c>
      <c r="S476" s="9">
        <v>2335.4</v>
      </c>
      <c r="T476" s="9">
        <v>2716.2</v>
      </c>
      <c r="U476" s="9">
        <v>75484</v>
      </c>
      <c r="V476" s="18">
        <v>1</v>
      </c>
      <c r="W476" s="18">
        <v>1</v>
      </c>
      <c r="X476" s="18">
        <f t="shared" si="63"/>
        <v>1</v>
      </c>
      <c r="Y476" s="12">
        <f t="shared" si="64"/>
        <v>1.21200651315194</v>
      </c>
      <c r="Z476" s="12">
        <f t="shared" si="65"/>
        <v>0.589675226020143</v>
      </c>
      <c r="AA476" s="12"/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2">
        <v>0</v>
      </c>
      <c r="AK476" s="3">
        <f t="shared" si="59"/>
        <v>1</v>
      </c>
      <c r="AL476" s="3">
        <v>0</v>
      </c>
      <c r="AM476" s="3">
        <f t="shared" si="58"/>
        <v>0</v>
      </c>
    </row>
    <row r="477" spans="1:39">
      <c r="A477" s="7">
        <v>2000</v>
      </c>
      <c r="B477" s="7" t="s">
        <v>57</v>
      </c>
      <c r="C477" s="7">
        <v>0.17429293</v>
      </c>
      <c r="D477" s="7">
        <v>0.029702</v>
      </c>
      <c r="E477" s="7">
        <v>0.006894</v>
      </c>
      <c r="F477" s="7">
        <v>0.01364</v>
      </c>
      <c r="G477" s="7">
        <v>0.004522</v>
      </c>
      <c r="H477" s="7">
        <v>0.004647</v>
      </c>
      <c r="I477" s="7">
        <v>0.034257</v>
      </c>
      <c r="J477" s="7">
        <v>0.019346</v>
      </c>
      <c r="K477" s="16">
        <v>480</v>
      </c>
      <c r="L477" s="17">
        <v>789</v>
      </c>
      <c r="M477" s="16">
        <v>518.48</v>
      </c>
      <c r="N477" s="7">
        <f t="shared" si="60"/>
        <v>0.608365019011407</v>
      </c>
      <c r="O477" s="7">
        <f t="shared" si="61"/>
        <v>0.925783058170035</v>
      </c>
      <c r="P477" s="8">
        <v>17759700.19</v>
      </c>
      <c r="Q477" s="8">
        <f t="shared" si="62"/>
        <v>3.42533949043358</v>
      </c>
      <c r="R477" s="9">
        <v>375.5</v>
      </c>
      <c r="S477" s="9">
        <v>1633.4</v>
      </c>
      <c r="T477" s="9">
        <v>846.5</v>
      </c>
      <c r="U477" s="9">
        <v>7515</v>
      </c>
      <c r="V477" s="18">
        <v>0</v>
      </c>
      <c r="W477" s="18">
        <v>0</v>
      </c>
      <c r="X477" s="18">
        <f t="shared" si="63"/>
        <v>0</v>
      </c>
      <c r="Y477" s="12">
        <f t="shared" si="64"/>
        <v>4.53658228674969</v>
      </c>
      <c r="Z477" s="12">
        <f t="shared" si="65"/>
        <v>0.244951535335707</v>
      </c>
      <c r="AA477" s="19">
        <v>479.95</v>
      </c>
      <c r="AB477" s="19">
        <v>191.63</v>
      </c>
      <c r="AC477" s="19">
        <v>3.47</v>
      </c>
      <c r="AD477" s="19">
        <v>14.69</v>
      </c>
      <c r="AE477" s="19">
        <v>30.93</v>
      </c>
      <c r="AF477" s="19">
        <v>28.13</v>
      </c>
      <c r="AG477" s="19">
        <v>46.2</v>
      </c>
      <c r="AH477" s="19">
        <v>9.39</v>
      </c>
      <c r="AI477" s="19">
        <v>5.28</v>
      </c>
      <c r="AJ477" s="19">
        <v>38.37</v>
      </c>
      <c r="AK477" s="3">
        <f t="shared" si="59"/>
        <v>0</v>
      </c>
      <c r="AL477" s="3">
        <v>0</v>
      </c>
      <c r="AM477" s="3">
        <f t="shared" si="58"/>
        <v>0</v>
      </c>
    </row>
    <row r="478" spans="1:39">
      <c r="A478" s="7">
        <v>2001</v>
      </c>
      <c r="B478" s="7" t="s">
        <v>57</v>
      </c>
      <c r="C478" s="7">
        <v>0.16515712</v>
      </c>
      <c r="D478" s="7">
        <v>0.027397</v>
      </c>
      <c r="E478" s="7">
        <v>0.006417</v>
      </c>
      <c r="F478" s="7">
        <v>0.012343</v>
      </c>
      <c r="G478" s="7">
        <v>0.002927</v>
      </c>
      <c r="H478" s="7">
        <v>0.00571</v>
      </c>
      <c r="I478" s="7">
        <v>0.033753</v>
      </c>
      <c r="J478" s="7">
        <v>0.019261</v>
      </c>
      <c r="K478" s="16">
        <v>520</v>
      </c>
      <c r="L478" s="17">
        <v>795.55</v>
      </c>
      <c r="M478" s="16">
        <v>558.41366</v>
      </c>
      <c r="N478" s="7">
        <f t="shared" si="60"/>
        <v>0.653635849412356</v>
      </c>
      <c r="O478" s="7">
        <f t="shared" si="61"/>
        <v>0.931209311749286</v>
      </c>
      <c r="P478" s="8">
        <v>18602539.86</v>
      </c>
      <c r="Q478" s="8">
        <f t="shared" si="62"/>
        <v>3.3313189115037</v>
      </c>
      <c r="R478" s="9">
        <v>426.6</v>
      </c>
      <c r="S478" s="9">
        <v>1665.9</v>
      </c>
      <c r="T478" s="9">
        <v>951</v>
      </c>
      <c r="U478" s="9">
        <v>7990</v>
      </c>
      <c r="V478" s="18">
        <v>0</v>
      </c>
      <c r="W478" s="18">
        <v>0</v>
      </c>
      <c r="X478" s="18">
        <f t="shared" si="63"/>
        <v>0</v>
      </c>
      <c r="Y478" s="12">
        <f t="shared" si="64"/>
        <v>4.16809156222866</v>
      </c>
      <c r="Z478" s="12">
        <f t="shared" si="65"/>
        <v>0.200756782386408</v>
      </c>
      <c r="AA478" s="19">
        <v>520</v>
      </c>
      <c r="AB478" s="12">
        <v>0</v>
      </c>
      <c r="AC478" s="19">
        <v>0.04</v>
      </c>
      <c r="AD478" s="19">
        <v>13.49</v>
      </c>
      <c r="AE478" s="19">
        <v>31.37</v>
      </c>
      <c r="AF478" s="19">
        <v>30.49</v>
      </c>
      <c r="AG478" s="19">
        <v>48.24</v>
      </c>
      <c r="AH478" s="19">
        <v>9.99</v>
      </c>
      <c r="AI478" s="19">
        <v>6.56</v>
      </c>
      <c r="AJ478" s="19">
        <v>44.86</v>
      </c>
      <c r="AK478" s="3">
        <f t="shared" si="59"/>
        <v>0</v>
      </c>
      <c r="AL478" s="3">
        <v>0</v>
      </c>
      <c r="AM478" s="3">
        <f t="shared" ref="AM478:AM541" si="66">AK478*AL478</f>
        <v>0</v>
      </c>
    </row>
    <row r="479" spans="1:39">
      <c r="A479" s="7">
        <v>2002</v>
      </c>
      <c r="B479" s="7" t="s">
        <v>57</v>
      </c>
      <c r="C479" s="7">
        <v>0.1907409</v>
      </c>
      <c r="D479" s="7">
        <v>0.033622</v>
      </c>
      <c r="E479" s="7">
        <v>0.007338</v>
      </c>
      <c r="F479" s="7">
        <v>0.014613</v>
      </c>
      <c r="G479" s="7">
        <v>0.005422</v>
      </c>
      <c r="H479" s="7">
        <v>0.006248</v>
      </c>
      <c r="I479" s="7">
        <v>0.039435</v>
      </c>
      <c r="J479" s="7">
        <v>0.014918</v>
      </c>
      <c r="K479" s="16">
        <v>602</v>
      </c>
      <c r="L479" s="17">
        <v>803.13</v>
      </c>
      <c r="M479" s="16">
        <v>621.97402</v>
      </c>
      <c r="N479" s="7">
        <f t="shared" si="60"/>
        <v>0.749567317868838</v>
      </c>
      <c r="O479" s="7">
        <f t="shared" si="61"/>
        <v>0.96788608630309</v>
      </c>
      <c r="P479" s="8">
        <v>19763777.63</v>
      </c>
      <c r="Q479" s="8">
        <f t="shared" si="62"/>
        <v>3.17758893369855</v>
      </c>
      <c r="R479" s="9">
        <v>464.2</v>
      </c>
      <c r="S479" s="9">
        <v>1728.3</v>
      </c>
      <c r="T479" s="9">
        <v>1050.2</v>
      </c>
      <c r="U479" s="9">
        <v>8507</v>
      </c>
      <c r="V479" s="18">
        <v>0</v>
      </c>
      <c r="W479" s="18">
        <v>0</v>
      </c>
      <c r="X479" s="18">
        <f t="shared" si="63"/>
        <v>0</v>
      </c>
      <c r="Y479" s="12">
        <f t="shared" si="64"/>
        <v>4.06804884448575</v>
      </c>
      <c r="Z479" s="12">
        <f t="shared" si="65"/>
        <v>0.218891155152727</v>
      </c>
      <c r="AA479" s="19">
        <v>602</v>
      </c>
      <c r="AB479" s="19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J479" s="19">
        <v>49</v>
      </c>
      <c r="AK479" s="3">
        <f t="shared" ref="AK479:AK542" si="67">IF(A479&gt;=2013,1,0)</f>
        <v>0</v>
      </c>
      <c r="AL479" s="3">
        <v>0</v>
      </c>
      <c r="AM479" s="3">
        <f t="shared" si="66"/>
        <v>0</v>
      </c>
    </row>
    <row r="480" spans="1:39">
      <c r="A480" s="7">
        <v>2003</v>
      </c>
      <c r="B480" s="7" t="s">
        <v>57</v>
      </c>
      <c r="C480" s="7">
        <v>0.25042959</v>
      </c>
      <c r="D480" s="7">
        <v>0.041157</v>
      </c>
      <c r="E480" s="7">
        <v>0.01117</v>
      </c>
      <c r="F480" s="7">
        <v>0.018963</v>
      </c>
      <c r="G480" s="7">
        <v>0.006706</v>
      </c>
      <c r="H480" s="7">
        <v>0.004318</v>
      </c>
      <c r="I480" s="7">
        <v>0.047208</v>
      </c>
      <c r="J480" s="7">
        <v>0.024377</v>
      </c>
      <c r="K480" s="16">
        <v>684</v>
      </c>
      <c r="L480" s="17">
        <v>810.52</v>
      </c>
      <c r="M480" s="16">
        <v>693.2</v>
      </c>
      <c r="N480" s="7">
        <f t="shared" si="60"/>
        <v>0.843902679761141</v>
      </c>
      <c r="O480" s="7">
        <f t="shared" si="61"/>
        <v>0.986728216964801</v>
      </c>
      <c r="P480" s="8">
        <v>22022014.39</v>
      </c>
      <c r="Q480" s="8">
        <f t="shared" si="62"/>
        <v>3.17686301067513</v>
      </c>
      <c r="R480" s="9">
        <v>493</v>
      </c>
      <c r="S480" s="9">
        <v>1956.4</v>
      </c>
      <c r="T480" s="9">
        <v>1160.3</v>
      </c>
      <c r="U480" s="9">
        <v>9464</v>
      </c>
      <c r="V480" s="18">
        <v>0</v>
      </c>
      <c r="W480" s="18">
        <v>0</v>
      </c>
      <c r="X480" s="18">
        <f t="shared" si="63"/>
        <v>0</v>
      </c>
      <c r="Y480" s="12">
        <f t="shared" si="64"/>
        <v>4.08414499624993</v>
      </c>
      <c r="Z480" s="12">
        <f t="shared" si="65"/>
        <v>0.222147349422675</v>
      </c>
      <c r="AA480" s="19">
        <v>683.74</v>
      </c>
      <c r="AB480" s="19">
        <v>607.21</v>
      </c>
      <c r="AC480" s="19">
        <v>5.92</v>
      </c>
      <c r="AD480" s="19">
        <v>31.6</v>
      </c>
      <c r="AE480" s="19">
        <v>19.79</v>
      </c>
      <c r="AF480" s="19">
        <v>52.2</v>
      </c>
      <c r="AG480" s="19">
        <v>50.73</v>
      </c>
      <c r="AH480" s="19">
        <v>5.24</v>
      </c>
      <c r="AI480" s="19">
        <v>24.08</v>
      </c>
      <c r="AJ480" s="19">
        <v>59.3</v>
      </c>
      <c r="AK480" s="3">
        <f t="shared" si="67"/>
        <v>0</v>
      </c>
      <c r="AL480" s="3">
        <v>0</v>
      </c>
      <c r="AM480" s="3">
        <f t="shared" si="66"/>
        <v>0</v>
      </c>
    </row>
    <row r="481" spans="1:39">
      <c r="A481" s="7">
        <v>2004</v>
      </c>
      <c r="B481" s="7" t="s">
        <v>57</v>
      </c>
      <c r="C481" s="7">
        <v>0.21637184</v>
      </c>
      <c r="D481" s="7">
        <v>0.031804</v>
      </c>
      <c r="E481" s="7">
        <v>0.007704</v>
      </c>
      <c r="F481" s="7">
        <v>0.014306</v>
      </c>
      <c r="G481" s="7">
        <v>0.004882</v>
      </c>
      <c r="H481" s="7">
        <v>0.004913</v>
      </c>
      <c r="I481" s="7">
        <v>0.044182</v>
      </c>
      <c r="J481" s="7">
        <v>0.026537</v>
      </c>
      <c r="K481" s="16">
        <v>742</v>
      </c>
      <c r="L481" s="17">
        <v>817.83</v>
      </c>
      <c r="M481" s="16">
        <v>798.9</v>
      </c>
      <c r="N481" s="7">
        <f t="shared" si="60"/>
        <v>0.907279018867002</v>
      </c>
      <c r="O481" s="7">
        <f t="shared" si="61"/>
        <v>0.928777068469145</v>
      </c>
      <c r="P481" s="8">
        <v>26523361.34</v>
      </c>
      <c r="Q481" s="8">
        <f t="shared" si="62"/>
        <v>3.31998514707723</v>
      </c>
      <c r="R481" s="9">
        <v>580.9</v>
      </c>
      <c r="S481" s="9">
        <v>2270.3</v>
      </c>
      <c r="T481" s="9">
        <v>1283.5</v>
      </c>
      <c r="U481" s="9">
        <v>10836</v>
      </c>
      <c r="V481" s="18">
        <v>0</v>
      </c>
      <c r="W481" s="18">
        <v>0</v>
      </c>
      <c r="X481" s="18">
        <f t="shared" si="63"/>
        <v>0</v>
      </c>
      <c r="Y481" s="12">
        <f t="shared" si="64"/>
        <v>3.89549779892895</v>
      </c>
      <c r="Z481" s="12">
        <f t="shared" si="65"/>
        <v>0.147737896812559</v>
      </c>
      <c r="AA481" s="19">
        <v>742.48</v>
      </c>
      <c r="AB481" s="19">
        <v>477.34</v>
      </c>
      <c r="AC481" s="19">
        <v>3.51</v>
      </c>
      <c r="AD481" s="19">
        <v>13.87</v>
      </c>
      <c r="AE481" s="19">
        <v>34.21</v>
      </c>
      <c r="AF481" s="19">
        <v>54.26</v>
      </c>
      <c r="AG481" s="19">
        <v>53.98</v>
      </c>
      <c r="AH481" s="19">
        <v>5.88</v>
      </c>
      <c r="AI481" s="19">
        <v>23.89</v>
      </c>
      <c r="AJ481" s="19">
        <v>68.66</v>
      </c>
      <c r="AK481" s="3">
        <f t="shared" si="67"/>
        <v>0</v>
      </c>
      <c r="AL481" s="3">
        <v>0</v>
      </c>
      <c r="AM481" s="3">
        <f t="shared" si="66"/>
        <v>0</v>
      </c>
    </row>
    <row r="482" spans="1:39">
      <c r="A482" s="7">
        <v>2005</v>
      </c>
      <c r="B482" s="7" t="s">
        <v>57</v>
      </c>
      <c r="C482" s="7">
        <v>0.24714064</v>
      </c>
      <c r="D482" s="7">
        <v>0.042681</v>
      </c>
      <c r="E482" s="7">
        <v>0.011077</v>
      </c>
      <c r="F482" s="7">
        <v>0.020133</v>
      </c>
      <c r="G482" s="7">
        <v>0.007688</v>
      </c>
      <c r="H482" s="7">
        <v>0.003783</v>
      </c>
      <c r="I482" s="7">
        <v>0.045982</v>
      </c>
      <c r="J482" s="7">
        <v>0.02174</v>
      </c>
      <c r="K482" s="16">
        <v>822</v>
      </c>
      <c r="L482" s="17">
        <v>828</v>
      </c>
      <c r="M482" s="16">
        <v>897.99</v>
      </c>
      <c r="N482" s="7">
        <f t="shared" si="60"/>
        <v>0.992753623188406</v>
      </c>
      <c r="O482" s="7">
        <f t="shared" si="61"/>
        <v>0.915377676811546</v>
      </c>
      <c r="P482" s="8">
        <v>28450584.59</v>
      </c>
      <c r="Q482" s="8">
        <f t="shared" si="62"/>
        <v>3.16825182797136</v>
      </c>
      <c r="R482" s="9">
        <v>674.6</v>
      </c>
      <c r="S482" s="9">
        <v>2656.4</v>
      </c>
      <c r="T482" s="9">
        <v>1425.4</v>
      </c>
      <c r="U482" s="9">
        <v>12456</v>
      </c>
      <c r="V482" s="18">
        <v>0</v>
      </c>
      <c r="W482" s="18">
        <v>0</v>
      </c>
      <c r="X482" s="18">
        <f t="shared" si="63"/>
        <v>0</v>
      </c>
      <c r="Y482" s="12">
        <f t="shared" si="64"/>
        <v>3.71995059106252</v>
      </c>
      <c r="Z482" s="12">
        <f t="shared" si="65"/>
        <v>0.148308088934477</v>
      </c>
      <c r="AA482" s="19">
        <v>819.1</v>
      </c>
      <c r="AB482" s="19">
        <v>341.6</v>
      </c>
      <c r="AC482" s="19">
        <v>1.61</v>
      </c>
      <c r="AD482" s="19">
        <v>11.46</v>
      </c>
      <c r="AE482" s="19">
        <v>39.48</v>
      </c>
      <c r="AF482" s="19">
        <v>62.5</v>
      </c>
      <c r="AG482" s="19">
        <v>43.09</v>
      </c>
      <c r="AH482" s="19">
        <v>5.24</v>
      </c>
      <c r="AI482" s="19">
        <v>20.97</v>
      </c>
      <c r="AJ482" s="19">
        <v>81.61</v>
      </c>
      <c r="AK482" s="3">
        <f t="shared" si="67"/>
        <v>0</v>
      </c>
      <c r="AL482" s="3">
        <v>0</v>
      </c>
      <c r="AM482" s="3">
        <f t="shared" si="66"/>
        <v>0</v>
      </c>
    </row>
    <row r="483" spans="1:39">
      <c r="A483" s="7">
        <v>2006</v>
      </c>
      <c r="B483" s="7" t="s">
        <v>57</v>
      </c>
      <c r="C483" s="7">
        <v>0.2297992</v>
      </c>
      <c r="D483" s="7">
        <v>0.037643</v>
      </c>
      <c r="E483" s="7">
        <v>0.009924</v>
      </c>
      <c r="F483" s="7">
        <v>0.017102</v>
      </c>
      <c r="G483" s="7">
        <v>0.004769</v>
      </c>
      <c r="H483" s="7">
        <v>0.005848</v>
      </c>
      <c r="I483" s="7">
        <v>0.039184</v>
      </c>
      <c r="J483" s="7">
        <v>0.025739</v>
      </c>
      <c r="K483" s="16">
        <v>920</v>
      </c>
      <c r="L483" s="17">
        <v>835.88</v>
      </c>
      <c r="M483" s="16">
        <v>1044.91</v>
      </c>
      <c r="N483" s="7">
        <f t="shared" si="60"/>
        <v>1.10063645499354</v>
      </c>
      <c r="O483" s="7">
        <f t="shared" si="61"/>
        <v>0.880458604090304</v>
      </c>
      <c r="P483" s="8">
        <v>31813239.62</v>
      </c>
      <c r="Q483" s="8">
        <f t="shared" si="62"/>
        <v>3.04459136384952</v>
      </c>
      <c r="R483" s="9">
        <v>731.8</v>
      </c>
      <c r="S483" s="9">
        <v>2998</v>
      </c>
      <c r="T483" s="9">
        <v>1599.9</v>
      </c>
      <c r="U483" s="9">
        <v>13947</v>
      </c>
      <c r="V483" s="18">
        <v>0</v>
      </c>
      <c r="W483" s="18">
        <v>0</v>
      </c>
      <c r="X483" s="18">
        <f t="shared" si="63"/>
        <v>0</v>
      </c>
      <c r="Y483" s="12">
        <f t="shared" si="64"/>
        <v>3.57740717995078</v>
      </c>
      <c r="Z483" s="12">
        <f t="shared" si="65"/>
        <v>0.148939102903179</v>
      </c>
      <c r="AA483" s="19">
        <v>910.91</v>
      </c>
      <c r="AB483" s="19">
        <v>332.23</v>
      </c>
      <c r="AC483" s="19">
        <v>18.65</v>
      </c>
      <c r="AD483" s="19">
        <v>230.1</v>
      </c>
      <c r="AE483" s="19">
        <v>33.24</v>
      </c>
      <c r="AF483" s="19">
        <v>65.92</v>
      </c>
      <c r="AG483" s="19">
        <v>62.91</v>
      </c>
      <c r="AH483" s="19">
        <v>11.28</v>
      </c>
      <c r="AI483" s="19">
        <v>23.97</v>
      </c>
      <c r="AJ483" s="19">
        <v>97.66</v>
      </c>
      <c r="AK483" s="3">
        <f t="shared" si="67"/>
        <v>0</v>
      </c>
      <c r="AL483" s="3">
        <v>0</v>
      </c>
      <c r="AM483" s="3">
        <f t="shared" si="66"/>
        <v>0</v>
      </c>
    </row>
    <row r="484" spans="1:39">
      <c r="A484" s="7">
        <v>2007</v>
      </c>
      <c r="B484" s="7" t="s">
        <v>57</v>
      </c>
      <c r="C484" s="7">
        <v>0.24564541</v>
      </c>
      <c r="D484" s="7">
        <v>0.044996</v>
      </c>
      <c r="E484" s="7">
        <v>0.010902</v>
      </c>
      <c r="F484" s="7">
        <v>0.021572</v>
      </c>
      <c r="G484" s="7">
        <v>0.007884</v>
      </c>
      <c r="H484" s="7">
        <v>0.004638</v>
      </c>
      <c r="I484" s="7">
        <v>0.045143</v>
      </c>
      <c r="J484" s="7">
        <v>0.017723</v>
      </c>
      <c r="K484" s="16">
        <v>1057</v>
      </c>
      <c r="L484" s="17">
        <v>845.03</v>
      </c>
      <c r="M484" s="16">
        <v>1254.17</v>
      </c>
      <c r="N484" s="7">
        <f t="shared" si="60"/>
        <v>1.25084316533141</v>
      </c>
      <c r="O484" s="7">
        <f t="shared" si="61"/>
        <v>0.842788457705096</v>
      </c>
      <c r="P484" s="8">
        <v>34929388.09</v>
      </c>
      <c r="Q484" s="8">
        <f t="shared" si="62"/>
        <v>2.7850600867506</v>
      </c>
      <c r="R484" s="9">
        <v>892.4</v>
      </c>
      <c r="S484" s="9">
        <v>3383</v>
      </c>
      <c r="T484" s="9">
        <v>1850.9</v>
      </c>
      <c r="U484" s="9">
        <v>16023</v>
      </c>
      <c r="V484" s="18">
        <v>0</v>
      </c>
      <c r="W484" s="18">
        <v>0</v>
      </c>
      <c r="X484" s="18">
        <f t="shared" si="63"/>
        <v>0</v>
      </c>
      <c r="Y484" s="12">
        <f t="shared" si="64"/>
        <v>3.23986794305777</v>
      </c>
      <c r="Z484" s="12">
        <f t="shared" si="65"/>
        <v>0.140378516748409</v>
      </c>
      <c r="AA484" s="19">
        <v>1016.17</v>
      </c>
      <c r="AB484" s="19">
        <v>414.08</v>
      </c>
      <c r="AC484" s="19">
        <v>22.99</v>
      </c>
      <c r="AD484" s="19">
        <v>816.28</v>
      </c>
      <c r="AE484" s="19">
        <v>46.6</v>
      </c>
      <c r="AF484" s="19">
        <v>64.67</v>
      </c>
      <c r="AG484" s="19">
        <v>59.21</v>
      </c>
      <c r="AH484" s="19">
        <v>20.18</v>
      </c>
      <c r="AI484" s="19">
        <v>23.4</v>
      </c>
      <c r="AJ484" s="19">
        <v>113.25</v>
      </c>
      <c r="AK484" s="3">
        <f t="shared" si="67"/>
        <v>0</v>
      </c>
      <c r="AL484" s="3">
        <v>0</v>
      </c>
      <c r="AM484" s="3">
        <f t="shared" si="66"/>
        <v>0</v>
      </c>
    </row>
    <row r="485" spans="1:39">
      <c r="A485" s="7">
        <v>2008</v>
      </c>
      <c r="B485" s="7" t="s">
        <v>57</v>
      </c>
      <c r="C485" s="7">
        <v>0.31452823</v>
      </c>
      <c r="D485" s="7">
        <v>0.057569</v>
      </c>
      <c r="E485" s="7">
        <v>0.01366</v>
      </c>
      <c r="F485" s="7">
        <v>0.024122</v>
      </c>
      <c r="G485" s="7">
        <v>0.010099</v>
      </c>
      <c r="H485" s="7">
        <v>0.009688</v>
      </c>
      <c r="I485" s="7">
        <v>0.047038</v>
      </c>
      <c r="J485" s="7">
        <v>0.018697</v>
      </c>
      <c r="K485" s="16">
        <v>1135</v>
      </c>
      <c r="L485" s="17">
        <v>854.18</v>
      </c>
      <c r="M485" s="16">
        <v>1503.06</v>
      </c>
      <c r="N485" s="7">
        <f t="shared" si="60"/>
        <v>1.32875974618933</v>
      </c>
      <c r="O485" s="7">
        <f t="shared" si="61"/>
        <v>0.755126209199899</v>
      </c>
      <c r="P485" s="8">
        <v>35256953.63</v>
      </c>
      <c r="Q485" s="8">
        <f t="shared" si="62"/>
        <v>2.34567839141485</v>
      </c>
      <c r="R485" s="9">
        <v>1073.8</v>
      </c>
      <c r="S485" s="9">
        <v>3935</v>
      </c>
      <c r="T485" s="9">
        <v>2125.4</v>
      </c>
      <c r="U485" s="9">
        <v>18654</v>
      </c>
      <c r="V485" s="18">
        <v>0</v>
      </c>
      <c r="W485" s="18">
        <v>0</v>
      </c>
      <c r="X485" s="18">
        <f t="shared" si="63"/>
        <v>0</v>
      </c>
      <c r="Y485" s="12">
        <f t="shared" si="64"/>
        <v>2.71728515287532</v>
      </c>
      <c r="Z485" s="12">
        <f t="shared" si="65"/>
        <v>0.136756630443164</v>
      </c>
      <c r="AA485" s="19">
        <v>1135</v>
      </c>
      <c r="AB485" s="19">
        <v>472</v>
      </c>
      <c r="AC485" s="19">
        <v>14.88</v>
      </c>
      <c r="AD485" s="19">
        <v>796.83</v>
      </c>
      <c r="AE485" s="19">
        <v>38.85</v>
      </c>
      <c r="AF485" s="19">
        <v>80.16</v>
      </c>
      <c r="AG485" s="19">
        <v>93.8</v>
      </c>
      <c r="AH485" s="19">
        <v>29.55</v>
      </c>
      <c r="AI485" s="19">
        <v>26.78</v>
      </c>
      <c r="AJ485" s="19">
        <v>122.97</v>
      </c>
      <c r="AK485" s="3">
        <f t="shared" si="67"/>
        <v>0</v>
      </c>
      <c r="AL485" s="3">
        <v>0</v>
      </c>
      <c r="AM485" s="3">
        <f t="shared" si="66"/>
        <v>0</v>
      </c>
    </row>
    <row r="486" spans="1:39">
      <c r="A486" s="7">
        <v>2009</v>
      </c>
      <c r="B486" s="7" t="s">
        <v>57</v>
      </c>
      <c r="C486" s="7">
        <v>0.32568632</v>
      </c>
      <c r="D486" s="7">
        <v>0.057501</v>
      </c>
      <c r="E486" s="7">
        <v>0.01193</v>
      </c>
      <c r="F486" s="7">
        <v>0.026345</v>
      </c>
      <c r="G486" s="7">
        <v>0.009403</v>
      </c>
      <c r="H486" s="7">
        <v>0.009824</v>
      </c>
      <c r="I486" s="7">
        <v>0.045814</v>
      </c>
      <c r="J486" s="7">
        <v>0.025462</v>
      </c>
      <c r="K486" s="16">
        <v>1233</v>
      </c>
      <c r="L486" s="17">
        <v>864.07</v>
      </c>
      <c r="M486" s="16">
        <v>1654.21</v>
      </c>
      <c r="N486" s="7">
        <f t="shared" si="60"/>
        <v>1.42696772252248</v>
      </c>
      <c r="O486" s="7">
        <f t="shared" si="61"/>
        <v>0.745370902122463</v>
      </c>
      <c r="P486" s="8">
        <v>39879003.82</v>
      </c>
      <c r="Q486" s="8">
        <f t="shared" si="62"/>
        <v>2.41075823625779</v>
      </c>
      <c r="R486" s="9">
        <v>1141.9</v>
      </c>
      <c r="S486" s="9">
        <v>3668.1</v>
      </c>
      <c r="T486" s="9">
        <v>2409</v>
      </c>
      <c r="U486" s="9">
        <v>18871</v>
      </c>
      <c r="V486" s="18">
        <v>0</v>
      </c>
      <c r="W486" s="18">
        <v>0</v>
      </c>
      <c r="X486" s="18">
        <f t="shared" si="63"/>
        <v>0</v>
      </c>
      <c r="Y486" s="12">
        <f t="shared" si="64"/>
        <v>2.66960201713366</v>
      </c>
      <c r="Z486" s="12">
        <f t="shared" si="65"/>
        <v>0.0969596888279944</v>
      </c>
      <c r="AA486" s="19">
        <v>1233</v>
      </c>
      <c r="AB486" s="19">
        <v>537</v>
      </c>
      <c r="AC486" s="19">
        <v>17.76</v>
      </c>
      <c r="AD486" s="19">
        <v>835.68</v>
      </c>
      <c r="AE486" s="19">
        <v>47.62</v>
      </c>
      <c r="AF486" s="19">
        <v>90.03</v>
      </c>
      <c r="AG486" s="19">
        <v>106.24</v>
      </c>
      <c r="AH486" s="19">
        <v>26.82</v>
      </c>
      <c r="AI486" s="19">
        <v>24.94</v>
      </c>
      <c r="AJ486" s="19">
        <v>133.76</v>
      </c>
      <c r="AK486" s="3">
        <f t="shared" si="67"/>
        <v>0</v>
      </c>
      <c r="AL486" s="3">
        <v>0</v>
      </c>
      <c r="AM486" s="3">
        <f t="shared" si="66"/>
        <v>0</v>
      </c>
    </row>
    <row r="487" spans="1:39">
      <c r="A487" s="7">
        <v>2010</v>
      </c>
      <c r="B487" s="7" t="s">
        <v>57</v>
      </c>
      <c r="C487" s="7">
        <v>0.31937167</v>
      </c>
      <c r="D487" s="7">
        <v>0.06313</v>
      </c>
      <c r="E487" s="7">
        <v>0.016663</v>
      </c>
      <c r="F487" s="7">
        <v>0.028251</v>
      </c>
      <c r="G487" s="7">
        <v>0.010257</v>
      </c>
      <c r="H487" s="7">
        <v>0.007959</v>
      </c>
      <c r="I487" s="7">
        <v>0.039148</v>
      </c>
      <c r="J487" s="7">
        <v>0.019372</v>
      </c>
      <c r="K487" s="16">
        <v>1359</v>
      </c>
      <c r="L487" s="17">
        <v>868.55</v>
      </c>
      <c r="M487" s="16">
        <v>2064.5</v>
      </c>
      <c r="N487" s="7">
        <f t="shared" si="60"/>
        <v>1.56467676011744</v>
      </c>
      <c r="O487" s="7">
        <f t="shared" si="61"/>
        <v>0.658270767740373</v>
      </c>
      <c r="P487" s="8">
        <v>42064194.26</v>
      </c>
      <c r="Q487" s="8">
        <f t="shared" si="62"/>
        <v>2.03750032744006</v>
      </c>
      <c r="R487" s="9">
        <v>1291.8</v>
      </c>
      <c r="S487" s="9">
        <v>4146.1</v>
      </c>
      <c r="T487" s="9">
        <v>2870.4</v>
      </c>
      <c r="U487" s="9">
        <v>21694</v>
      </c>
      <c r="V487" s="18">
        <v>0</v>
      </c>
      <c r="W487" s="18">
        <v>0</v>
      </c>
      <c r="X487" s="18">
        <f t="shared" si="63"/>
        <v>0</v>
      </c>
      <c r="Y487" s="12">
        <f t="shared" si="64"/>
        <v>2.40850270516871</v>
      </c>
      <c r="Z487" s="12">
        <f t="shared" si="65"/>
        <v>0.154038597063839</v>
      </c>
      <c r="AA487" s="19">
        <v>1358.51</v>
      </c>
      <c r="AB487" s="19">
        <v>647.2</v>
      </c>
      <c r="AC487" s="19">
        <v>0.05</v>
      </c>
      <c r="AD487" s="19">
        <v>859.17</v>
      </c>
      <c r="AE487" s="19">
        <v>52.63</v>
      </c>
      <c r="AF487" s="19">
        <v>87.43</v>
      </c>
      <c r="AG487" s="19">
        <v>139.98</v>
      </c>
      <c r="AH487" s="19">
        <v>30.49</v>
      </c>
      <c r="AI487" s="19">
        <v>29.72</v>
      </c>
      <c r="AJ487" s="19">
        <v>159.02</v>
      </c>
      <c r="AK487" s="3">
        <f t="shared" si="67"/>
        <v>0</v>
      </c>
      <c r="AL487" s="3">
        <v>0</v>
      </c>
      <c r="AM487" s="3">
        <f t="shared" si="66"/>
        <v>0</v>
      </c>
    </row>
    <row r="488" spans="1:39">
      <c r="A488" s="7">
        <v>2011</v>
      </c>
      <c r="B488" s="7" t="s">
        <v>57</v>
      </c>
      <c r="C488" s="7">
        <v>0.30261352</v>
      </c>
      <c r="D488" s="7">
        <v>0.05388</v>
      </c>
      <c r="E488" s="7">
        <v>0.01268</v>
      </c>
      <c r="F488" s="7">
        <v>0.02412</v>
      </c>
      <c r="G488" s="7">
        <v>0.007506</v>
      </c>
      <c r="H488" s="7">
        <v>0.009574</v>
      </c>
      <c r="I488" s="7">
        <v>0.041557</v>
      </c>
      <c r="J488" s="7">
        <v>0.024997</v>
      </c>
      <c r="K488" s="16">
        <v>1601</v>
      </c>
      <c r="L488" s="17">
        <v>890</v>
      </c>
      <c r="M488" s="16">
        <v>2522.66</v>
      </c>
      <c r="N488" s="7">
        <f t="shared" si="60"/>
        <v>1.79887640449438</v>
      </c>
      <c r="O488" s="7">
        <f t="shared" si="61"/>
        <v>0.634647554565419</v>
      </c>
      <c r="P488" s="8">
        <v>44123337.17</v>
      </c>
      <c r="Q488" s="8">
        <f t="shared" si="62"/>
        <v>1.74907982724584</v>
      </c>
      <c r="R488" s="9">
        <v>1695.5</v>
      </c>
      <c r="S488" s="9">
        <v>4916.3</v>
      </c>
      <c r="T488" s="9">
        <v>3323.2</v>
      </c>
      <c r="U488" s="9">
        <v>26093</v>
      </c>
      <c r="V488" s="18">
        <v>0</v>
      </c>
      <c r="W488" s="18">
        <v>0</v>
      </c>
      <c r="X488" s="18">
        <f t="shared" si="63"/>
        <v>0</v>
      </c>
      <c r="Y488" s="12">
        <f t="shared" si="64"/>
        <v>2.18035126729488</v>
      </c>
      <c r="Z488" s="12">
        <f t="shared" si="65"/>
        <v>0.19779906408572</v>
      </c>
      <c r="AA488" s="19">
        <v>1601</v>
      </c>
      <c r="AB488" s="19">
        <v>815</v>
      </c>
      <c r="AC488" s="19">
        <v>0.02</v>
      </c>
      <c r="AD488" s="19">
        <v>915.19</v>
      </c>
      <c r="AE488" s="19">
        <v>60.5</v>
      </c>
      <c r="AF488" s="19">
        <v>90.15</v>
      </c>
      <c r="AG488" s="19">
        <v>146.18</v>
      </c>
      <c r="AH488" s="19">
        <v>35.29</v>
      </c>
      <c r="AI488" s="19">
        <v>48.86</v>
      </c>
      <c r="AJ488" s="19">
        <v>185</v>
      </c>
      <c r="AK488" s="3">
        <f t="shared" si="67"/>
        <v>0</v>
      </c>
      <c r="AL488" s="3">
        <v>0</v>
      </c>
      <c r="AM488" s="3">
        <f t="shared" si="66"/>
        <v>0</v>
      </c>
    </row>
    <row r="489" spans="1:39">
      <c r="A489" s="7">
        <v>2012</v>
      </c>
      <c r="B489" s="7" t="s">
        <v>57</v>
      </c>
      <c r="C489" s="7">
        <v>0.38394281</v>
      </c>
      <c r="D489" s="7">
        <v>0.061502</v>
      </c>
      <c r="E489" s="7">
        <v>0.012909</v>
      </c>
      <c r="F489" s="7">
        <v>0.027883</v>
      </c>
      <c r="G489" s="7">
        <v>0.010289</v>
      </c>
      <c r="H489" s="7">
        <v>0.010422</v>
      </c>
      <c r="I489" s="7">
        <v>0.067097</v>
      </c>
      <c r="J489" s="7">
        <v>0.029064</v>
      </c>
      <c r="K489" s="16">
        <v>1688</v>
      </c>
      <c r="L489" s="17">
        <v>910</v>
      </c>
      <c r="M489" s="16">
        <v>2855.54</v>
      </c>
      <c r="N489" s="7">
        <f t="shared" si="60"/>
        <v>1.85494505494506</v>
      </c>
      <c r="O489" s="7">
        <f t="shared" si="61"/>
        <v>0.591131624841536</v>
      </c>
      <c r="P489" s="8">
        <v>47656471.52</v>
      </c>
      <c r="Q489" s="8">
        <f t="shared" si="62"/>
        <v>1.66891276326019</v>
      </c>
      <c r="R489" s="9">
        <v>2119.6</v>
      </c>
      <c r="S489" s="9">
        <v>5099.8</v>
      </c>
      <c r="T489" s="9">
        <v>3796.5</v>
      </c>
      <c r="U489" s="9">
        <v>29352</v>
      </c>
      <c r="V489" s="18">
        <v>0</v>
      </c>
      <c r="W489" s="18">
        <v>0</v>
      </c>
      <c r="X489" s="18">
        <f t="shared" si="63"/>
        <v>0</v>
      </c>
      <c r="Y489" s="12">
        <f t="shared" si="64"/>
        <v>2.01609935715007</v>
      </c>
      <c r="Z489" s="12">
        <f t="shared" si="65"/>
        <v>0.172207085260253</v>
      </c>
      <c r="AA489" s="19">
        <v>1687.98</v>
      </c>
      <c r="AB489" s="19">
        <v>931</v>
      </c>
      <c r="AC489" s="19">
        <v>0.05</v>
      </c>
      <c r="AD489" s="19">
        <v>930.81</v>
      </c>
      <c r="AE489" s="19">
        <v>65.05</v>
      </c>
      <c r="AF489" s="19">
        <v>82.83</v>
      </c>
      <c r="AG489" s="19">
        <v>155.67</v>
      </c>
      <c r="AH489" s="19">
        <v>39.06</v>
      </c>
      <c r="AI489" s="19">
        <v>47.49</v>
      </c>
      <c r="AJ489" s="19">
        <v>210.31</v>
      </c>
      <c r="AK489" s="3">
        <f t="shared" si="67"/>
        <v>0</v>
      </c>
      <c r="AL489" s="3">
        <v>0</v>
      </c>
      <c r="AM489" s="3">
        <f t="shared" si="66"/>
        <v>0</v>
      </c>
    </row>
    <row r="490" spans="1:39">
      <c r="A490" s="7">
        <v>2013</v>
      </c>
      <c r="B490" s="7" t="s">
        <v>57</v>
      </c>
      <c r="C490" s="7">
        <v>0.31877665</v>
      </c>
      <c r="D490" s="7">
        <v>0.051135</v>
      </c>
      <c r="E490" s="7">
        <v>0.01252</v>
      </c>
      <c r="F490" s="7">
        <v>0.024219</v>
      </c>
      <c r="G490" s="7">
        <v>0.007391</v>
      </c>
      <c r="H490" s="7">
        <v>0.007005</v>
      </c>
      <c r="I490" s="7">
        <v>0.056524</v>
      </c>
      <c r="J490" s="7">
        <v>0.029386</v>
      </c>
      <c r="K490" s="16">
        <v>1720</v>
      </c>
      <c r="L490" s="17">
        <v>920</v>
      </c>
      <c r="M490" s="16">
        <v>3177.56</v>
      </c>
      <c r="N490" s="7">
        <f t="shared" si="60"/>
        <v>1.8695652173913</v>
      </c>
      <c r="O490" s="7">
        <f t="shared" si="61"/>
        <v>0.541295837057365</v>
      </c>
      <c r="P490" s="8">
        <v>48481324.6</v>
      </c>
      <c r="Q490" s="8">
        <f t="shared" si="62"/>
        <v>1.52574065005854</v>
      </c>
      <c r="R490" s="9">
        <v>2539.6</v>
      </c>
      <c r="S490" s="9">
        <v>5202.7</v>
      </c>
      <c r="T490" s="9">
        <v>4106.9</v>
      </c>
      <c r="U490" s="9">
        <v>32068</v>
      </c>
      <c r="V490" s="18">
        <v>0</v>
      </c>
      <c r="W490" s="18">
        <v>0</v>
      </c>
      <c r="X490" s="18">
        <f t="shared" si="63"/>
        <v>0</v>
      </c>
      <c r="Y490" s="12">
        <f t="shared" si="64"/>
        <v>1.91398219724656</v>
      </c>
      <c r="Z490" s="12">
        <f t="shared" si="65"/>
        <v>0.202844910337484</v>
      </c>
      <c r="AA490" s="19">
        <v>1720</v>
      </c>
      <c r="AB490" s="19">
        <v>1008.78</v>
      </c>
      <c r="AC490" s="19">
        <v>0.04</v>
      </c>
      <c r="AD490" s="19">
        <v>737.65</v>
      </c>
      <c r="AE490" s="19">
        <v>72.13</v>
      </c>
      <c r="AF490" s="19">
        <v>85.74</v>
      </c>
      <c r="AG490" s="19">
        <v>130.25</v>
      </c>
      <c r="AH490" s="19">
        <v>36.77</v>
      </c>
      <c r="AI490" s="19">
        <v>46.02</v>
      </c>
      <c r="AJ490" s="19">
        <v>232.02</v>
      </c>
      <c r="AK490" s="3">
        <f t="shared" si="67"/>
        <v>1</v>
      </c>
      <c r="AL490" s="3">
        <v>0</v>
      </c>
      <c r="AM490" s="3">
        <f t="shared" si="66"/>
        <v>0</v>
      </c>
    </row>
    <row r="491" spans="1:39">
      <c r="A491" s="7">
        <v>2014</v>
      </c>
      <c r="B491" s="7" t="s">
        <v>57</v>
      </c>
      <c r="C491" s="7">
        <v>0.31181117</v>
      </c>
      <c r="D491" s="7">
        <v>0.049793</v>
      </c>
      <c r="E491" s="7">
        <v>0.011588</v>
      </c>
      <c r="F491" s="7">
        <v>0.0227</v>
      </c>
      <c r="G491" s="7">
        <v>0.007247</v>
      </c>
      <c r="H491" s="7">
        <v>0.008258</v>
      </c>
      <c r="I491" s="7">
        <v>0.053362</v>
      </c>
      <c r="J491" s="7">
        <v>0.029023</v>
      </c>
      <c r="K491" s="16">
        <v>1820</v>
      </c>
      <c r="L491" s="17">
        <v>936</v>
      </c>
      <c r="M491" s="16">
        <v>3500.72</v>
      </c>
      <c r="N491" s="7">
        <f t="shared" si="60"/>
        <v>1.94444444444444</v>
      </c>
      <c r="O491" s="7">
        <f t="shared" si="61"/>
        <v>0.519893050572454</v>
      </c>
      <c r="P491" s="8">
        <v>47128015.37</v>
      </c>
      <c r="Q491" s="8">
        <f t="shared" si="62"/>
        <v>1.3462377845129</v>
      </c>
      <c r="R491" s="9">
        <v>2691</v>
      </c>
      <c r="S491" s="9">
        <v>4872.4</v>
      </c>
      <c r="T491" s="9">
        <v>4607.4</v>
      </c>
      <c r="U491" s="9">
        <v>33464</v>
      </c>
      <c r="V491" s="18">
        <v>0</v>
      </c>
      <c r="W491" s="18">
        <v>0</v>
      </c>
      <c r="X491" s="18">
        <f t="shared" si="63"/>
        <v>0</v>
      </c>
      <c r="Y491" s="12">
        <f t="shared" si="64"/>
        <v>1.79640226266579</v>
      </c>
      <c r="Z491" s="12">
        <f t="shared" si="65"/>
        <v>0.250592246240472</v>
      </c>
      <c r="AA491" s="19">
        <v>1819.93</v>
      </c>
      <c r="AB491" s="19">
        <v>1018.3</v>
      </c>
      <c r="AC491" s="19">
        <v>0.04</v>
      </c>
      <c r="AD491" s="19">
        <v>942.52</v>
      </c>
      <c r="AE491" s="19">
        <v>80.16</v>
      </c>
      <c r="AF491" s="19">
        <v>84.59</v>
      </c>
      <c r="AG491" s="19">
        <v>112.15</v>
      </c>
      <c r="AH491" s="19">
        <v>41.48</v>
      </c>
      <c r="AI491" s="19">
        <v>46</v>
      </c>
      <c r="AJ491" s="19">
        <v>251.88</v>
      </c>
      <c r="AK491" s="3">
        <f t="shared" si="67"/>
        <v>1</v>
      </c>
      <c r="AL491" s="3">
        <v>0</v>
      </c>
      <c r="AM491" s="3">
        <f t="shared" si="66"/>
        <v>0</v>
      </c>
    </row>
    <row r="492" spans="1:39">
      <c r="A492" s="7">
        <v>2015</v>
      </c>
      <c r="B492" s="7" t="s">
        <v>57</v>
      </c>
      <c r="C492" s="7">
        <v>0.45024645</v>
      </c>
      <c r="D492" s="7">
        <v>0.073856</v>
      </c>
      <c r="E492" s="7">
        <v>0.018021</v>
      </c>
      <c r="F492" s="7">
        <v>0.034158</v>
      </c>
      <c r="G492" s="7">
        <v>0.01072</v>
      </c>
      <c r="H492" s="7">
        <v>0.010956</v>
      </c>
      <c r="I492" s="7">
        <v>0.068286</v>
      </c>
      <c r="J492" s="7">
        <v>0.036413</v>
      </c>
      <c r="K492" s="16">
        <v>1916</v>
      </c>
      <c r="L492" s="17">
        <v>945</v>
      </c>
      <c r="M492" s="16">
        <v>3702.76</v>
      </c>
      <c r="N492" s="7">
        <f t="shared" si="60"/>
        <v>2.02751322751323</v>
      </c>
      <c r="O492" s="7">
        <f t="shared" si="61"/>
        <v>0.517451846730547</v>
      </c>
      <c r="P492" s="8">
        <v>47929337.94</v>
      </c>
      <c r="Q492" s="8">
        <f t="shared" si="62"/>
        <v>1.2944219430911</v>
      </c>
      <c r="R492" s="9">
        <v>2712.2</v>
      </c>
      <c r="S492" s="9">
        <v>3926.9</v>
      </c>
      <c r="T492" s="9">
        <v>5050.9</v>
      </c>
      <c r="U492" s="9">
        <v>32759</v>
      </c>
      <c r="V492" s="18">
        <v>0</v>
      </c>
      <c r="W492" s="18">
        <v>0</v>
      </c>
      <c r="X492" s="18">
        <f t="shared" si="63"/>
        <v>0</v>
      </c>
      <c r="Y492" s="12">
        <f t="shared" si="64"/>
        <v>1.71577514742415</v>
      </c>
      <c r="Z492" s="12">
        <f t="shared" si="65"/>
        <v>0.245576003921967</v>
      </c>
      <c r="AA492" s="19">
        <v>1916</v>
      </c>
      <c r="AB492" s="19">
        <v>1071.92</v>
      </c>
      <c r="AC492" s="12">
        <v>0</v>
      </c>
      <c r="AD492" s="19">
        <v>1116.11</v>
      </c>
      <c r="AE492" s="19">
        <v>89.32</v>
      </c>
      <c r="AF492" s="19">
        <v>85.69</v>
      </c>
      <c r="AG492" s="19">
        <v>93.14</v>
      </c>
      <c r="AH492" s="19">
        <v>31.93</v>
      </c>
      <c r="AI492" s="19">
        <v>45.65</v>
      </c>
      <c r="AJ492" s="19">
        <v>272</v>
      </c>
      <c r="AK492" s="3">
        <f t="shared" si="67"/>
        <v>1</v>
      </c>
      <c r="AL492" s="3">
        <v>0</v>
      </c>
      <c r="AM492" s="3">
        <f t="shared" si="66"/>
        <v>0</v>
      </c>
    </row>
    <row r="493" spans="1:39">
      <c r="A493" s="7">
        <v>2016</v>
      </c>
      <c r="B493" s="7" t="s">
        <v>57</v>
      </c>
      <c r="C493" s="7">
        <v>0.35590252</v>
      </c>
      <c r="D493" s="7">
        <v>0.057377</v>
      </c>
      <c r="E493" s="7">
        <v>0.013553</v>
      </c>
      <c r="F493" s="7">
        <v>0.025355</v>
      </c>
      <c r="G493" s="7">
        <v>0.007254</v>
      </c>
      <c r="H493" s="7">
        <v>0.011215</v>
      </c>
      <c r="I493" s="7">
        <v>0.056758</v>
      </c>
      <c r="J493" s="7">
        <v>0.030707</v>
      </c>
      <c r="K493" s="16">
        <v>1984</v>
      </c>
      <c r="L493" s="17">
        <v>957</v>
      </c>
      <c r="M493" s="16">
        <v>4053.2</v>
      </c>
      <c r="N493" s="7">
        <f t="shared" si="60"/>
        <v>2.07314524555904</v>
      </c>
      <c r="O493" s="7">
        <f t="shared" si="61"/>
        <v>0.489489785848219</v>
      </c>
      <c r="P493" s="8">
        <v>48218966.24</v>
      </c>
      <c r="Q493" s="8">
        <f t="shared" si="62"/>
        <v>1.18965178722984</v>
      </c>
      <c r="R493" s="9">
        <v>2751.2</v>
      </c>
      <c r="S493" s="9">
        <v>3689.7</v>
      </c>
      <c r="T493" s="9">
        <v>5454</v>
      </c>
      <c r="U493" s="9">
        <v>34025</v>
      </c>
      <c r="V493" s="18">
        <v>0</v>
      </c>
      <c r="W493" s="18">
        <v>0</v>
      </c>
      <c r="X493" s="18">
        <f t="shared" si="63"/>
        <v>0</v>
      </c>
      <c r="Y493" s="12">
        <f t="shared" si="64"/>
        <v>1.62438398605541</v>
      </c>
      <c r="Z493" s="12">
        <f t="shared" si="65"/>
        <v>0.26762896122933</v>
      </c>
      <c r="AA493" s="19">
        <v>1984</v>
      </c>
      <c r="AB493" s="19">
        <v>1015.31</v>
      </c>
      <c r="AC493" s="12">
        <v>0</v>
      </c>
      <c r="AD493" s="19">
        <v>1118.66</v>
      </c>
      <c r="AE493" s="19">
        <v>97.09</v>
      </c>
      <c r="AF493" s="19">
        <v>105.76</v>
      </c>
      <c r="AG493" s="19">
        <v>83.1</v>
      </c>
      <c r="AH493" s="19">
        <v>13.32</v>
      </c>
      <c r="AI493" s="19">
        <v>40.85</v>
      </c>
      <c r="AJ493" s="19">
        <v>287.31</v>
      </c>
      <c r="AK493" s="3">
        <f t="shared" si="67"/>
        <v>1</v>
      </c>
      <c r="AL493" s="3">
        <v>0</v>
      </c>
      <c r="AM493" s="3">
        <f t="shared" si="66"/>
        <v>0</v>
      </c>
    </row>
    <row r="494" spans="1:39">
      <c r="A494" s="7">
        <v>2017</v>
      </c>
      <c r="B494" s="7" t="s">
        <v>57</v>
      </c>
      <c r="C494" s="7">
        <v>0.35831425</v>
      </c>
      <c r="D494" s="7">
        <v>0.057965</v>
      </c>
      <c r="E494" s="7">
        <v>0.014978</v>
      </c>
      <c r="F494" s="7">
        <v>0.025567</v>
      </c>
      <c r="G494" s="7">
        <v>0.007113</v>
      </c>
      <c r="H494" s="7">
        <v>0.010308</v>
      </c>
      <c r="I494" s="7">
        <v>0.056677</v>
      </c>
      <c r="J494" s="7">
        <v>0.031616</v>
      </c>
      <c r="K494" s="16">
        <v>2080</v>
      </c>
      <c r="L494" s="17">
        <v>972</v>
      </c>
      <c r="M494" s="16">
        <v>4462.54</v>
      </c>
      <c r="N494" s="7">
        <f t="shared" ref="N494:N557" si="68">K494/L494</f>
        <v>2.13991769547325</v>
      </c>
      <c r="O494" s="7">
        <f t="shared" ref="O494:O557" si="69">K494/M494</f>
        <v>0.466102264629561</v>
      </c>
      <c r="P494" s="8">
        <v>47850728.93</v>
      </c>
      <c r="Q494" s="8">
        <f t="shared" si="62"/>
        <v>1.07227563069463</v>
      </c>
      <c r="R494" s="9">
        <v>2965.3</v>
      </c>
      <c r="S494" s="9">
        <v>3519.5</v>
      </c>
      <c r="T494" s="9">
        <v>5828.2</v>
      </c>
      <c r="U494" s="9">
        <v>35887</v>
      </c>
      <c r="V494" s="18">
        <v>1</v>
      </c>
      <c r="W494" s="18">
        <v>0</v>
      </c>
      <c r="X494" s="18">
        <f t="shared" si="63"/>
        <v>0</v>
      </c>
      <c r="Y494" s="12">
        <f t="shared" si="64"/>
        <v>1.56738551218677</v>
      </c>
      <c r="Z494" s="12">
        <f t="shared" si="65"/>
        <v>0.315882645107123</v>
      </c>
      <c r="AA494" s="19">
        <v>2080</v>
      </c>
      <c r="AB494" s="19">
        <v>1099.34</v>
      </c>
      <c r="AC494" s="19">
        <v>0.02</v>
      </c>
      <c r="AD494" s="19">
        <v>979.99</v>
      </c>
      <c r="AE494" s="19">
        <v>104.5</v>
      </c>
      <c r="AF494" s="19">
        <v>114.68</v>
      </c>
      <c r="AG494" s="19">
        <v>84.67</v>
      </c>
      <c r="AH494" s="19">
        <v>13.99</v>
      </c>
      <c r="AI494" s="19">
        <v>42.98</v>
      </c>
      <c r="AJ494" s="19">
        <v>304.95</v>
      </c>
      <c r="AK494" s="3">
        <f t="shared" si="67"/>
        <v>1</v>
      </c>
      <c r="AL494" s="3">
        <v>0</v>
      </c>
      <c r="AM494" s="3">
        <f t="shared" si="66"/>
        <v>0</v>
      </c>
    </row>
    <row r="495" spans="1:39">
      <c r="A495" s="7">
        <v>2018</v>
      </c>
      <c r="B495" s="7" t="s">
        <v>57</v>
      </c>
      <c r="C495" s="7">
        <v>0.458935</v>
      </c>
      <c r="D495" s="7">
        <v>0.075697</v>
      </c>
      <c r="E495" s="7">
        <v>0.016964</v>
      </c>
      <c r="F495" s="7">
        <v>0.033471</v>
      </c>
      <c r="G495" s="7">
        <v>0.011125</v>
      </c>
      <c r="H495" s="7">
        <v>0.014137</v>
      </c>
      <c r="I495" s="7">
        <v>0.064767</v>
      </c>
      <c r="J495" s="7">
        <v>0.035683</v>
      </c>
      <c r="K495" s="16">
        <v>2170</v>
      </c>
      <c r="L495" s="17">
        <v>982</v>
      </c>
      <c r="M495" s="16">
        <v>4832.05</v>
      </c>
      <c r="N495" s="7">
        <f t="shared" si="68"/>
        <v>2.20977596741344</v>
      </c>
      <c r="O495" s="7">
        <f t="shared" si="69"/>
        <v>0.4490847569872</v>
      </c>
      <c r="P495" s="8">
        <v>48446699.58</v>
      </c>
      <c r="Q495" s="8">
        <f t="shared" si="62"/>
        <v>1.00261171924959</v>
      </c>
      <c r="R495" s="9">
        <v>3001.2</v>
      </c>
      <c r="S495" s="9">
        <v>3536</v>
      </c>
      <c r="T495" s="9">
        <v>6309.3</v>
      </c>
      <c r="U495" s="9">
        <v>38199</v>
      </c>
      <c r="V495" s="18">
        <v>1</v>
      </c>
      <c r="W495" s="18">
        <v>0</v>
      </c>
      <c r="X495" s="18">
        <f t="shared" si="63"/>
        <v>0</v>
      </c>
      <c r="Y495" s="12">
        <f t="shared" si="64"/>
        <v>1.51591455826218</v>
      </c>
      <c r="Z495" s="12">
        <f t="shared" si="65"/>
        <v>0.33860934721877</v>
      </c>
      <c r="AA495" s="19">
        <v>2170</v>
      </c>
      <c r="AB495" s="19">
        <v>1162.67</v>
      </c>
      <c r="AC495" s="19">
        <v>0.03</v>
      </c>
      <c r="AD495" s="19">
        <v>1060.85</v>
      </c>
      <c r="AE495" s="19">
        <v>107.58</v>
      </c>
      <c r="AF495" s="19">
        <v>128.16</v>
      </c>
      <c r="AG495" s="19">
        <v>90.04</v>
      </c>
      <c r="AH495" s="19">
        <v>6.01</v>
      </c>
      <c r="AI495" s="19">
        <v>44.27</v>
      </c>
      <c r="AJ495" s="19">
        <v>326.82</v>
      </c>
      <c r="AK495" s="3">
        <f t="shared" si="67"/>
        <v>1</v>
      </c>
      <c r="AL495" s="3">
        <v>0</v>
      </c>
      <c r="AM495" s="3">
        <f t="shared" si="66"/>
        <v>0</v>
      </c>
    </row>
    <row r="496" spans="1:39">
      <c r="A496" s="7">
        <v>2019</v>
      </c>
      <c r="B496" s="7" t="s">
        <v>57</v>
      </c>
      <c r="C496" s="7">
        <v>0.36913327</v>
      </c>
      <c r="D496" s="7">
        <v>0.066363</v>
      </c>
      <c r="E496" s="7">
        <v>0.014141</v>
      </c>
      <c r="F496" s="7">
        <v>0.029484</v>
      </c>
      <c r="G496" s="7">
        <v>0.011292</v>
      </c>
      <c r="H496" s="7">
        <v>0.011446</v>
      </c>
      <c r="I496" s="7">
        <v>0.050908</v>
      </c>
      <c r="J496" s="7">
        <v>0.024008</v>
      </c>
      <c r="K496" s="16">
        <v>2264</v>
      </c>
      <c r="L496" s="17">
        <v>995</v>
      </c>
      <c r="M496" s="16">
        <v>5308.93</v>
      </c>
      <c r="N496" s="7">
        <f t="shared" si="68"/>
        <v>2.27537688442211</v>
      </c>
      <c r="O496" s="7">
        <f t="shared" si="69"/>
        <v>0.426451281143281</v>
      </c>
      <c r="P496" s="8">
        <v>48373503.13</v>
      </c>
      <c r="Q496" s="8">
        <f t="shared" si="62"/>
        <v>0.911172366748102</v>
      </c>
      <c r="R496" s="9">
        <v>3183.2</v>
      </c>
      <c r="S496" s="9">
        <v>3640.1</v>
      </c>
      <c r="T496" s="9">
        <v>6721.1</v>
      </c>
      <c r="U496" s="9">
        <v>41156</v>
      </c>
      <c r="V496" s="18">
        <v>1</v>
      </c>
      <c r="W496" s="18">
        <v>0</v>
      </c>
      <c r="X496" s="18">
        <f t="shared" si="63"/>
        <v>0</v>
      </c>
      <c r="Y496" s="12">
        <f t="shared" si="64"/>
        <v>1.5000536746505</v>
      </c>
      <c r="Z496" s="12">
        <f t="shared" si="65"/>
        <v>0.392573491104978</v>
      </c>
      <c r="AA496" s="19">
        <v>2264</v>
      </c>
      <c r="AB496" s="19">
        <v>1130.39</v>
      </c>
      <c r="AC496" s="19">
        <v>0.03</v>
      </c>
      <c r="AD496" s="19">
        <v>1138.16</v>
      </c>
      <c r="AE496" s="19">
        <v>107.6</v>
      </c>
      <c r="AF496" s="19">
        <v>131.04</v>
      </c>
      <c r="AG496" s="19">
        <v>87.76</v>
      </c>
      <c r="AH496" s="19">
        <v>6.25</v>
      </c>
      <c r="AI496" s="19">
        <v>46.15</v>
      </c>
      <c r="AJ496" s="19">
        <v>354.89</v>
      </c>
      <c r="AK496" s="3">
        <f t="shared" si="67"/>
        <v>1</v>
      </c>
      <c r="AL496" s="3">
        <v>0</v>
      </c>
      <c r="AM496" s="3">
        <f t="shared" si="66"/>
        <v>0</v>
      </c>
    </row>
    <row r="497" spans="1:39">
      <c r="A497" s="7">
        <v>2020</v>
      </c>
      <c r="B497" s="7" t="s">
        <v>57</v>
      </c>
      <c r="C497" s="7">
        <v>0.44599347</v>
      </c>
      <c r="D497" s="7">
        <v>0.074745</v>
      </c>
      <c r="E497" s="7">
        <v>0.02066</v>
      </c>
      <c r="F497" s="7">
        <v>0.032118</v>
      </c>
      <c r="G497" s="7">
        <v>0.012537</v>
      </c>
      <c r="H497" s="7">
        <v>0.00943</v>
      </c>
      <c r="I497" s="7">
        <v>0.068336</v>
      </c>
      <c r="J497" s="7">
        <v>0.032261</v>
      </c>
      <c r="K497" s="16">
        <v>2270.64</v>
      </c>
      <c r="L497" s="17">
        <v>1011.66</v>
      </c>
      <c r="M497" s="16">
        <v>5532.39</v>
      </c>
      <c r="N497" s="7">
        <f t="shared" si="68"/>
        <v>2.24446948579562</v>
      </c>
      <c r="O497" s="7">
        <f t="shared" si="69"/>
        <v>0.410426596823434</v>
      </c>
      <c r="P497" s="8">
        <v>49952007.03</v>
      </c>
      <c r="Q497" s="8">
        <f t="shared" si="62"/>
        <v>0.902901043310396</v>
      </c>
      <c r="R497" s="9">
        <v>3445.1</v>
      </c>
      <c r="S497" s="9">
        <v>3449.9</v>
      </c>
      <c r="T497" s="9">
        <v>6738.5</v>
      </c>
      <c r="U497" s="9">
        <v>42432</v>
      </c>
      <c r="V497" s="18">
        <v>1</v>
      </c>
      <c r="W497" s="18">
        <v>0</v>
      </c>
      <c r="X497" s="18">
        <f t="shared" si="63"/>
        <v>0</v>
      </c>
      <c r="Y497" s="12">
        <f t="shared" si="64"/>
        <v>1.47141701078949</v>
      </c>
      <c r="Z497" s="12">
        <f t="shared" si="65"/>
        <v>0.3863731106208</v>
      </c>
      <c r="AA497" s="19">
        <v>2270.64</v>
      </c>
      <c r="AB497" s="19">
        <v>1023.84</v>
      </c>
      <c r="AC497" s="19">
        <v>0.03</v>
      </c>
      <c r="AD497" s="19">
        <v>1135.06</v>
      </c>
      <c r="AE497" s="19">
        <v>112.31</v>
      </c>
      <c r="AF497" s="19">
        <v>106.05</v>
      </c>
      <c r="AG497" s="19">
        <v>88.17</v>
      </c>
      <c r="AH497" s="19">
        <v>35.15</v>
      </c>
      <c r="AI497" s="19">
        <v>48.64</v>
      </c>
      <c r="AJ497" s="19">
        <v>363</v>
      </c>
      <c r="AK497" s="3">
        <f t="shared" si="67"/>
        <v>1</v>
      </c>
      <c r="AL497" s="3">
        <v>0</v>
      </c>
      <c r="AM497" s="3">
        <f t="shared" si="66"/>
        <v>0</v>
      </c>
    </row>
    <row r="498" spans="1:39">
      <c r="A498" s="7">
        <v>2021</v>
      </c>
      <c r="B498" s="7" t="s">
        <v>57</v>
      </c>
      <c r="C498" s="7">
        <v>0.39254734</v>
      </c>
      <c r="D498" s="7">
        <v>0.065129</v>
      </c>
      <c r="E498" s="7">
        <v>0.015951</v>
      </c>
      <c r="F498" s="7">
        <v>0.030125</v>
      </c>
      <c r="G498" s="7">
        <v>0.007084</v>
      </c>
      <c r="H498" s="7">
        <v>0.011969</v>
      </c>
      <c r="I498" s="7">
        <v>0.066392</v>
      </c>
      <c r="J498" s="7">
        <v>0.028486</v>
      </c>
      <c r="K498" s="16">
        <v>2446.19</v>
      </c>
      <c r="L498" s="17">
        <v>1020</v>
      </c>
      <c r="M498" s="16">
        <v>6475.2</v>
      </c>
      <c r="N498" s="7">
        <f t="shared" si="68"/>
        <v>2.39822549019608</v>
      </c>
      <c r="O498" s="7">
        <f t="shared" si="69"/>
        <v>0.377778292562392</v>
      </c>
      <c r="P498" s="8">
        <v>50812681.57</v>
      </c>
      <c r="Q498" s="8">
        <f t="shared" si="62"/>
        <v>0.784727600228564</v>
      </c>
      <c r="R498" s="9">
        <v>3463.4</v>
      </c>
      <c r="S498" s="9">
        <v>4086.5</v>
      </c>
      <c r="T498" s="9">
        <v>7308.3</v>
      </c>
      <c r="U498" s="9">
        <v>47199</v>
      </c>
      <c r="V498" s="18">
        <v>1</v>
      </c>
      <c r="W498" s="18">
        <v>0</v>
      </c>
      <c r="X498" s="18">
        <f t="shared" si="63"/>
        <v>0</v>
      </c>
      <c r="Y498" s="12">
        <f t="shared" si="64"/>
        <v>1.36781889095748</v>
      </c>
      <c r="Z498" s="12">
        <f t="shared" si="65"/>
        <v>0.426292760382003</v>
      </c>
      <c r="AA498" s="19">
        <v>2446.19</v>
      </c>
      <c r="AB498" s="19">
        <v>1133.02</v>
      </c>
      <c r="AC498" s="19">
        <v>0.03</v>
      </c>
      <c r="AD498" s="19">
        <v>1137.51</v>
      </c>
      <c r="AE498" s="19">
        <v>123.99</v>
      </c>
      <c r="AF498" s="19">
        <v>112.14</v>
      </c>
      <c r="AG498" s="19">
        <v>92.72</v>
      </c>
      <c r="AH498" s="19">
        <v>40.42</v>
      </c>
      <c r="AI498" s="19">
        <v>54.9</v>
      </c>
      <c r="AJ498" s="19">
        <v>405</v>
      </c>
      <c r="AK498" s="3">
        <f t="shared" si="67"/>
        <v>1</v>
      </c>
      <c r="AL498" s="3">
        <v>0</v>
      </c>
      <c r="AM498" s="3">
        <f t="shared" si="66"/>
        <v>0</v>
      </c>
    </row>
    <row r="499" spans="1:39">
      <c r="A499" s="7">
        <v>2022</v>
      </c>
      <c r="B499" s="7" t="s">
        <v>57</v>
      </c>
      <c r="C499" s="7">
        <v>0.3775541</v>
      </c>
      <c r="D499" s="7">
        <v>0.064594</v>
      </c>
      <c r="E499" s="7">
        <v>0.016457</v>
      </c>
      <c r="F499" s="7">
        <v>0.029565</v>
      </c>
      <c r="G499" s="7">
        <v>0.010213</v>
      </c>
      <c r="H499" s="7">
        <v>0.00836</v>
      </c>
      <c r="I499" s="7">
        <v>0.058846</v>
      </c>
      <c r="J499" s="7">
        <v>0.028737</v>
      </c>
      <c r="K499" s="16">
        <v>2424</v>
      </c>
      <c r="L499" s="17">
        <v>1027</v>
      </c>
      <c r="M499" s="16">
        <v>6818.2</v>
      </c>
      <c r="N499" s="7">
        <f t="shared" si="68"/>
        <v>2.36027263875365</v>
      </c>
      <c r="O499" s="7">
        <f t="shared" si="69"/>
        <v>0.355519051949195</v>
      </c>
      <c r="P499" s="8">
        <v>50643052.32</v>
      </c>
      <c r="Q499" s="8">
        <f t="shared" si="62"/>
        <v>0.742762786659236</v>
      </c>
      <c r="R499" s="9">
        <v>3635.3</v>
      </c>
      <c r="S499" s="9">
        <v>4576.7</v>
      </c>
      <c r="T499" s="9">
        <v>7619.4</v>
      </c>
      <c r="U499" s="9">
        <v>50873</v>
      </c>
      <c r="V499" s="18">
        <v>1</v>
      </c>
      <c r="W499" s="18">
        <v>0</v>
      </c>
      <c r="X499" s="18">
        <f t="shared" si="63"/>
        <v>0</v>
      </c>
      <c r="Y499" s="12">
        <f t="shared" si="64"/>
        <v>1.27047633725244</v>
      </c>
      <c r="Z499" s="12">
        <f t="shared" si="65"/>
        <v>0.415366689736581</v>
      </c>
      <c r="AA499" s="19">
        <v>2424</v>
      </c>
      <c r="AB499" s="19">
        <v>1138.74</v>
      </c>
      <c r="AC499" s="19">
        <v>0.03</v>
      </c>
      <c r="AD499" s="19">
        <v>905.87</v>
      </c>
      <c r="AE499" s="19">
        <v>123.65</v>
      </c>
      <c r="AF499" s="19">
        <v>66.08</v>
      </c>
      <c r="AG499" s="19">
        <v>92.66</v>
      </c>
      <c r="AH499" s="19">
        <v>64.14</v>
      </c>
      <c r="AI499" s="19">
        <v>58.18</v>
      </c>
      <c r="AJ499" s="19">
        <v>412.82</v>
      </c>
      <c r="AK499" s="3">
        <f t="shared" si="67"/>
        <v>1</v>
      </c>
      <c r="AL499" s="3">
        <v>0</v>
      </c>
      <c r="AM499" s="3">
        <f t="shared" si="66"/>
        <v>0</v>
      </c>
    </row>
    <row r="500" spans="1:39">
      <c r="A500" s="7">
        <v>2023</v>
      </c>
      <c r="B500" s="7" t="s">
        <v>57</v>
      </c>
      <c r="C500" s="7">
        <v>0.38966435</v>
      </c>
      <c r="D500" s="7">
        <v>0.065397</v>
      </c>
      <c r="E500" s="7">
        <v>0.0183</v>
      </c>
      <c r="F500" s="7">
        <v>0.030341</v>
      </c>
      <c r="G500" s="7">
        <v>0.014679</v>
      </c>
      <c r="H500" s="7">
        <v>0.006087</v>
      </c>
      <c r="I500" s="7">
        <v>0.052638</v>
      </c>
      <c r="J500" s="7">
        <v>0.030325</v>
      </c>
      <c r="K500" s="16">
        <v>3027.77</v>
      </c>
      <c r="L500" s="17">
        <v>1043</v>
      </c>
      <c r="M500" s="16">
        <v>7551.2</v>
      </c>
      <c r="N500" s="7">
        <f t="shared" si="68"/>
        <v>2.90294343240652</v>
      </c>
      <c r="O500" s="7">
        <f t="shared" si="69"/>
        <v>0.400965409471342</v>
      </c>
      <c r="P500" s="8">
        <v>51469969.77</v>
      </c>
      <c r="Q500" s="8">
        <f t="shared" si="62"/>
        <v>0.681613118047463</v>
      </c>
      <c r="R500" s="9">
        <v>3518.3</v>
      </c>
      <c r="S500" s="9">
        <v>4291.3</v>
      </c>
      <c r="T500" s="9">
        <v>8074.3</v>
      </c>
      <c r="U500" s="9">
        <v>51563</v>
      </c>
      <c r="V500" s="18">
        <v>1</v>
      </c>
      <c r="W500" s="18">
        <v>0</v>
      </c>
      <c r="X500" s="18">
        <f t="shared" si="63"/>
        <v>0</v>
      </c>
      <c r="Y500" s="12">
        <f t="shared" si="64"/>
        <v>1.2756783895882</v>
      </c>
      <c r="Z500" s="12">
        <f t="shared" si="65"/>
        <v>0.465685768755951</v>
      </c>
      <c r="AA500" s="12"/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3">
        <f t="shared" si="67"/>
        <v>1</v>
      </c>
      <c r="AL500" s="3">
        <v>0</v>
      </c>
      <c r="AM500" s="3">
        <f t="shared" si="66"/>
        <v>0</v>
      </c>
    </row>
    <row r="501" spans="1:39">
      <c r="A501" s="7">
        <v>2024</v>
      </c>
      <c r="B501" s="7" t="s">
        <v>57</v>
      </c>
      <c r="C501" s="7">
        <v>0.39080284</v>
      </c>
      <c r="D501" s="7">
        <v>0.063808</v>
      </c>
      <c r="E501" s="7">
        <v>0.01907</v>
      </c>
      <c r="F501" s="7">
        <v>0.029831</v>
      </c>
      <c r="G501" s="7">
        <v>0.016351</v>
      </c>
      <c r="H501" s="7">
        <v>0.005271</v>
      </c>
      <c r="I501" s="7">
        <v>0.051383</v>
      </c>
      <c r="J501" s="7">
        <v>0.030105</v>
      </c>
      <c r="K501" s="16">
        <v>3631.54</v>
      </c>
      <c r="L501" s="17">
        <v>1048</v>
      </c>
      <c r="M501" s="16">
        <v>7935.7</v>
      </c>
      <c r="N501" s="7">
        <f t="shared" si="68"/>
        <v>3.46520992366412</v>
      </c>
      <c r="O501" s="7">
        <f t="shared" si="69"/>
        <v>0.457620625779704</v>
      </c>
      <c r="P501" s="8">
        <v>51114410.18</v>
      </c>
      <c r="Q501" s="8">
        <f t="shared" si="62"/>
        <v>0.644107138374686</v>
      </c>
      <c r="R501" s="9">
        <v>3203.3</v>
      </c>
      <c r="S501" s="9">
        <v>4147.3</v>
      </c>
      <c r="T501" s="9">
        <v>9126.2</v>
      </c>
      <c r="U501" s="9">
        <v>54102</v>
      </c>
      <c r="V501" s="18">
        <v>1</v>
      </c>
      <c r="W501" s="18">
        <v>0</v>
      </c>
      <c r="X501" s="18">
        <f t="shared" si="63"/>
        <v>0</v>
      </c>
      <c r="Y501" s="12">
        <f t="shared" si="64"/>
        <v>1.21200651315194</v>
      </c>
      <c r="Z501" s="12">
        <f t="shared" si="65"/>
        <v>0.468561322579346</v>
      </c>
      <c r="AA501" s="12"/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3">
        <f t="shared" si="67"/>
        <v>1</v>
      </c>
      <c r="AL501" s="3">
        <v>0</v>
      </c>
      <c r="AM501" s="3">
        <f t="shared" si="66"/>
        <v>0</v>
      </c>
    </row>
    <row r="502" spans="1:39">
      <c r="A502" s="7">
        <v>2000</v>
      </c>
      <c r="B502" s="7" t="s">
        <v>58</v>
      </c>
      <c r="C502" s="7">
        <v>0.178715</v>
      </c>
      <c r="D502" s="7">
        <v>0.032696</v>
      </c>
      <c r="E502" s="7">
        <v>0.008049</v>
      </c>
      <c r="F502" s="7">
        <v>0.015049</v>
      </c>
      <c r="G502" s="7">
        <v>0.005083</v>
      </c>
      <c r="H502" s="7">
        <v>0.004515</v>
      </c>
      <c r="I502" s="7">
        <v>0.035025</v>
      </c>
      <c r="J502" s="7">
        <v>0.016128</v>
      </c>
      <c r="K502" s="16">
        <v>6269</v>
      </c>
      <c r="L502" s="17">
        <v>5646</v>
      </c>
      <c r="M502" s="16">
        <v>4276.32</v>
      </c>
      <c r="N502" s="7">
        <f t="shared" si="68"/>
        <v>1.11034360609281</v>
      </c>
      <c r="O502" s="7">
        <f t="shared" si="69"/>
        <v>1.46598009503498</v>
      </c>
      <c r="P502" s="8">
        <v>169164074</v>
      </c>
      <c r="Q502" s="8">
        <f t="shared" si="62"/>
        <v>3.95583291241067</v>
      </c>
      <c r="R502" s="9">
        <v>741.8</v>
      </c>
      <c r="S502" s="9">
        <v>1062.2</v>
      </c>
      <c r="T502" s="9">
        <v>1321.3</v>
      </c>
      <c r="U502" s="9">
        <v>5147</v>
      </c>
      <c r="V502" s="18">
        <v>0</v>
      </c>
      <c r="W502" s="18">
        <v>0</v>
      </c>
      <c r="X502" s="18">
        <f t="shared" si="63"/>
        <v>0</v>
      </c>
      <c r="Y502" s="12">
        <f t="shared" si="64"/>
        <v>4.53658228674969</v>
      </c>
      <c r="Z502" s="12">
        <f t="shared" si="65"/>
        <v>0.128014733918804</v>
      </c>
      <c r="AA502" s="19">
        <v>6269.09</v>
      </c>
      <c r="AB502" s="19">
        <v>6050.62</v>
      </c>
      <c r="AC502" s="19">
        <v>556.83</v>
      </c>
      <c r="AD502" s="19">
        <v>669.77</v>
      </c>
      <c r="AE502" s="19">
        <v>169.17</v>
      </c>
      <c r="AF502" s="19">
        <v>18.29</v>
      </c>
      <c r="AG502" s="19">
        <v>261.3</v>
      </c>
      <c r="AH502" s="19">
        <v>106.69</v>
      </c>
      <c r="AI502" s="19">
        <v>0.91</v>
      </c>
      <c r="AJ502" s="19">
        <v>503.02</v>
      </c>
      <c r="AK502" s="3">
        <f t="shared" si="67"/>
        <v>0</v>
      </c>
      <c r="AL502" s="3">
        <v>1</v>
      </c>
      <c r="AM502" s="3">
        <f t="shared" si="66"/>
        <v>0</v>
      </c>
    </row>
    <row r="503" spans="1:39">
      <c r="A503" s="7">
        <v>2001</v>
      </c>
      <c r="B503" s="7" t="s">
        <v>58</v>
      </c>
      <c r="C503" s="7">
        <v>0.19845933</v>
      </c>
      <c r="D503" s="7">
        <v>0.034925</v>
      </c>
      <c r="E503" s="7">
        <v>0.008891</v>
      </c>
      <c r="F503" s="7">
        <v>0.015165</v>
      </c>
      <c r="G503" s="7">
        <v>0.00541</v>
      </c>
      <c r="H503" s="7">
        <v>0.005459</v>
      </c>
      <c r="I503" s="7">
        <v>0.036838</v>
      </c>
      <c r="J503" s="7">
        <v>0.018222</v>
      </c>
      <c r="K503" s="16">
        <v>6052</v>
      </c>
      <c r="L503" s="17">
        <v>5658</v>
      </c>
      <c r="M503" s="16">
        <v>3880.53</v>
      </c>
      <c r="N503" s="7">
        <f t="shared" si="68"/>
        <v>1.06963591375044</v>
      </c>
      <c r="O503" s="7">
        <f t="shared" si="69"/>
        <v>1.55958077891422</v>
      </c>
      <c r="P503" s="8">
        <v>170764317.6</v>
      </c>
      <c r="Q503" s="8">
        <f t="shared" si="62"/>
        <v>4.4005411013444</v>
      </c>
      <c r="R503" s="9">
        <v>760.8</v>
      </c>
      <c r="S503" s="9">
        <v>1258.2</v>
      </c>
      <c r="T503" s="9">
        <v>1483.8</v>
      </c>
      <c r="U503" s="9">
        <v>5732</v>
      </c>
      <c r="V503" s="18">
        <v>0</v>
      </c>
      <c r="W503" s="18">
        <v>0</v>
      </c>
      <c r="X503" s="18">
        <f t="shared" si="63"/>
        <v>0</v>
      </c>
      <c r="Y503" s="12">
        <f t="shared" si="64"/>
        <v>4.16809156222866</v>
      </c>
      <c r="Z503" s="12">
        <f t="shared" si="65"/>
        <v>0</v>
      </c>
      <c r="AA503" s="19">
        <v>6052</v>
      </c>
      <c r="AB503" s="19">
        <v>6096</v>
      </c>
      <c r="AC503" s="19">
        <v>521.52</v>
      </c>
      <c r="AD503" s="19">
        <v>570.06</v>
      </c>
      <c r="AE503" s="19">
        <v>185.55</v>
      </c>
      <c r="AF503" s="19">
        <v>14.51</v>
      </c>
      <c r="AG503" s="19">
        <v>263.88</v>
      </c>
      <c r="AH503" s="19">
        <v>58.45</v>
      </c>
      <c r="AI503" s="19">
        <v>0.76</v>
      </c>
      <c r="AJ503" s="19">
        <v>526.03</v>
      </c>
      <c r="AK503" s="3">
        <f t="shared" si="67"/>
        <v>0</v>
      </c>
      <c r="AL503" s="3">
        <v>1</v>
      </c>
      <c r="AM503" s="3">
        <f t="shared" si="66"/>
        <v>0</v>
      </c>
    </row>
    <row r="504" spans="1:39">
      <c r="A504" s="7">
        <v>2002</v>
      </c>
      <c r="B504" s="7" t="s">
        <v>58</v>
      </c>
      <c r="C504" s="7">
        <v>0.21656577</v>
      </c>
      <c r="D504" s="7">
        <v>0.038848</v>
      </c>
      <c r="E504" s="7">
        <v>0.009514</v>
      </c>
      <c r="F504" s="7">
        <v>0.017367</v>
      </c>
      <c r="G504" s="7">
        <v>0.006053</v>
      </c>
      <c r="H504" s="7">
        <v>0.005913</v>
      </c>
      <c r="I504" s="7">
        <v>0.037344</v>
      </c>
      <c r="J504" s="7">
        <v>0.01893</v>
      </c>
      <c r="K504" s="16">
        <v>6713</v>
      </c>
      <c r="L504" s="17">
        <v>5672</v>
      </c>
      <c r="M504" s="16">
        <v>4212.82</v>
      </c>
      <c r="N504" s="7">
        <f t="shared" si="68"/>
        <v>1.18353314527504</v>
      </c>
      <c r="O504" s="7">
        <f t="shared" si="69"/>
        <v>1.59346945751302</v>
      </c>
      <c r="P504" s="8">
        <v>180451980.5</v>
      </c>
      <c r="Q504" s="8">
        <f t="shared" si="62"/>
        <v>4.28340115409631</v>
      </c>
      <c r="R504" s="9">
        <v>783.7</v>
      </c>
      <c r="S504" s="9">
        <v>1347.3</v>
      </c>
      <c r="T504" s="9">
        <v>1696.7</v>
      </c>
      <c r="U504" s="9">
        <v>6238</v>
      </c>
      <c r="V504" s="18">
        <v>0</v>
      </c>
      <c r="W504" s="18">
        <v>0</v>
      </c>
      <c r="X504" s="18">
        <f t="shared" si="63"/>
        <v>0</v>
      </c>
      <c r="Y504" s="12">
        <f t="shared" si="64"/>
        <v>4.06804884448575</v>
      </c>
      <c r="Z504" s="12">
        <f t="shared" si="65"/>
        <v>0</v>
      </c>
      <c r="AA504" s="19">
        <v>6713</v>
      </c>
      <c r="AB504" s="19">
        <v>6483</v>
      </c>
      <c r="AC504" s="19">
        <v>536.16</v>
      </c>
      <c r="AD504" s="19">
        <v>595.43</v>
      </c>
      <c r="AE504" s="19">
        <v>232.78</v>
      </c>
      <c r="AF504" s="19">
        <v>17.47</v>
      </c>
      <c r="AG504" s="19">
        <v>308.28</v>
      </c>
      <c r="AH504" s="19">
        <v>57</v>
      </c>
      <c r="AI504" s="19">
        <v>0.91</v>
      </c>
      <c r="AJ504" s="19">
        <v>567.43</v>
      </c>
      <c r="AK504" s="3">
        <f t="shared" si="67"/>
        <v>0</v>
      </c>
      <c r="AL504" s="3">
        <v>1</v>
      </c>
      <c r="AM504" s="3">
        <f t="shared" si="66"/>
        <v>0</v>
      </c>
    </row>
    <row r="505" spans="1:39">
      <c r="A505" s="7">
        <v>2003</v>
      </c>
      <c r="B505" s="7" t="s">
        <v>58</v>
      </c>
      <c r="C505" s="7">
        <v>0.20950204</v>
      </c>
      <c r="D505" s="7">
        <v>0.038114</v>
      </c>
      <c r="E505" s="7">
        <v>0.00915</v>
      </c>
      <c r="F505" s="7">
        <v>0.016835</v>
      </c>
      <c r="G505" s="7">
        <v>0.006065</v>
      </c>
      <c r="H505" s="7">
        <v>0.006065</v>
      </c>
      <c r="I505" s="7">
        <v>0.036332</v>
      </c>
      <c r="J505" s="7">
        <v>0.017558</v>
      </c>
      <c r="K505" s="16">
        <v>7708</v>
      </c>
      <c r="L505" s="17">
        <v>5685</v>
      </c>
      <c r="M505" s="16">
        <v>4757.45</v>
      </c>
      <c r="N505" s="7">
        <f t="shared" si="68"/>
        <v>1.35584872471416</v>
      </c>
      <c r="O505" s="7">
        <f t="shared" si="69"/>
        <v>1.62019569307087</v>
      </c>
      <c r="P505" s="8">
        <v>207166128.4</v>
      </c>
      <c r="Q505" s="8">
        <f t="shared" si="62"/>
        <v>4.35456238951539</v>
      </c>
      <c r="R505" s="9">
        <v>749.4</v>
      </c>
      <c r="S505" s="9">
        <v>1557.6</v>
      </c>
      <c r="T505" s="9">
        <v>2000.8</v>
      </c>
      <c r="U505" s="9">
        <v>7001</v>
      </c>
      <c r="V505" s="18">
        <v>0</v>
      </c>
      <c r="W505" s="18">
        <v>0</v>
      </c>
      <c r="X505" s="18">
        <f t="shared" si="63"/>
        <v>0</v>
      </c>
      <c r="Y505" s="12">
        <f t="shared" si="64"/>
        <v>4.08414499624993</v>
      </c>
      <c r="Z505" s="12">
        <f t="shared" si="65"/>
        <v>0</v>
      </c>
      <c r="AA505" s="19">
        <v>7707.7</v>
      </c>
      <c r="AB505" s="19">
        <v>7238.46</v>
      </c>
      <c r="AC505" s="19">
        <v>552.49</v>
      </c>
      <c r="AD505" s="19">
        <v>637.14</v>
      </c>
      <c r="AE505" s="19">
        <v>292.86</v>
      </c>
      <c r="AF505" s="19">
        <v>12.93</v>
      </c>
      <c r="AG505" s="19">
        <v>370.96</v>
      </c>
      <c r="AH505" s="19">
        <v>90.77</v>
      </c>
      <c r="AI505" s="19">
        <v>0.94</v>
      </c>
      <c r="AJ505" s="19">
        <v>629.2</v>
      </c>
      <c r="AK505" s="3">
        <f t="shared" si="67"/>
        <v>0</v>
      </c>
      <c r="AL505" s="3">
        <v>1</v>
      </c>
      <c r="AM505" s="3">
        <f t="shared" si="66"/>
        <v>0</v>
      </c>
    </row>
    <row r="506" spans="1:39">
      <c r="A506" s="7">
        <v>2004</v>
      </c>
      <c r="B506" s="7" t="s">
        <v>58</v>
      </c>
      <c r="C506" s="7">
        <v>0.21740181</v>
      </c>
      <c r="D506" s="7">
        <v>0.040322</v>
      </c>
      <c r="E506" s="7">
        <v>0.010303</v>
      </c>
      <c r="F506" s="7">
        <v>0.018552</v>
      </c>
      <c r="G506" s="7">
        <v>0.00594</v>
      </c>
      <c r="H506" s="7">
        <v>0.005527</v>
      </c>
      <c r="I506" s="7">
        <v>0.035634</v>
      </c>
      <c r="J506" s="7">
        <v>0.018785</v>
      </c>
      <c r="K506" s="16">
        <v>9120</v>
      </c>
      <c r="L506" s="17">
        <v>5698</v>
      </c>
      <c r="M506" s="16">
        <v>5633.24</v>
      </c>
      <c r="N506" s="7">
        <f t="shared" si="68"/>
        <v>1.6005616005616</v>
      </c>
      <c r="O506" s="7">
        <f t="shared" si="69"/>
        <v>1.61896173427725</v>
      </c>
      <c r="P506" s="8">
        <v>241350369.7</v>
      </c>
      <c r="Q506" s="8">
        <f t="shared" si="62"/>
        <v>4.28439707344264</v>
      </c>
      <c r="R506" s="9">
        <v>950.5</v>
      </c>
      <c r="S506" s="9">
        <v>1846.2</v>
      </c>
      <c r="T506" s="9">
        <v>2332.4</v>
      </c>
      <c r="U506" s="9">
        <v>8279</v>
      </c>
      <c r="V506" s="18">
        <v>0</v>
      </c>
      <c r="W506" s="18">
        <v>0</v>
      </c>
      <c r="X506" s="18">
        <f t="shared" si="63"/>
        <v>0</v>
      </c>
      <c r="Y506" s="12">
        <f t="shared" si="64"/>
        <v>3.89549779892895</v>
      </c>
      <c r="Z506" s="12">
        <f t="shared" si="65"/>
        <v>0</v>
      </c>
      <c r="AA506" s="19">
        <v>9120</v>
      </c>
      <c r="AB506" s="19">
        <v>8053.71</v>
      </c>
      <c r="AC506" s="19">
        <v>560.36</v>
      </c>
      <c r="AD506" s="19">
        <v>754.01</v>
      </c>
      <c r="AE506" s="19">
        <v>304.55</v>
      </c>
      <c r="AF506" s="19">
        <v>14.55</v>
      </c>
      <c r="AG506" s="19">
        <v>380.55</v>
      </c>
      <c r="AH506" s="19">
        <v>87.2</v>
      </c>
      <c r="AI506" s="19">
        <v>0.94</v>
      </c>
      <c r="AJ506" s="19">
        <v>699.41</v>
      </c>
      <c r="AK506" s="3">
        <f t="shared" si="67"/>
        <v>0</v>
      </c>
      <c r="AL506" s="3">
        <v>1</v>
      </c>
      <c r="AM506" s="3">
        <f t="shared" si="66"/>
        <v>0</v>
      </c>
    </row>
    <row r="507" spans="1:39">
      <c r="A507" s="7">
        <v>2005</v>
      </c>
      <c r="B507" s="7" t="s">
        <v>58</v>
      </c>
      <c r="C507" s="7">
        <v>0.24276403</v>
      </c>
      <c r="D507" s="7">
        <v>0.043175</v>
      </c>
      <c r="E507" s="7">
        <v>0.011034</v>
      </c>
      <c r="F507" s="7">
        <v>0.019619</v>
      </c>
      <c r="G507" s="7">
        <v>0.006512</v>
      </c>
      <c r="H507" s="7">
        <v>0.00601</v>
      </c>
      <c r="I507" s="7">
        <v>0.042053</v>
      </c>
      <c r="J507" s="7">
        <v>0.020083</v>
      </c>
      <c r="K507" s="16">
        <v>10082</v>
      </c>
      <c r="L507" s="17">
        <v>5710</v>
      </c>
      <c r="M507" s="16">
        <v>6590.19</v>
      </c>
      <c r="N507" s="7">
        <f t="shared" si="68"/>
        <v>1.76567425569177</v>
      </c>
      <c r="O507" s="7">
        <f t="shared" si="69"/>
        <v>1.52984967049508</v>
      </c>
      <c r="P507" s="8">
        <v>259600809.7</v>
      </c>
      <c r="Q507" s="8">
        <f t="shared" si="62"/>
        <v>3.93920068617142</v>
      </c>
      <c r="R507" s="9">
        <v>966.5</v>
      </c>
      <c r="S507" s="9">
        <v>2197.4</v>
      </c>
      <c r="T507" s="9">
        <v>2512</v>
      </c>
      <c r="U507" s="9">
        <v>9193</v>
      </c>
      <c r="V507" s="18">
        <v>0</v>
      </c>
      <c r="W507" s="18">
        <v>0</v>
      </c>
      <c r="X507" s="18">
        <f t="shared" si="63"/>
        <v>0</v>
      </c>
      <c r="Y507" s="12">
        <f t="shared" si="64"/>
        <v>3.71995059106252</v>
      </c>
      <c r="Z507" s="12">
        <f t="shared" si="65"/>
        <v>0</v>
      </c>
      <c r="AA507" s="19">
        <v>9850.5</v>
      </c>
      <c r="AB507" s="19">
        <v>8652.64</v>
      </c>
      <c r="AC507" s="19">
        <v>685.47</v>
      </c>
      <c r="AD507" s="19">
        <v>822.13</v>
      </c>
      <c r="AE507" s="19">
        <v>367.43</v>
      </c>
      <c r="AF507" s="19">
        <v>26.08</v>
      </c>
      <c r="AG507" s="19">
        <v>451.49</v>
      </c>
      <c r="AH507" s="19">
        <v>110.87</v>
      </c>
      <c r="AI507" s="19">
        <v>6.11</v>
      </c>
      <c r="AJ507" s="19">
        <v>788.91</v>
      </c>
      <c r="AK507" s="3">
        <f t="shared" si="67"/>
        <v>0</v>
      </c>
      <c r="AL507" s="3">
        <v>1</v>
      </c>
      <c r="AM507" s="3">
        <f t="shared" si="66"/>
        <v>0</v>
      </c>
    </row>
    <row r="508" spans="1:39">
      <c r="A508" s="7">
        <v>2006</v>
      </c>
      <c r="B508" s="7" t="s">
        <v>58</v>
      </c>
      <c r="C508" s="7">
        <v>0.24487956</v>
      </c>
      <c r="D508" s="7">
        <v>0.04393</v>
      </c>
      <c r="E508" s="7">
        <v>0.01091</v>
      </c>
      <c r="F508" s="7">
        <v>0.019665</v>
      </c>
      <c r="G508" s="7">
        <v>0.006747</v>
      </c>
      <c r="H508" s="7">
        <v>0.006608</v>
      </c>
      <c r="I508" s="7">
        <v>0.040712</v>
      </c>
      <c r="J508" s="7">
        <v>0.019851</v>
      </c>
      <c r="K508" s="16">
        <v>11049</v>
      </c>
      <c r="L508" s="17">
        <v>5693</v>
      </c>
      <c r="M508" s="16">
        <v>7617.47</v>
      </c>
      <c r="N508" s="7">
        <f t="shared" si="68"/>
        <v>1.9408044967504</v>
      </c>
      <c r="O508" s="7">
        <f t="shared" si="69"/>
        <v>1.4504815903443</v>
      </c>
      <c r="P508" s="8">
        <v>300391881.6</v>
      </c>
      <c r="Q508" s="8">
        <f t="shared" si="62"/>
        <v>3.94345998868391</v>
      </c>
      <c r="R508" s="9">
        <v>1011</v>
      </c>
      <c r="S508" s="9">
        <v>2653.2</v>
      </c>
      <c r="T508" s="9">
        <v>2836.1</v>
      </c>
      <c r="U508" s="9">
        <v>10630</v>
      </c>
      <c r="V508" s="18">
        <v>0</v>
      </c>
      <c r="W508" s="18">
        <v>0</v>
      </c>
      <c r="X508" s="18">
        <f t="shared" si="63"/>
        <v>0</v>
      </c>
      <c r="Y508" s="12">
        <f t="shared" si="64"/>
        <v>3.57740717995078</v>
      </c>
      <c r="Z508" s="12">
        <f t="shared" si="65"/>
        <v>0</v>
      </c>
      <c r="AA508" s="19">
        <v>10796.76</v>
      </c>
      <c r="AB508" s="19">
        <v>9651.64</v>
      </c>
      <c r="AC508" s="19">
        <v>752.13</v>
      </c>
      <c r="AD508" s="19">
        <v>851.1</v>
      </c>
      <c r="AE508" s="19">
        <v>421.49</v>
      </c>
      <c r="AF508" s="19">
        <v>34.61</v>
      </c>
      <c r="AG508" s="19">
        <v>496.62</v>
      </c>
      <c r="AH508" s="19">
        <v>125.99</v>
      </c>
      <c r="AI508" s="19">
        <v>6.64</v>
      </c>
      <c r="AJ508" s="19">
        <v>894.76</v>
      </c>
      <c r="AK508" s="3">
        <f t="shared" si="67"/>
        <v>0</v>
      </c>
      <c r="AL508" s="3">
        <v>1</v>
      </c>
      <c r="AM508" s="3">
        <f t="shared" si="66"/>
        <v>0</v>
      </c>
    </row>
    <row r="509" spans="1:39">
      <c r="A509" s="7">
        <v>2007</v>
      </c>
      <c r="B509" s="7" t="s">
        <v>58</v>
      </c>
      <c r="C509" s="7">
        <v>0.26065055</v>
      </c>
      <c r="D509" s="7">
        <v>0.043394</v>
      </c>
      <c r="E509" s="7">
        <v>0.010907</v>
      </c>
      <c r="F509" s="7">
        <v>0.019619</v>
      </c>
      <c r="G509" s="7">
        <v>0.006532</v>
      </c>
      <c r="H509" s="7">
        <v>0.006335</v>
      </c>
      <c r="I509" s="7">
        <v>0.046177</v>
      </c>
      <c r="J509" s="7">
        <v>0.024093</v>
      </c>
      <c r="K509" s="16">
        <v>12143</v>
      </c>
      <c r="L509" s="17">
        <v>5699</v>
      </c>
      <c r="M509" s="16">
        <v>9333.4</v>
      </c>
      <c r="N509" s="7">
        <f t="shared" si="68"/>
        <v>2.13072468854185</v>
      </c>
      <c r="O509" s="7">
        <f t="shared" si="69"/>
        <v>1.30102642123985</v>
      </c>
      <c r="P509" s="8">
        <v>312424913.7</v>
      </c>
      <c r="Q509" s="8">
        <f t="shared" si="62"/>
        <v>3.34738587974372</v>
      </c>
      <c r="R509" s="9">
        <v>1116.3</v>
      </c>
      <c r="S509" s="9">
        <v>3371.8</v>
      </c>
      <c r="T509" s="9">
        <v>3453.5</v>
      </c>
      <c r="U509" s="9">
        <v>12989</v>
      </c>
      <c r="V509" s="18">
        <v>0</v>
      </c>
      <c r="W509" s="18">
        <v>0</v>
      </c>
      <c r="X509" s="18">
        <f t="shared" si="63"/>
        <v>0</v>
      </c>
      <c r="Y509" s="12">
        <f t="shared" si="64"/>
        <v>3.23986794305777</v>
      </c>
      <c r="Z509" s="12">
        <f t="shared" si="65"/>
        <v>0</v>
      </c>
      <c r="AA509" s="19">
        <v>11860.59</v>
      </c>
      <c r="AB509" s="19">
        <v>10534.62</v>
      </c>
      <c r="AC509" s="19">
        <v>820</v>
      </c>
      <c r="AD509" s="19">
        <v>910</v>
      </c>
      <c r="AE509" s="19">
        <v>551.91</v>
      </c>
      <c r="AF509" s="19">
        <v>35.98</v>
      </c>
      <c r="AG509" s="19">
        <v>609.42</v>
      </c>
      <c r="AH509" s="19">
        <v>123.54</v>
      </c>
      <c r="AI509" s="19">
        <v>8.63</v>
      </c>
      <c r="AJ509" s="19">
        <v>1009.23</v>
      </c>
      <c r="AK509" s="3">
        <f t="shared" si="67"/>
        <v>0</v>
      </c>
      <c r="AL509" s="3">
        <v>1</v>
      </c>
      <c r="AM509" s="3">
        <f t="shared" si="66"/>
        <v>0</v>
      </c>
    </row>
    <row r="510" spans="1:39">
      <c r="A510" s="7">
        <v>2008</v>
      </c>
      <c r="B510" s="7" t="s">
        <v>58</v>
      </c>
      <c r="C510" s="7">
        <v>0.26590884</v>
      </c>
      <c r="D510" s="7">
        <v>0.046116</v>
      </c>
      <c r="E510" s="7">
        <v>0.012156</v>
      </c>
      <c r="F510" s="7">
        <v>0.021014</v>
      </c>
      <c r="G510" s="7">
        <v>0.007127</v>
      </c>
      <c r="H510" s="7">
        <v>0.005818</v>
      </c>
      <c r="I510" s="7">
        <v>0.047044</v>
      </c>
      <c r="J510" s="7">
        <v>0.021887</v>
      </c>
      <c r="K510" s="16">
        <v>12845</v>
      </c>
      <c r="L510" s="17">
        <v>5711</v>
      </c>
      <c r="M510" s="16">
        <v>11328.92</v>
      </c>
      <c r="N510" s="7">
        <f t="shared" si="68"/>
        <v>2.24916827175626</v>
      </c>
      <c r="O510" s="7">
        <f t="shared" si="69"/>
        <v>1.1338238772981</v>
      </c>
      <c r="P510" s="8">
        <v>321411994.1</v>
      </c>
      <c r="Q510" s="8">
        <f t="shared" si="62"/>
        <v>2.83709298061951</v>
      </c>
      <c r="R510" s="9">
        <v>1313.1</v>
      </c>
      <c r="S510" s="9">
        <v>4194.5</v>
      </c>
      <c r="T510" s="9">
        <v>4010.1</v>
      </c>
      <c r="U510" s="9">
        <v>15535</v>
      </c>
      <c r="V510" s="18">
        <v>0</v>
      </c>
      <c r="W510" s="18">
        <v>0</v>
      </c>
      <c r="X510" s="18">
        <f t="shared" si="63"/>
        <v>0</v>
      </c>
      <c r="Y510" s="12">
        <f t="shared" si="64"/>
        <v>2.71728515287532</v>
      </c>
      <c r="Z510" s="12">
        <f t="shared" si="65"/>
        <v>0</v>
      </c>
      <c r="AA510" s="19">
        <v>12845</v>
      </c>
      <c r="AB510" s="19">
        <v>10196</v>
      </c>
      <c r="AC510" s="19">
        <v>952.27</v>
      </c>
      <c r="AD510" s="19">
        <v>884.26</v>
      </c>
      <c r="AE510" s="19">
        <v>624.23</v>
      </c>
      <c r="AF510" s="19">
        <v>49.7</v>
      </c>
      <c r="AG510" s="19">
        <v>613.49</v>
      </c>
      <c r="AH510" s="19">
        <v>106.97</v>
      </c>
      <c r="AI510" s="19">
        <v>15.6</v>
      </c>
      <c r="AJ510" s="19">
        <v>1076.24</v>
      </c>
      <c r="AK510" s="3">
        <f t="shared" si="67"/>
        <v>0</v>
      </c>
      <c r="AL510" s="3">
        <v>1</v>
      </c>
      <c r="AM510" s="3">
        <f t="shared" si="66"/>
        <v>0</v>
      </c>
    </row>
    <row r="511" spans="1:39">
      <c r="A511" s="7">
        <v>2009</v>
      </c>
      <c r="B511" s="7" t="s">
        <v>58</v>
      </c>
      <c r="C511" s="7">
        <v>0.33225734</v>
      </c>
      <c r="D511" s="7">
        <v>0.059183</v>
      </c>
      <c r="E511" s="7">
        <v>0.014108</v>
      </c>
      <c r="F511" s="7">
        <v>0.026757</v>
      </c>
      <c r="G511" s="7">
        <v>0.008383</v>
      </c>
      <c r="H511" s="7">
        <v>0.009936</v>
      </c>
      <c r="I511" s="7">
        <v>0.049602</v>
      </c>
      <c r="J511" s="7">
        <v>0.023662</v>
      </c>
      <c r="K511" s="16">
        <v>13708</v>
      </c>
      <c r="L511" s="17">
        <v>5720</v>
      </c>
      <c r="M511" s="16">
        <v>12961.1</v>
      </c>
      <c r="N511" s="7">
        <f t="shared" si="68"/>
        <v>2.3965034965035</v>
      </c>
      <c r="O511" s="7">
        <f t="shared" si="69"/>
        <v>1.05762628171992</v>
      </c>
      <c r="P511" s="8">
        <v>352339746.3</v>
      </c>
      <c r="Q511" s="8">
        <f t="shared" si="62"/>
        <v>2.71844015014158</v>
      </c>
      <c r="R511" s="9">
        <v>1382.7</v>
      </c>
      <c r="S511" s="9">
        <v>4918.7</v>
      </c>
      <c r="T511" s="9">
        <v>4563.4</v>
      </c>
      <c r="U511" s="9">
        <v>17715</v>
      </c>
      <c r="V511" s="18">
        <v>0</v>
      </c>
      <c r="W511" s="18">
        <v>0</v>
      </c>
      <c r="X511" s="18">
        <f t="shared" si="63"/>
        <v>0</v>
      </c>
      <c r="Y511" s="12">
        <f t="shared" si="64"/>
        <v>2.66960201713366</v>
      </c>
      <c r="Z511" s="12">
        <f t="shared" si="65"/>
        <v>0</v>
      </c>
      <c r="AA511" s="19">
        <v>13708</v>
      </c>
      <c r="AB511" s="19">
        <v>11100</v>
      </c>
      <c r="AC511" s="19">
        <v>910.76</v>
      </c>
      <c r="AD511" s="19">
        <v>946.6</v>
      </c>
      <c r="AE511" s="19">
        <v>559.5</v>
      </c>
      <c r="AF511" s="19">
        <v>47.43</v>
      </c>
      <c r="AG511" s="19">
        <v>790.67</v>
      </c>
      <c r="AH511" s="19">
        <v>108.88</v>
      </c>
      <c r="AI511" s="19">
        <v>16.52</v>
      </c>
      <c r="AJ511" s="19">
        <v>1183.04</v>
      </c>
      <c r="AK511" s="3">
        <f t="shared" si="67"/>
        <v>0</v>
      </c>
      <c r="AL511" s="3">
        <v>1</v>
      </c>
      <c r="AM511" s="3">
        <f t="shared" si="66"/>
        <v>0</v>
      </c>
    </row>
    <row r="512" spans="1:39">
      <c r="A512" s="7">
        <v>2010</v>
      </c>
      <c r="B512" s="7" t="s">
        <v>58</v>
      </c>
      <c r="C512" s="7">
        <v>0.30356829</v>
      </c>
      <c r="D512" s="7">
        <v>0.051125</v>
      </c>
      <c r="E512" s="7">
        <v>0.01355</v>
      </c>
      <c r="F512" s="7">
        <v>0.022633</v>
      </c>
      <c r="G512" s="7">
        <v>0.007603</v>
      </c>
      <c r="H512" s="7">
        <v>0.00734</v>
      </c>
      <c r="I512" s="7">
        <v>0.047812</v>
      </c>
      <c r="J512" s="7">
        <v>0.027256</v>
      </c>
      <c r="K512" s="16">
        <v>15138</v>
      </c>
      <c r="L512" s="17">
        <v>5727.91</v>
      </c>
      <c r="M512" s="16">
        <v>15967.61</v>
      </c>
      <c r="N512" s="7">
        <f t="shared" si="68"/>
        <v>2.64284878777774</v>
      </c>
      <c r="O512" s="7">
        <f t="shared" si="69"/>
        <v>0.948044196971244</v>
      </c>
      <c r="P512" s="8">
        <v>380422112.3</v>
      </c>
      <c r="Q512" s="8">
        <f t="shared" si="62"/>
        <v>2.38246119676019</v>
      </c>
      <c r="R512" s="9">
        <v>1600.6</v>
      </c>
      <c r="S512" s="9">
        <v>6396</v>
      </c>
      <c r="T512" s="9">
        <v>5253.2</v>
      </c>
      <c r="U512" s="9">
        <v>21923</v>
      </c>
      <c r="V512" s="18">
        <v>0</v>
      </c>
      <c r="W512" s="18">
        <v>0</v>
      </c>
      <c r="X512" s="18">
        <f t="shared" si="63"/>
        <v>0</v>
      </c>
      <c r="Y512" s="12">
        <f t="shared" si="64"/>
        <v>2.40850270516871</v>
      </c>
      <c r="Z512" s="12">
        <f t="shared" si="65"/>
        <v>0.0108123226735982</v>
      </c>
      <c r="AA512" s="19">
        <v>15137.59</v>
      </c>
      <c r="AB512" s="19">
        <v>13470.06</v>
      </c>
      <c r="AC512" s="19">
        <v>1120.83</v>
      </c>
      <c r="AD512" s="19">
        <v>1033.86</v>
      </c>
      <c r="AE512" s="19">
        <v>457.8</v>
      </c>
      <c r="AF512" s="19">
        <v>40.41</v>
      </c>
      <c r="AG512" s="19">
        <v>648.96</v>
      </c>
      <c r="AH512" s="19">
        <v>92.01</v>
      </c>
      <c r="AI512" s="19">
        <v>19.56</v>
      </c>
      <c r="AJ512" s="19">
        <v>1330.44</v>
      </c>
      <c r="AK512" s="3">
        <f t="shared" si="67"/>
        <v>0</v>
      </c>
      <c r="AL512" s="3">
        <v>1</v>
      </c>
      <c r="AM512" s="3">
        <f t="shared" si="66"/>
        <v>0</v>
      </c>
    </row>
    <row r="513" spans="1:39">
      <c r="A513" s="7">
        <v>2011</v>
      </c>
      <c r="B513" s="7" t="s">
        <v>58</v>
      </c>
      <c r="C513" s="7">
        <v>0.32494486</v>
      </c>
      <c r="D513" s="7">
        <v>0.05633</v>
      </c>
      <c r="E513" s="7">
        <v>0.01343</v>
      </c>
      <c r="F513" s="7">
        <v>0.025752</v>
      </c>
      <c r="G513" s="7">
        <v>0.00858</v>
      </c>
      <c r="H513" s="7">
        <v>0.008568</v>
      </c>
      <c r="I513" s="7">
        <v>0.048689</v>
      </c>
      <c r="J513" s="7">
        <v>0.026576</v>
      </c>
      <c r="K513" s="16">
        <v>16579</v>
      </c>
      <c r="L513" s="17">
        <v>5760</v>
      </c>
      <c r="M513" s="16">
        <v>19632.26</v>
      </c>
      <c r="N513" s="7">
        <f t="shared" si="68"/>
        <v>2.87829861111111</v>
      </c>
      <c r="O513" s="7">
        <f t="shared" si="69"/>
        <v>0.844477406065323</v>
      </c>
      <c r="P513" s="8">
        <v>404913468.8</v>
      </c>
      <c r="Q513" s="8">
        <f t="shared" si="62"/>
        <v>2.0624903541416</v>
      </c>
      <c r="R513" s="9">
        <v>1868</v>
      </c>
      <c r="S513" s="9">
        <v>8189.1</v>
      </c>
      <c r="T513" s="9">
        <v>6227.8</v>
      </c>
      <c r="U513" s="9">
        <v>27303</v>
      </c>
      <c r="V513" s="18">
        <v>0</v>
      </c>
      <c r="W513" s="18">
        <v>0</v>
      </c>
      <c r="X513" s="18">
        <f t="shared" si="63"/>
        <v>0</v>
      </c>
      <c r="Y513" s="12">
        <f t="shared" si="64"/>
        <v>2.18035126729488</v>
      </c>
      <c r="Z513" s="12">
        <f t="shared" si="65"/>
        <v>0.0540559289327303</v>
      </c>
      <c r="AA513" s="19">
        <v>16579</v>
      </c>
      <c r="AB513" s="19">
        <v>15805</v>
      </c>
      <c r="AC513" s="19">
        <v>1172.72</v>
      </c>
      <c r="AD513" s="19">
        <v>1026.23</v>
      </c>
      <c r="AE513" s="19">
        <v>497.81</v>
      </c>
      <c r="AF513" s="19">
        <v>46.75</v>
      </c>
      <c r="AG513" s="19">
        <v>698.07</v>
      </c>
      <c r="AH513" s="19">
        <v>97.34</v>
      </c>
      <c r="AI513" s="19">
        <v>24.92</v>
      </c>
      <c r="AJ513" s="19">
        <v>1573</v>
      </c>
      <c r="AK513" s="3">
        <f t="shared" si="67"/>
        <v>0</v>
      </c>
      <c r="AL513" s="3">
        <v>1</v>
      </c>
      <c r="AM513" s="3">
        <f t="shared" si="66"/>
        <v>0</v>
      </c>
    </row>
    <row r="514" spans="1:39">
      <c r="A514" s="7">
        <v>2012</v>
      </c>
      <c r="B514" s="7" t="s">
        <v>58</v>
      </c>
      <c r="C514" s="7">
        <v>0.3070252</v>
      </c>
      <c r="D514" s="7">
        <v>0.052893</v>
      </c>
      <c r="E514" s="7">
        <v>0.013955</v>
      </c>
      <c r="F514" s="7">
        <v>0.02431</v>
      </c>
      <c r="G514" s="7">
        <v>0.007025</v>
      </c>
      <c r="H514" s="7">
        <v>0.007603</v>
      </c>
      <c r="I514" s="7">
        <v>0.049378</v>
      </c>
      <c r="J514" s="7">
        <v>0.025733</v>
      </c>
      <c r="K514" s="16">
        <v>17675</v>
      </c>
      <c r="L514" s="17">
        <v>5781</v>
      </c>
      <c r="M514" s="16">
        <v>22250.45</v>
      </c>
      <c r="N514" s="7">
        <f t="shared" si="68"/>
        <v>3.05742951046532</v>
      </c>
      <c r="O514" s="7">
        <f t="shared" si="69"/>
        <v>0.794365956643573</v>
      </c>
      <c r="P514" s="8">
        <v>426470797.9</v>
      </c>
      <c r="Q514" s="8">
        <f t="shared" si="62"/>
        <v>1.91668392279707</v>
      </c>
      <c r="R514" s="9">
        <v>2018.6</v>
      </c>
      <c r="S514" s="9">
        <v>9247.9</v>
      </c>
      <c r="T514" s="9">
        <v>7075.2</v>
      </c>
      <c r="U514" s="9">
        <v>30697</v>
      </c>
      <c r="V514" s="18">
        <v>0</v>
      </c>
      <c r="W514" s="18">
        <v>0</v>
      </c>
      <c r="X514" s="18">
        <f t="shared" si="63"/>
        <v>0</v>
      </c>
      <c r="Y514" s="12">
        <f t="shared" si="64"/>
        <v>2.01609935715007</v>
      </c>
      <c r="Z514" s="12">
        <f t="shared" si="65"/>
        <v>0.049310781237258</v>
      </c>
      <c r="AA514" s="19">
        <v>17674.66</v>
      </c>
      <c r="AB514" s="19">
        <v>15799</v>
      </c>
      <c r="AC514" s="19">
        <v>1113.85</v>
      </c>
      <c r="AD514" s="19">
        <v>947.74</v>
      </c>
      <c r="AE514" s="19">
        <v>566.71</v>
      </c>
      <c r="AF514" s="19">
        <v>53.26</v>
      </c>
      <c r="AG514" s="19">
        <v>732.07</v>
      </c>
      <c r="AH514" s="19">
        <v>104.29</v>
      </c>
      <c r="AI514" s="19">
        <v>29.28</v>
      </c>
      <c r="AJ514" s="19">
        <v>1642.74</v>
      </c>
      <c r="AK514" s="3">
        <f t="shared" si="67"/>
        <v>0</v>
      </c>
      <c r="AL514" s="3">
        <v>1</v>
      </c>
      <c r="AM514" s="3">
        <f t="shared" si="66"/>
        <v>0</v>
      </c>
    </row>
    <row r="515" spans="1:39">
      <c r="A515" s="7">
        <v>2013</v>
      </c>
      <c r="B515" s="7" t="s">
        <v>58</v>
      </c>
      <c r="C515" s="7">
        <v>0.3234873</v>
      </c>
      <c r="D515" s="7">
        <v>0.054478</v>
      </c>
      <c r="E515" s="7">
        <v>0.013805</v>
      </c>
      <c r="F515" s="7">
        <v>0.024556</v>
      </c>
      <c r="G515" s="7">
        <v>0.008291</v>
      </c>
      <c r="H515" s="7">
        <v>0.007825</v>
      </c>
      <c r="I515" s="7">
        <v>0.054084</v>
      </c>
      <c r="J515" s="7">
        <v>0.026048</v>
      </c>
      <c r="K515" s="16">
        <v>15703</v>
      </c>
      <c r="L515" s="17">
        <v>5798</v>
      </c>
      <c r="M515" s="16">
        <v>24791.83</v>
      </c>
      <c r="N515" s="7">
        <f t="shared" si="68"/>
        <v>2.70834770610555</v>
      </c>
      <c r="O515" s="7">
        <f t="shared" si="69"/>
        <v>0.633394146378061</v>
      </c>
      <c r="P515" s="8">
        <v>440038367</v>
      </c>
      <c r="Q515" s="8">
        <f t="shared" ref="Q515:Q578" si="70">P515/10000/M515</f>
        <v>1.77493297993734</v>
      </c>
      <c r="R515" s="9">
        <v>2173.2</v>
      </c>
      <c r="S515" s="9">
        <v>10233.4</v>
      </c>
      <c r="T515" s="9">
        <v>8177.4</v>
      </c>
      <c r="U515" s="9">
        <v>34404</v>
      </c>
      <c r="V515" s="18">
        <v>0</v>
      </c>
      <c r="W515" s="18">
        <v>0</v>
      </c>
      <c r="X515" s="18">
        <f t="shared" ref="X515:X578" si="71">V515*W515</f>
        <v>0</v>
      </c>
      <c r="Y515" s="12">
        <f t="shared" ref="Y515:Y578" si="72">AVERAGEIF($A:$A,$A515,$Q:$Q)</f>
        <v>1.91398219724656</v>
      </c>
      <c r="Z515" s="12">
        <f t="shared" ref="Z515:Z578" si="73">MAX(0,1-Q515/Y515)</f>
        <v>0.0726491696261622</v>
      </c>
      <c r="AA515" s="19">
        <v>15703</v>
      </c>
      <c r="AB515" s="19">
        <v>12166.72</v>
      </c>
      <c r="AC515" s="19">
        <v>1114.39</v>
      </c>
      <c r="AD515" s="19">
        <v>1176.72</v>
      </c>
      <c r="AE515" s="19">
        <v>616.05</v>
      </c>
      <c r="AF515" s="19">
        <v>63.77</v>
      </c>
      <c r="AG515" s="19">
        <v>805.41</v>
      </c>
      <c r="AH515" s="19">
        <v>118.84</v>
      </c>
      <c r="AI515" s="19">
        <v>31.97</v>
      </c>
      <c r="AJ515" s="19">
        <v>1629.75</v>
      </c>
      <c r="AK515" s="3">
        <f t="shared" si="67"/>
        <v>1</v>
      </c>
      <c r="AL515" s="3">
        <v>1</v>
      </c>
      <c r="AM515" s="3">
        <f t="shared" si="66"/>
        <v>1</v>
      </c>
    </row>
    <row r="516" spans="1:39">
      <c r="A516" s="7">
        <v>2014</v>
      </c>
      <c r="B516" s="7" t="s">
        <v>58</v>
      </c>
      <c r="C516" s="7">
        <v>0.34342274</v>
      </c>
      <c r="D516" s="7">
        <v>0.057604</v>
      </c>
      <c r="E516" s="7">
        <v>0.013814</v>
      </c>
      <c r="F516" s="7">
        <v>0.026482</v>
      </c>
      <c r="G516" s="7">
        <v>0.008938</v>
      </c>
      <c r="H516" s="7">
        <v>0.008369</v>
      </c>
      <c r="I516" s="7">
        <v>0.05547</v>
      </c>
      <c r="J516" s="7">
        <v>0.028092</v>
      </c>
      <c r="K516" s="16">
        <v>16320</v>
      </c>
      <c r="L516" s="17">
        <v>5816</v>
      </c>
      <c r="M516" s="16">
        <v>27379.22</v>
      </c>
      <c r="N516" s="7">
        <f t="shared" si="68"/>
        <v>2.8060522696011</v>
      </c>
      <c r="O516" s="7">
        <f t="shared" si="69"/>
        <v>0.596072495856346</v>
      </c>
      <c r="P516" s="8">
        <v>453862104.4</v>
      </c>
      <c r="Q516" s="8">
        <f t="shared" si="70"/>
        <v>1.65768821902158</v>
      </c>
      <c r="R516" s="9">
        <v>2295</v>
      </c>
      <c r="S516" s="9">
        <v>10982.6</v>
      </c>
      <c r="T516" s="9">
        <v>9242.1</v>
      </c>
      <c r="U516" s="9">
        <v>37580</v>
      </c>
      <c r="V516" s="18">
        <v>0</v>
      </c>
      <c r="W516" s="18">
        <v>0</v>
      </c>
      <c r="X516" s="18">
        <f t="shared" si="71"/>
        <v>0</v>
      </c>
      <c r="Y516" s="12">
        <f t="shared" si="72"/>
        <v>1.79640226266579</v>
      </c>
      <c r="Z516" s="12">
        <f t="shared" si="73"/>
        <v>0.0772176959064619</v>
      </c>
      <c r="AA516" s="19">
        <v>16320.26</v>
      </c>
      <c r="AB516" s="19">
        <v>11887.83</v>
      </c>
      <c r="AC516" s="19">
        <v>1124.4</v>
      </c>
      <c r="AD516" s="19">
        <v>1290.87</v>
      </c>
      <c r="AE516" s="19">
        <v>660.05</v>
      </c>
      <c r="AF516" s="19">
        <v>66.04</v>
      </c>
      <c r="AG516" s="19">
        <v>863.69</v>
      </c>
      <c r="AH516" s="19">
        <v>135.51</v>
      </c>
      <c r="AI516" s="19">
        <v>40.24</v>
      </c>
      <c r="AJ516" s="19">
        <v>1656.54</v>
      </c>
      <c r="AK516" s="3">
        <f t="shared" si="67"/>
        <v>1</v>
      </c>
      <c r="AL516" s="3">
        <v>1</v>
      </c>
      <c r="AM516" s="3">
        <f t="shared" si="66"/>
        <v>1</v>
      </c>
    </row>
    <row r="517" spans="1:39">
      <c r="A517" s="7">
        <v>2015</v>
      </c>
      <c r="B517" s="7" t="s">
        <v>58</v>
      </c>
      <c r="C517" s="7">
        <v>0.3250295</v>
      </c>
      <c r="D517" s="7">
        <v>0.053026</v>
      </c>
      <c r="E517" s="7">
        <v>0.012796</v>
      </c>
      <c r="F517" s="7">
        <v>0.023955</v>
      </c>
      <c r="G517" s="7">
        <v>0.008218</v>
      </c>
      <c r="H517" s="7">
        <v>0.008057</v>
      </c>
      <c r="I517" s="7">
        <v>0.055943</v>
      </c>
      <c r="J517" s="7">
        <v>0.027558</v>
      </c>
      <c r="K517" s="16">
        <v>15477</v>
      </c>
      <c r="L517" s="17">
        <v>5850</v>
      </c>
      <c r="M517" s="16">
        <v>29550.18814</v>
      </c>
      <c r="N517" s="7">
        <f t="shared" si="68"/>
        <v>2.64564102564103</v>
      </c>
      <c r="O517" s="7">
        <f t="shared" si="69"/>
        <v>0.52375301052821</v>
      </c>
      <c r="P517" s="8">
        <v>452850917.6</v>
      </c>
      <c r="Q517" s="8">
        <f t="shared" si="70"/>
        <v>1.53248065783719</v>
      </c>
      <c r="R517" s="9">
        <v>2376.1</v>
      </c>
      <c r="S517" s="9">
        <v>10838.3</v>
      </c>
      <c r="T517" s="9">
        <v>10616.8</v>
      </c>
      <c r="U517" s="9">
        <v>39692</v>
      </c>
      <c r="V517" s="18">
        <v>0</v>
      </c>
      <c r="W517" s="18">
        <v>0</v>
      </c>
      <c r="X517" s="18">
        <f t="shared" si="71"/>
        <v>0</v>
      </c>
      <c r="Y517" s="12">
        <f t="shared" si="72"/>
        <v>1.71577514742415</v>
      </c>
      <c r="Z517" s="12">
        <f t="shared" si="73"/>
        <v>0.106828968738783</v>
      </c>
      <c r="AA517" s="19">
        <v>15477</v>
      </c>
      <c r="AB517" s="19">
        <v>11035.08</v>
      </c>
      <c r="AC517" s="19">
        <v>1030.01</v>
      </c>
      <c r="AD517" s="19">
        <v>1299.01</v>
      </c>
      <c r="AE517" s="19">
        <v>716.92</v>
      </c>
      <c r="AF517" s="19">
        <v>79.87</v>
      </c>
      <c r="AG517" s="19">
        <v>817.31</v>
      </c>
      <c r="AH517" s="19">
        <v>109.27</v>
      </c>
      <c r="AI517" s="19">
        <v>40.26</v>
      </c>
      <c r="AJ517" s="19">
        <v>1665</v>
      </c>
      <c r="AK517" s="3">
        <f t="shared" si="67"/>
        <v>1</v>
      </c>
      <c r="AL517" s="3">
        <v>1</v>
      </c>
      <c r="AM517" s="3">
        <f t="shared" si="66"/>
        <v>1</v>
      </c>
    </row>
    <row r="518" spans="1:39">
      <c r="A518" s="7">
        <v>2016</v>
      </c>
      <c r="B518" s="7" t="s">
        <v>58</v>
      </c>
      <c r="C518" s="7">
        <v>0.36666921</v>
      </c>
      <c r="D518" s="7">
        <v>0.059846</v>
      </c>
      <c r="E518" s="7">
        <v>0.015143</v>
      </c>
      <c r="F518" s="7">
        <v>0.026434</v>
      </c>
      <c r="G518" s="7">
        <v>0.008428</v>
      </c>
      <c r="H518" s="7">
        <v>0.009842</v>
      </c>
      <c r="I518" s="7">
        <v>0.059294</v>
      </c>
      <c r="J518" s="7">
        <v>0.030311</v>
      </c>
      <c r="K518" s="16">
        <v>15897</v>
      </c>
      <c r="L518" s="17">
        <v>5885</v>
      </c>
      <c r="M518" s="16">
        <v>32665.38</v>
      </c>
      <c r="N518" s="7">
        <f t="shared" si="68"/>
        <v>2.70127442650807</v>
      </c>
      <c r="O518" s="7">
        <f t="shared" si="69"/>
        <v>0.486662025667542</v>
      </c>
      <c r="P518" s="8">
        <v>446787934.5</v>
      </c>
      <c r="Q518" s="8">
        <f t="shared" si="70"/>
        <v>1.36777204030689</v>
      </c>
      <c r="R518" s="9">
        <v>2489.8</v>
      </c>
      <c r="S518" s="9">
        <v>11517.5</v>
      </c>
      <c r="T518" s="9">
        <v>12300.5</v>
      </c>
      <c r="U518" s="9">
        <v>43686</v>
      </c>
      <c r="V518" s="18">
        <v>0</v>
      </c>
      <c r="W518" s="18">
        <v>0</v>
      </c>
      <c r="X518" s="18">
        <f t="shared" si="71"/>
        <v>0</v>
      </c>
      <c r="Y518" s="12">
        <f t="shared" si="72"/>
        <v>1.62438398605541</v>
      </c>
      <c r="Z518" s="12">
        <f t="shared" si="73"/>
        <v>0.157974929543392</v>
      </c>
      <c r="AA518" s="19">
        <v>15897</v>
      </c>
      <c r="AB518" s="19">
        <v>10739.77</v>
      </c>
      <c r="AC518" s="19">
        <v>1095.31</v>
      </c>
      <c r="AD518" s="19">
        <v>1239.61</v>
      </c>
      <c r="AE518" s="19">
        <v>743.19</v>
      </c>
      <c r="AF518" s="19">
        <v>96.97</v>
      </c>
      <c r="AG518" s="19">
        <v>865.85</v>
      </c>
      <c r="AH518" s="19">
        <v>117.83</v>
      </c>
      <c r="AI518" s="19">
        <v>41.5</v>
      </c>
      <c r="AJ518" s="19">
        <v>1763.11</v>
      </c>
      <c r="AK518" s="3">
        <f t="shared" si="67"/>
        <v>1</v>
      </c>
      <c r="AL518" s="3">
        <v>1</v>
      </c>
      <c r="AM518" s="3">
        <f t="shared" si="66"/>
        <v>1</v>
      </c>
    </row>
    <row r="519" spans="1:39">
      <c r="A519" s="7">
        <v>2017</v>
      </c>
      <c r="B519" s="7" t="s">
        <v>58</v>
      </c>
      <c r="C519" s="7">
        <v>0.36300724</v>
      </c>
      <c r="D519" s="7">
        <v>0.0618</v>
      </c>
      <c r="E519" s="7">
        <v>0.015062</v>
      </c>
      <c r="F519" s="7">
        <v>0.027115</v>
      </c>
      <c r="G519" s="7">
        <v>0.008756</v>
      </c>
      <c r="H519" s="7">
        <v>0.010868</v>
      </c>
      <c r="I519" s="7">
        <v>0.053984</v>
      </c>
      <c r="J519" s="7">
        <v>0.028057</v>
      </c>
      <c r="K519" s="16">
        <v>16180</v>
      </c>
      <c r="L519" s="17">
        <v>5904</v>
      </c>
      <c r="M519" s="16">
        <v>35478.09</v>
      </c>
      <c r="N519" s="7">
        <f t="shared" si="68"/>
        <v>2.74051490514905</v>
      </c>
      <c r="O519" s="7">
        <f t="shared" si="69"/>
        <v>0.456056118015372</v>
      </c>
      <c r="P519" s="8">
        <v>450142464.4</v>
      </c>
      <c r="Q519" s="8">
        <f t="shared" si="70"/>
        <v>1.26879001772643</v>
      </c>
      <c r="R519" s="9">
        <v>2582.3</v>
      </c>
      <c r="S519" s="9">
        <v>12681.2</v>
      </c>
      <c r="T519" s="9">
        <v>14412.7</v>
      </c>
      <c r="U519" s="9">
        <v>49092</v>
      </c>
      <c r="V519" s="18">
        <v>1</v>
      </c>
      <c r="W519" s="18">
        <v>0</v>
      </c>
      <c r="X519" s="18">
        <f t="shared" si="71"/>
        <v>0</v>
      </c>
      <c r="Y519" s="12">
        <f t="shared" si="72"/>
        <v>1.56738551218677</v>
      </c>
      <c r="Z519" s="12">
        <f t="shared" si="73"/>
        <v>0.190505457743927</v>
      </c>
      <c r="AA519" s="19">
        <v>16180</v>
      </c>
      <c r="AB519" s="19">
        <v>10721.23</v>
      </c>
      <c r="AC519" s="19">
        <v>1062.32</v>
      </c>
      <c r="AD519" s="19">
        <v>1428.91</v>
      </c>
      <c r="AE519" s="19">
        <v>749.17</v>
      </c>
      <c r="AF519" s="19">
        <v>112</v>
      </c>
      <c r="AG519" s="19">
        <v>868.27</v>
      </c>
      <c r="AH519" s="19">
        <v>123.02</v>
      </c>
      <c r="AI519" s="19">
        <v>52.5</v>
      </c>
      <c r="AJ519" s="19">
        <v>1869</v>
      </c>
      <c r="AK519" s="3">
        <f t="shared" si="67"/>
        <v>1</v>
      </c>
      <c r="AL519" s="3">
        <v>1</v>
      </c>
      <c r="AM519" s="3">
        <f t="shared" si="66"/>
        <v>1</v>
      </c>
    </row>
    <row r="520" spans="1:39">
      <c r="A520" s="7">
        <v>2018</v>
      </c>
      <c r="B520" s="7" t="s">
        <v>58</v>
      </c>
      <c r="C520" s="7">
        <v>0.39859149</v>
      </c>
      <c r="D520" s="7">
        <v>0.064811</v>
      </c>
      <c r="E520" s="7">
        <v>0.016278</v>
      </c>
      <c r="F520" s="7">
        <v>0.028528</v>
      </c>
      <c r="G520" s="7">
        <v>0.009983</v>
      </c>
      <c r="H520" s="7">
        <v>0.010023</v>
      </c>
      <c r="I520" s="7">
        <v>0.063307</v>
      </c>
      <c r="J520" s="7">
        <v>0.032303</v>
      </c>
      <c r="K520" s="16">
        <v>16682</v>
      </c>
      <c r="L520" s="17">
        <v>5917</v>
      </c>
      <c r="M520" s="16">
        <v>39366.55</v>
      </c>
      <c r="N520" s="7">
        <f t="shared" si="68"/>
        <v>2.81933412202129</v>
      </c>
      <c r="O520" s="7">
        <f t="shared" si="69"/>
        <v>0.423760781678862</v>
      </c>
      <c r="P520" s="8">
        <v>467036476.4</v>
      </c>
      <c r="Q520" s="8">
        <f t="shared" si="70"/>
        <v>1.18637898520444</v>
      </c>
      <c r="R520" s="9">
        <v>2638</v>
      </c>
      <c r="S520" s="9">
        <v>14094.4</v>
      </c>
      <c r="T520" s="9">
        <v>17278.5</v>
      </c>
      <c r="U520" s="9">
        <v>56063</v>
      </c>
      <c r="V520" s="18">
        <v>1</v>
      </c>
      <c r="W520" s="18">
        <v>0</v>
      </c>
      <c r="X520" s="18">
        <f t="shared" si="71"/>
        <v>0</v>
      </c>
      <c r="Y520" s="12">
        <f t="shared" si="72"/>
        <v>1.51591455826218</v>
      </c>
      <c r="Z520" s="12">
        <f t="shared" si="73"/>
        <v>0.217384001797246</v>
      </c>
      <c r="AA520" s="19">
        <v>16682</v>
      </c>
      <c r="AB520" s="19">
        <v>11100.11</v>
      </c>
      <c r="AC520" s="19">
        <v>1131.7</v>
      </c>
      <c r="AD520" s="19">
        <v>1420.68</v>
      </c>
      <c r="AE520" s="19">
        <v>784.54</v>
      </c>
      <c r="AF520" s="19">
        <v>116.26</v>
      </c>
      <c r="AG520" s="19">
        <v>895.35</v>
      </c>
      <c r="AH520" s="19">
        <v>129.43</v>
      </c>
      <c r="AI520" s="19">
        <v>62.7</v>
      </c>
      <c r="AJ520" s="19">
        <v>2071.43</v>
      </c>
      <c r="AK520" s="3">
        <f t="shared" si="67"/>
        <v>1</v>
      </c>
      <c r="AL520" s="3">
        <v>1</v>
      </c>
      <c r="AM520" s="3">
        <f t="shared" si="66"/>
        <v>1</v>
      </c>
    </row>
    <row r="521" spans="1:39">
      <c r="A521" s="7">
        <v>2019</v>
      </c>
      <c r="B521" s="7" t="s">
        <v>58</v>
      </c>
      <c r="C521" s="7">
        <v>0.42392339</v>
      </c>
      <c r="D521" s="7">
        <v>0.06677</v>
      </c>
      <c r="E521" s="7">
        <v>0.016658</v>
      </c>
      <c r="F521" s="7">
        <v>0.028798</v>
      </c>
      <c r="G521" s="7">
        <v>0.009004</v>
      </c>
      <c r="H521" s="7">
        <v>0.012309</v>
      </c>
      <c r="I521" s="7">
        <v>0.070405</v>
      </c>
      <c r="J521" s="7">
        <v>0.033693</v>
      </c>
      <c r="K521" s="16">
        <v>17316</v>
      </c>
      <c r="L521" s="17">
        <v>5927</v>
      </c>
      <c r="M521" s="16">
        <v>45828.31</v>
      </c>
      <c r="N521" s="7">
        <f t="shared" si="68"/>
        <v>2.92154546988358</v>
      </c>
      <c r="O521" s="7">
        <f t="shared" si="69"/>
        <v>0.377845048180917</v>
      </c>
      <c r="P521" s="8">
        <v>487078290</v>
      </c>
      <c r="Q521" s="8">
        <f t="shared" si="70"/>
        <v>1.06283275556092</v>
      </c>
      <c r="R521" s="9">
        <v>2916</v>
      </c>
      <c r="S521" s="9">
        <v>14970</v>
      </c>
      <c r="T521" s="9">
        <v>18959.5</v>
      </c>
      <c r="U521" s="9">
        <v>60561</v>
      </c>
      <c r="V521" s="18">
        <v>1</v>
      </c>
      <c r="W521" s="18">
        <v>0</v>
      </c>
      <c r="X521" s="18">
        <f t="shared" si="71"/>
        <v>0</v>
      </c>
      <c r="Y521" s="12">
        <f t="shared" si="72"/>
        <v>1.5000536746505</v>
      </c>
      <c r="Z521" s="12">
        <f t="shared" si="73"/>
        <v>0.291470183019583</v>
      </c>
      <c r="AA521" s="19">
        <v>17316</v>
      </c>
      <c r="AB521" s="19">
        <v>11768.33</v>
      </c>
      <c r="AC521" s="19">
        <v>1115.52</v>
      </c>
      <c r="AD521" s="19">
        <v>1516.49</v>
      </c>
      <c r="AE521" s="19">
        <v>864.59</v>
      </c>
      <c r="AF521" s="19">
        <v>128.47</v>
      </c>
      <c r="AG521" s="19">
        <v>976.32</v>
      </c>
      <c r="AH521" s="19">
        <v>148.83</v>
      </c>
      <c r="AI521" s="19">
        <v>68.46</v>
      </c>
      <c r="AJ521" s="19">
        <v>2214.3</v>
      </c>
      <c r="AK521" s="3">
        <f t="shared" si="67"/>
        <v>1</v>
      </c>
      <c r="AL521" s="3">
        <v>1</v>
      </c>
      <c r="AM521" s="3">
        <f t="shared" si="66"/>
        <v>1</v>
      </c>
    </row>
    <row r="522" spans="1:39">
      <c r="A522" s="7">
        <v>2020</v>
      </c>
      <c r="B522" s="7" t="s">
        <v>58</v>
      </c>
      <c r="C522" s="7">
        <v>0.40009122</v>
      </c>
      <c r="D522" s="7">
        <v>0.064797</v>
      </c>
      <c r="E522" s="7">
        <v>0.017351</v>
      </c>
      <c r="F522" s="7">
        <v>0.02948</v>
      </c>
      <c r="G522" s="7">
        <v>0.010345</v>
      </c>
      <c r="H522" s="7">
        <v>0.007622</v>
      </c>
      <c r="I522" s="7">
        <v>0.068449</v>
      </c>
      <c r="J522" s="7">
        <v>0.032114</v>
      </c>
      <c r="K522" s="16">
        <v>16251.46</v>
      </c>
      <c r="L522" s="17">
        <v>5744.83</v>
      </c>
      <c r="M522" s="16">
        <v>43443.46</v>
      </c>
      <c r="N522" s="7">
        <f t="shared" si="68"/>
        <v>2.8288844056308</v>
      </c>
      <c r="O522" s="7">
        <f t="shared" si="69"/>
        <v>0.374083003517676</v>
      </c>
      <c r="P522" s="8">
        <v>490190150.5</v>
      </c>
      <c r="Q522" s="8">
        <f t="shared" si="70"/>
        <v>1.12834049244696</v>
      </c>
      <c r="R522" s="9">
        <v>3185</v>
      </c>
      <c r="S522" s="9">
        <v>15216.5</v>
      </c>
      <c r="T522" s="9">
        <v>19660.1</v>
      </c>
      <c r="U522" s="9">
        <v>62411</v>
      </c>
      <c r="V522" s="18">
        <v>1</v>
      </c>
      <c r="W522" s="18">
        <v>0</v>
      </c>
      <c r="X522" s="18">
        <f t="shared" si="71"/>
        <v>0</v>
      </c>
      <c r="Y522" s="12">
        <f t="shared" si="72"/>
        <v>1.47141701078949</v>
      </c>
      <c r="Z522" s="12">
        <f t="shared" si="73"/>
        <v>0.233160630757186</v>
      </c>
      <c r="AA522" s="19">
        <v>16251.46</v>
      </c>
      <c r="AB522" s="19">
        <v>10371.44</v>
      </c>
      <c r="AC522" s="19">
        <v>1114.11</v>
      </c>
      <c r="AD522" s="19">
        <v>2091.04</v>
      </c>
      <c r="AE522" s="19">
        <v>420.13</v>
      </c>
      <c r="AF522" s="19">
        <v>13.64</v>
      </c>
      <c r="AG522" s="19">
        <v>452.51</v>
      </c>
      <c r="AH522" s="19">
        <v>93.5</v>
      </c>
      <c r="AI522" s="19">
        <v>61</v>
      </c>
      <c r="AJ522" s="19">
        <v>2144</v>
      </c>
      <c r="AK522" s="3">
        <f t="shared" si="67"/>
        <v>1</v>
      </c>
      <c r="AL522" s="3">
        <v>1</v>
      </c>
      <c r="AM522" s="3">
        <f t="shared" si="66"/>
        <v>1</v>
      </c>
    </row>
    <row r="523" spans="1:39">
      <c r="A523" s="7">
        <v>2021</v>
      </c>
      <c r="B523" s="7" t="s">
        <v>58</v>
      </c>
      <c r="C523" s="7">
        <v>0.39229518</v>
      </c>
      <c r="D523" s="7">
        <v>0.062246</v>
      </c>
      <c r="E523" s="7">
        <v>0.015287</v>
      </c>
      <c r="F523" s="7">
        <v>0.02841</v>
      </c>
      <c r="G523" s="7">
        <v>0.009076</v>
      </c>
      <c r="H523" s="7">
        <v>0.009473</v>
      </c>
      <c r="I523" s="7">
        <v>0.067528</v>
      </c>
      <c r="J523" s="7">
        <v>0.032551</v>
      </c>
      <c r="K523" s="16">
        <v>18191.5963130348</v>
      </c>
      <c r="L523" s="17">
        <v>5830</v>
      </c>
      <c r="M523" s="16">
        <v>50012.9</v>
      </c>
      <c r="N523" s="7">
        <f t="shared" si="68"/>
        <v>3.12034242076069</v>
      </c>
      <c r="O523" s="7">
        <f t="shared" si="69"/>
        <v>0.363738081835582</v>
      </c>
      <c r="P523" s="8">
        <v>510371073.9</v>
      </c>
      <c r="Q523" s="8">
        <f t="shared" si="70"/>
        <v>1.02047886425302</v>
      </c>
      <c r="R523" s="9">
        <v>3363.9</v>
      </c>
      <c r="S523" s="9">
        <v>17240.1</v>
      </c>
      <c r="T523" s="9">
        <v>21961.1</v>
      </c>
      <c r="U523" s="9">
        <v>69676</v>
      </c>
      <c r="V523" s="18">
        <v>1</v>
      </c>
      <c r="W523" s="18">
        <v>0</v>
      </c>
      <c r="X523" s="18">
        <f t="shared" si="71"/>
        <v>0</v>
      </c>
      <c r="Y523" s="12">
        <f t="shared" si="72"/>
        <v>1.36781889095748</v>
      </c>
      <c r="Z523" s="12">
        <f t="shared" si="73"/>
        <v>0.253937146942983</v>
      </c>
      <c r="AA523" s="19">
        <v>18191.5963130348</v>
      </c>
      <c r="AB523" s="19">
        <v>10623.82</v>
      </c>
      <c r="AC523" s="19">
        <v>1077.32</v>
      </c>
      <c r="AD523" s="19">
        <v>1611.75</v>
      </c>
      <c r="AE523" s="19">
        <v>970.37</v>
      </c>
      <c r="AF523" s="19">
        <v>80.76</v>
      </c>
      <c r="AG523" s="19">
        <v>1025.97</v>
      </c>
      <c r="AH523" s="19">
        <v>125.51</v>
      </c>
      <c r="AI523" s="19">
        <v>70.64</v>
      </c>
      <c r="AJ523" s="19">
        <v>2472</v>
      </c>
      <c r="AK523" s="3">
        <f t="shared" si="67"/>
        <v>1</v>
      </c>
      <c r="AL523" s="3">
        <v>1</v>
      </c>
      <c r="AM523" s="3">
        <f t="shared" si="66"/>
        <v>1</v>
      </c>
    </row>
    <row r="524" spans="1:39">
      <c r="A524" s="7">
        <v>2022</v>
      </c>
      <c r="B524" s="7" t="s">
        <v>58</v>
      </c>
      <c r="C524" s="7">
        <v>0.44274566</v>
      </c>
      <c r="D524" s="7">
        <v>0.070608</v>
      </c>
      <c r="E524" s="7">
        <v>0.017985</v>
      </c>
      <c r="F524" s="7">
        <v>0.031826</v>
      </c>
      <c r="G524" s="7">
        <v>0.010532</v>
      </c>
      <c r="H524" s="7">
        <v>0.010265</v>
      </c>
      <c r="I524" s="7">
        <v>0.06795</v>
      </c>
      <c r="J524" s="7">
        <v>0.038521</v>
      </c>
      <c r="K524" s="16">
        <v>18627</v>
      </c>
      <c r="L524" s="17">
        <v>5844</v>
      </c>
      <c r="M524" s="16">
        <v>53734.9</v>
      </c>
      <c r="N524" s="7">
        <f t="shared" si="68"/>
        <v>3.18737166324435</v>
      </c>
      <c r="O524" s="7">
        <f t="shared" si="69"/>
        <v>0.346646220612674</v>
      </c>
      <c r="P524" s="8">
        <v>511009484.1</v>
      </c>
      <c r="Q524" s="8">
        <f t="shared" si="70"/>
        <v>0.950982478984794</v>
      </c>
      <c r="R524" s="9">
        <v>3516.5</v>
      </c>
      <c r="S524" s="9">
        <v>17946.8</v>
      </c>
      <c r="T524" s="9">
        <v>23144.4</v>
      </c>
      <c r="U524" s="9">
        <v>72888</v>
      </c>
      <c r="V524" s="18">
        <v>1</v>
      </c>
      <c r="W524" s="18">
        <v>0</v>
      </c>
      <c r="X524" s="18">
        <f t="shared" si="71"/>
        <v>0</v>
      </c>
      <c r="Y524" s="12">
        <f t="shared" si="72"/>
        <v>1.27047633725244</v>
      </c>
      <c r="Z524" s="12">
        <f t="shared" si="73"/>
        <v>0.251475646495383</v>
      </c>
      <c r="AA524" s="19">
        <v>18627</v>
      </c>
      <c r="AB524" s="19">
        <v>11648.56</v>
      </c>
      <c r="AC524" s="19">
        <v>1178.61</v>
      </c>
      <c r="AD524" s="19">
        <v>1466.38</v>
      </c>
      <c r="AE524" s="19">
        <v>881.56</v>
      </c>
      <c r="AF524" s="19">
        <v>107.05</v>
      </c>
      <c r="AG524" s="19">
        <v>1019.54</v>
      </c>
      <c r="AH524" s="19">
        <v>80.58</v>
      </c>
      <c r="AI524" s="19">
        <v>67.59</v>
      </c>
      <c r="AJ524" s="19">
        <v>2647.81</v>
      </c>
      <c r="AK524" s="3">
        <f t="shared" si="67"/>
        <v>1</v>
      </c>
      <c r="AL524" s="3">
        <v>1</v>
      </c>
      <c r="AM524" s="3">
        <f t="shared" si="66"/>
        <v>1</v>
      </c>
    </row>
    <row r="525" spans="1:39">
      <c r="A525" s="7">
        <v>2023</v>
      </c>
      <c r="B525" s="7" t="s">
        <v>58</v>
      </c>
      <c r="C525" s="7">
        <v>0.57730416</v>
      </c>
      <c r="D525" s="7">
        <v>0.083119</v>
      </c>
      <c r="E525" s="7">
        <v>0.024831</v>
      </c>
      <c r="F525" s="7">
        <v>0.03939</v>
      </c>
      <c r="G525" s="7">
        <v>0.016138</v>
      </c>
      <c r="H525" s="7">
        <v>0.015206</v>
      </c>
      <c r="I525" s="7">
        <v>0.07252</v>
      </c>
      <c r="J525" s="7">
        <v>0.048639</v>
      </c>
      <c r="K525" s="16">
        <v>19045</v>
      </c>
      <c r="L525" s="17">
        <v>5838</v>
      </c>
      <c r="M525" s="16">
        <v>55803.6</v>
      </c>
      <c r="N525" s="7">
        <f t="shared" si="68"/>
        <v>3.26224734498116</v>
      </c>
      <c r="O525" s="7">
        <f t="shared" si="69"/>
        <v>0.341286225261453</v>
      </c>
      <c r="P525" s="8">
        <v>545761708.4</v>
      </c>
      <c r="Q525" s="8">
        <f t="shared" si="70"/>
        <v>0.978004480714506</v>
      </c>
      <c r="R525" s="9">
        <v>3496.6</v>
      </c>
      <c r="S525" s="9">
        <v>18871.8</v>
      </c>
      <c r="T525" s="9">
        <v>24682.2</v>
      </c>
      <c r="U525" s="9">
        <v>76830</v>
      </c>
      <c r="V525" s="18">
        <v>1</v>
      </c>
      <c r="W525" s="18">
        <v>0</v>
      </c>
      <c r="X525" s="18">
        <f t="shared" si="71"/>
        <v>0</v>
      </c>
      <c r="Y525" s="12">
        <f t="shared" si="72"/>
        <v>1.2756783895882</v>
      </c>
      <c r="Z525" s="12">
        <f t="shared" si="73"/>
        <v>0.233345576207325</v>
      </c>
      <c r="AA525" s="12"/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3">
        <f t="shared" si="67"/>
        <v>1</v>
      </c>
      <c r="AL525" s="3">
        <v>1</v>
      </c>
      <c r="AM525" s="3">
        <f t="shared" si="66"/>
        <v>1</v>
      </c>
    </row>
    <row r="526" spans="1:39">
      <c r="A526" s="7">
        <v>2024</v>
      </c>
      <c r="B526" s="7" t="s">
        <v>58</v>
      </c>
      <c r="C526" s="7">
        <v>0.62976646</v>
      </c>
      <c r="D526" s="7">
        <v>0.087654</v>
      </c>
      <c r="E526" s="7">
        <v>0.02733</v>
      </c>
      <c r="F526" s="7">
        <v>0.042185</v>
      </c>
      <c r="G526" s="7">
        <v>0.018142</v>
      </c>
      <c r="H526" s="7">
        <v>0.017198</v>
      </c>
      <c r="I526" s="7">
        <v>0.074614</v>
      </c>
      <c r="J526" s="7">
        <v>0.053074</v>
      </c>
      <c r="K526" s="16">
        <v>19463</v>
      </c>
      <c r="L526" s="17">
        <v>5834</v>
      </c>
      <c r="M526" s="16">
        <v>60013</v>
      </c>
      <c r="N526" s="7">
        <f t="shared" si="68"/>
        <v>3.3361330133699</v>
      </c>
      <c r="O526" s="7">
        <f t="shared" si="69"/>
        <v>0.324313065502474</v>
      </c>
      <c r="P526" s="8">
        <v>545514141.9</v>
      </c>
      <c r="Q526" s="8">
        <f t="shared" si="70"/>
        <v>0.908993287954276</v>
      </c>
      <c r="R526" s="9">
        <v>3565.6</v>
      </c>
      <c r="S526" s="9">
        <v>19607.5</v>
      </c>
      <c r="T526" s="9">
        <v>27452.1</v>
      </c>
      <c r="U526" s="9">
        <v>82694</v>
      </c>
      <c r="V526" s="18">
        <v>1</v>
      </c>
      <c r="W526" s="18">
        <v>0</v>
      </c>
      <c r="X526" s="18">
        <f t="shared" si="71"/>
        <v>0</v>
      </c>
      <c r="Y526" s="12">
        <f t="shared" si="72"/>
        <v>1.21200651315194</v>
      </c>
      <c r="Z526" s="12">
        <f t="shared" si="73"/>
        <v>0.250009568355907</v>
      </c>
      <c r="AA526" s="12"/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3">
        <f t="shared" si="67"/>
        <v>1</v>
      </c>
      <c r="AL526" s="3">
        <v>1</v>
      </c>
      <c r="AM526" s="3">
        <f t="shared" si="66"/>
        <v>1</v>
      </c>
    </row>
    <row r="527" spans="1:39">
      <c r="A527" s="7">
        <v>2000</v>
      </c>
      <c r="B527" s="7" t="s">
        <v>59</v>
      </c>
      <c r="C527" s="7">
        <v>0.17610451</v>
      </c>
      <c r="D527" s="7">
        <v>0.031704</v>
      </c>
      <c r="E527" s="7">
        <v>0.007845</v>
      </c>
      <c r="F527" s="7">
        <v>0.014087</v>
      </c>
      <c r="G527" s="7">
        <v>0.004551</v>
      </c>
      <c r="H527" s="7">
        <v>0.005221</v>
      </c>
      <c r="I527" s="7">
        <v>0.032953</v>
      </c>
      <c r="J527" s="7">
        <v>0.017203</v>
      </c>
      <c r="K527" s="16">
        <v>4071</v>
      </c>
      <c r="L527" s="17">
        <v>6562</v>
      </c>
      <c r="M527" s="16">
        <v>3691.88</v>
      </c>
      <c r="N527" s="7">
        <f t="shared" si="68"/>
        <v>0.620390124961902</v>
      </c>
      <c r="O527" s="7">
        <f t="shared" si="69"/>
        <v>1.10269022828478</v>
      </c>
      <c r="P527" s="8">
        <v>92829731.16</v>
      </c>
      <c r="Q527" s="8">
        <f t="shared" si="70"/>
        <v>2.51442980703598</v>
      </c>
      <c r="R527" s="9">
        <v>616.4</v>
      </c>
      <c r="S527" s="9">
        <v>1622.3</v>
      </c>
      <c r="T527" s="9">
        <v>1525.8</v>
      </c>
      <c r="U527" s="9">
        <v>11194</v>
      </c>
      <c r="V527" s="18">
        <v>0</v>
      </c>
      <c r="W527" s="18">
        <v>0</v>
      </c>
      <c r="X527" s="18">
        <f t="shared" si="71"/>
        <v>0</v>
      </c>
      <c r="Y527" s="12">
        <f t="shared" si="72"/>
        <v>4.53658228674969</v>
      </c>
      <c r="Z527" s="12">
        <f t="shared" si="73"/>
        <v>0.445743591077352</v>
      </c>
      <c r="AA527" s="19">
        <v>4070.71</v>
      </c>
      <c r="AB527" s="19">
        <v>3335.36</v>
      </c>
      <c r="AC527" s="19">
        <v>299.74</v>
      </c>
      <c r="AD527" s="19">
        <v>541.05</v>
      </c>
      <c r="AE527" s="19">
        <v>115.4</v>
      </c>
      <c r="AF527" s="19">
        <v>8.08</v>
      </c>
      <c r="AG527" s="19">
        <v>140.18</v>
      </c>
      <c r="AH527" s="19">
        <v>46.38</v>
      </c>
      <c r="AI527" s="12">
        <v>0</v>
      </c>
      <c r="AJ527" s="19">
        <v>406.12</v>
      </c>
      <c r="AK527" s="3">
        <f t="shared" si="67"/>
        <v>0</v>
      </c>
      <c r="AL527" s="3">
        <v>0</v>
      </c>
      <c r="AM527" s="3">
        <f t="shared" si="66"/>
        <v>0</v>
      </c>
    </row>
    <row r="528" spans="1:39">
      <c r="A528" s="7">
        <v>2001</v>
      </c>
      <c r="B528" s="7" t="s">
        <v>59</v>
      </c>
      <c r="C528" s="7">
        <v>0.17405376</v>
      </c>
      <c r="D528" s="7">
        <v>0.032694</v>
      </c>
      <c r="E528" s="7">
        <v>0.0087</v>
      </c>
      <c r="F528" s="7">
        <v>0.015034</v>
      </c>
      <c r="G528" s="7">
        <v>0.004939</v>
      </c>
      <c r="H528" s="7">
        <v>0.004021</v>
      </c>
      <c r="I528" s="7">
        <v>0.03117</v>
      </c>
      <c r="J528" s="7">
        <v>0.017019</v>
      </c>
      <c r="K528" s="16">
        <v>4622</v>
      </c>
      <c r="L528" s="17">
        <v>6595.85</v>
      </c>
      <c r="M528" s="16">
        <v>3831.9</v>
      </c>
      <c r="N528" s="7">
        <f t="shared" si="68"/>
        <v>0.700743649415921</v>
      </c>
      <c r="O528" s="7">
        <f t="shared" si="69"/>
        <v>1.20619014066129</v>
      </c>
      <c r="P528" s="8">
        <v>97093556.85</v>
      </c>
      <c r="Q528" s="8">
        <f t="shared" si="70"/>
        <v>2.53382282549127</v>
      </c>
      <c r="R528" s="9">
        <v>624.2</v>
      </c>
      <c r="S528" s="9">
        <v>1796.7</v>
      </c>
      <c r="T528" s="9">
        <v>1652</v>
      </c>
      <c r="U528" s="9">
        <v>11883</v>
      </c>
      <c r="V528" s="18">
        <v>0</v>
      </c>
      <c r="W528" s="18">
        <v>0</v>
      </c>
      <c r="X528" s="18">
        <f t="shared" si="71"/>
        <v>0</v>
      </c>
      <c r="Y528" s="12">
        <f t="shared" si="72"/>
        <v>4.16809156222866</v>
      </c>
      <c r="Z528" s="12">
        <f t="shared" si="73"/>
        <v>0.392090411723959</v>
      </c>
      <c r="AA528" s="19">
        <v>4622</v>
      </c>
      <c r="AB528" s="19">
        <v>4100</v>
      </c>
      <c r="AC528" s="19">
        <v>320.16</v>
      </c>
      <c r="AD528" s="19">
        <v>440.43</v>
      </c>
      <c r="AE528" s="19">
        <v>113.7</v>
      </c>
      <c r="AF528" s="19">
        <v>4.93</v>
      </c>
      <c r="AG528" s="19">
        <v>124.1</v>
      </c>
      <c r="AH528" s="19">
        <v>45.62</v>
      </c>
      <c r="AI528" s="12">
        <v>0</v>
      </c>
      <c r="AJ528" s="19">
        <v>439.68</v>
      </c>
      <c r="AK528" s="3">
        <f t="shared" si="67"/>
        <v>0</v>
      </c>
      <c r="AL528" s="3">
        <v>0</v>
      </c>
      <c r="AM528" s="3">
        <f t="shared" si="66"/>
        <v>0</v>
      </c>
    </row>
    <row r="529" spans="1:39">
      <c r="A529" s="7">
        <v>2002</v>
      </c>
      <c r="B529" s="7" t="s">
        <v>59</v>
      </c>
      <c r="C529" s="7">
        <v>0.20774483</v>
      </c>
      <c r="D529" s="7">
        <v>0.03608</v>
      </c>
      <c r="E529" s="7">
        <v>0.00879</v>
      </c>
      <c r="F529" s="7">
        <v>0.016426</v>
      </c>
      <c r="G529" s="7">
        <v>0.005691</v>
      </c>
      <c r="H529" s="7">
        <v>0.005173</v>
      </c>
      <c r="I529" s="7">
        <v>0.039387</v>
      </c>
      <c r="J529" s="7">
        <v>0.019202</v>
      </c>
      <c r="K529" s="16">
        <v>5045</v>
      </c>
      <c r="L529" s="17">
        <v>6629</v>
      </c>
      <c r="M529" s="16">
        <v>4151.54</v>
      </c>
      <c r="N529" s="7">
        <f t="shared" si="68"/>
        <v>0.761049932116458</v>
      </c>
      <c r="O529" s="7">
        <f t="shared" si="69"/>
        <v>1.21521170457228</v>
      </c>
      <c r="P529" s="8">
        <v>101615781.3</v>
      </c>
      <c r="Q529" s="8">
        <f t="shared" si="70"/>
        <v>2.44766475332045</v>
      </c>
      <c r="R529" s="9">
        <v>659.5</v>
      </c>
      <c r="S529" s="9">
        <v>2029.2</v>
      </c>
      <c r="T529" s="9">
        <v>1778.9</v>
      </c>
      <c r="U529" s="9">
        <v>12910</v>
      </c>
      <c r="V529" s="18">
        <v>0</v>
      </c>
      <c r="W529" s="18">
        <v>0</v>
      </c>
      <c r="X529" s="18">
        <f t="shared" si="71"/>
        <v>0</v>
      </c>
      <c r="Y529" s="12">
        <f t="shared" si="72"/>
        <v>4.06804884448575</v>
      </c>
      <c r="Z529" s="12">
        <f t="shared" si="73"/>
        <v>0.398319723560285</v>
      </c>
      <c r="AA529" s="19">
        <v>5382</v>
      </c>
      <c r="AB529" s="19">
        <v>4287</v>
      </c>
      <c r="AC529" s="19">
        <v>351.13</v>
      </c>
      <c r="AD529" s="19">
        <v>470.92</v>
      </c>
      <c r="AE529" s="19">
        <v>134.63</v>
      </c>
      <c r="AF529" s="19">
        <v>8.74</v>
      </c>
      <c r="AG529" s="19">
        <v>182.36</v>
      </c>
      <c r="AH529" s="19">
        <v>43.55</v>
      </c>
      <c r="AI529" s="12">
        <v>0</v>
      </c>
      <c r="AJ529" s="19">
        <v>476</v>
      </c>
      <c r="AK529" s="3">
        <f t="shared" si="67"/>
        <v>0</v>
      </c>
      <c r="AL529" s="3">
        <v>0</v>
      </c>
      <c r="AM529" s="3">
        <f t="shared" si="66"/>
        <v>0</v>
      </c>
    </row>
    <row r="530" spans="1:39">
      <c r="A530" s="7">
        <v>2003</v>
      </c>
      <c r="B530" s="7" t="s">
        <v>59</v>
      </c>
      <c r="C530" s="7">
        <v>0.21569055</v>
      </c>
      <c r="D530" s="7">
        <v>0.039701</v>
      </c>
      <c r="E530" s="7">
        <v>0.009913</v>
      </c>
      <c r="F530" s="7">
        <v>0.018285</v>
      </c>
      <c r="G530" s="7">
        <v>0.006292</v>
      </c>
      <c r="H530" s="7">
        <v>0.005212</v>
      </c>
      <c r="I530" s="7">
        <v>0.035676</v>
      </c>
      <c r="J530" s="7">
        <v>0.019047</v>
      </c>
      <c r="K530" s="16">
        <v>5562</v>
      </c>
      <c r="L530" s="17">
        <v>6662.8</v>
      </c>
      <c r="M530" s="16">
        <v>4659.99</v>
      </c>
      <c r="N530" s="7">
        <f t="shared" si="68"/>
        <v>0.834784174821396</v>
      </c>
      <c r="O530" s="7">
        <f t="shared" si="69"/>
        <v>1.1935647930575</v>
      </c>
      <c r="P530" s="8">
        <v>117428501.4</v>
      </c>
      <c r="Q530" s="8">
        <f t="shared" si="70"/>
        <v>2.5199303303226</v>
      </c>
      <c r="R530" s="9">
        <v>682.1</v>
      </c>
      <c r="S530" s="9">
        <v>2329.7</v>
      </c>
      <c r="T530" s="9">
        <v>1987.9</v>
      </c>
      <c r="U530" s="9">
        <v>14330</v>
      </c>
      <c r="V530" s="18">
        <v>0</v>
      </c>
      <c r="W530" s="18">
        <v>0</v>
      </c>
      <c r="X530" s="18">
        <f t="shared" si="71"/>
        <v>0</v>
      </c>
      <c r="Y530" s="12">
        <f t="shared" si="72"/>
        <v>4.08414499624993</v>
      </c>
      <c r="Z530" s="12">
        <f t="shared" si="73"/>
        <v>0.382996849368374</v>
      </c>
      <c r="AA530" s="19">
        <v>6297.5</v>
      </c>
      <c r="AB530" s="19">
        <v>4984.25</v>
      </c>
      <c r="AC530" s="19">
        <v>395.83</v>
      </c>
      <c r="AD530" s="19">
        <v>507.82</v>
      </c>
      <c r="AE530" s="19">
        <v>135.93</v>
      </c>
      <c r="AF530" s="19">
        <v>8.91</v>
      </c>
      <c r="AG530" s="19">
        <v>184.89</v>
      </c>
      <c r="AH530" s="19">
        <v>42.79</v>
      </c>
      <c r="AI530" s="12">
        <v>0</v>
      </c>
      <c r="AJ530" s="19">
        <v>546.95</v>
      </c>
      <c r="AK530" s="3">
        <f t="shared" si="67"/>
        <v>0</v>
      </c>
      <c r="AL530" s="3">
        <v>0</v>
      </c>
      <c r="AM530" s="3">
        <f t="shared" si="66"/>
        <v>0</v>
      </c>
    </row>
    <row r="531" spans="1:39">
      <c r="A531" s="7">
        <v>2004</v>
      </c>
      <c r="B531" s="7" t="s">
        <v>59</v>
      </c>
      <c r="C531" s="7">
        <v>0.20967945</v>
      </c>
      <c r="D531" s="7">
        <v>0.036612</v>
      </c>
      <c r="E531" s="7">
        <v>0.008921</v>
      </c>
      <c r="F531" s="7">
        <v>0.016714</v>
      </c>
      <c r="G531" s="7">
        <v>0.005514</v>
      </c>
      <c r="H531" s="7">
        <v>0.005464</v>
      </c>
      <c r="I531" s="7">
        <v>0.039268</v>
      </c>
      <c r="J531" s="7">
        <v>0.01916</v>
      </c>
      <c r="K531" s="16">
        <v>7134</v>
      </c>
      <c r="L531" s="17">
        <v>6698</v>
      </c>
      <c r="M531" s="16">
        <v>5641.94</v>
      </c>
      <c r="N531" s="7">
        <f t="shared" si="68"/>
        <v>1.06509405792774</v>
      </c>
      <c r="O531" s="7">
        <f t="shared" si="69"/>
        <v>1.26445867910683</v>
      </c>
      <c r="P531" s="8">
        <v>139674965.3</v>
      </c>
      <c r="Q531" s="8">
        <f t="shared" si="70"/>
        <v>2.47565492188857</v>
      </c>
      <c r="R531" s="9">
        <v>762.9</v>
      </c>
      <c r="S531" s="9">
        <v>2738.7</v>
      </c>
      <c r="T531" s="9">
        <v>2210.5</v>
      </c>
      <c r="U531" s="9">
        <v>16248</v>
      </c>
      <c r="V531" s="18">
        <v>0</v>
      </c>
      <c r="W531" s="18">
        <v>0</v>
      </c>
      <c r="X531" s="18">
        <f t="shared" si="71"/>
        <v>0</v>
      </c>
      <c r="Y531" s="12">
        <f t="shared" si="72"/>
        <v>3.89549779892895</v>
      </c>
      <c r="Z531" s="12">
        <f t="shared" si="73"/>
        <v>0.364483039223063</v>
      </c>
      <c r="AA531" s="19">
        <v>7599.2</v>
      </c>
      <c r="AB531" s="19">
        <v>6039.79</v>
      </c>
      <c r="AC531" s="19">
        <v>553.37</v>
      </c>
      <c r="AD531" s="19">
        <v>615.79</v>
      </c>
      <c r="AE531" s="19">
        <v>160.47</v>
      </c>
      <c r="AF531" s="19">
        <v>11.58</v>
      </c>
      <c r="AG531" s="19">
        <v>242.91</v>
      </c>
      <c r="AH531" s="19">
        <v>36.81</v>
      </c>
      <c r="AI531" s="19">
        <v>0.06</v>
      </c>
      <c r="AJ531" s="19">
        <v>662.61</v>
      </c>
      <c r="AK531" s="3">
        <f t="shared" si="67"/>
        <v>0</v>
      </c>
      <c r="AL531" s="3">
        <v>0</v>
      </c>
      <c r="AM531" s="3">
        <f t="shared" si="66"/>
        <v>0</v>
      </c>
    </row>
    <row r="532" spans="1:39">
      <c r="A532" s="7">
        <v>2005</v>
      </c>
      <c r="B532" s="7" t="s">
        <v>59</v>
      </c>
      <c r="C532" s="7">
        <v>0.23994589</v>
      </c>
      <c r="D532" s="7">
        <v>0.040581</v>
      </c>
      <c r="E532" s="7">
        <v>0.009894</v>
      </c>
      <c r="F532" s="7">
        <v>0.018026</v>
      </c>
      <c r="G532" s="7">
        <v>0.005929</v>
      </c>
      <c r="H532" s="7">
        <v>0.006732</v>
      </c>
      <c r="I532" s="7">
        <v>0.042513</v>
      </c>
      <c r="J532" s="7">
        <v>0.021975</v>
      </c>
      <c r="K532" s="16">
        <v>9709</v>
      </c>
      <c r="L532" s="17">
        <v>6326</v>
      </c>
      <c r="M532" s="16">
        <v>6596.1</v>
      </c>
      <c r="N532" s="7">
        <f t="shared" si="68"/>
        <v>1.53477711033829</v>
      </c>
      <c r="O532" s="7">
        <f t="shared" si="69"/>
        <v>1.47193038310517</v>
      </c>
      <c r="P532" s="8">
        <v>152042968</v>
      </c>
      <c r="Q532" s="8">
        <f t="shared" si="70"/>
        <v>2.30504340443595</v>
      </c>
      <c r="R532" s="9">
        <v>792.5</v>
      </c>
      <c r="S532" s="9">
        <v>3095.9</v>
      </c>
      <c r="T532" s="9">
        <v>2527</v>
      </c>
      <c r="U532" s="9">
        <v>18107</v>
      </c>
      <c r="V532" s="18">
        <v>0</v>
      </c>
      <c r="W532" s="18">
        <v>0</v>
      </c>
      <c r="X532" s="18">
        <f t="shared" si="71"/>
        <v>0</v>
      </c>
      <c r="Y532" s="12">
        <f t="shared" si="72"/>
        <v>3.71995059106252</v>
      </c>
      <c r="Z532" s="12">
        <f t="shared" si="73"/>
        <v>0.38035644613829</v>
      </c>
      <c r="AA532" s="19">
        <v>9110.1</v>
      </c>
      <c r="AB532" s="19">
        <v>8739.29</v>
      </c>
      <c r="AC532" s="19">
        <v>756.58</v>
      </c>
      <c r="AD532" s="19">
        <v>660.86</v>
      </c>
      <c r="AE532" s="19">
        <v>271.88</v>
      </c>
      <c r="AF532" s="19">
        <v>12.48</v>
      </c>
      <c r="AG532" s="19">
        <v>282.05</v>
      </c>
      <c r="AH532" s="19">
        <v>43.09</v>
      </c>
      <c r="AI532" s="19">
        <v>1</v>
      </c>
      <c r="AJ532" s="19">
        <v>674.43</v>
      </c>
      <c r="AK532" s="3">
        <f t="shared" si="67"/>
        <v>0</v>
      </c>
      <c r="AL532" s="3">
        <v>0</v>
      </c>
      <c r="AM532" s="3">
        <f t="shared" si="66"/>
        <v>0</v>
      </c>
    </row>
    <row r="533" spans="1:39">
      <c r="A533" s="7">
        <v>2006</v>
      </c>
      <c r="B533" s="7" t="s">
        <v>59</v>
      </c>
      <c r="C533" s="7">
        <v>0.23308158</v>
      </c>
      <c r="D533" s="7">
        <v>0.040677</v>
      </c>
      <c r="E533" s="7">
        <v>0.009932</v>
      </c>
      <c r="F533" s="7">
        <v>0.018352</v>
      </c>
      <c r="G533" s="7">
        <v>0.006196</v>
      </c>
      <c r="H533" s="7">
        <v>0.006196</v>
      </c>
      <c r="I533" s="7">
        <v>0.042136</v>
      </c>
      <c r="J533" s="7">
        <v>0.019776</v>
      </c>
      <c r="K533" s="16">
        <v>10581</v>
      </c>
      <c r="L533" s="17">
        <v>6342</v>
      </c>
      <c r="M533" s="16">
        <v>7688.67</v>
      </c>
      <c r="N533" s="7">
        <f t="shared" si="68"/>
        <v>1.66840113528855</v>
      </c>
      <c r="O533" s="7">
        <f t="shared" si="69"/>
        <v>1.37618079589838</v>
      </c>
      <c r="P533" s="8">
        <v>178136796.6</v>
      </c>
      <c r="Q533" s="8">
        <f t="shared" si="70"/>
        <v>2.31687400551721</v>
      </c>
      <c r="R533" s="9">
        <v>828.8</v>
      </c>
      <c r="S533" s="9">
        <v>3629.7</v>
      </c>
      <c r="T533" s="9">
        <v>3010.1</v>
      </c>
      <c r="U533" s="9">
        <v>20915</v>
      </c>
      <c r="V533" s="18">
        <v>0</v>
      </c>
      <c r="W533" s="18">
        <v>0</v>
      </c>
      <c r="X533" s="18">
        <f t="shared" si="71"/>
        <v>0</v>
      </c>
      <c r="Y533" s="12">
        <f t="shared" si="72"/>
        <v>3.57740717995078</v>
      </c>
      <c r="Z533" s="12">
        <f t="shared" si="73"/>
        <v>0.352359435486713</v>
      </c>
      <c r="AA533" s="19">
        <v>9879.18</v>
      </c>
      <c r="AB533" s="19">
        <v>9438.51</v>
      </c>
      <c r="AC533" s="19">
        <v>823.12</v>
      </c>
      <c r="AD533" s="19">
        <v>574.49</v>
      </c>
      <c r="AE533" s="19">
        <v>263.24</v>
      </c>
      <c r="AF533" s="19">
        <v>20.83</v>
      </c>
      <c r="AG533" s="19">
        <v>342.08</v>
      </c>
      <c r="AH533" s="19">
        <v>42.04</v>
      </c>
      <c r="AI533" s="19">
        <v>4.25</v>
      </c>
      <c r="AJ533" s="19">
        <v>768.78</v>
      </c>
      <c r="AK533" s="3">
        <f t="shared" si="67"/>
        <v>0</v>
      </c>
      <c r="AL533" s="3">
        <v>0</v>
      </c>
      <c r="AM533" s="3">
        <f t="shared" si="66"/>
        <v>0</v>
      </c>
    </row>
    <row r="534" spans="1:39">
      <c r="A534" s="7">
        <v>2007</v>
      </c>
      <c r="B534" s="7" t="s">
        <v>59</v>
      </c>
      <c r="C534" s="7">
        <v>0.27610561</v>
      </c>
      <c r="D534" s="7">
        <v>0.048267</v>
      </c>
      <c r="E534" s="7">
        <v>0.012622</v>
      </c>
      <c r="F534" s="7">
        <v>0.021419</v>
      </c>
      <c r="G534" s="7">
        <v>0.007329</v>
      </c>
      <c r="H534" s="7">
        <v>0.006897</v>
      </c>
      <c r="I534" s="7">
        <v>0.044665</v>
      </c>
      <c r="J534" s="7">
        <v>0.022929</v>
      </c>
      <c r="K534" s="16">
        <v>11629</v>
      </c>
      <c r="L534" s="17">
        <v>6355</v>
      </c>
      <c r="M534" s="16">
        <v>9439.6</v>
      </c>
      <c r="N534" s="7">
        <f t="shared" si="68"/>
        <v>1.82989771833202</v>
      </c>
      <c r="O534" s="7">
        <f t="shared" si="69"/>
        <v>1.23193779397432</v>
      </c>
      <c r="P534" s="8">
        <v>207016301.4</v>
      </c>
      <c r="Q534" s="8">
        <f t="shared" si="70"/>
        <v>2.19306222085682</v>
      </c>
      <c r="R534" s="9">
        <v>951.2</v>
      </c>
      <c r="S534" s="9">
        <v>4521.8</v>
      </c>
      <c r="T534" s="9">
        <v>3852.6</v>
      </c>
      <c r="U534" s="9">
        <v>25915</v>
      </c>
      <c r="V534" s="18">
        <v>0</v>
      </c>
      <c r="W534" s="18">
        <v>0</v>
      </c>
      <c r="X534" s="18">
        <f t="shared" si="71"/>
        <v>0</v>
      </c>
      <c r="Y534" s="12">
        <f t="shared" si="72"/>
        <v>3.23986794305777</v>
      </c>
      <c r="Z534" s="12">
        <f t="shared" si="73"/>
        <v>0.323101354931454</v>
      </c>
      <c r="AA534" s="19">
        <v>10796.51</v>
      </c>
      <c r="AB534" s="19">
        <v>10277.39</v>
      </c>
      <c r="AC534" s="19">
        <v>915.89</v>
      </c>
      <c r="AD534" s="19">
        <v>671.67</v>
      </c>
      <c r="AE534" s="19">
        <v>271.67</v>
      </c>
      <c r="AF534" s="19">
        <v>24.5</v>
      </c>
      <c r="AG534" s="19">
        <v>395.04</v>
      </c>
      <c r="AH534" s="19">
        <v>40.2</v>
      </c>
      <c r="AI534" s="19">
        <v>5.84</v>
      </c>
      <c r="AJ534" s="19">
        <v>890.58</v>
      </c>
      <c r="AK534" s="3">
        <f t="shared" si="67"/>
        <v>0</v>
      </c>
      <c r="AL534" s="3">
        <v>0</v>
      </c>
      <c r="AM534" s="3">
        <f t="shared" si="66"/>
        <v>0</v>
      </c>
    </row>
    <row r="535" spans="1:39">
      <c r="A535" s="7">
        <v>2008</v>
      </c>
      <c r="B535" s="7" t="s">
        <v>59</v>
      </c>
      <c r="C535" s="7">
        <v>0.25581327</v>
      </c>
      <c r="D535" s="7">
        <v>0.040432</v>
      </c>
      <c r="E535" s="7">
        <v>0.010022</v>
      </c>
      <c r="F535" s="7">
        <v>0.017848</v>
      </c>
      <c r="G535" s="7">
        <v>0.005937</v>
      </c>
      <c r="H535" s="7">
        <v>0.006624</v>
      </c>
      <c r="I535" s="7">
        <v>0.050217</v>
      </c>
      <c r="J535" s="7">
        <v>0.02395</v>
      </c>
      <c r="K535" s="16">
        <v>12355</v>
      </c>
      <c r="L535" s="17">
        <v>6380</v>
      </c>
      <c r="M535" s="16">
        <v>11555</v>
      </c>
      <c r="N535" s="7">
        <f t="shared" si="68"/>
        <v>1.93652037617555</v>
      </c>
      <c r="O535" s="7">
        <f t="shared" si="69"/>
        <v>1.06923409779316</v>
      </c>
      <c r="P535" s="8">
        <v>205213471.3</v>
      </c>
      <c r="Q535" s="8">
        <f t="shared" si="70"/>
        <v>1.77597119255733</v>
      </c>
      <c r="R535" s="9">
        <v>1096.1</v>
      </c>
      <c r="S535" s="9">
        <v>5387</v>
      </c>
      <c r="T535" s="9">
        <v>4448.7</v>
      </c>
      <c r="U535" s="9">
        <v>30153</v>
      </c>
      <c r="V535" s="18">
        <v>0</v>
      </c>
      <c r="W535" s="18">
        <v>0</v>
      </c>
      <c r="X535" s="18">
        <f t="shared" si="71"/>
        <v>0</v>
      </c>
      <c r="Y535" s="12">
        <f t="shared" si="72"/>
        <v>2.71728515287532</v>
      </c>
      <c r="Z535" s="12">
        <f t="shared" si="73"/>
        <v>0.346417069744016</v>
      </c>
      <c r="AA535" s="19">
        <v>12355</v>
      </c>
      <c r="AB535" s="19">
        <v>10169</v>
      </c>
      <c r="AC535" s="19">
        <v>998.9</v>
      </c>
      <c r="AD535" s="19">
        <v>614.11</v>
      </c>
      <c r="AE535" s="19">
        <v>231.8</v>
      </c>
      <c r="AF535" s="19">
        <v>25.41</v>
      </c>
      <c r="AG535" s="19">
        <v>375.51</v>
      </c>
      <c r="AH535" s="19">
        <v>41.41</v>
      </c>
      <c r="AI535" s="19">
        <v>8.23</v>
      </c>
      <c r="AJ535" s="19">
        <v>1128.54</v>
      </c>
      <c r="AK535" s="3">
        <f t="shared" si="67"/>
        <v>0</v>
      </c>
      <c r="AL535" s="3">
        <v>0</v>
      </c>
      <c r="AM535" s="3">
        <f t="shared" si="66"/>
        <v>0</v>
      </c>
    </row>
    <row r="536" spans="1:39">
      <c r="A536" s="7">
        <v>2009</v>
      </c>
      <c r="B536" s="7" t="s">
        <v>59</v>
      </c>
      <c r="C536" s="7">
        <v>0.27431045</v>
      </c>
      <c r="D536" s="7">
        <v>0.049065</v>
      </c>
      <c r="E536" s="7">
        <v>0.012287</v>
      </c>
      <c r="F536" s="7">
        <v>0.02202</v>
      </c>
      <c r="G536" s="7">
        <v>0.006657</v>
      </c>
      <c r="H536" s="7">
        <v>0.008101</v>
      </c>
      <c r="I536" s="7">
        <v>0.044934</v>
      </c>
      <c r="J536" s="7">
        <v>0.020453</v>
      </c>
      <c r="K536" s="16">
        <v>13331</v>
      </c>
      <c r="L536" s="17">
        <v>6406</v>
      </c>
      <c r="M536" s="16">
        <v>13059.69</v>
      </c>
      <c r="N536" s="7">
        <f t="shared" si="68"/>
        <v>2.08101779581642</v>
      </c>
      <c r="O536" s="7">
        <f t="shared" si="69"/>
        <v>1.02077461256737</v>
      </c>
      <c r="P536" s="8">
        <v>218667642.4</v>
      </c>
      <c r="Q536" s="8">
        <f t="shared" si="70"/>
        <v>1.67437084953778</v>
      </c>
      <c r="R536" s="9">
        <v>1108.8</v>
      </c>
      <c r="S536" s="9">
        <v>6129.1</v>
      </c>
      <c r="T536" s="9">
        <v>5180.2</v>
      </c>
      <c r="U536" s="9">
        <v>33999</v>
      </c>
      <c r="V536" s="18">
        <v>0</v>
      </c>
      <c r="W536" s="18">
        <v>0</v>
      </c>
      <c r="X536" s="18">
        <f t="shared" si="71"/>
        <v>0</v>
      </c>
      <c r="Y536" s="12">
        <f t="shared" si="72"/>
        <v>2.66960201713366</v>
      </c>
      <c r="Z536" s="12">
        <f t="shared" si="73"/>
        <v>0.372801324395332</v>
      </c>
      <c r="AA536" s="19">
        <v>13331</v>
      </c>
      <c r="AB536" s="19">
        <v>10751</v>
      </c>
      <c r="AC536" s="19">
        <v>1011.92</v>
      </c>
      <c r="AD536" s="19">
        <v>565.77</v>
      </c>
      <c r="AE536" s="19">
        <v>246.11</v>
      </c>
      <c r="AF536" s="19">
        <v>30.44</v>
      </c>
      <c r="AG536" s="19">
        <v>432.38</v>
      </c>
      <c r="AH536" s="19">
        <v>68.39</v>
      </c>
      <c r="AI536" s="19">
        <v>10.23</v>
      </c>
      <c r="AJ536" s="19">
        <v>1232.19</v>
      </c>
      <c r="AK536" s="3">
        <f t="shared" si="67"/>
        <v>0</v>
      </c>
      <c r="AL536" s="3">
        <v>0</v>
      </c>
      <c r="AM536" s="3">
        <f t="shared" si="66"/>
        <v>0</v>
      </c>
    </row>
    <row r="537" spans="1:39">
      <c r="A537" s="7">
        <v>2010</v>
      </c>
      <c r="B537" s="7" t="s">
        <v>59</v>
      </c>
      <c r="C537" s="7">
        <v>0.2910357</v>
      </c>
      <c r="D537" s="7">
        <v>0.049767</v>
      </c>
      <c r="E537" s="7">
        <v>0.013094</v>
      </c>
      <c r="F537" s="7">
        <v>0.022548</v>
      </c>
      <c r="G537" s="7">
        <v>0.007125</v>
      </c>
      <c r="H537" s="7">
        <v>0.007001</v>
      </c>
      <c r="I537" s="7">
        <v>0.049413</v>
      </c>
      <c r="J537" s="7">
        <v>0.024143</v>
      </c>
      <c r="K537" s="16">
        <v>14880</v>
      </c>
      <c r="L537" s="17">
        <v>6570.1</v>
      </c>
      <c r="M537" s="16">
        <v>16037.96</v>
      </c>
      <c r="N537" s="7">
        <f t="shared" si="68"/>
        <v>2.26480571071978</v>
      </c>
      <c r="O537" s="7">
        <f t="shared" si="69"/>
        <v>0.927798797353279</v>
      </c>
      <c r="P537" s="8">
        <v>227984009.2</v>
      </c>
      <c r="Q537" s="8">
        <f t="shared" si="70"/>
        <v>1.42152748354529</v>
      </c>
      <c r="R537" s="9">
        <v>1269.9</v>
      </c>
      <c r="S537" s="9">
        <v>7705.3</v>
      </c>
      <c r="T537" s="9">
        <v>6027.4</v>
      </c>
      <c r="U537" s="9">
        <v>40773</v>
      </c>
      <c r="V537" s="18">
        <v>0</v>
      </c>
      <c r="W537" s="18">
        <v>0</v>
      </c>
      <c r="X537" s="18">
        <f t="shared" si="71"/>
        <v>0</v>
      </c>
      <c r="Y537" s="12">
        <f t="shared" si="72"/>
        <v>2.40850270516871</v>
      </c>
      <c r="Z537" s="12">
        <f t="shared" si="73"/>
        <v>0.4097878817015</v>
      </c>
      <c r="AA537" s="19">
        <v>14880.06</v>
      </c>
      <c r="AB537" s="19">
        <v>11323.33</v>
      </c>
      <c r="AC537" s="19">
        <v>1089.19</v>
      </c>
      <c r="AD537" s="19">
        <v>587.6</v>
      </c>
      <c r="AE537" s="19">
        <v>262.36</v>
      </c>
      <c r="AF537" s="19">
        <v>30.25</v>
      </c>
      <c r="AG537" s="19">
        <v>502.98</v>
      </c>
      <c r="AH537" s="19">
        <v>75.22</v>
      </c>
      <c r="AI537" s="19">
        <v>11.25</v>
      </c>
      <c r="AJ537" s="19">
        <v>1171.91</v>
      </c>
      <c r="AK537" s="3">
        <f t="shared" si="67"/>
        <v>0</v>
      </c>
      <c r="AL537" s="3">
        <v>0</v>
      </c>
      <c r="AM537" s="3">
        <f t="shared" si="66"/>
        <v>0</v>
      </c>
    </row>
    <row r="538" spans="1:39">
      <c r="A538" s="7">
        <v>2011</v>
      </c>
      <c r="B538" s="7" t="s">
        <v>59</v>
      </c>
      <c r="C538" s="7">
        <v>0.28086495</v>
      </c>
      <c r="D538" s="7">
        <v>0.048382</v>
      </c>
      <c r="E538" s="7">
        <v>0.01191</v>
      </c>
      <c r="F538" s="7">
        <v>0.021241</v>
      </c>
      <c r="G538" s="7">
        <v>0.007279</v>
      </c>
      <c r="H538" s="7">
        <v>0.007951</v>
      </c>
      <c r="I538" s="7">
        <v>0.047836</v>
      </c>
      <c r="J538" s="7">
        <v>0.021845</v>
      </c>
      <c r="K538" s="16">
        <v>16161</v>
      </c>
      <c r="L538" s="17">
        <v>6581</v>
      </c>
      <c r="M538" s="16">
        <v>19669.56</v>
      </c>
      <c r="N538" s="7">
        <f t="shared" si="68"/>
        <v>2.45570581978423</v>
      </c>
      <c r="O538" s="7">
        <f t="shared" si="69"/>
        <v>0.821624886372649</v>
      </c>
      <c r="P538" s="8">
        <v>247475216.3</v>
      </c>
      <c r="Q538" s="8">
        <f t="shared" si="70"/>
        <v>1.25816345815565</v>
      </c>
      <c r="R538" s="9">
        <v>1492.2</v>
      </c>
      <c r="S538" s="9">
        <v>9316.6</v>
      </c>
      <c r="T538" s="9">
        <v>7109</v>
      </c>
      <c r="U538" s="9">
        <v>47928</v>
      </c>
      <c r="V538" s="18">
        <v>0</v>
      </c>
      <c r="W538" s="18">
        <v>0</v>
      </c>
      <c r="X538" s="18">
        <f t="shared" si="71"/>
        <v>0</v>
      </c>
      <c r="Y538" s="12">
        <f t="shared" si="72"/>
        <v>2.18035126729488</v>
      </c>
      <c r="Z538" s="12">
        <f t="shared" si="73"/>
        <v>0.422953779499654</v>
      </c>
      <c r="AA538" s="19">
        <v>16161</v>
      </c>
      <c r="AB538" s="19">
        <v>13006</v>
      </c>
      <c r="AC538" s="19">
        <v>851.65</v>
      </c>
      <c r="AD538" s="19">
        <v>766.03</v>
      </c>
      <c r="AE538" s="19">
        <v>295.05</v>
      </c>
      <c r="AF538" s="19">
        <v>32.03</v>
      </c>
      <c r="AG538" s="19">
        <v>561.72</v>
      </c>
      <c r="AH538" s="19">
        <v>68.98</v>
      </c>
      <c r="AI538" s="19">
        <v>15.34</v>
      </c>
      <c r="AJ538" s="19">
        <v>1545</v>
      </c>
      <c r="AK538" s="3">
        <f t="shared" si="67"/>
        <v>0</v>
      </c>
      <c r="AL538" s="3">
        <v>0</v>
      </c>
      <c r="AM538" s="3">
        <f t="shared" si="66"/>
        <v>0</v>
      </c>
    </row>
    <row r="539" spans="1:39">
      <c r="A539" s="7">
        <v>2012</v>
      </c>
      <c r="B539" s="7" t="s">
        <v>59</v>
      </c>
      <c r="C539" s="7">
        <v>0.31228886</v>
      </c>
      <c r="D539" s="7">
        <v>0.050633</v>
      </c>
      <c r="E539" s="7">
        <v>0.01272</v>
      </c>
      <c r="F539" s="7">
        <v>0.022764</v>
      </c>
      <c r="G539" s="7">
        <v>0.007776</v>
      </c>
      <c r="H539" s="7">
        <v>0.007373</v>
      </c>
      <c r="I539" s="7">
        <v>0.055266</v>
      </c>
      <c r="J539" s="7">
        <v>0.027104</v>
      </c>
      <c r="K539" s="16">
        <v>16744</v>
      </c>
      <c r="L539" s="17">
        <v>6590</v>
      </c>
      <c r="M539" s="16">
        <v>22154.23</v>
      </c>
      <c r="N539" s="7">
        <f t="shared" si="68"/>
        <v>2.54081942336874</v>
      </c>
      <c r="O539" s="7">
        <f t="shared" si="69"/>
        <v>0.755792460401467</v>
      </c>
      <c r="P539" s="8">
        <v>254351556</v>
      </c>
      <c r="Q539" s="8">
        <f t="shared" si="70"/>
        <v>1.14809477016353</v>
      </c>
      <c r="R539" s="9">
        <v>1628.9</v>
      </c>
      <c r="S539" s="9">
        <v>10527</v>
      </c>
      <c r="T539" s="9">
        <v>8034.8</v>
      </c>
      <c r="U539" s="9">
        <v>52959</v>
      </c>
      <c r="V539" s="18">
        <v>0</v>
      </c>
      <c r="W539" s="18">
        <v>0</v>
      </c>
      <c r="X539" s="18">
        <f t="shared" si="71"/>
        <v>0</v>
      </c>
      <c r="Y539" s="12">
        <f t="shared" si="72"/>
        <v>2.01609935715007</v>
      </c>
      <c r="Z539" s="12">
        <f t="shared" si="73"/>
        <v>0.430536612150674</v>
      </c>
      <c r="AA539" s="19">
        <v>16744.08</v>
      </c>
      <c r="AB539" s="19">
        <v>12084</v>
      </c>
      <c r="AC539" s="19">
        <v>1072.13</v>
      </c>
      <c r="AD539" s="19">
        <v>926</v>
      </c>
      <c r="AE539" s="19">
        <v>388.93</v>
      </c>
      <c r="AF539" s="19">
        <v>35.22</v>
      </c>
      <c r="AG539" s="19">
        <v>501.62</v>
      </c>
      <c r="AH539" s="19">
        <v>61.23</v>
      </c>
      <c r="AI539" s="19">
        <v>18.79</v>
      </c>
      <c r="AJ539" s="19">
        <v>1582.34</v>
      </c>
      <c r="AK539" s="3">
        <f t="shared" si="67"/>
        <v>0</v>
      </c>
      <c r="AL539" s="3">
        <v>0</v>
      </c>
      <c r="AM539" s="3">
        <f t="shared" si="66"/>
        <v>0</v>
      </c>
    </row>
    <row r="540" spans="1:39">
      <c r="A540" s="7">
        <v>2013</v>
      </c>
      <c r="B540" s="7" t="s">
        <v>59</v>
      </c>
      <c r="C540" s="7">
        <v>0.32942762</v>
      </c>
      <c r="D540" s="7">
        <v>0.053117</v>
      </c>
      <c r="E540" s="7">
        <v>0.013218</v>
      </c>
      <c r="F540" s="7">
        <v>0.024027</v>
      </c>
      <c r="G540" s="7">
        <v>0.007632</v>
      </c>
      <c r="H540" s="7">
        <v>0.008241</v>
      </c>
      <c r="I540" s="7">
        <v>0.055359</v>
      </c>
      <c r="J540" s="7">
        <v>0.029701</v>
      </c>
      <c r="K540" s="16">
        <v>14919</v>
      </c>
      <c r="L540" s="17">
        <v>6600</v>
      </c>
      <c r="M540" s="16">
        <v>24621.67</v>
      </c>
      <c r="N540" s="7">
        <f t="shared" si="68"/>
        <v>2.26045454545455</v>
      </c>
      <c r="O540" s="7">
        <f t="shared" si="69"/>
        <v>0.605929654649746</v>
      </c>
      <c r="P540" s="8">
        <v>260281957.2</v>
      </c>
      <c r="Q540" s="8">
        <f t="shared" si="70"/>
        <v>1.05712552073032</v>
      </c>
      <c r="R540" s="9">
        <v>1745.2</v>
      </c>
      <c r="S540" s="9">
        <v>11805.5</v>
      </c>
      <c r="T540" s="9">
        <v>8953.2</v>
      </c>
      <c r="U540" s="9">
        <v>58255</v>
      </c>
      <c r="V540" s="18">
        <v>0</v>
      </c>
      <c r="W540" s="18">
        <v>0</v>
      </c>
      <c r="X540" s="18">
        <f t="shared" si="71"/>
        <v>0</v>
      </c>
      <c r="Y540" s="12">
        <f t="shared" si="72"/>
        <v>1.91398219724656</v>
      </c>
      <c r="Z540" s="12">
        <f t="shared" si="73"/>
        <v>0.447682678422457</v>
      </c>
      <c r="AA540" s="19">
        <v>14919</v>
      </c>
      <c r="AB540" s="19">
        <v>11223.84</v>
      </c>
      <c r="AC540" s="19">
        <v>1075.82</v>
      </c>
      <c r="AD540" s="19">
        <v>946.54</v>
      </c>
      <c r="AE540" s="19">
        <v>434.56</v>
      </c>
      <c r="AF540" s="19">
        <v>38.84</v>
      </c>
      <c r="AG540" s="19">
        <v>566.32</v>
      </c>
      <c r="AH540" s="19">
        <v>68.31</v>
      </c>
      <c r="AI540" s="19">
        <v>20.46</v>
      </c>
      <c r="AJ540" s="19">
        <v>1423.09</v>
      </c>
      <c r="AK540" s="3">
        <f t="shared" si="67"/>
        <v>1</v>
      </c>
      <c r="AL540" s="3">
        <v>0</v>
      </c>
      <c r="AM540" s="3">
        <f t="shared" si="66"/>
        <v>0</v>
      </c>
    </row>
    <row r="541" spans="1:39">
      <c r="A541" s="7">
        <v>2014</v>
      </c>
      <c r="B541" s="7" t="s">
        <v>59</v>
      </c>
      <c r="C541" s="7">
        <v>0.33327322</v>
      </c>
      <c r="D541" s="7">
        <v>0.057635</v>
      </c>
      <c r="E541" s="7">
        <v>0.014338</v>
      </c>
      <c r="F541" s="7">
        <v>0.026259</v>
      </c>
      <c r="G541" s="7">
        <v>0.009167</v>
      </c>
      <c r="H541" s="7">
        <v>0.007871</v>
      </c>
      <c r="I541" s="7">
        <v>0.054047</v>
      </c>
      <c r="J541" s="7">
        <v>0.025003</v>
      </c>
      <c r="K541" s="16">
        <v>15317</v>
      </c>
      <c r="L541" s="17">
        <v>6611</v>
      </c>
      <c r="M541" s="16">
        <v>27037.32</v>
      </c>
      <c r="N541" s="7">
        <f t="shared" si="68"/>
        <v>2.3168960822871</v>
      </c>
      <c r="O541" s="7">
        <f t="shared" si="69"/>
        <v>0.566513249094215</v>
      </c>
      <c r="P541" s="8">
        <v>255897246</v>
      </c>
      <c r="Q541" s="8">
        <f t="shared" si="70"/>
        <v>0.946459360617103</v>
      </c>
      <c r="R541" s="9">
        <v>1855.9</v>
      </c>
      <c r="S541" s="9">
        <v>13165.1</v>
      </c>
      <c r="T541" s="9">
        <v>9921.2</v>
      </c>
      <c r="U541" s="9">
        <v>63709</v>
      </c>
      <c r="V541" s="18">
        <v>0</v>
      </c>
      <c r="W541" s="18">
        <v>0</v>
      </c>
      <c r="X541" s="18">
        <f t="shared" si="71"/>
        <v>0</v>
      </c>
      <c r="Y541" s="12">
        <f t="shared" si="72"/>
        <v>1.79640226266579</v>
      </c>
      <c r="Z541" s="12">
        <f t="shared" si="73"/>
        <v>0.473136178746181</v>
      </c>
      <c r="AA541" s="19">
        <v>15316.84</v>
      </c>
      <c r="AB541" s="19">
        <v>10899.51</v>
      </c>
      <c r="AC541" s="19">
        <v>1040.29</v>
      </c>
      <c r="AD541" s="19">
        <v>801.03</v>
      </c>
      <c r="AE541" s="19">
        <v>456.8</v>
      </c>
      <c r="AF541" s="19">
        <v>41.38</v>
      </c>
      <c r="AG541" s="19">
        <v>599.17</v>
      </c>
      <c r="AH541" s="19">
        <v>67.73</v>
      </c>
      <c r="AI541" s="19">
        <v>24.4</v>
      </c>
      <c r="AJ541" s="19">
        <v>1430.88</v>
      </c>
      <c r="AK541" s="3">
        <f t="shared" si="67"/>
        <v>1</v>
      </c>
      <c r="AL541" s="3">
        <v>0</v>
      </c>
      <c r="AM541" s="3">
        <f t="shared" si="66"/>
        <v>0</v>
      </c>
    </row>
    <row r="542" spans="1:39">
      <c r="A542" s="7">
        <v>2015</v>
      </c>
      <c r="B542" s="7" t="s">
        <v>59</v>
      </c>
      <c r="C542" s="7">
        <v>0.33013918</v>
      </c>
      <c r="D542" s="7">
        <v>0.052359</v>
      </c>
      <c r="E542" s="7">
        <v>0.012937</v>
      </c>
      <c r="F542" s="7">
        <v>0.023825</v>
      </c>
      <c r="G542" s="7">
        <v>0.0078</v>
      </c>
      <c r="H542" s="7">
        <v>0.007797</v>
      </c>
      <c r="I542" s="7">
        <v>0.057271</v>
      </c>
      <c r="J542" s="7">
        <v>0.030293</v>
      </c>
      <c r="K542" s="16">
        <v>14514</v>
      </c>
      <c r="L542" s="17">
        <v>6615</v>
      </c>
      <c r="M542" s="16">
        <v>28902.2139</v>
      </c>
      <c r="N542" s="7">
        <f t="shared" si="68"/>
        <v>2.19410430839002</v>
      </c>
      <c r="O542" s="7">
        <f t="shared" si="69"/>
        <v>0.502176063405302</v>
      </c>
      <c r="P542" s="8">
        <v>252569752.9</v>
      </c>
      <c r="Q542" s="8">
        <f t="shared" si="70"/>
        <v>0.873876837857048</v>
      </c>
      <c r="R542" s="9">
        <v>1932.8</v>
      </c>
      <c r="S542" s="9">
        <v>13735.7</v>
      </c>
      <c r="T542" s="9">
        <v>11150.9</v>
      </c>
      <c r="U542" s="9">
        <v>67649</v>
      </c>
      <c r="V542" s="18">
        <v>0</v>
      </c>
      <c r="W542" s="18">
        <v>0</v>
      </c>
      <c r="X542" s="18">
        <f t="shared" si="71"/>
        <v>0</v>
      </c>
      <c r="Y542" s="12">
        <f t="shared" si="72"/>
        <v>1.71577514742415</v>
      </c>
      <c r="Z542" s="12">
        <f t="shared" si="73"/>
        <v>0.490681025908914</v>
      </c>
      <c r="AA542" s="19">
        <v>14514</v>
      </c>
      <c r="AB542" s="19">
        <v>10228.9</v>
      </c>
      <c r="AC542" s="19">
        <v>1145.05</v>
      </c>
      <c r="AD542" s="19">
        <v>878.46</v>
      </c>
      <c r="AE542" s="19">
        <v>514.65</v>
      </c>
      <c r="AF542" s="19">
        <v>51.76</v>
      </c>
      <c r="AG542" s="19">
        <v>686.6</v>
      </c>
      <c r="AH542" s="19">
        <v>92.81</v>
      </c>
      <c r="AI542" s="19">
        <v>26.53</v>
      </c>
      <c r="AJ542" s="19">
        <v>1448</v>
      </c>
      <c r="AK542" s="3">
        <f t="shared" si="67"/>
        <v>1</v>
      </c>
      <c r="AL542" s="3">
        <v>0</v>
      </c>
      <c r="AM542" s="3">
        <f t="shared" ref="AM542:AM605" si="74">AK542*AL542</f>
        <v>0</v>
      </c>
    </row>
    <row r="543" spans="1:39">
      <c r="A543" s="7">
        <v>2016</v>
      </c>
      <c r="B543" s="7" t="s">
        <v>59</v>
      </c>
      <c r="C543" s="7">
        <v>0.37651251</v>
      </c>
      <c r="D543" s="7">
        <v>0.064023</v>
      </c>
      <c r="E543" s="7">
        <v>0.015528</v>
      </c>
      <c r="F543" s="7">
        <v>0.028678</v>
      </c>
      <c r="G543" s="7">
        <v>0.009449</v>
      </c>
      <c r="H543" s="7">
        <v>0.010368</v>
      </c>
      <c r="I543" s="7">
        <v>0.056114</v>
      </c>
      <c r="J543" s="7">
        <v>0.029249</v>
      </c>
      <c r="K543" s="16">
        <v>14845</v>
      </c>
      <c r="L543" s="17">
        <v>6625</v>
      </c>
      <c r="M543" s="16">
        <v>31551.37</v>
      </c>
      <c r="N543" s="7">
        <f t="shared" si="68"/>
        <v>2.24075471698113</v>
      </c>
      <c r="O543" s="7">
        <f t="shared" si="69"/>
        <v>0.470502548700738</v>
      </c>
      <c r="P543" s="8">
        <v>254277426.2</v>
      </c>
      <c r="Q543" s="8">
        <f t="shared" si="70"/>
        <v>0.805915642331854</v>
      </c>
      <c r="R543" s="9">
        <v>2145.1</v>
      </c>
      <c r="S543" s="9">
        <v>14683.7</v>
      </c>
      <c r="T543" s="9">
        <v>12780.6</v>
      </c>
      <c r="U543" s="9">
        <v>74024</v>
      </c>
      <c r="V543" s="18">
        <v>0</v>
      </c>
      <c r="W543" s="18">
        <v>0</v>
      </c>
      <c r="X543" s="18">
        <f t="shared" si="71"/>
        <v>0</v>
      </c>
      <c r="Y543" s="12">
        <f t="shared" si="72"/>
        <v>1.62438398605541</v>
      </c>
      <c r="Z543" s="12">
        <f t="shared" si="73"/>
        <v>0.50386383438259</v>
      </c>
      <c r="AA543" s="19">
        <v>14845</v>
      </c>
      <c r="AB543" s="19">
        <v>10768.56</v>
      </c>
      <c r="AC543" s="19">
        <v>960.5</v>
      </c>
      <c r="AD543" s="19">
        <v>841.6</v>
      </c>
      <c r="AE543" s="19">
        <v>575.76</v>
      </c>
      <c r="AF543" s="19">
        <v>55.43</v>
      </c>
      <c r="AG543" s="19">
        <v>712.98</v>
      </c>
      <c r="AH543" s="19">
        <v>94.05</v>
      </c>
      <c r="AI543" s="19">
        <v>26.86</v>
      </c>
      <c r="AJ543" s="19">
        <v>1495.65</v>
      </c>
      <c r="AK543" s="3">
        <f t="shared" ref="AK543:AK606" si="75">IF(A543&gt;=2013,1,0)</f>
        <v>1</v>
      </c>
      <c r="AL543" s="3">
        <v>0</v>
      </c>
      <c r="AM543" s="3">
        <f t="shared" si="74"/>
        <v>0</v>
      </c>
    </row>
    <row r="544" spans="1:39">
      <c r="A544" s="7">
        <v>2017</v>
      </c>
      <c r="B544" s="7" t="s">
        <v>59</v>
      </c>
      <c r="C544" s="7">
        <v>0.35574558</v>
      </c>
      <c r="D544" s="7">
        <v>0.054942</v>
      </c>
      <c r="E544" s="7">
        <v>0.014072</v>
      </c>
      <c r="F544" s="7">
        <v>0.025507</v>
      </c>
      <c r="G544" s="7">
        <v>0.008369</v>
      </c>
      <c r="H544" s="7">
        <v>0.006994</v>
      </c>
      <c r="I544" s="7">
        <v>0.065588</v>
      </c>
      <c r="J544" s="7">
        <v>0.032386</v>
      </c>
      <c r="K544" s="16">
        <v>15200</v>
      </c>
      <c r="L544" s="17">
        <v>6633</v>
      </c>
      <c r="M544" s="16">
        <v>33902.96</v>
      </c>
      <c r="N544" s="7">
        <f t="shared" si="68"/>
        <v>2.29157244082617</v>
      </c>
      <c r="O544" s="7">
        <f t="shared" si="69"/>
        <v>0.44833843416622</v>
      </c>
      <c r="P544" s="8">
        <v>253678087.1</v>
      </c>
      <c r="Q544" s="8">
        <f t="shared" si="70"/>
        <v>0.748247607583527</v>
      </c>
      <c r="R544" s="9">
        <v>2215.1</v>
      </c>
      <c r="S544" s="9">
        <v>16290</v>
      </c>
      <c r="T544" s="9">
        <v>15337.3</v>
      </c>
      <c r="U544" s="9">
        <v>83758</v>
      </c>
      <c r="V544" s="18">
        <v>1</v>
      </c>
      <c r="W544" s="18">
        <v>0</v>
      </c>
      <c r="X544" s="18">
        <f t="shared" si="71"/>
        <v>0</v>
      </c>
      <c r="Y544" s="12">
        <f t="shared" si="72"/>
        <v>1.56738551218677</v>
      </c>
      <c r="Z544" s="12">
        <f t="shared" si="73"/>
        <v>0.522614186640277</v>
      </c>
      <c r="AA544" s="19">
        <v>15200</v>
      </c>
      <c r="AB544" s="19">
        <v>11018.5</v>
      </c>
      <c r="AC544" s="19">
        <v>947.57</v>
      </c>
      <c r="AD544" s="19">
        <v>770.12</v>
      </c>
      <c r="AE544" s="19">
        <v>642.02</v>
      </c>
      <c r="AF544" s="19">
        <v>60.75</v>
      </c>
      <c r="AG544" s="19">
        <v>662.19</v>
      </c>
      <c r="AH544" s="19">
        <v>93.57</v>
      </c>
      <c r="AI544" s="19">
        <v>27.07</v>
      </c>
      <c r="AJ544" s="19">
        <v>1581.51</v>
      </c>
      <c r="AK544" s="3">
        <f t="shared" si="75"/>
        <v>1</v>
      </c>
      <c r="AL544" s="3">
        <v>0</v>
      </c>
      <c r="AM544" s="3">
        <f t="shared" si="74"/>
        <v>0</v>
      </c>
    </row>
    <row r="545" spans="1:39">
      <c r="A545" s="7">
        <v>2018</v>
      </c>
      <c r="B545" s="7" t="s">
        <v>59</v>
      </c>
      <c r="C545" s="7">
        <v>0.36253851</v>
      </c>
      <c r="D545" s="7">
        <v>0.058755</v>
      </c>
      <c r="E545" s="7">
        <v>0.014144</v>
      </c>
      <c r="F545" s="7">
        <v>0.026134</v>
      </c>
      <c r="G545" s="7">
        <v>0.009659</v>
      </c>
      <c r="H545" s="7">
        <v>0.008817</v>
      </c>
      <c r="I545" s="7">
        <v>0.060303</v>
      </c>
      <c r="J545" s="7">
        <v>0.029908</v>
      </c>
      <c r="K545" s="16">
        <v>15544</v>
      </c>
      <c r="L545" s="17">
        <v>6635</v>
      </c>
      <c r="M545" s="16">
        <v>36425.78</v>
      </c>
      <c r="N545" s="7">
        <f t="shared" si="68"/>
        <v>2.34272795779955</v>
      </c>
      <c r="O545" s="7">
        <f t="shared" si="69"/>
        <v>0.426730738504433</v>
      </c>
      <c r="P545" s="8">
        <v>258391670.1</v>
      </c>
      <c r="Q545" s="8">
        <f t="shared" si="70"/>
        <v>0.709364823759436</v>
      </c>
      <c r="R545" s="9">
        <v>2379</v>
      </c>
      <c r="S545" s="9">
        <v>18847.8</v>
      </c>
      <c r="T545" s="9">
        <v>17461</v>
      </c>
      <c r="U545" s="9">
        <v>94719</v>
      </c>
      <c r="V545" s="18">
        <v>1</v>
      </c>
      <c r="W545" s="18">
        <v>0</v>
      </c>
      <c r="X545" s="18">
        <f t="shared" si="71"/>
        <v>0</v>
      </c>
      <c r="Y545" s="12">
        <f t="shared" si="72"/>
        <v>1.51591455826218</v>
      </c>
      <c r="Z545" s="12">
        <f t="shared" si="73"/>
        <v>0.532054877438051</v>
      </c>
      <c r="AA545" s="19">
        <v>15544</v>
      </c>
      <c r="AB545" s="19">
        <v>10922.31</v>
      </c>
      <c r="AC545" s="19">
        <v>970.67</v>
      </c>
      <c r="AD545" s="19">
        <v>949.7</v>
      </c>
      <c r="AE545" s="19">
        <v>718.92</v>
      </c>
      <c r="AF545" s="19">
        <v>63.17</v>
      </c>
      <c r="AG545" s="19">
        <v>649.29</v>
      </c>
      <c r="AH545" s="19">
        <v>90.44</v>
      </c>
      <c r="AI545" s="19">
        <v>30.47</v>
      </c>
      <c r="AJ545" s="19">
        <v>1745.24</v>
      </c>
      <c r="AK545" s="3">
        <f t="shared" si="75"/>
        <v>1</v>
      </c>
      <c r="AL545" s="3">
        <v>0</v>
      </c>
      <c r="AM545" s="3">
        <f t="shared" si="74"/>
        <v>0</v>
      </c>
    </row>
    <row r="546" spans="1:39">
      <c r="A546" s="7">
        <v>2019</v>
      </c>
      <c r="B546" s="7" t="s">
        <v>59</v>
      </c>
      <c r="C546" s="7">
        <v>0.40870536</v>
      </c>
      <c r="D546" s="7">
        <v>0.060151</v>
      </c>
      <c r="E546" s="7">
        <v>0.014886</v>
      </c>
      <c r="F546" s="7">
        <v>0.026586</v>
      </c>
      <c r="G546" s="7">
        <v>0.009389</v>
      </c>
      <c r="H546" s="7">
        <v>0.00929</v>
      </c>
      <c r="I546" s="7">
        <v>0.069166</v>
      </c>
      <c r="J546" s="7">
        <v>0.040608</v>
      </c>
      <c r="K546" s="16">
        <v>16001</v>
      </c>
      <c r="L546" s="17">
        <v>6640</v>
      </c>
      <c r="M546" s="16">
        <v>39752.12</v>
      </c>
      <c r="N546" s="7">
        <f t="shared" si="68"/>
        <v>2.40978915662651</v>
      </c>
      <c r="O546" s="7">
        <f t="shared" si="69"/>
        <v>0.402519412801129</v>
      </c>
      <c r="P546" s="8">
        <v>258881627.7</v>
      </c>
      <c r="Q546" s="8">
        <f t="shared" si="70"/>
        <v>0.651239802304883</v>
      </c>
      <c r="R546" s="9">
        <v>2595.5</v>
      </c>
      <c r="S546" s="9">
        <v>20065.5</v>
      </c>
      <c r="T546" s="9">
        <v>19665.6</v>
      </c>
      <c r="U546" s="9">
        <v>102722</v>
      </c>
      <c r="V546" s="18">
        <v>1</v>
      </c>
      <c r="W546" s="18">
        <v>0</v>
      </c>
      <c r="X546" s="18">
        <f t="shared" si="71"/>
        <v>0</v>
      </c>
      <c r="Y546" s="12">
        <f t="shared" si="72"/>
        <v>1.5000536746505</v>
      </c>
      <c r="Z546" s="12">
        <f t="shared" si="73"/>
        <v>0.565855666826978</v>
      </c>
      <c r="AA546" s="19">
        <v>16001</v>
      </c>
      <c r="AB546" s="19">
        <v>10664.02</v>
      </c>
      <c r="AC546" s="19">
        <v>982.53</v>
      </c>
      <c r="AD546" s="19">
        <v>935.12</v>
      </c>
      <c r="AE546" s="19">
        <v>819.89</v>
      </c>
      <c r="AF546" s="19">
        <v>65.03</v>
      </c>
      <c r="AG546" s="19">
        <v>672.61</v>
      </c>
      <c r="AH546" s="19">
        <v>83.05</v>
      </c>
      <c r="AI546" s="19">
        <v>32.9</v>
      </c>
      <c r="AJ546" s="19">
        <v>1864.32</v>
      </c>
      <c r="AK546" s="3">
        <f t="shared" si="75"/>
        <v>1</v>
      </c>
      <c r="AL546" s="3">
        <v>0</v>
      </c>
      <c r="AM546" s="3">
        <f t="shared" si="74"/>
        <v>0</v>
      </c>
    </row>
    <row r="547" spans="1:39">
      <c r="A547" s="7">
        <v>2020</v>
      </c>
      <c r="B547" s="7" t="s">
        <v>59</v>
      </c>
      <c r="C547" s="7">
        <v>0.39769434</v>
      </c>
      <c r="D547" s="7">
        <v>0.064468</v>
      </c>
      <c r="E547" s="7">
        <v>0.016398</v>
      </c>
      <c r="F547" s="7">
        <v>0.029815</v>
      </c>
      <c r="G547" s="7">
        <v>0.009622</v>
      </c>
      <c r="H547" s="7">
        <v>0.008633</v>
      </c>
      <c r="I547" s="7">
        <v>0.066898</v>
      </c>
      <c r="J547" s="7">
        <v>0.032424</v>
      </c>
      <c r="K547" s="16">
        <v>16274.6171</v>
      </c>
      <c r="L547" s="17">
        <v>6645.3</v>
      </c>
      <c r="M547" s="16">
        <v>41781.49</v>
      </c>
      <c r="N547" s="7">
        <f t="shared" si="68"/>
        <v>2.44904174378884</v>
      </c>
      <c r="O547" s="7">
        <f t="shared" si="69"/>
        <v>0.389517393946458</v>
      </c>
      <c r="P547" s="8">
        <v>254893245.6</v>
      </c>
      <c r="Q547" s="8">
        <f t="shared" si="70"/>
        <v>0.610062603320274</v>
      </c>
      <c r="R547" s="9">
        <v>2730.8</v>
      </c>
      <c r="S547" s="9">
        <v>20168.4</v>
      </c>
      <c r="T547" s="9">
        <v>20709.3</v>
      </c>
      <c r="U547" s="9">
        <v>105106</v>
      </c>
      <c r="V547" s="18">
        <v>1</v>
      </c>
      <c r="W547" s="18">
        <v>0</v>
      </c>
      <c r="X547" s="18">
        <f t="shared" si="71"/>
        <v>0</v>
      </c>
      <c r="Y547" s="12">
        <f t="shared" si="72"/>
        <v>1.47141701078949</v>
      </c>
      <c r="Z547" s="12">
        <f t="shared" si="73"/>
        <v>0.585391089781581</v>
      </c>
      <c r="AA547" s="19">
        <v>16274.6171</v>
      </c>
      <c r="AB547" s="19">
        <v>10199.62</v>
      </c>
      <c r="AC547" s="19">
        <v>1001.52</v>
      </c>
      <c r="AD547" s="19">
        <v>1274.87</v>
      </c>
      <c r="AE547" s="19">
        <v>833.05</v>
      </c>
      <c r="AF547" s="19">
        <v>87.93</v>
      </c>
      <c r="AG547" s="19">
        <v>928.79</v>
      </c>
      <c r="AH547" s="19">
        <v>109.37</v>
      </c>
      <c r="AI547" s="19">
        <v>34.13</v>
      </c>
      <c r="AJ547" s="19">
        <v>1929</v>
      </c>
      <c r="AK547" s="3">
        <f t="shared" si="75"/>
        <v>1</v>
      </c>
      <c r="AL547" s="3">
        <v>0</v>
      </c>
      <c r="AM547" s="3">
        <f t="shared" si="74"/>
        <v>0</v>
      </c>
    </row>
    <row r="548" spans="1:39">
      <c r="A548" s="7">
        <v>2021</v>
      </c>
      <c r="B548" s="7" t="s">
        <v>59</v>
      </c>
      <c r="C548" s="7">
        <v>0.40866516</v>
      </c>
      <c r="D548" s="7">
        <v>0.062984</v>
      </c>
      <c r="E548" s="7">
        <v>0.016003</v>
      </c>
      <c r="F548" s="7">
        <v>0.027656</v>
      </c>
      <c r="G548" s="7">
        <v>0.009762</v>
      </c>
      <c r="H548" s="7">
        <v>0.009562</v>
      </c>
      <c r="I548" s="7">
        <v>0.069351</v>
      </c>
      <c r="J548" s="7">
        <v>0.035838</v>
      </c>
      <c r="K548" s="16">
        <v>16909.3271669</v>
      </c>
      <c r="L548" s="17">
        <v>6622</v>
      </c>
      <c r="M548" s="16">
        <v>46063.1</v>
      </c>
      <c r="N548" s="7">
        <f t="shared" si="68"/>
        <v>2.55350757579281</v>
      </c>
      <c r="O548" s="7">
        <f t="shared" si="69"/>
        <v>0.367090516419868</v>
      </c>
      <c r="P548" s="8">
        <v>274203077.5</v>
      </c>
      <c r="Q548" s="8">
        <f t="shared" si="70"/>
        <v>0.595277081872475</v>
      </c>
      <c r="R548" s="9">
        <v>2899.9</v>
      </c>
      <c r="S548" s="9">
        <v>23319.8</v>
      </c>
      <c r="T548" s="9">
        <v>23346.3</v>
      </c>
      <c r="U548" s="9">
        <v>118750</v>
      </c>
      <c r="V548" s="18">
        <v>1</v>
      </c>
      <c r="W548" s="18">
        <v>0</v>
      </c>
      <c r="X548" s="18">
        <f t="shared" si="71"/>
        <v>0</v>
      </c>
      <c r="Y548" s="12">
        <f t="shared" si="72"/>
        <v>1.36781889095748</v>
      </c>
      <c r="Z548" s="12">
        <f t="shared" si="73"/>
        <v>0.56479831810498</v>
      </c>
      <c r="AA548" s="19">
        <v>16909.3271669</v>
      </c>
      <c r="AB548" s="19">
        <v>8291.42</v>
      </c>
      <c r="AC548" s="19">
        <v>1007.87</v>
      </c>
      <c r="AD548" s="19">
        <v>809.86</v>
      </c>
      <c r="AE548" s="19">
        <v>1015.49</v>
      </c>
      <c r="AF548" s="19">
        <v>103.11</v>
      </c>
      <c r="AG548" s="19">
        <v>1034.88</v>
      </c>
      <c r="AH548" s="19">
        <v>105.42</v>
      </c>
      <c r="AI548" s="19">
        <v>41.16</v>
      </c>
      <c r="AJ548" s="19">
        <v>2155</v>
      </c>
      <c r="AK548" s="3">
        <f t="shared" si="75"/>
        <v>1</v>
      </c>
      <c r="AL548" s="3">
        <v>0</v>
      </c>
      <c r="AM548" s="3">
        <f t="shared" si="74"/>
        <v>0</v>
      </c>
    </row>
    <row r="549" spans="1:39">
      <c r="A549" s="7">
        <v>2022</v>
      </c>
      <c r="B549" s="7" t="s">
        <v>59</v>
      </c>
      <c r="C549" s="7">
        <v>0.45787916</v>
      </c>
      <c r="D549" s="7">
        <v>0.075058</v>
      </c>
      <c r="E549" s="7">
        <v>0.019422</v>
      </c>
      <c r="F549" s="7">
        <v>0.034616</v>
      </c>
      <c r="G549" s="7">
        <v>0.011564</v>
      </c>
      <c r="H549" s="7">
        <v>0.009456</v>
      </c>
      <c r="I549" s="7">
        <v>0.071693</v>
      </c>
      <c r="J549" s="7">
        <v>0.036356</v>
      </c>
      <c r="K549" s="16">
        <v>17027.6924570683</v>
      </c>
      <c r="L549" s="17">
        <v>6604</v>
      </c>
      <c r="M549" s="16">
        <v>48670.4</v>
      </c>
      <c r="N549" s="7">
        <f t="shared" si="68"/>
        <v>2.57839074153063</v>
      </c>
      <c r="O549" s="7">
        <f t="shared" si="69"/>
        <v>0.349857253218965</v>
      </c>
      <c r="P549" s="8">
        <v>272540148.7</v>
      </c>
      <c r="Q549" s="8">
        <f t="shared" si="70"/>
        <v>0.559971047494987</v>
      </c>
      <c r="R549" s="9">
        <v>3077.6</v>
      </c>
      <c r="S549" s="9">
        <v>23125.3</v>
      </c>
      <c r="T549" s="9">
        <v>25562.2</v>
      </c>
      <c r="U549" s="9">
        <v>123618</v>
      </c>
      <c r="V549" s="18">
        <v>1</v>
      </c>
      <c r="W549" s="18">
        <v>0</v>
      </c>
      <c r="X549" s="18">
        <f t="shared" si="71"/>
        <v>0</v>
      </c>
      <c r="Y549" s="12">
        <f t="shared" si="72"/>
        <v>1.27047633725244</v>
      </c>
      <c r="Z549" s="12">
        <f t="shared" si="73"/>
        <v>0.559243229428425</v>
      </c>
      <c r="AA549" s="19">
        <v>17027.6924570683</v>
      </c>
      <c r="AB549" s="19">
        <v>8257.94</v>
      </c>
      <c r="AC549" s="19">
        <v>1008.45</v>
      </c>
      <c r="AD549" s="19">
        <v>829.48</v>
      </c>
      <c r="AE549" s="19">
        <v>1042.57</v>
      </c>
      <c r="AF549" s="19">
        <v>68.68</v>
      </c>
      <c r="AG549" s="19">
        <v>1058.36</v>
      </c>
      <c r="AH549" s="19">
        <v>103.6</v>
      </c>
      <c r="AI549" s="19">
        <v>45.73</v>
      </c>
      <c r="AJ549" s="19">
        <v>2235.53</v>
      </c>
      <c r="AK549" s="3">
        <f t="shared" si="75"/>
        <v>1</v>
      </c>
      <c r="AL549" s="3">
        <v>0</v>
      </c>
      <c r="AM549" s="3">
        <f t="shared" si="74"/>
        <v>0</v>
      </c>
    </row>
    <row r="550" spans="1:39">
      <c r="A550" s="7">
        <v>2023</v>
      </c>
      <c r="B550" s="7" t="s">
        <v>59</v>
      </c>
      <c r="C550" s="7">
        <v>0.6771742</v>
      </c>
      <c r="D550" s="7">
        <v>0.095522</v>
      </c>
      <c r="E550" s="7">
        <v>0.031232</v>
      </c>
      <c r="F550" s="7">
        <v>0.049965</v>
      </c>
      <c r="G550" s="7">
        <v>0.021756</v>
      </c>
      <c r="H550" s="7">
        <v>0.017739</v>
      </c>
      <c r="I550" s="7">
        <v>0.082424</v>
      </c>
      <c r="J550" s="7">
        <v>0.045265</v>
      </c>
      <c r="K550" s="16">
        <v>15324.9232113615</v>
      </c>
      <c r="L550" s="17">
        <v>6568</v>
      </c>
      <c r="M550" s="16">
        <v>50012.9</v>
      </c>
      <c r="N550" s="7">
        <f t="shared" si="68"/>
        <v>2.33327089088939</v>
      </c>
      <c r="O550" s="7">
        <f t="shared" si="69"/>
        <v>0.306419408019961</v>
      </c>
      <c r="P550" s="8">
        <v>289151508</v>
      </c>
      <c r="Q550" s="8">
        <f t="shared" si="70"/>
        <v>0.578153852306105</v>
      </c>
      <c r="R550" s="9">
        <v>3217.7</v>
      </c>
      <c r="S550" s="9">
        <v>23966.4</v>
      </c>
      <c r="T550" s="9">
        <v>27171</v>
      </c>
      <c r="U550" s="9">
        <v>129865</v>
      </c>
      <c r="V550" s="18">
        <v>1</v>
      </c>
      <c r="W550" s="18">
        <v>0</v>
      </c>
      <c r="X550" s="18">
        <f t="shared" si="71"/>
        <v>0</v>
      </c>
      <c r="Y550" s="12">
        <f t="shared" si="72"/>
        <v>1.2756783895882</v>
      </c>
      <c r="Z550" s="12">
        <f t="shared" si="73"/>
        <v>0.54678713927831</v>
      </c>
      <c r="AA550" s="12"/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3">
        <f t="shared" si="75"/>
        <v>1</v>
      </c>
      <c r="AL550" s="3">
        <v>0</v>
      </c>
      <c r="AM550" s="3">
        <f t="shared" si="74"/>
        <v>0</v>
      </c>
    </row>
    <row r="551" spans="1:39">
      <c r="A551" s="7">
        <v>2024</v>
      </c>
      <c r="B551" s="7" t="s">
        <v>59</v>
      </c>
      <c r="C551" s="7">
        <v>0.78180377</v>
      </c>
      <c r="D551" s="7">
        <v>0.105778</v>
      </c>
      <c r="E551" s="7">
        <v>0.037176</v>
      </c>
      <c r="F551" s="7">
        <v>0.057574</v>
      </c>
      <c r="G551" s="7">
        <v>0.026444</v>
      </c>
      <c r="H551" s="7">
        <v>0.021128</v>
      </c>
      <c r="I551" s="7">
        <v>0.087935</v>
      </c>
      <c r="J551" s="7">
        <v>0.049982</v>
      </c>
      <c r="K551" s="16">
        <v>14895.8253614433</v>
      </c>
      <c r="L551" s="17">
        <v>6539</v>
      </c>
      <c r="M551" s="16">
        <v>53231</v>
      </c>
      <c r="N551" s="7">
        <f t="shared" si="68"/>
        <v>2.27799745548911</v>
      </c>
      <c r="O551" s="7">
        <f t="shared" si="69"/>
        <v>0.279833656355193</v>
      </c>
      <c r="P551" s="8">
        <v>287587987.2</v>
      </c>
      <c r="Q551" s="8">
        <f t="shared" si="70"/>
        <v>0.540264107756758</v>
      </c>
      <c r="R551" s="9">
        <v>3287.7</v>
      </c>
      <c r="S551" s="9">
        <v>24713.2</v>
      </c>
      <c r="T551" s="9">
        <v>29760.2</v>
      </c>
      <c r="U551" s="9">
        <v>137920</v>
      </c>
      <c r="V551" s="18">
        <v>1</v>
      </c>
      <c r="W551" s="18">
        <v>0</v>
      </c>
      <c r="X551" s="18">
        <f t="shared" si="71"/>
        <v>0</v>
      </c>
      <c r="Y551" s="12">
        <f t="shared" si="72"/>
        <v>1.21200651315194</v>
      </c>
      <c r="Z551" s="12">
        <f t="shared" si="73"/>
        <v>0.554239930318733</v>
      </c>
      <c r="AA551" s="12"/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3">
        <f t="shared" si="75"/>
        <v>1</v>
      </c>
      <c r="AL551" s="3">
        <v>0</v>
      </c>
      <c r="AM551" s="3">
        <f t="shared" si="74"/>
        <v>0</v>
      </c>
    </row>
    <row r="552" spans="1:39">
      <c r="A552" s="7">
        <v>2000</v>
      </c>
      <c r="B552" s="7" t="s">
        <v>60</v>
      </c>
      <c r="C552" s="7">
        <v>0.1918283</v>
      </c>
      <c r="D552" s="7">
        <v>0.035465</v>
      </c>
      <c r="E552" s="7">
        <v>0.008878</v>
      </c>
      <c r="F552" s="7">
        <v>0.015789</v>
      </c>
      <c r="G552" s="7">
        <v>0.004964</v>
      </c>
      <c r="H552" s="7">
        <v>0.005834</v>
      </c>
      <c r="I552" s="7">
        <v>0.033916</v>
      </c>
      <c r="J552" s="7">
        <v>0.016695</v>
      </c>
      <c r="K552" s="16">
        <v>3012</v>
      </c>
      <c r="L552" s="17">
        <v>2515.31</v>
      </c>
      <c r="M552" s="16">
        <v>983.36</v>
      </c>
      <c r="N552" s="7">
        <f t="shared" si="68"/>
        <v>1.19746671384442</v>
      </c>
      <c r="O552" s="7">
        <f t="shared" si="69"/>
        <v>3.0629677839245</v>
      </c>
      <c r="P552" s="8">
        <v>66750031.42</v>
      </c>
      <c r="Q552" s="8">
        <f t="shared" si="70"/>
        <v>6.78795470834689</v>
      </c>
      <c r="R552" s="9">
        <v>179.9</v>
      </c>
      <c r="S552" s="9">
        <v>858.4</v>
      </c>
      <c r="T552" s="9">
        <v>807.5</v>
      </c>
      <c r="U552" s="9">
        <v>5722</v>
      </c>
      <c r="V552" s="18">
        <v>0</v>
      </c>
      <c r="W552" s="18">
        <v>1</v>
      </c>
      <c r="X552" s="18">
        <f t="shared" si="71"/>
        <v>0</v>
      </c>
      <c r="Y552" s="12">
        <f t="shared" si="72"/>
        <v>4.53658228674969</v>
      </c>
      <c r="Z552" s="12">
        <f t="shared" si="73"/>
        <v>0</v>
      </c>
      <c r="AA552" s="19">
        <v>3011.62</v>
      </c>
      <c r="AB552" s="19">
        <v>2480.38</v>
      </c>
      <c r="AC552" s="19">
        <v>179.28</v>
      </c>
      <c r="AD552" s="19">
        <v>880.88</v>
      </c>
      <c r="AE552" s="19">
        <v>98.41</v>
      </c>
      <c r="AF552" s="19">
        <v>3.73</v>
      </c>
      <c r="AG552" s="19">
        <v>91.82</v>
      </c>
      <c r="AH552" s="19">
        <v>58</v>
      </c>
      <c r="AI552" s="19">
        <v>0.85</v>
      </c>
      <c r="AJ552" s="19">
        <v>295.33</v>
      </c>
      <c r="AK552" s="3">
        <f t="shared" si="75"/>
        <v>0</v>
      </c>
      <c r="AL552" s="3">
        <v>0</v>
      </c>
      <c r="AM552" s="3">
        <f t="shared" si="74"/>
        <v>0</v>
      </c>
    </row>
    <row r="553" spans="1:39">
      <c r="A553" s="7">
        <v>2001</v>
      </c>
      <c r="B553" s="7" t="s">
        <v>60</v>
      </c>
      <c r="C553" s="7">
        <v>0.18382748</v>
      </c>
      <c r="D553" s="7">
        <v>0.03524</v>
      </c>
      <c r="E553" s="7">
        <v>0.009003</v>
      </c>
      <c r="F553" s="7">
        <v>0.016015</v>
      </c>
      <c r="G553" s="7">
        <v>0.005476</v>
      </c>
      <c r="H553" s="7">
        <v>0.004747</v>
      </c>
      <c r="I553" s="7">
        <v>0.032737</v>
      </c>
      <c r="J553" s="7">
        <v>0.015311</v>
      </c>
      <c r="K553" s="16">
        <v>2905</v>
      </c>
      <c r="L553" s="17">
        <v>2523.35</v>
      </c>
      <c r="M553" s="16">
        <v>1125.37278</v>
      </c>
      <c r="N553" s="7">
        <f t="shared" si="68"/>
        <v>1.1512473497533</v>
      </c>
      <c r="O553" s="7">
        <f t="shared" si="69"/>
        <v>2.58136686049933</v>
      </c>
      <c r="P553" s="8">
        <v>69798127.71</v>
      </c>
      <c r="Q553" s="8">
        <f t="shared" si="70"/>
        <v>6.20222285010306</v>
      </c>
      <c r="R553" s="9">
        <v>171.1</v>
      </c>
      <c r="S553" s="9">
        <v>956</v>
      </c>
      <c r="T553" s="9">
        <v>902.4</v>
      </c>
      <c r="U553" s="9">
        <v>6226</v>
      </c>
      <c r="V553" s="18">
        <v>0</v>
      </c>
      <c r="W553" s="18">
        <v>1</v>
      </c>
      <c r="X553" s="18">
        <f t="shared" si="71"/>
        <v>0</v>
      </c>
      <c r="Y553" s="12">
        <f t="shared" si="72"/>
        <v>4.16809156222866</v>
      </c>
      <c r="Z553" s="12">
        <f t="shared" si="73"/>
        <v>0</v>
      </c>
      <c r="AA553" s="19">
        <v>2905</v>
      </c>
      <c r="AB553" s="19">
        <v>2551</v>
      </c>
      <c r="AC553" s="19">
        <v>176.67</v>
      </c>
      <c r="AD553" s="19">
        <v>887.1</v>
      </c>
      <c r="AE553" s="19">
        <v>103.96</v>
      </c>
      <c r="AF553" s="19">
        <v>5.28</v>
      </c>
      <c r="AG553" s="19">
        <v>100.8</v>
      </c>
      <c r="AH553" s="19">
        <v>50.12</v>
      </c>
      <c r="AI553" s="19">
        <v>1.19</v>
      </c>
      <c r="AJ553" s="19">
        <v>306.09</v>
      </c>
      <c r="AK553" s="3">
        <f t="shared" si="75"/>
        <v>0</v>
      </c>
      <c r="AL553" s="3">
        <v>0</v>
      </c>
      <c r="AM553" s="3">
        <f t="shared" si="74"/>
        <v>0</v>
      </c>
    </row>
    <row r="554" spans="1:39">
      <c r="A554" s="7">
        <v>2002</v>
      </c>
      <c r="B554" s="7" t="s">
        <v>60</v>
      </c>
      <c r="C554" s="7">
        <v>0.21215679</v>
      </c>
      <c r="D554" s="7">
        <v>0.040442</v>
      </c>
      <c r="E554" s="7">
        <v>0.009576</v>
      </c>
      <c r="F554" s="7">
        <v>0.018521</v>
      </c>
      <c r="G554" s="7">
        <v>0.005685</v>
      </c>
      <c r="H554" s="7">
        <v>0.006661</v>
      </c>
      <c r="I554" s="7">
        <v>0.035282</v>
      </c>
      <c r="J554" s="7">
        <v>0.015939</v>
      </c>
      <c r="K554" s="16">
        <v>3174</v>
      </c>
      <c r="L554" s="17">
        <v>2530.76</v>
      </c>
      <c r="M554" s="16">
        <v>1232.0302</v>
      </c>
      <c r="N554" s="7">
        <f t="shared" si="68"/>
        <v>1.25416870821413</v>
      </c>
      <c r="O554" s="7">
        <f t="shared" si="69"/>
        <v>2.57623555007012</v>
      </c>
      <c r="P554" s="8">
        <v>73725876.78</v>
      </c>
      <c r="Q554" s="8">
        <f t="shared" si="70"/>
        <v>5.98409655704868</v>
      </c>
      <c r="R554" s="9">
        <v>197.8</v>
      </c>
      <c r="S554" s="9">
        <v>1134.3</v>
      </c>
      <c r="T554" s="9">
        <v>992.7</v>
      </c>
      <c r="U554" s="9">
        <v>7082</v>
      </c>
      <c r="V554" s="18">
        <v>0</v>
      </c>
      <c r="W554" s="18">
        <v>1</v>
      </c>
      <c r="X554" s="18">
        <f t="shared" si="71"/>
        <v>0</v>
      </c>
      <c r="Y554" s="12">
        <f t="shared" si="72"/>
        <v>4.06804884448575</v>
      </c>
      <c r="Z554" s="12">
        <f t="shared" si="73"/>
        <v>0</v>
      </c>
      <c r="AA554" s="19">
        <v>3174</v>
      </c>
      <c r="AB554" s="19">
        <v>2798</v>
      </c>
      <c r="AC554" s="19">
        <v>177.4</v>
      </c>
      <c r="AD554" s="19">
        <v>935.32</v>
      </c>
      <c r="AE554" s="19">
        <v>97.37</v>
      </c>
      <c r="AF554" s="19">
        <v>5.3</v>
      </c>
      <c r="AG554" s="19">
        <v>71.17</v>
      </c>
      <c r="AH554" s="19">
        <v>30.39</v>
      </c>
      <c r="AI554" s="19">
        <v>2.76</v>
      </c>
      <c r="AJ554" s="19">
        <v>342.33</v>
      </c>
      <c r="AK554" s="3">
        <f t="shared" si="75"/>
        <v>0</v>
      </c>
      <c r="AL554" s="3">
        <v>0</v>
      </c>
      <c r="AM554" s="3">
        <f t="shared" si="74"/>
        <v>0</v>
      </c>
    </row>
    <row r="555" spans="1:39">
      <c r="A555" s="7">
        <v>2003</v>
      </c>
      <c r="B555" s="7" t="s">
        <v>60</v>
      </c>
      <c r="C555" s="7">
        <v>0.23026884</v>
      </c>
      <c r="D555" s="7">
        <v>0.040181</v>
      </c>
      <c r="E555" s="7">
        <v>0.00921</v>
      </c>
      <c r="F555" s="7">
        <v>0.018179</v>
      </c>
      <c r="G555" s="7">
        <v>0.005935</v>
      </c>
      <c r="H555" s="7">
        <v>0.006857</v>
      </c>
      <c r="I555" s="7">
        <v>0.040941</v>
      </c>
      <c r="J555" s="7">
        <v>0.019737</v>
      </c>
      <c r="K555" s="16">
        <v>3525</v>
      </c>
      <c r="L555" s="17">
        <v>2537.19</v>
      </c>
      <c r="M555" s="16">
        <v>1399.83</v>
      </c>
      <c r="N555" s="7">
        <f t="shared" si="68"/>
        <v>1.38933229281213</v>
      </c>
      <c r="O555" s="7">
        <f t="shared" si="69"/>
        <v>2.51816291978312</v>
      </c>
      <c r="P555" s="8">
        <v>87534815.66</v>
      </c>
      <c r="Q555" s="8">
        <f t="shared" si="70"/>
        <v>6.25324615560461</v>
      </c>
      <c r="R555" s="9">
        <v>215.2</v>
      </c>
      <c r="S555" s="9">
        <v>1520.7</v>
      </c>
      <c r="T555" s="9">
        <v>1118.3</v>
      </c>
      <c r="U555" s="9">
        <v>8639</v>
      </c>
      <c r="V555" s="18">
        <v>0</v>
      </c>
      <c r="W555" s="18">
        <v>1</v>
      </c>
      <c r="X555" s="18">
        <f t="shared" si="71"/>
        <v>0</v>
      </c>
      <c r="Y555" s="12">
        <f t="shared" si="72"/>
        <v>4.08414499624993</v>
      </c>
      <c r="Z555" s="12">
        <f t="shared" si="73"/>
        <v>0</v>
      </c>
      <c r="AA555" s="19">
        <v>3525.08</v>
      </c>
      <c r="AB555" s="19">
        <v>3218.54</v>
      </c>
      <c r="AC555" s="19">
        <v>181.78</v>
      </c>
      <c r="AD555" s="19">
        <v>1017.98</v>
      </c>
      <c r="AE555" s="19">
        <v>97.82</v>
      </c>
      <c r="AF555" s="19">
        <v>5.34</v>
      </c>
      <c r="AG555" s="19">
        <v>82.33</v>
      </c>
      <c r="AH555" s="19">
        <v>19.95</v>
      </c>
      <c r="AI555" s="19">
        <v>7.37</v>
      </c>
      <c r="AJ555" s="19">
        <v>398.33</v>
      </c>
      <c r="AK555" s="3">
        <f t="shared" si="75"/>
        <v>0</v>
      </c>
      <c r="AL555" s="3">
        <v>0</v>
      </c>
      <c r="AM555" s="3">
        <f t="shared" si="74"/>
        <v>0</v>
      </c>
    </row>
    <row r="556" spans="1:39">
      <c r="A556" s="7">
        <v>2004</v>
      </c>
      <c r="B556" s="7" t="s">
        <v>60</v>
      </c>
      <c r="C556" s="7">
        <v>0.25236515</v>
      </c>
      <c r="D556" s="7">
        <v>0.043117</v>
      </c>
      <c r="E556" s="7">
        <v>0.010531</v>
      </c>
      <c r="F556" s="7">
        <v>0.01948</v>
      </c>
      <c r="G556" s="7">
        <v>0.006793</v>
      </c>
      <c r="H556" s="7">
        <v>0.006313</v>
      </c>
      <c r="I556" s="7">
        <v>0.043774</v>
      </c>
      <c r="J556" s="7">
        <v>0.022499</v>
      </c>
      <c r="K556" s="16">
        <v>3908</v>
      </c>
      <c r="L556" s="17">
        <v>2541.48</v>
      </c>
      <c r="M556" s="16">
        <v>1688.49</v>
      </c>
      <c r="N556" s="7">
        <f t="shared" si="68"/>
        <v>1.53768670223649</v>
      </c>
      <c r="O556" s="7">
        <f t="shared" si="69"/>
        <v>2.31449401536284</v>
      </c>
      <c r="P556" s="8">
        <v>99301953.73</v>
      </c>
      <c r="Q556" s="8">
        <f t="shared" si="70"/>
        <v>5.88110996985472</v>
      </c>
      <c r="R556" s="9">
        <v>262.9</v>
      </c>
      <c r="S556" s="9">
        <v>1931.6</v>
      </c>
      <c r="T556" s="9">
        <v>1301.5</v>
      </c>
      <c r="U556" s="9">
        <v>10515</v>
      </c>
      <c r="V556" s="18">
        <v>0</v>
      </c>
      <c r="W556" s="18">
        <v>1</v>
      </c>
      <c r="X556" s="18">
        <f t="shared" si="71"/>
        <v>0</v>
      </c>
      <c r="Y556" s="12">
        <f t="shared" si="72"/>
        <v>3.89549779892895</v>
      </c>
      <c r="Z556" s="12">
        <f t="shared" si="73"/>
        <v>0</v>
      </c>
      <c r="AA556" s="19">
        <v>3907.74</v>
      </c>
      <c r="AB556" s="19">
        <v>3479.32</v>
      </c>
      <c r="AC556" s="19">
        <v>346.73</v>
      </c>
      <c r="AD556" s="19">
        <v>1154.76</v>
      </c>
      <c r="AE556" s="19">
        <v>77.47</v>
      </c>
      <c r="AF556" s="19">
        <v>6.8</v>
      </c>
      <c r="AG556" s="19">
        <v>105.9</v>
      </c>
      <c r="AH556" s="19">
        <v>15.48</v>
      </c>
      <c r="AI556" s="19">
        <v>8.53</v>
      </c>
      <c r="AJ556" s="19">
        <v>452</v>
      </c>
      <c r="AK556" s="3">
        <f t="shared" si="75"/>
        <v>0</v>
      </c>
      <c r="AL556" s="3">
        <v>0</v>
      </c>
      <c r="AM556" s="3">
        <f t="shared" si="74"/>
        <v>0</v>
      </c>
    </row>
    <row r="557" spans="1:39">
      <c r="A557" s="7">
        <v>2005</v>
      </c>
      <c r="B557" s="7" t="s">
        <v>60</v>
      </c>
      <c r="C557" s="7">
        <v>0.2503694</v>
      </c>
      <c r="D557" s="7">
        <v>0.044785</v>
      </c>
      <c r="E557" s="7">
        <v>0.010856</v>
      </c>
      <c r="F557" s="7">
        <v>0.019357</v>
      </c>
      <c r="G557" s="7">
        <v>0.006571</v>
      </c>
      <c r="H557" s="7">
        <v>0.008001</v>
      </c>
      <c r="I557" s="7">
        <v>0.039679</v>
      </c>
      <c r="J557" s="7">
        <v>0.020006</v>
      </c>
      <c r="K557" s="16">
        <v>4300.88</v>
      </c>
      <c r="L557" s="17">
        <v>2545.1</v>
      </c>
      <c r="M557" s="16">
        <v>1933.98</v>
      </c>
      <c r="N557" s="7">
        <f t="shared" si="68"/>
        <v>1.68986680287612</v>
      </c>
      <c r="O557" s="7">
        <f t="shared" si="69"/>
        <v>2.22384926421163</v>
      </c>
      <c r="P557" s="8">
        <v>111472901.3</v>
      </c>
      <c r="Q557" s="8">
        <f t="shared" si="70"/>
        <v>5.76391179329672</v>
      </c>
      <c r="R557" s="9">
        <v>247.8</v>
      </c>
      <c r="S557" s="9">
        <v>2389.5</v>
      </c>
      <c r="T557" s="9">
        <v>1442.1</v>
      </c>
      <c r="U557" s="9">
        <v>12195</v>
      </c>
      <c r="V557" s="18">
        <v>0</v>
      </c>
      <c r="W557" s="18">
        <v>1</v>
      </c>
      <c r="X557" s="18">
        <f t="shared" si="71"/>
        <v>0</v>
      </c>
      <c r="Y557" s="12">
        <f t="shared" si="72"/>
        <v>3.71995059106252</v>
      </c>
      <c r="Z557" s="12">
        <f t="shared" si="73"/>
        <v>0</v>
      </c>
      <c r="AA557" s="19">
        <v>4367.7</v>
      </c>
      <c r="AB557" s="19">
        <v>3750.67</v>
      </c>
      <c r="AC557" s="19">
        <v>424.41</v>
      </c>
      <c r="AD557" s="19">
        <v>1229.26</v>
      </c>
      <c r="AE557" s="19">
        <v>86.9</v>
      </c>
      <c r="AF557" s="19">
        <v>4.61</v>
      </c>
      <c r="AG557" s="19">
        <v>114.98</v>
      </c>
      <c r="AH557" s="19">
        <v>16.03</v>
      </c>
      <c r="AI557" s="19">
        <v>9.62</v>
      </c>
      <c r="AJ557" s="19">
        <v>489.48</v>
      </c>
      <c r="AK557" s="3">
        <f t="shared" si="75"/>
        <v>0</v>
      </c>
      <c r="AL557" s="3">
        <v>0</v>
      </c>
      <c r="AM557" s="3">
        <f t="shared" si="74"/>
        <v>0</v>
      </c>
    </row>
    <row r="558" spans="1:39">
      <c r="A558" s="7">
        <v>2006</v>
      </c>
      <c r="B558" s="7" t="s">
        <v>60</v>
      </c>
      <c r="C558" s="7">
        <v>0.24131334</v>
      </c>
      <c r="D558" s="7">
        <v>0.041448</v>
      </c>
      <c r="E558" s="7">
        <v>0.010486</v>
      </c>
      <c r="F558" s="7">
        <v>0.018929</v>
      </c>
      <c r="G558" s="7">
        <v>0.00584</v>
      </c>
      <c r="H558" s="7">
        <v>0.006193</v>
      </c>
      <c r="I558" s="7">
        <v>0.042993</v>
      </c>
      <c r="J558" s="7">
        <v>0.021733</v>
      </c>
      <c r="K558" s="16">
        <v>4670.33</v>
      </c>
      <c r="L558" s="17">
        <v>2546.79</v>
      </c>
      <c r="M558" s="16">
        <v>2276.7</v>
      </c>
      <c r="N558" s="7">
        <f t="shared" ref="N558:N601" si="76">K558/L558</f>
        <v>1.83381040446994</v>
      </c>
      <c r="O558" s="7">
        <f t="shared" ref="O558:O601" si="77">K558/M558</f>
        <v>2.05135942372732</v>
      </c>
      <c r="P558" s="8">
        <v>119818190.6</v>
      </c>
      <c r="Q558" s="8">
        <f t="shared" si="70"/>
        <v>5.26280101023411</v>
      </c>
      <c r="R558" s="9">
        <v>256.4</v>
      </c>
      <c r="S558" s="9">
        <v>2799.3</v>
      </c>
      <c r="T558" s="9">
        <v>1657.9</v>
      </c>
      <c r="U558" s="9">
        <v>14008</v>
      </c>
      <c r="V558" s="18">
        <v>0</v>
      </c>
      <c r="W558" s="18">
        <v>1</v>
      </c>
      <c r="X558" s="18">
        <f t="shared" si="71"/>
        <v>0</v>
      </c>
      <c r="Y558" s="12">
        <f t="shared" si="72"/>
        <v>3.57740717995078</v>
      </c>
      <c r="Z558" s="12">
        <f t="shared" si="73"/>
        <v>0</v>
      </c>
      <c r="AA558" s="19">
        <v>4743.05</v>
      </c>
      <c r="AB558" s="19">
        <v>3959.09</v>
      </c>
      <c r="AC558" s="19">
        <v>469.36</v>
      </c>
      <c r="AD558" s="19">
        <v>1323.38</v>
      </c>
      <c r="AE558" s="19">
        <v>88.03</v>
      </c>
      <c r="AF558" s="19">
        <v>4.68</v>
      </c>
      <c r="AG558" s="19">
        <v>117.61</v>
      </c>
      <c r="AH558" s="19">
        <v>14.05</v>
      </c>
      <c r="AI558" s="19">
        <v>11.97</v>
      </c>
      <c r="AJ558" s="19">
        <v>536.33</v>
      </c>
      <c r="AK558" s="3">
        <f t="shared" si="75"/>
        <v>0</v>
      </c>
      <c r="AL558" s="3">
        <v>0</v>
      </c>
      <c r="AM558" s="3">
        <f t="shared" si="74"/>
        <v>0</v>
      </c>
    </row>
    <row r="559" spans="1:39">
      <c r="A559" s="7">
        <v>2007</v>
      </c>
      <c r="B559" s="7" t="s">
        <v>60</v>
      </c>
      <c r="C559" s="7">
        <v>0.27005821</v>
      </c>
      <c r="D559" s="7">
        <v>0.045693</v>
      </c>
      <c r="E559" s="7">
        <v>0.011687</v>
      </c>
      <c r="F559" s="7">
        <v>0.020697</v>
      </c>
      <c r="G559" s="7">
        <v>0.007318</v>
      </c>
      <c r="H559" s="7">
        <v>0.005991</v>
      </c>
      <c r="I559" s="7">
        <v>0.045496</v>
      </c>
      <c r="J559" s="7">
        <v>0.024746</v>
      </c>
      <c r="K559" s="16">
        <v>5031.35</v>
      </c>
      <c r="L559" s="17">
        <v>2548.19</v>
      </c>
      <c r="M559" s="16">
        <v>2702.4</v>
      </c>
      <c r="N559" s="7">
        <f t="shared" si="76"/>
        <v>1.97447992496635</v>
      </c>
      <c r="O559" s="7">
        <f t="shared" si="77"/>
        <v>1.86180802249852</v>
      </c>
      <c r="P559" s="8">
        <v>136060794.7</v>
      </c>
      <c r="Q559" s="8">
        <f t="shared" si="70"/>
        <v>5.03481330298993</v>
      </c>
      <c r="R559" s="9">
        <v>303.5</v>
      </c>
      <c r="S559" s="9">
        <v>3602.3</v>
      </c>
      <c r="T559" s="9">
        <v>2029.8</v>
      </c>
      <c r="U559" s="9">
        <v>17542</v>
      </c>
      <c r="V559" s="18">
        <v>0</v>
      </c>
      <c r="W559" s="18">
        <v>1</v>
      </c>
      <c r="X559" s="18">
        <f t="shared" si="71"/>
        <v>0</v>
      </c>
      <c r="Y559" s="12">
        <f t="shared" si="72"/>
        <v>3.23986794305777</v>
      </c>
      <c r="Z559" s="12">
        <f t="shared" si="73"/>
        <v>0</v>
      </c>
      <c r="AA559" s="19">
        <v>5100</v>
      </c>
      <c r="AB559" s="19">
        <v>4455.19</v>
      </c>
      <c r="AC559" s="19">
        <v>561.56</v>
      </c>
      <c r="AD559" s="19">
        <v>1432.87</v>
      </c>
      <c r="AE559" s="19">
        <v>87.66</v>
      </c>
      <c r="AF559" s="19">
        <v>5.48</v>
      </c>
      <c r="AG559" s="19">
        <v>113.94</v>
      </c>
      <c r="AH559" s="19">
        <v>14.33</v>
      </c>
      <c r="AI559" s="19">
        <v>12.97</v>
      </c>
      <c r="AJ559" s="19">
        <v>614.74</v>
      </c>
      <c r="AK559" s="3">
        <f t="shared" si="75"/>
        <v>0</v>
      </c>
      <c r="AL559" s="3">
        <v>0</v>
      </c>
      <c r="AM559" s="3">
        <f t="shared" si="74"/>
        <v>0</v>
      </c>
    </row>
    <row r="560" spans="1:39">
      <c r="A560" s="7">
        <v>2008</v>
      </c>
      <c r="B560" s="7" t="s">
        <v>60</v>
      </c>
      <c r="C560" s="7">
        <v>0.26039524</v>
      </c>
      <c r="D560" s="7">
        <v>0.046551</v>
      </c>
      <c r="E560" s="7">
        <v>0.011944</v>
      </c>
      <c r="F560" s="7">
        <v>0.021037</v>
      </c>
      <c r="G560" s="7">
        <v>0.007107</v>
      </c>
      <c r="H560" s="7">
        <v>0.006463</v>
      </c>
      <c r="I560" s="7">
        <v>0.044116</v>
      </c>
      <c r="J560" s="7">
        <v>0.020206</v>
      </c>
      <c r="K560" s="16">
        <v>5264.8</v>
      </c>
      <c r="L560" s="17">
        <v>2550.88</v>
      </c>
      <c r="M560" s="16">
        <v>3166.82</v>
      </c>
      <c r="N560" s="7">
        <f t="shared" si="76"/>
        <v>2.06391519789249</v>
      </c>
      <c r="O560" s="7">
        <f t="shared" si="77"/>
        <v>1.66248792163748</v>
      </c>
      <c r="P560" s="8">
        <v>137408085.2</v>
      </c>
      <c r="Q560" s="8">
        <f t="shared" si="70"/>
        <v>4.33899259193765</v>
      </c>
      <c r="R560" s="9">
        <v>373.6</v>
      </c>
      <c r="S560" s="9">
        <v>4389</v>
      </c>
      <c r="T560" s="9">
        <v>2460.5</v>
      </c>
      <c r="U560" s="9">
        <v>21234</v>
      </c>
      <c r="V560" s="18">
        <v>0</v>
      </c>
      <c r="W560" s="18">
        <v>1</v>
      </c>
      <c r="X560" s="18">
        <f t="shared" si="71"/>
        <v>0</v>
      </c>
      <c r="Y560" s="12">
        <f t="shared" si="72"/>
        <v>2.71728515287532</v>
      </c>
      <c r="Z560" s="12">
        <f t="shared" si="73"/>
        <v>0</v>
      </c>
      <c r="AA560" s="19">
        <v>5346</v>
      </c>
      <c r="AB560" s="19">
        <v>4683</v>
      </c>
      <c r="AC560" s="19">
        <v>544.17</v>
      </c>
      <c r="AD560" s="19">
        <v>1394.36</v>
      </c>
      <c r="AE560" s="19">
        <v>50.18</v>
      </c>
      <c r="AF560" s="19">
        <v>5.51</v>
      </c>
      <c r="AG560" s="19">
        <v>168.61</v>
      </c>
      <c r="AH560" s="19">
        <v>12.73</v>
      </c>
      <c r="AI560" s="19">
        <v>12.01</v>
      </c>
      <c r="AJ560" s="19">
        <v>677.76</v>
      </c>
      <c r="AK560" s="3">
        <f t="shared" si="75"/>
        <v>0</v>
      </c>
      <c r="AL560" s="3">
        <v>0</v>
      </c>
      <c r="AM560" s="3">
        <f t="shared" si="74"/>
        <v>0</v>
      </c>
    </row>
    <row r="561" spans="1:39">
      <c r="A561" s="7">
        <v>2009</v>
      </c>
      <c r="B561" s="7" t="s">
        <v>60</v>
      </c>
      <c r="C561" s="7">
        <v>0.28691008</v>
      </c>
      <c r="D561" s="7">
        <v>0.048935</v>
      </c>
      <c r="E561" s="7">
        <v>0.011946</v>
      </c>
      <c r="F561" s="7">
        <v>0.021507</v>
      </c>
      <c r="G561" s="7">
        <v>0.008028</v>
      </c>
      <c r="H561" s="7">
        <v>0.007454</v>
      </c>
      <c r="I561" s="7">
        <v>0.04884</v>
      </c>
      <c r="J561" s="7">
        <v>0.022837</v>
      </c>
      <c r="K561" s="16">
        <v>5398</v>
      </c>
      <c r="L561" s="17">
        <v>2554.91</v>
      </c>
      <c r="M561" s="16">
        <v>3387.56</v>
      </c>
      <c r="N561" s="7">
        <f t="shared" si="76"/>
        <v>2.11279457984821</v>
      </c>
      <c r="O561" s="7">
        <f t="shared" si="77"/>
        <v>1.59347731110298</v>
      </c>
      <c r="P561" s="8">
        <v>148544233.7</v>
      </c>
      <c r="Q561" s="8">
        <f t="shared" si="70"/>
        <v>4.38499196176599</v>
      </c>
      <c r="R561" s="9">
        <v>443.5</v>
      </c>
      <c r="S561" s="9">
        <v>4091.2</v>
      </c>
      <c r="T561" s="9">
        <v>2613</v>
      </c>
      <c r="U561" s="9">
        <v>20906</v>
      </c>
      <c r="V561" s="18">
        <v>0</v>
      </c>
      <c r="W561" s="18">
        <v>1</v>
      </c>
      <c r="X561" s="18">
        <f t="shared" si="71"/>
        <v>0</v>
      </c>
      <c r="Y561" s="12">
        <f t="shared" si="72"/>
        <v>2.66960201713366</v>
      </c>
      <c r="Z561" s="12">
        <f t="shared" si="73"/>
        <v>0</v>
      </c>
      <c r="AA561" s="19">
        <v>5482</v>
      </c>
      <c r="AB561" s="19">
        <v>4479</v>
      </c>
      <c r="AC561" s="19">
        <v>540.33</v>
      </c>
      <c r="AD561" s="19">
        <v>1440.79</v>
      </c>
      <c r="AE561" s="19">
        <v>50.14</v>
      </c>
      <c r="AF561" s="19">
        <v>5.45</v>
      </c>
      <c r="AG561" s="19">
        <v>185.62</v>
      </c>
      <c r="AH561" s="19">
        <v>13.39</v>
      </c>
      <c r="AI561" s="19">
        <v>12.43</v>
      </c>
      <c r="AJ561" s="19">
        <v>705.51</v>
      </c>
      <c r="AK561" s="3">
        <f t="shared" si="75"/>
        <v>0</v>
      </c>
      <c r="AL561" s="3">
        <v>0</v>
      </c>
      <c r="AM561" s="3">
        <f t="shared" si="74"/>
        <v>0</v>
      </c>
    </row>
    <row r="562" spans="1:39">
      <c r="A562" s="7">
        <v>2010</v>
      </c>
      <c r="B562" s="7" t="s">
        <v>60</v>
      </c>
      <c r="C562" s="7">
        <v>0.28673602</v>
      </c>
      <c r="D562" s="7">
        <v>0.048455</v>
      </c>
      <c r="E562" s="7">
        <v>0.01231</v>
      </c>
      <c r="F562" s="7">
        <v>0.021168</v>
      </c>
      <c r="G562" s="7">
        <v>0.007446</v>
      </c>
      <c r="H562" s="7">
        <v>0.007531</v>
      </c>
      <c r="I562" s="7">
        <v>0.047619</v>
      </c>
      <c r="J562" s="7">
        <v>0.024373</v>
      </c>
      <c r="K562" s="16">
        <v>5829.85</v>
      </c>
      <c r="L562" s="17">
        <v>2559.98</v>
      </c>
      <c r="M562" s="16">
        <v>4120.75</v>
      </c>
      <c r="N562" s="7">
        <f t="shared" si="76"/>
        <v>2.27730294767928</v>
      </c>
      <c r="O562" s="7">
        <f t="shared" si="77"/>
        <v>1.414754595644</v>
      </c>
      <c r="P562" s="8">
        <v>164996509.7</v>
      </c>
      <c r="Q562" s="8">
        <f t="shared" si="70"/>
        <v>4.00404076199721</v>
      </c>
      <c r="R562" s="9">
        <v>510.4</v>
      </c>
      <c r="S562" s="9">
        <v>5349.6</v>
      </c>
      <c r="T562" s="9">
        <v>3043.9</v>
      </c>
      <c r="U562" s="9">
        <v>25434</v>
      </c>
      <c r="V562" s="18">
        <v>0</v>
      </c>
      <c r="W562" s="18">
        <v>1</v>
      </c>
      <c r="X562" s="18">
        <f t="shared" si="71"/>
        <v>0</v>
      </c>
      <c r="Y562" s="12">
        <f t="shared" si="72"/>
        <v>2.40850270516871</v>
      </c>
      <c r="Z562" s="12">
        <f t="shared" si="73"/>
        <v>0</v>
      </c>
      <c r="AA562" s="19">
        <v>5923.13</v>
      </c>
      <c r="AB562" s="19">
        <v>5389.57</v>
      </c>
      <c r="AC562" s="19">
        <v>541.6</v>
      </c>
      <c r="AD562" s="19">
        <v>1400.18</v>
      </c>
      <c r="AE562" s="19">
        <v>56.57</v>
      </c>
      <c r="AF562" s="19">
        <v>4.98</v>
      </c>
      <c r="AG562" s="19">
        <v>210.64</v>
      </c>
      <c r="AH562" s="19">
        <v>14.63</v>
      </c>
      <c r="AI562" s="19">
        <v>14.21</v>
      </c>
      <c r="AJ562" s="19">
        <v>804.43</v>
      </c>
      <c r="AK562" s="3">
        <f t="shared" si="75"/>
        <v>0</v>
      </c>
      <c r="AL562" s="3">
        <v>0</v>
      </c>
      <c r="AM562" s="3">
        <f t="shared" si="74"/>
        <v>0</v>
      </c>
    </row>
    <row r="563" spans="1:39">
      <c r="A563" s="7">
        <v>2011</v>
      </c>
      <c r="B563" s="7" t="s">
        <v>60</v>
      </c>
      <c r="C563" s="7">
        <v>0.29467519</v>
      </c>
      <c r="D563" s="7">
        <v>0.048823</v>
      </c>
      <c r="E563" s="7">
        <v>0.012633</v>
      </c>
      <c r="F563" s="7">
        <v>0.021814</v>
      </c>
      <c r="G563" s="7">
        <v>0.007653</v>
      </c>
      <c r="H563" s="7">
        <v>0.006723</v>
      </c>
      <c r="I563" s="7">
        <v>0.05208</v>
      </c>
      <c r="J563" s="7">
        <v>0.025143</v>
      </c>
      <c r="K563" s="16">
        <v>6393.69</v>
      </c>
      <c r="L563" s="17">
        <v>2552</v>
      </c>
      <c r="M563" s="16">
        <v>5020.37</v>
      </c>
      <c r="N563" s="7">
        <f t="shared" si="76"/>
        <v>2.5053644200627</v>
      </c>
      <c r="O563" s="7">
        <f t="shared" si="77"/>
        <v>1.27354955909624</v>
      </c>
      <c r="P563" s="8">
        <v>184266249.4</v>
      </c>
      <c r="Q563" s="8">
        <f t="shared" si="70"/>
        <v>3.67037189290829</v>
      </c>
      <c r="R563" s="9">
        <v>586.6</v>
      </c>
      <c r="S563" s="9">
        <v>6750.2</v>
      </c>
      <c r="T563" s="9">
        <v>3557.7</v>
      </c>
      <c r="U563" s="9">
        <v>30534</v>
      </c>
      <c r="V563" s="18">
        <v>0</v>
      </c>
      <c r="W563" s="18">
        <v>1</v>
      </c>
      <c r="X563" s="18">
        <f t="shared" si="71"/>
        <v>0</v>
      </c>
      <c r="Y563" s="12">
        <f t="shared" si="72"/>
        <v>2.18035126729488</v>
      </c>
      <c r="Z563" s="12">
        <f t="shared" si="73"/>
        <v>0</v>
      </c>
      <c r="AA563" s="19">
        <v>6496</v>
      </c>
      <c r="AB563" s="19">
        <v>6303</v>
      </c>
      <c r="AC563" s="19">
        <v>601.28</v>
      </c>
      <c r="AD563" s="19">
        <v>1635.77</v>
      </c>
      <c r="AE563" s="19">
        <v>58.77</v>
      </c>
      <c r="AF563" s="19">
        <v>3.72</v>
      </c>
      <c r="AG563" s="19">
        <v>222.68</v>
      </c>
      <c r="AH563" s="19">
        <v>9.42</v>
      </c>
      <c r="AI563" s="19">
        <v>15.58</v>
      </c>
      <c r="AJ563" s="19">
        <v>923</v>
      </c>
      <c r="AK563" s="3">
        <f t="shared" si="75"/>
        <v>0</v>
      </c>
      <c r="AL563" s="3">
        <v>0</v>
      </c>
      <c r="AM563" s="3">
        <f t="shared" si="74"/>
        <v>0</v>
      </c>
    </row>
    <row r="564" spans="1:39">
      <c r="A564" s="7">
        <v>2012</v>
      </c>
      <c r="B564" s="7" t="s">
        <v>60</v>
      </c>
      <c r="C564" s="7">
        <v>0.32159928</v>
      </c>
      <c r="D564" s="7">
        <v>0.054341</v>
      </c>
      <c r="E564" s="7">
        <v>0.01306</v>
      </c>
      <c r="F564" s="7">
        <v>0.023513</v>
      </c>
      <c r="G564" s="7">
        <v>0.00831</v>
      </c>
      <c r="H564" s="7">
        <v>0.009458</v>
      </c>
      <c r="I564" s="7">
        <v>0.050379</v>
      </c>
      <c r="J564" s="7">
        <v>0.025841</v>
      </c>
      <c r="K564" s="16">
        <v>6893.76</v>
      </c>
      <c r="L564" s="17">
        <v>2550</v>
      </c>
      <c r="M564" s="16">
        <v>5650.2</v>
      </c>
      <c r="N564" s="7">
        <f t="shared" si="76"/>
        <v>2.70343529411765</v>
      </c>
      <c r="O564" s="7">
        <f t="shared" si="77"/>
        <v>1.22009132420091</v>
      </c>
      <c r="P564" s="8">
        <v>188611467</v>
      </c>
      <c r="Q564" s="8">
        <f t="shared" si="70"/>
        <v>3.33813788892429</v>
      </c>
      <c r="R564" s="9">
        <v>642</v>
      </c>
      <c r="S564" s="9">
        <v>6852.7</v>
      </c>
      <c r="T564" s="9">
        <v>4188.4</v>
      </c>
      <c r="U564" s="9">
        <v>32864</v>
      </c>
      <c r="V564" s="18">
        <v>0</v>
      </c>
      <c r="W564" s="18">
        <v>1</v>
      </c>
      <c r="X564" s="18">
        <f t="shared" si="71"/>
        <v>0</v>
      </c>
      <c r="Y564" s="12">
        <f t="shared" si="72"/>
        <v>2.01609935715007</v>
      </c>
      <c r="Z564" s="12">
        <f t="shared" si="73"/>
        <v>0</v>
      </c>
      <c r="AA564" s="19">
        <v>7007.04</v>
      </c>
      <c r="AB564" s="19">
        <v>6558</v>
      </c>
      <c r="AC564" s="19">
        <v>654.07</v>
      </c>
      <c r="AD564" s="19">
        <v>1544.21</v>
      </c>
      <c r="AE564" s="19">
        <v>65.8</v>
      </c>
      <c r="AF564" s="19">
        <v>5.23</v>
      </c>
      <c r="AG564" s="19">
        <v>258.03</v>
      </c>
      <c r="AH564" s="19">
        <v>9.25</v>
      </c>
      <c r="AI564" s="19">
        <v>20.28</v>
      </c>
      <c r="AJ564" s="19">
        <v>994.56</v>
      </c>
      <c r="AK564" s="3">
        <f t="shared" si="75"/>
        <v>0</v>
      </c>
      <c r="AL564" s="3">
        <v>0</v>
      </c>
      <c r="AM564" s="3">
        <f t="shared" si="74"/>
        <v>0</v>
      </c>
    </row>
    <row r="565" spans="1:39">
      <c r="A565" s="7">
        <v>2013</v>
      </c>
      <c r="B565" s="7" t="s">
        <v>60</v>
      </c>
      <c r="C565" s="7">
        <v>0.32295645</v>
      </c>
      <c r="D565" s="7">
        <v>0.051688</v>
      </c>
      <c r="E565" s="7">
        <v>0.012624</v>
      </c>
      <c r="F565" s="7">
        <v>0.022974</v>
      </c>
      <c r="G565" s="7">
        <v>0.00692</v>
      </c>
      <c r="H565" s="7">
        <v>0.009169</v>
      </c>
      <c r="I565" s="7">
        <v>0.056179</v>
      </c>
      <c r="J565" s="7">
        <v>0.02816</v>
      </c>
      <c r="K565" s="16">
        <v>7286.72</v>
      </c>
      <c r="L565" s="17">
        <v>2537</v>
      </c>
      <c r="M565" s="16">
        <v>6330.69</v>
      </c>
      <c r="N565" s="7">
        <f t="shared" si="76"/>
        <v>2.87217973985022</v>
      </c>
      <c r="O565" s="7">
        <f t="shared" si="77"/>
        <v>1.15101513421128</v>
      </c>
      <c r="P565" s="8">
        <v>195370475.5</v>
      </c>
      <c r="Q565" s="8">
        <f t="shared" si="70"/>
        <v>3.08608501600931</v>
      </c>
      <c r="R565" s="9">
        <v>697.6</v>
      </c>
      <c r="S565" s="9">
        <v>6684.3</v>
      </c>
      <c r="T565" s="9">
        <v>4605.3</v>
      </c>
      <c r="U565" s="9">
        <v>33848</v>
      </c>
      <c r="V565" s="18">
        <v>0</v>
      </c>
      <c r="W565" s="18">
        <v>1</v>
      </c>
      <c r="X565" s="18">
        <f t="shared" si="71"/>
        <v>0</v>
      </c>
      <c r="Y565" s="12">
        <f t="shared" si="72"/>
        <v>1.91398219724656</v>
      </c>
      <c r="Z565" s="12">
        <f t="shared" si="73"/>
        <v>0</v>
      </c>
      <c r="AA565" s="19">
        <v>7287</v>
      </c>
      <c r="AB565" s="19">
        <v>6541.07</v>
      </c>
      <c r="AC565" s="19">
        <v>666.72</v>
      </c>
      <c r="AD565" s="19">
        <v>1575.63</v>
      </c>
      <c r="AE565" s="19">
        <v>122.89</v>
      </c>
      <c r="AF565" s="19">
        <v>5.1</v>
      </c>
      <c r="AG565" s="19">
        <v>375.35</v>
      </c>
      <c r="AH565" s="19">
        <v>4.29</v>
      </c>
      <c r="AI565" s="19">
        <v>23.23</v>
      </c>
      <c r="AJ565" s="19">
        <v>1073.25</v>
      </c>
      <c r="AK565" s="3">
        <f t="shared" si="75"/>
        <v>1</v>
      </c>
      <c r="AL565" s="3">
        <v>0</v>
      </c>
      <c r="AM565" s="3">
        <f t="shared" si="74"/>
        <v>0</v>
      </c>
    </row>
    <row r="566" spans="1:39">
      <c r="A566" s="7">
        <v>2014</v>
      </c>
      <c r="B566" s="7" t="s">
        <v>60</v>
      </c>
      <c r="C566" s="7">
        <v>0.34765399</v>
      </c>
      <c r="D566" s="7">
        <v>0.056959</v>
      </c>
      <c r="E566" s="7">
        <v>0.013301</v>
      </c>
      <c r="F566" s="7">
        <v>0.024946</v>
      </c>
      <c r="G566" s="7">
        <v>0.008572</v>
      </c>
      <c r="H566" s="7">
        <v>0.01014</v>
      </c>
      <c r="I566" s="7">
        <v>0.058763</v>
      </c>
      <c r="J566" s="7">
        <v>0.026871</v>
      </c>
      <c r="K566" s="16">
        <v>7521.45</v>
      </c>
      <c r="L566" s="17">
        <v>2531</v>
      </c>
      <c r="M566" s="16">
        <v>6836.82</v>
      </c>
      <c r="N566" s="7">
        <f t="shared" si="76"/>
        <v>2.97173054128803</v>
      </c>
      <c r="O566" s="7">
        <f t="shared" si="77"/>
        <v>1.10013866095641</v>
      </c>
      <c r="P566" s="8">
        <v>193386326.4</v>
      </c>
      <c r="Q566" s="8">
        <f t="shared" si="70"/>
        <v>2.82860052480539</v>
      </c>
      <c r="R566" s="9">
        <v>736.6</v>
      </c>
      <c r="S566" s="9">
        <v>6378</v>
      </c>
      <c r="T566" s="9">
        <v>4980.1</v>
      </c>
      <c r="U566" s="9">
        <v>34248</v>
      </c>
      <c r="V566" s="18">
        <v>0</v>
      </c>
      <c r="W566" s="18">
        <v>1</v>
      </c>
      <c r="X566" s="18">
        <f t="shared" si="71"/>
        <v>0</v>
      </c>
      <c r="Y566" s="12">
        <f t="shared" si="72"/>
        <v>1.79640226266579</v>
      </c>
      <c r="Z566" s="12">
        <f t="shared" si="73"/>
        <v>0</v>
      </c>
      <c r="AA566" s="19">
        <v>7521.45</v>
      </c>
      <c r="AB566" s="19">
        <v>6715.87</v>
      </c>
      <c r="AC566" s="19">
        <v>692.97</v>
      </c>
      <c r="AD566" s="19">
        <v>1467.85</v>
      </c>
      <c r="AE566" s="19">
        <v>128.98</v>
      </c>
      <c r="AF566" s="19">
        <v>5.62</v>
      </c>
      <c r="AG566" s="19">
        <v>374.8</v>
      </c>
      <c r="AH566" s="19">
        <v>7.05</v>
      </c>
      <c r="AI566" s="19">
        <v>25.2</v>
      </c>
      <c r="AJ566" s="19">
        <v>1095.48</v>
      </c>
      <c r="AK566" s="3">
        <f t="shared" si="75"/>
        <v>1</v>
      </c>
      <c r="AL566" s="3">
        <v>0</v>
      </c>
      <c r="AM566" s="3">
        <f t="shared" si="74"/>
        <v>0</v>
      </c>
    </row>
    <row r="567" spans="1:39">
      <c r="A567" s="7">
        <v>2015</v>
      </c>
      <c r="B567" s="7" t="s">
        <v>60</v>
      </c>
      <c r="C567" s="7">
        <v>0.38470238</v>
      </c>
      <c r="D567" s="7">
        <v>0.066018</v>
      </c>
      <c r="E567" s="7">
        <v>0.016667</v>
      </c>
      <c r="F567" s="7">
        <v>0.030236</v>
      </c>
      <c r="G567" s="7">
        <v>0.009248</v>
      </c>
      <c r="H567" s="7">
        <v>0.009868</v>
      </c>
      <c r="I567" s="7">
        <v>0.059973</v>
      </c>
      <c r="J567" s="7">
        <v>0.028189</v>
      </c>
      <c r="K567" s="16">
        <v>7488.5</v>
      </c>
      <c r="L567" s="17">
        <v>2523</v>
      </c>
      <c r="M567" s="16">
        <v>6790.3169</v>
      </c>
      <c r="N567" s="7">
        <f t="shared" si="76"/>
        <v>2.96809353943718</v>
      </c>
      <c r="O567" s="7">
        <f t="shared" si="77"/>
        <v>1.1028204000317</v>
      </c>
      <c r="P567" s="8">
        <v>192843229.2</v>
      </c>
      <c r="Q567" s="8">
        <f t="shared" si="70"/>
        <v>2.83997392227747</v>
      </c>
      <c r="R567" s="9">
        <v>726.2</v>
      </c>
      <c r="S567" s="9">
        <v>5219.7</v>
      </c>
      <c r="T567" s="9">
        <v>5890.5</v>
      </c>
      <c r="U567" s="9">
        <v>33593</v>
      </c>
      <c r="V567" s="18">
        <v>0</v>
      </c>
      <c r="W567" s="18">
        <v>1</v>
      </c>
      <c r="X567" s="18">
        <f t="shared" si="71"/>
        <v>0</v>
      </c>
      <c r="Y567" s="12">
        <f t="shared" si="72"/>
        <v>1.71577514742415</v>
      </c>
      <c r="Z567" s="12">
        <f t="shared" si="73"/>
        <v>0</v>
      </c>
      <c r="AA567" s="19">
        <v>7489</v>
      </c>
      <c r="AB567" s="19">
        <v>6585.06</v>
      </c>
      <c r="AC567" s="19">
        <v>590</v>
      </c>
      <c r="AD567" s="19">
        <v>1446.5</v>
      </c>
      <c r="AE567" s="19">
        <v>171.2</v>
      </c>
      <c r="AF567" s="19">
        <v>5.86</v>
      </c>
      <c r="AG567" s="19">
        <v>299.5</v>
      </c>
      <c r="AH567" s="19">
        <v>4.97</v>
      </c>
      <c r="AI567" s="19">
        <v>26.04</v>
      </c>
      <c r="AJ567" s="19">
        <v>1099</v>
      </c>
      <c r="AK567" s="3">
        <f t="shared" si="75"/>
        <v>1</v>
      </c>
      <c r="AL567" s="3">
        <v>0</v>
      </c>
      <c r="AM567" s="3">
        <f t="shared" si="74"/>
        <v>0</v>
      </c>
    </row>
    <row r="568" spans="1:39">
      <c r="A568" s="7">
        <v>2016</v>
      </c>
      <c r="B568" s="7" t="s">
        <v>60</v>
      </c>
      <c r="C568" s="7">
        <v>0.34747073</v>
      </c>
      <c r="D568" s="7">
        <v>0.058785</v>
      </c>
      <c r="E568" s="7">
        <v>0.015787</v>
      </c>
      <c r="F568" s="7">
        <v>0.026695</v>
      </c>
      <c r="G568" s="7">
        <v>0.008462</v>
      </c>
      <c r="H568" s="7">
        <v>0.007841</v>
      </c>
      <c r="I568" s="7">
        <v>0.056187</v>
      </c>
      <c r="J568" s="7">
        <v>0.028052</v>
      </c>
      <c r="K568" s="16">
        <v>7299.93</v>
      </c>
      <c r="L568" s="17">
        <v>2520</v>
      </c>
      <c r="M568" s="16">
        <v>7200.37</v>
      </c>
      <c r="N568" s="7">
        <f t="shared" si="76"/>
        <v>2.89679761904762</v>
      </c>
      <c r="O568" s="7">
        <f t="shared" si="77"/>
        <v>1.01382706722016</v>
      </c>
      <c r="P568" s="8">
        <v>190351747.2</v>
      </c>
      <c r="Q568" s="8">
        <f t="shared" si="70"/>
        <v>2.643638413026</v>
      </c>
      <c r="R568" s="9">
        <v>724.3</v>
      </c>
      <c r="S568" s="9">
        <v>5113.6</v>
      </c>
      <c r="T568" s="9">
        <v>6108.5</v>
      </c>
      <c r="U568" s="9">
        <v>33972</v>
      </c>
      <c r="V568" s="18">
        <v>0</v>
      </c>
      <c r="W568" s="18">
        <v>1</v>
      </c>
      <c r="X568" s="18">
        <f t="shared" si="71"/>
        <v>0</v>
      </c>
      <c r="Y568" s="12">
        <f t="shared" si="72"/>
        <v>1.62438398605541</v>
      </c>
      <c r="Z568" s="12">
        <f t="shared" si="73"/>
        <v>0</v>
      </c>
      <c r="AA568" s="19">
        <v>7300</v>
      </c>
      <c r="AB568" s="19">
        <v>6348.4</v>
      </c>
      <c r="AC568" s="19">
        <v>503.86</v>
      </c>
      <c r="AD568" s="19">
        <v>1367.29</v>
      </c>
      <c r="AE568" s="19">
        <v>210.55</v>
      </c>
      <c r="AF568" s="19">
        <v>8.16</v>
      </c>
      <c r="AG568" s="19">
        <v>305.95</v>
      </c>
      <c r="AH568" s="19">
        <v>3.33</v>
      </c>
      <c r="AI568" s="19">
        <v>26.4</v>
      </c>
      <c r="AJ568" s="19">
        <v>1065.15</v>
      </c>
      <c r="AK568" s="3">
        <f t="shared" si="75"/>
        <v>1</v>
      </c>
      <c r="AL568" s="3">
        <v>0</v>
      </c>
      <c r="AM568" s="3">
        <f t="shared" si="74"/>
        <v>0</v>
      </c>
    </row>
    <row r="569" spans="1:39">
      <c r="A569" s="7">
        <v>2017</v>
      </c>
      <c r="B569" s="7" t="s">
        <v>60</v>
      </c>
      <c r="C569" s="7">
        <v>0.40895837</v>
      </c>
      <c r="D569" s="7">
        <v>0.066642</v>
      </c>
      <c r="E569" s="7">
        <v>0.015849</v>
      </c>
      <c r="F569" s="7">
        <v>0.029475</v>
      </c>
      <c r="G569" s="7">
        <v>0.009977</v>
      </c>
      <c r="H569" s="7">
        <v>0.011341</v>
      </c>
      <c r="I569" s="7">
        <v>0.063333</v>
      </c>
      <c r="J569" s="7">
        <v>0.032766</v>
      </c>
      <c r="K569" s="16">
        <v>7503.63</v>
      </c>
      <c r="L569" s="17">
        <v>2522</v>
      </c>
      <c r="M569" s="16">
        <v>7459.89953</v>
      </c>
      <c r="N569" s="7">
        <f t="shared" si="76"/>
        <v>2.97526962727994</v>
      </c>
      <c r="O569" s="7">
        <f t="shared" si="77"/>
        <v>1.00586207224697</v>
      </c>
      <c r="P569" s="8">
        <v>197718802.7</v>
      </c>
      <c r="Q569" s="8">
        <f t="shared" si="70"/>
        <v>2.65042179060017</v>
      </c>
      <c r="R569" s="9">
        <v>719.2</v>
      </c>
      <c r="S569" s="9">
        <v>6635.3</v>
      </c>
      <c r="T569" s="9">
        <v>7129.8</v>
      </c>
      <c r="U569" s="9">
        <v>41242</v>
      </c>
      <c r="V569" s="18">
        <v>0</v>
      </c>
      <c r="W569" s="18">
        <v>1</v>
      </c>
      <c r="X569" s="18">
        <f t="shared" si="71"/>
        <v>0</v>
      </c>
      <c r="Y569" s="12">
        <f t="shared" si="72"/>
        <v>1.56738551218677</v>
      </c>
      <c r="Z569" s="12">
        <f t="shared" si="73"/>
        <v>0</v>
      </c>
      <c r="AA569" s="19">
        <v>7504</v>
      </c>
      <c r="AB569" s="19">
        <v>6336.36</v>
      </c>
      <c r="AC569" s="19">
        <v>457.89</v>
      </c>
      <c r="AD569" s="19">
        <v>1460.11</v>
      </c>
      <c r="AE569" s="19">
        <v>211.28</v>
      </c>
      <c r="AF569" s="19">
        <v>8.02</v>
      </c>
      <c r="AG569" s="19">
        <v>304.26</v>
      </c>
      <c r="AH569" s="19">
        <v>2.87</v>
      </c>
      <c r="AI569" s="19">
        <v>28.91</v>
      </c>
      <c r="AJ569" s="19">
        <v>1164.37</v>
      </c>
      <c r="AK569" s="3">
        <f t="shared" si="75"/>
        <v>1</v>
      </c>
      <c r="AL569" s="3">
        <v>0</v>
      </c>
      <c r="AM569" s="3">
        <f t="shared" si="74"/>
        <v>0</v>
      </c>
    </row>
    <row r="570" spans="1:39">
      <c r="A570" s="7">
        <v>2018</v>
      </c>
      <c r="B570" s="7" t="s">
        <v>60</v>
      </c>
      <c r="C570" s="7">
        <v>0.36476614</v>
      </c>
      <c r="D570" s="7">
        <v>0.060916</v>
      </c>
      <c r="E570" s="7">
        <v>0.015966</v>
      </c>
      <c r="F570" s="7">
        <v>0.027302</v>
      </c>
      <c r="G570" s="7">
        <v>0.009101</v>
      </c>
      <c r="H570" s="7">
        <v>0.008548</v>
      </c>
      <c r="I570" s="7">
        <v>0.061055</v>
      </c>
      <c r="J570" s="7">
        <v>0.027832</v>
      </c>
      <c r="K570" s="16">
        <v>7822.54</v>
      </c>
      <c r="L570" s="17">
        <v>2515</v>
      </c>
      <c r="M570" s="16">
        <v>8246.07</v>
      </c>
      <c r="N570" s="7">
        <f t="shared" si="76"/>
        <v>3.11035387673956</v>
      </c>
      <c r="O570" s="7">
        <f t="shared" si="77"/>
        <v>0.94863856358241</v>
      </c>
      <c r="P570" s="8">
        <v>203625777.5</v>
      </c>
      <c r="Q570" s="8">
        <f t="shared" si="70"/>
        <v>2.46936755933433</v>
      </c>
      <c r="R570" s="9">
        <v>740.8</v>
      </c>
      <c r="S570" s="9">
        <v>7074.5</v>
      </c>
      <c r="T570" s="9">
        <v>8142.9</v>
      </c>
      <c r="U570" s="9">
        <v>45517</v>
      </c>
      <c r="V570" s="18">
        <v>0</v>
      </c>
      <c r="W570" s="18">
        <v>1</v>
      </c>
      <c r="X570" s="18">
        <f t="shared" si="71"/>
        <v>0</v>
      </c>
      <c r="Y570" s="12">
        <f t="shared" si="72"/>
        <v>1.51591455826218</v>
      </c>
      <c r="Z570" s="12">
        <f t="shared" si="73"/>
        <v>0</v>
      </c>
      <c r="AA570" s="19">
        <v>7823</v>
      </c>
      <c r="AB570" s="19">
        <v>6819.03</v>
      </c>
      <c r="AC570" s="19">
        <v>476.83</v>
      </c>
      <c r="AD570" s="19">
        <v>1453.98</v>
      </c>
      <c r="AE570" s="19">
        <v>202.48</v>
      </c>
      <c r="AF570" s="19">
        <v>9.8</v>
      </c>
      <c r="AG570" s="19">
        <v>289.55</v>
      </c>
      <c r="AH570" s="19">
        <v>3.84</v>
      </c>
      <c r="AI570" s="19">
        <v>31.17</v>
      </c>
      <c r="AJ570" s="19">
        <v>1289.52</v>
      </c>
      <c r="AK570" s="3">
        <f t="shared" si="75"/>
        <v>1</v>
      </c>
      <c r="AL570" s="3">
        <v>0</v>
      </c>
      <c r="AM570" s="3">
        <f t="shared" si="74"/>
        <v>0</v>
      </c>
    </row>
    <row r="571" spans="1:39">
      <c r="A571" s="7">
        <v>2019</v>
      </c>
      <c r="B571" s="7" t="s">
        <v>60</v>
      </c>
      <c r="C571" s="7">
        <v>0.38716054</v>
      </c>
      <c r="D571" s="7">
        <v>0.061476</v>
      </c>
      <c r="E571" s="7">
        <v>0.014731</v>
      </c>
      <c r="F571" s="7">
        <v>0.027122</v>
      </c>
      <c r="G571" s="7">
        <v>0.009296</v>
      </c>
      <c r="H571" s="7">
        <v>0.010328</v>
      </c>
      <c r="I571" s="7">
        <v>0.064042</v>
      </c>
      <c r="J571" s="7">
        <v>0.032375</v>
      </c>
      <c r="K571" s="16">
        <v>7760.76</v>
      </c>
      <c r="L571" s="17">
        <v>2509</v>
      </c>
      <c r="M571" s="16">
        <v>8718.3</v>
      </c>
      <c r="N571" s="7">
        <f t="shared" si="76"/>
        <v>3.09316859306497</v>
      </c>
      <c r="O571" s="7">
        <f t="shared" si="77"/>
        <v>0.890168954956815</v>
      </c>
      <c r="P571" s="8">
        <v>206880301.6</v>
      </c>
      <c r="Q571" s="8">
        <f t="shared" si="70"/>
        <v>2.37294313799709</v>
      </c>
      <c r="R571" s="9">
        <v>825.3</v>
      </c>
      <c r="S571" s="9">
        <v>7466.3</v>
      </c>
      <c r="T571" s="9">
        <v>8670</v>
      </c>
      <c r="U571" s="9">
        <v>48469</v>
      </c>
      <c r="V571" s="18">
        <v>1</v>
      </c>
      <c r="W571" s="18">
        <v>1</v>
      </c>
      <c r="X571" s="18">
        <f t="shared" si="71"/>
        <v>1</v>
      </c>
      <c r="Y571" s="12">
        <f t="shared" si="72"/>
        <v>1.5000536746505</v>
      </c>
      <c r="Z571" s="12">
        <f t="shared" si="73"/>
        <v>0</v>
      </c>
      <c r="AA571" s="19">
        <v>7818</v>
      </c>
      <c r="AB571" s="19">
        <v>6810.16</v>
      </c>
      <c r="AC571" s="19">
        <v>525.68</v>
      </c>
      <c r="AD571" s="19">
        <v>1479.96</v>
      </c>
      <c r="AE571" s="19">
        <v>208.78</v>
      </c>
      <c r="AF571" s="19">
        <v>10.49</v>
      </c>
      <c r="AG571" s="19">
        <v>281.82</v>
      </c>
      <c r="AH571" s="19">
        <v>3.47</v>
      </c>
      <c r="AI571" s="19">
        <v>32.93</v>
      </c>
      <c r="AJ571" s="19">
        <v>1288.05</v>
      </c>
      <c r="AK571" s="3">
        <f t="shared" si="75"/>
        <v>1</v>
      </c>
      <c r="AL571" s="3">
        <v>0</v>
      </c>
      <c r="AM571" s="3">
        <f t="shared" si="74"/>
        <v>0</v>
      </c>
    </row>
    <row r="572" spans="1:39">
      <c r="A572" s="7">
        <v>2020</v>
      </c>
      <c r="B572" s="7" t="s">
        <v>60</v>
      </c>
      <c r="C572" s="7">
        <v>0.39762074</v>
      </c>
      <c r="D572" s="7">
        <v>0.06382</v>
      </c>
      <c r="E572" s="7">
        <v>0.016122</v>
      </c>
      <c r="F572" s="7">
        <v>0.028222</v>
      </c>
      <c r="G572" s="7">
        <v>0.008773</v>
      </c>
      <c r="H572" s="7">
        <v>0.010702</v>
      </c>
      <c r="I572" s="7">
        <v>0.063548</v>
      </c>
      <c r="J572" s="7">
        <v>0.033419</v>
      </c>
      <c r="K572" s="16">
        <v>8057.21</v>
      </c>
      <c r="L572" s="17">
        <v>2500.51</v>
      </c>
      <c r="M572" s="16">
        <v>9016.7</v>
      </c>
      <c r="N572" s="7">
        <f t="shared" si="76"/>
        <v>3.22222666576018</v>
      </c>
      <c r="O572" s="7">
        <f t="shared" si="77"/>
        <v>0.893587454390187</v>
      </c>
      <c r="P572" s="8">
        <v>211320936</v>
      </c>
      <c r="Q572" s="8">
        <f t="shared" si="70"/>
        <v>2.34366160568722</v>
      </c>
      <c r="R572" s="9">
        <v>1166.6</v>
      </c>
      <c r="S572" s="9">
        <v>7703.2</v>
      </c>
      <c r="T572" s="9">
        <v>8965.8</v>
      </c>
      <c r="U572" s="9">
        <v>51051</v>
      </c>
      <c r="V572" s="18">
        <v>1</v>
      </c>
      <c r="W572" s="18">
        <v>1</v>
      </c>
      <c r="X572" s="18">
        <f t="shared" si="71"/>
        <v>1</v>
      </c>
      <c r="Y572" s="12">
        <f t="shared" si="72"/>
        <v>1.47141701078949</v>
      </c>
      <c r="Z572" s="12">
        <f t="shared" si="73"/>
        <v>0</v>
      </c>
      <c r="AA572" s="19">
        <v>8104.71</v>
      </c>
      <c r="AB572" s="19">
        <v>7245.45</v>
      </c>
      <c r="AC572" s="19">
        <v>582.27</v>
      </c>
      <c r="AD572" s="19">
        <v>1483.92</v>
      </c>
      <c r="AE572" s="19">
        <v>209.57</v>
      </c>
      <c r="AF572" s="19">
        <v>7.6</v>
      </c>
      <c r="AG572" s="19">
        <v>281.55</v>
      </c>
      <c r="AH572" s="19">
        <v>2.23</v>
      </c>
      <c r="AI572" s="19">
        <v>35.38</v>
      </c>
      <c r="AJ572" s="19">
        <v>1376</v>
      </c>
      <c r="AK572" s="3">
        <f t="shared" si="75"/>
        <v>1</v>
      </c>
      <c r="AL572" s="3">
        <v>0</v>
      </c>
      <c r="AM572" s="3">
        <f t="shared" si="74"/>
        <v>0</v>
      </c>
    </row>
    <row r="573" spans="1:39">
      <c r="A573" s="7">
        <v>2021</v>
      </c>
      <c r="B573" s="7" t="s">
        <v>60</v>
      </c>
      <c r="C573" s="7">
        <v>0.42114543</v>
      </c>
      <c r="D573" s="7">
        <v>0.069246</v>
      </c>
      <c r="E573" s="7">
        <v>0.017748</v>
      </c>
      <c r="F573" s="7">
        <v>0.031505</v>
      </c>
      <c r="G573" s="7">
        <v>0.010341</v>
      </c>
      <c r="H573" s="7">
        <v>0.009652</v>
      </c>
      <c r="I573" s="7">
        <v>0.06777</v>
      </c>
      <c r="J573" s="7">
        <v>0.032804</v>
      </c>
      <c r="K573" s="16">
        <v>8359.68</v>
      </c>
      <c r="L573" s="17">
        <v>2490</v>
      </c>
      <c r="M573" s="16">
        <v>10243.3</v>
      </c>
      <c r="N573" s="7">
        <f t="shared" si="76"/>
        <v>3.35730120481928</v>
      </c>
      <c r="O573" s="7">
        <f t="shared" si="77"/>
        <v>0.816111995157811</v>
      </c>
      <c r="P573" s="8">
        <v>223043051.2</v>
      </c>
      <c r="Q573" s="8">
        <f t="shared" si="70"/>
        <v>2.17745307859772</v>
      </c>
      <c r="R573" s="9">
        <v>1286.9</v>
      </c>
      <c r="S573" s="9">
        <v>11578.1</v>
      </c>
      <c r="T573" s="9">
        <v>10005.4</v>
      </c>
      <c r="U573" s="9">
        <v>65625</v>
      </c>
      <c r="V573" s="18">
        <v>1</v>
      </c>
      <c r="W573" s="18">
        <v>1</v>
      </c>
      <c r="X573" s="18">
        <f t="shared" si="71"/>
        <v>1</v>
      </c>
      <c r="Y573" s="12">
        <f t="shared" si="72"/>
        <v>1.36781889095748</v>
      </c>
      <c r="Z573" s="12">
        <f t="shared" si="73"/>
        <v>0</v>
      </c>
      <c r="AA573" s="19">
        <v>8434.23</v>
      </c>
      <c r="AB573" s="19">
        <v>8022.49</v>
      </c>
      <c r="AC573" s="19">
        <v>595.19</v>
      </c>
      <c r="AD573" s="19">
        <v>1487.54</v>
      </c>
      <c r="AE573" s="19">
        <v>223.71</v>
      </c>
      <c r="AF573" s="19">
        <v>7.53</v>
      </c>
      <c r="AG573" s="19">
        <v>249.14</v>
      </c>
      <c r="AH573" s="19">
        <v>1.67</v>
      </c>
      <c r="AI573" s="19">
        <v>37.49</v>
      </c>
      <c r="AJ573" s="19">
        <v>1495</v>
      </c>
      <c r="AK573" s="3">
        <f t="shared" si="75"/>
        <v>1</v>
      </c>
      <c r="AL573" s="3">
        <v>0</v>
      </c>
      <c r="AM573" s="3">
        <f t="shared" si="74"/>
        <v>0</v>
      </c>
    </row>
    <row r="574" spans="1:39">
      <c r="A574" s="7">
        <v>2022</v>
      </c>
      <c r="B574" s="7" t="s">
        <v>60</v>
      </c>
      <c r="C574" s="7">
        <v>0.43042765</v>
      </c>
      <c r="D574" s="7">
        <v>0.068584</v>
      </c>
      <c r="E574" s="7">
        <v>0.016908</v>
      </c>
      <c r="F574" s="7">
        <v>0.030621</v>
      </c>
      <c r="G574" s="7">
        <v>0.00937</v>
      </c>
      <c r="H574" s="7">
        <v>0.011685</v>
      </c>
      <c r="I574" s="7">
        <v>0.068319</v>
      </c>
      <c r="J574" s="7">
        <v>0.035717</v>
      </c>
      <c r="K574" s="16">
        <v>8576.64</v>
      </c>
      <c r="L574" s="17">
        <v>2492</v>
      </c>
      <c r="M574" s="16">
        <v>11201.6</v>
      </c>
      <c r="N574" s="7">
        <f t="shared" si="76"/>
        <v>3.44166934189406</v>
      </c>
      <c r="O574" s="7">
        <f t="shared" si="77"/>
        <v>0.765662048278817</v>
      </c>
      <c r="P574" s="8">
        <v>220989095.4</v>
      </c>
      <c r="Q574" s="8">
        <f t="shared" si="70"/>
        <v>1.97283508963005</v>
      </c>
      <c r="R574" s="9">
        <v>1335.3</v>
      </c>
      <c r="S574" s="9">
        <v>13848.5</v>
      </c>
      <c r="T574" s="9">
        <v>10400</v>
      </c>
      <c r="U574" s="9">
        <v>73506</v>
      </c>
      <c r="V574" s="18">
        <v>1</v>
      </c>
      <c r="W574" s="18">
        <v>1</v>
      </c>
      <c r="X574" s="18">
        <f t="shared" si="71"/>
        <v>1</v>
      </c>
      <c r="Y574" s="12">
        <f t="shared" si="72"/>
        <v>1.27047633725244</v>
      </c>
      <c r="Z574" s="12">
        <f t="shared" si="73"/>
        <v>0</v>
      </c>
      <c r="AA574" s="19">
        <v>8667.89</v>
      </c>
      <c r="AB574" s="19">
        <v>8731.79</v>
      </c>
      <c r="AC574" s="19">
        <v>613.78</v>
      </c>
      <c r="AD574" s="19">
        <v>1471.87</v>
      </c>
      <c r="AE574" s="19">
        <v>191.13</v>
      </c>
      <c r="AF574" s="19">
        <v>7.53</v>
      </c>
      <c r="AG574" s="19">
        <v>290.16</v>
      </c>
      <c r="AH574" s="19">
        <v>1.4</v>
      </c>
      <c r="AI574" s="19">
        <v>39.01</v>
      </c>
      <c r="AJ574" s="19">
        <v>1500.69</v>
      </c>
      <c r="AK574" s="3">
        <f t="shared" si="75"/>
        <v>1</v>
      </c>
      <c r="AL574" s="3">
        <v>0</v>
      </c>
      <c r="AM574" s="3">
        <f t="shared" si="74"/>
        <v>0</v>
      </c>
    </row>
    <row r="575" spans="1:39">
      <c r="A575" s="7">
        <v>2023</v>
      </c>
      <c r="B575" s="7" t="s">
        <v>60</v>
      </c>
      <c r="C575" s="7">
        <v>0.49900512</v>
      </c>
      <c r="D575" s="7">
        <v>0.070847</v>
      </c>
      <c r="E575" s="7">
        <v>0.018993</v>
      </c>
      <c r="F575" s="7">
        <v>0.032662</v>
      </c>
      <c r="G575" s="7">
        <v>0.011324</v>
      </c>
      <c r="H575" s="7">
        <v>0.016643</v>
      </c>
      <c r="I575" s="7">
        <v>0.071793</v>
      </c>
      <c r="J575" s="7">
        <v>0.041556</v>
      </c>
      <c r="K575" s="16">
        <v>8988.74</v>
      </c>
      <c r="L575" s="17">
        <v>2465</v>
      </c>
      <c r="M575" s="16">
        <v>11863.8</v>
      </c>
      <c r="N575" s="7">
        <f t="shared" si="76"/>
        <v>3.6465476673428</v>
      </c>
      <c r="O575" s="7">
        <f t="shared" si="77"/>
        <v>0.757661120383014</v>
      </c>
      <c r="P575" s="8">
        <v>237460165.4</v>
      </c>
      <c r="Q575" s="8">
        <f t="shared" si="70"/>
        <v>2.00155233061919</v>
      </c>
      <c r="R575" s="9">
        <v>1388.9</v>
      </c>
      <c r="S575" s="9">
        <v>13329.7</v>
      </c>
      <c r="T575" s="9">
        <v>10979.6</v>
      </c>
      <c r="U575" s="9">
        <v>73984</v>
      </c>
      <c r="V575" s="18">
        <v>1</v>
      </c>
      <c r="W575" s="18">
        <v>1</v>
      </c>
      <c r="X575" s="18">
        <f t="shared" si="71"/>
        <v>1</v>
      </c>
      <c r="Y575" s="12">
        <f t="shared" si="72"/>
        <v>1.2756783895882</v>
      </c>
      <c r="Z575" s="12">
        <f t="shared" si="73"/>
        <v>0</v>
      </c>
      <c r="AA575" s="12"/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3">
        <f t="shared" si="75"/>
        <v>1</v>
      </c>
      <c r="AL575" s="3">
        <v>0</v>
      </c>
      <c r="AM575" s="3">
        <f t="shared" si="74"/>
        <v>0</v>
      </c>
    </row>
    <row r="576" spans="1:39">
      <c r="A576" s="7">
        <v>2024</v>
      </c>
      <c r="B576" s="7" t="s">
        <v>60</v>
      </c>
      <c r="C576" s="7">
        <v>0.53514702</v>
      </c>
      <c r="D576" s="7">
        <v>0.073054</v>
      </c>
      <c r="E576" s="7">
        <v>0.01973</v>
      </c>
      <c r="F576" s="7">
        <v>0.033896</v>
      </c>
      <c r="G576" s="7">
        <v>0.011909</v>
      </c>
      <c r="H576" s="7">
        <v>0.019243</v>
      </c>
      <c r="I576" s="7">
        <v>0.074185</v>
      </c>
      <c r="J576" s="7">
        <v>0.045124</v>
      </c>
      <c r="K576" s="16">
        <v>9372.06975878091</v>
      </c>
      <c r="L576" s="17">
        <v>2458</v>
      </c>
      <c r="M576" s="16">
        <v>13002.9</v>
      </c>
      <c r="N576" s="7">
        <f t="shared" si="76"/>
        <v>3.81288436077336</v>
      </c>
      <c r="O576" s="7">
        <f t="shared" si="77"/>
        <v>0.720767656352115</v>
      </c>
      <c r="P576" s="8">
        <v>244890779.1</v>
      </c>
      <c r="Q576" s="8">
        <f t="shared" si="70"/>
        <v>1.88335509078744</v>
      </c>
      <c r="R576" s="9">
        <v>1392.5</v>
      </c>
      <c r="S576" s="9">
        <v>11021.5</v>
      </c>
      <c r="T576" s="9">
        <v>13080.7</v>
      </c>
      <c r="U576" s="9">
        <v>73769</v>
      </c>
      <c r="V576" s="18">
        <v>1</v>
      </c>
      <c r="W576" s="18">
        <v>1</v>
      </c>
      <c r="X576" s="18">
        <f t="shared" si="71"/>
        <v>1</v>
      </c>
      <c r="Y576" s="12">
        <f t="shared" si="72"/>
        <v>1.21200651315194</v>
      </c>
      <c r="Z576" s="12">
        <f t="shared" si="73"/>
        <v>0</v>
      </c>
      <c r="AA576" s="12"/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3">
        <f t="shared" si="75"/>
        <v>1</v>
      </c>
      <c r="AL576" s="3">
        <v>0</v>
      </c>
      <c r="AM576" s="3">
        <f t="shared" si="74"/>
        <v>0</v>
      </c>
    </row>
    <row r="577" spans="1:39">
      <c r="A577" s="7">
        <v>2000</v>
      </c>
      <c r="B577" s="7" t="s">
        <v>61</v>
      </c>
      <c r="C577" s="7">
        <v>0.16398911</v>
      </c>
      <c r="D577" s="7">
        <v>0.028971</v>
      </c>
      <c r="E577" s="7">
        <v>0.00688</v>
      </c>
      <c r="F577" s="7">
        <v>0.0128</v>
      </c>
      <c r="G577" s="7">
        <v>0.003822</v>
      </c>
      <c r="H577" s="7">
        <v>0.005469</v>
      </c>
      <c r="I577" s="7">
        <v>0.032198</v>
      </c>
      <c r="J577" s="7">
        <v>0.016991</v>
      </c>
      <c r="K577" s="16">
        <v>2942.6</v>
      </c>
      <c r="L577" s="17">
        <v>3409.79</v>
      </c>
      <c r="M577" s="16">
        <v>3920.07</v>
      </c>
      <c r="N577" s="7">
        <f t="shared" si="76"/>
        <v>0.862985697066388</v>
      </c>
      <c r="O577" s="7">
        <f t="shared" si="77"/>
        <v>0.750649860844322</v>
      </c>
      <c r="P577" s="8">
        <v>73946781.26</v>
      </c>
      <c r="Q577" s="8">
        <f t="shared" si="70"/>
        <v>1.88636379605466</v>
      </c>
      <c r="R577" s="9">
        <v>824.7</v>
      </c>
      <c r="S577" s="9">
        <v>2146.7</v>
      </c>
      <c r="T577" s="9">
        <v>1656.8</v>
      </c>
      <c r="U577" s="9">
        <v>6966</v>
      </c>
      <c r="V577" s="18">
        <v>0</v>
      </c>
      <c r="W577" s="18">
        <v>0</v>
      </c>
      <c r="X577" s="18">
        <f t="shared" si="71"/>
        <v>0</v>
      </c>
      <c r="Y577" s="12">
        <f t="shared" si="72"/>
        <v>4.53658228674969</v>
      </c>
      <c r="Z577" s="12">
        <f t="shared" si="73"/>
        <v>0.584188343378165</v>
      </c>
      <c r="AA577" s="19">
        <v>3463.4</v>
      </c>
      <c r="AB577" s="19">
        <v>2159.61</v>
      </c>
      <c r="AC577" s="19">
        <v>100.16</v>
      </c>
      <c r="AD577" s="19">
        <v>358.43</v>
      </c>
      <c r="AE577" s="19">
        <v>105.11</v>
      </c>
      <c r="AF577" s="19">
        <v>7.6</v>
      </c>
      <c r="AG577" s="19">
        <v>213.5</v>
      </c>
      <c r="AH577" s="19">
        <v>53.23</v>
      </c>
      <c r="AI577" s="12">
        <v>0</v>
      </c>
      <c r="AJ577" s="19">
        <v>401.51</v>
      </c>
      <c r="AK577" s="3">
        <f t="shared" si="75"/>
        <v>0</v>
      </c>
      <c r="AL577" s="3">
        <v>0</v>
      </c>
      <c r="AM577" s="3">
        <f t="shared" si="74"/>
        <v>0</v>
      </c>
    </row>
    <row r="578" spans="1:39">
      <c r="A578" s="7">
        <v>2001</v>
      </c>
      <c r="B578" s="7" t="s">
        <v>61</v>
      </c>
      <c r="C578" s="7">
        <v>0.16759672</v>
      </c>
      <c r="D578" s="7">
        <v>0.032245</v>
      </c>
      <c r="E578" s="7">
        <v>0.007958</v>
      </c>
      <c r="F578" s="7">
        <v>0.015372</v>
      </c>
      <c r="G578" s="7">
        <v>0.00471</v>
      </c>
      <c r="H578" s="7">
        <v>0.004204</v>
      </c>
      <c r="I578" s="7">
        <v>0.033279</v>
      </c>
      <c r="J578" s="7">
        <v>0.014153</v>
      </c>
      <c r="K578" s="16">
        <v>3163.09</v>
      </c>
      <c r="L578" s="17">
        <v>3445.38</v>
      </c>
      <c r="M578" s="16">
        <v>4072.85</v>
      </c>
      <c r="N578" s="7">
        <f t="shared" si="76"/>
        <v>0.918067092744487</v>
      </c>
      <c r="O578" s="7">
        <f t="shared" si="77"/>
        <v>0.776628159642511</v>
      </c>
      <c r="P578" s="8">
        <v>84458363.83</v>
      </c>
      <c r="Q578" s="8">
        <f t="shared" si="70"/>
        <v>2.07369198055416</v>
      </c>
      <c r="R578" s="9">
        <v>913.9</v>
      </c>
      <c r="S578" s="9">
        <v>2293.5</v>
      </c>
      <c r="T578" s="9">
        <v>1855.4</v>
      </c>
      <c r="U578" s="9">
        <v>7572</v>
      </c>
      <c r="V578" s="18">
        <v>0</v>
      </c>
      <c r="W578" s="18">
        <v>0</v>
      </c>
      <c r="X578" s="18">
        <f t="shared" si="71"/>
        <v>0</v>
      </c>
      <c r="Y578" s="12">
        <f t="shared" si="72"/>
        <v>4.16809156222866</v>
      </c>
      <c r="Z578" s="12">
        <f t="shared" si="73"/>
        <v>0.502484062647279</v>
      </c>
      <c r="AA578" s="19">
        <v>3163</v>
      </c>
      <c r="AB578" s="19">
        <v>2205</v>
      </c>
      <c r="AC578" s="19">
        <v>95.67</v>
      </c>
      <c r="AD578" s="19">
        <v>334.15</v>
      </c>
      <c r="AE578" s="19">
        <v>106.35</v>
      </c>
      <c r="AF578" s="19">
        <v>7.96</v>
      </c>
      <c r="AG578" s="19">
        <v>214.79</v>
      </c>
      <c r="AH578" s="19">
        <v>49.87</v>
      </c>
      <c r="AI578" s="12">
        <v>0</v>
      </c>
      <c r="AJ578" s="19">
        <v>439.98</v>
      </c>
      <c r="AK578" s="3">
        <f t="shared" si="75"/>
        <v>0</v>
      </c>
      <c r="AL578" s="3">
        <v>0</v>
      </c>
      <c r="AM578" s="3">
        <f t="shared" si="74"/>
        <v>0</v>
      </c>
    </row>
    <row r="579" spans="1:39">
      <c r="A579" s="7">
        <v>2002</v>
      </c>
      <c r="B579" s="7" t="s">
        <v>61</v>
      </c>
      <c r="C579" s="7">
        <v>0.18726796</v>
      </c>
      <c r="D579" s="7">
        <v>0.035059</v>
      </c>
      <c r="E579" s="7">
        <v>0.009525</v>
      </c>
      <c r="F579" s="7">
        <v>0.015842</v>
      </c>
      <c r="G579" s="7">
        <v>0.005351</v>
      </c>
      <c r="H579" s="7">
        <v>0.00434</v>
      </c>
      <c r="I579" s="7">
        <v>0.033566</v>
      </c>
      <c r="J579" s="7">
        <v>0.016783</v>
      </c>
      <c r="K579" s="16">
        <v>3615.33</v>
      </c>
      <c r="L579" s="17">
        <v>3476.03</v>
      </c>
      <c r="M579" s="16">
        <v>4467.55</v>
      </c>
      <c r="N579" s="7">
        <f t="shared" si="76"/>
        <v>1.04007445275213</v>
      </c>
      <c r="O579" s="7">
        <f t="shared" si="77"/>
        <v>0.809242202101823</v>
      </c>
      <c r="P579" s="8">
        <v>89601104.86</v>
      </c>
      <c r="Q579" s="8">
        <f t="shared" ref="Q579:Q642" si="78">P579/10000/M579</f>
        <v>2.00559825541964</v>
      </c>
      <c r="R579" s="9">
        <v>957</v>
      </c>
      <c r="S579" s="9">
        <v>2467.7</v>
      </c>
      <c r="T579" s="9">
        <v>2094.2</v>
      </c>
      <c r="U579" s="9">
        <v>8216</v>
      </c>
      <c r="V579" s="18">
        <v>0</v>
      </c>
      <c r="W579" s="18">
        <v>0</v>
      </c>
      <c r="X579" s="18">
        <f t="shared" ref="X579:X642" si="79">V579*W579</f>
        <v>0</v>
      </c>
      <c r="Y579" s="12">
        <f t="shared" ref="Y579:Y642" si="80">AVERAGEIF($A:$A,$A579,$Q:$Q)</f>
        <v>4.06804884448575</v>
      </c>
      <c r="Z579" s="12">
        <f t="shared" ref="Z579:Z642" si="81">MAX(0,1-Q579/Y579)</f>
        <v>0.506987666055625</v>
      </c>
      <c r="AA579" s="19">
        <v>4236</v>
      </c>
      <c r="AB579" s="19">
        <v>2711</v>
      </c>
      <c r="AC579" s="19">
        <v>95.12</v>
      </c>
      <c r="AD579" s="19">
        <v>334.15</v>
      </c>
      <c r="AE579" s="19">
        <v>132.76</v>
      </c>
      <c r="AF579" s="19">
        <v>5.3</v>
      </c>
      <c r="AG579" s="19">
        <v>250.13</v>
      </c>
      <c r="AH579" s="19">
        <v>74.77</v>
      </c>
      <c r="AI579" s="12">
        <v>0</v>
      </c>
      <c r="AJ579" s="19">
        <v>497.86</v>
      </c>
      <c r="AK579" s="3">
        <f t="shared" si="75"/>
        <v>0</v>
      </c>
      <c r="AL579" s="3">
        <v>0</v>
      </c>
      <c r="AM579" s="3">
        <f t="shared" si="74"/>
        <v>0</v>
      </c>
    </row>
    <row r="580" spans="1:39">
      <c r="A580" s="7">
        <v>2003</v>
      </c>
      <c r="B580" s="7" t="s">
        <v>61</v>
      </c>
      <c r="C580" s="7">
        <v>0.22259419</v>
      </c>
      <c r="D580" s="7">
        <v>0.039072</v>
      </c>
      <c r="E580" s="7">
        <v>0.009793</v>
      </c>
      <c r="F580" s="7">
        <v>0.01717</v>
      </c>
      <c r="G580" s="7">
        <v>0.005798</v>
      </c>
      <c r="H580" s="7">
        <v>0.006311</v>
      </c>
      <c r="I580" s="7">
        <v>0.038385</v>
      </c>
      <c r="J580" s="7">
        <v>0.020037</v>
      </c>
      <c r="K580" s="16">
        <v>4062.55</v>
      </c>
      <c r="L580" s="17">
        <v>3501.98</v>
      </c>
      <c r="M580" s="16">
        <v>4983.67</v>
      </c>
      <c r="N580" s="7">
        <f t="shared" si="76"/>
        <v>1.16007230195489</v>
      </c>
      <c r="O580" s="7">
        <f t="shared" si="77"/>
        <v>0.815172352904586</v>
      </c>
      <c r="P580" s="8">
        <v>100084344.7</v>
      </c>
      <c r="Q580" s="8">
        <f t="shared" si="78"/>
        <v>2.00824582486401</v>
      </c>
      <c r="R580" s="9">
        <v>1064.2</v>
      </c>
      <c r="S580" s="9">
        <v>2922.7</v>
      </c>
      <c r="T580" s="9">
        <v>2346.8</v>
      </c>
      <c r="U580" s="9">
        <v>9380</v>
      </c>
      <c r="V580" s="18">
        <v>0</v>
      </c>
      <c r="W580" s="18">
        <v>0</v>
      </c>
      <c r="X580" s="18">
        <f t="shared" si="79"/>
        <v>0</v>
      </c>
      <c r="Y580" s="12">
        <f t="shared" si="80"/>
        <v>4.08414499624993</v>
      </c>
      <c r="Z580" s="12">
        <f t="shared" si="81"/>
        <v>0.508282436909565</v>
      </c>
      <c r="AA580" s="19">
        <v>4808.3</v>
      </c>
      <c r="AB580" s="19">
        <v>3271.96</v>
      </c>
      <c r="AC580" s="19">
        <v>132.33</v>
      </c>
      <c r="AD580" s="19">
        <v>362.41</v>
      </c>
      <c r="AE580" s="19">
        <v>138.66</v>
      </c>
      <c r="AF580" s="19">
        <v>25.54</v>
      </c>
      <c r="AG580" s="19">
        <v>266.38</v>
      </c>
      <c r="AH580" s="19">
        <v>94.59</v>
      </c>
      <c r="AI580" s="12">
        <v>0</v>
      </c>
      <c r="AJ580" s="19">
        <v>585.35</v>
      </c>
      <c r="AK580" s="3">
        <f t="shared" si="75"/>
        <v>0</v>
      </c>
      <c r="AL580" s="3">
        <v>0</v>
      </c>
      <c r="AM580" s="3">
        <f t="shared" si="74"/>
        <v>0</v>
      </c>
    </row>
    <row r="581" spans="1:39">
      <c r="A581" s="7">
        <v>2004</v>
      </c>
      <c r="B581" s="7" t="s">
        <v>61</v>
      </c>
      <c r="C581" s="7">
        <v>0.2323614</v>
      </c>
      <c r="D581" s="7">
        <v>0.038492</v>
      </c>
      <c r="E581" s="7">
        <v>0.009575</v>
      </c>
      <c r="F581" s="7">
        <v>0.01676</v>
      </c>
      <c r="G581" s="7">
        <v>0.0056</v>
      </c>
      <c r="H581" s="7">
        <v>0.006558</v>
      </c>
      <c r="I581" s="7">
        <v>0.044157</v>
      </c>
      <c r="J581" s="7">
        <v>0.021173</v>
      </c>
      <c r="K581" s="16">
        <v>4527.8</v>
      </c>
      <c r="L581" s="17">
        <v>3529.1</v>
      </c>
      <c r="M581" s="16">
        <v>5763.35</v>
      </c>
      <c r="N581" s="7">
        <f t="shared" si="76"/>
        <v>1.28298999744977</v>
      </c>
      <c r="O581" s="7">
        <f t="shared" si="77"/>
        <v>0.78561947478463</v>
      </c>
      <c r="P581" s="8">
        <v>114054077.9</v>
      </c>
      <c r="Q581" s="8">
        <f t="shared" si="78"/>
        <v>1.97895456461954</v>
      </c>
      <c r="R581" s="9">
        <v>1333.6</v>
      </c>
      <c r="S581" s="9">
        <v>3467.9</v>
      </c>
      <c r="T581" s="9">
        <v>2787.1</v>
      </c>
      <c r="U581" s="9">
        <v>11178</v>
      </c>
      <c r="V581" s="18">
        <v>0</v>
      </c>
      <c r="W581" s="18">
        <v>0</v>
      </c>
      <c r="X581" s="18">
        <f t="shared" si="79"/>
        <v>0</v>
      </c>
      <c r="Y581" s="12">
        <f t="shared" si="80"/>
        <v>3.89549779892895</v>
      </c>
      <c r="Z581" s="12">
        <f t="shared" si="81"/>
        <v>0.491989299759418</v>
      </c>
      <c r="AA581" s="19">
        <v>5448.7</v>
      </c>
      <c r="AB581" s="19">
        <v>3806.12</v>
      </c>
      <c r="AC581" s="19">
        <v>205.91</v>
      </c>
      <c r="AD581" s="19">
        <v>390.55</v>
      </c>
      <c r="AE581" s="19">
        <v>192.15</v>
      </c>
      <c r="AF581" s="19">
        <v>26.22</v>
      </c>
      <c r="AG581" s="19">
        <v>324.33</v>
      </c>
      <c r="AH581" s="19">
        <v>81.64</v>
      </c>
      <c r="AI581" s="19">
        <v>0.6</v>
      </c>
      <c r="AJ581" s="19">
        <v>664.35</v>
      </c>
      <c r="AK581" s="3">
        <f t="shared" si="75"/>
        <v>0</v>
      </c>
      <c r="AL581" s="3">
        <v>0</v>
      </c>
      <c r="AM581" s="3">
        <f t="shared" si="74"/>
        <v>0</v>
      </c>
    </row>
    <row r="582" spans="1:39">
      <c r="A582" s="7">
        <v>2005</v>
      </c>
      <c r="B582" s="7" t="s">
        <v>61</v>
      </c>
      <c r="C582" s="7">
        <v>0.25176406</v>
      </c>
      <c r="D582" s="7">
        <v>0.044443</v>
      </c>
      <c r="E582" s="7">
        <v>0.0106</v>
      </c>
      <c r="F582" s="7">
        <v>0.019532</v>
      </c>
      <c r="G582" s="7">
        <v>0.006012</v>
      </c>
      <c r="H582" s="7">
        <v>0.008299</v>
      </c>
      <c r="I582" s="7">
        <v>0.039686</v>
      </c>
      <c r="J582" s="7">
        <v>0.021303</v>
      </c>
      <c r="K582" s="16">
        <v>5753.99</v>
      </c>
      <c r="L582" s="17">
        <v>3557</v>
      </c>
      <c r="M582" s="16">
        <v>6554.69</v>
      </c>
      <c r="N582" s="7">
        <f t="shared" si="76"/>
        <v>1.61765251616531</v>
      </c>
      <c r="O582" s="7">
        <f t="shared" si="77"/>
        <v>0.877843193194491</v>
      </c>
      <c r="P582" s="8">
        <v>127724017.3</v>
      </c>
      <c r="Q582" s="8">
        <f t="shared" si="78"/>
        <v>1.94858974718865</v>
      </c>
      <c r="R582" s="9">
        <v>1345.2</v>
      </c>
      <c r="S582" s="9">
        <v>4123.9</v>
      </c>
      <c r="T582" s="9">
        <v>3304.2</v>
      </c>
      <c r="U582" s="9">
        <v>12845</v>
      </c>
      <c r="V582" s="18">
        <v>0</v>
      </c>
      <c r="W582" s="18">
        <v>0</v>
      </c>
      <c r="X582" s="18">
        <f t="shared" si="79"/>
        <v>0</v>
      </c>
      <c r="Y582" s="12">
        <f t="shared" si="80"/>
        <v>3.71995059106252</v>
      </c>
      <c r="Z582" s="12">
        <f t="shared" si="81"/>
        <v>0.476178594449536</v>
      </c>
      <c r="AA582" s="19">
        <v>6157.08</v>
      </c>
      <c r="AB582" s="19">
        <v>4857.13</v>
      </c>
      <c r="AC582" s="19">
        <v>280.93</v>
      </c>
      <c r="AD582" s="19">
        <v>348.4</v>
      </c>
      <c r="AE582" s="19">
        <v>199.81</v>
      </c>
      <c r="AF582" s="19">
        <v>32.77</v>
      </c>
      <c r="AG582" s="19">
        <v>368.96</v>
      </c>
      <c r="AH582" s="19">
        <v>161.62</v>
      </c>
      <c r="AI582" s="19">
        <v>0.51</v>
      </c>
      <c r="AJ582" s="19">
        <v>756.59</v>
      </c>
      <c r="AK582" s="3">
        <f t="shared" si="75"/>
        <v>0</v>
      </c>
      <c r="AL582" s="3">
        <v>0</v>
      </c>
      <c r="AM582" s="3">
        <f t="shared" si="74"/>
        <v>0</v>
      </c>
    </row>
    <row r="583" spans="1:39">
      <c r="A583" s="7">
        <v>2006</v>
      </c>
      <c r="B583" s="7" t="s">
        <v>61</v>
      </c>
      <c r="C583" s="7">
        <v>0.23714206</v>
      </c>
      <c r="D583" s="7">
        <v>0.040322</v>
      </c>
      <c r="E583" s="7">
        <v>0.009975</v>
      </c>
      <c r="F583" s="7">
        <v>0.017979</v>
      </c>
      <c r="G583" s="7">
        <v>0.006191</v>
      </c>
      <c r="H583" s="7">
        <v>0.006176</v>
      </c>
      <c r="I583" s="7">
        <v>0.041115</v>
      </c>
      <c r="J583" s="7">
        <v>0.0224</v>
      </c>
      <c r="K583" s="16">
        <v>6396.85</v>
      </c>
      <c r="L583" s="17">
        <v>3585</v>
      </c>
      <c r="M583" s="16">
        <v>7583.85</v>
      </c>
      <c r="N583" s="7">
        <f t="shared" si="76"/>
        <v>1.78433751743375</v>
      </c>
      <c r="O583" s="7">
        <f t="shared" si="77"/>
        <v>0.843483191255101</v>
      </c>
      <c r="P583" s="8">
        <v>155302586.2</v>
      </c>
      <c r="Q583" s="8">
        <f t="shared" si="78"/>
        <v>2.0478066707543</v>
      </c>
      <c r="R583" s="9">
        <v>1401.8</v>
      </c>
      <c r="S583" s="9">
        <v>4771.9</v>
      </c>
      <c r="T583" s="9">
        <v>3869.3</v>
      </c>
      <c r="U583" s="9">
        <v>14609</v>
      </c>
      <c r="V583" s="18">
        <v>0</v>
      </c>
      <c r="W583" s="18">
        <v>0</v>
      </c>
      <c r="X583" s="18">
        <f t="shared" si="79"/>
        <v>0</v>
      </c>
      <c r="Y583" s="12">
        <f t="shared" si="80"/>
        <v>3.57740717995078</v>
      </c>
      <c r="Z583" s="12">
        <f t="shared" si="81"/>
        <v>0.427572381966742</v>
      </c>
      <c r="AA583" s="19">
        <v>6840.28</v>
      </c>
      <c r="AB583" s="19">
        <v>5395.08</v>
      </c>
      <c r="AC583" s="19">
        <v>299.59</v>
      </c>
      <c r="AD583" s="19">
        <v>375.03</v>
      </c>
      <c r="AE583" s="19">
        <v>208.05</v>
      </c>
      <c r="AF583" s="19">
        <v>36.99</v>
      </c>
      <c r="AG583" s="19">
        <v>380.12</v>
      </c>
      <c r="AH583" s="19">
        <v>173.48</v>
      </c>
      <c r="AI583" s="19">
        <v>0.57</v>
      </c>
      <c r="AJ583" s="19">
        <v>866.84</v>
      </c>
      <c r="AK583" s="3">
        <f t="shared" si="75"/>
        <v>0</v>
      </c>
      <c r="AL583" s="3">
        <v>0</v>
      </c>
      <c r="AM583" s="3">
        <f t="shared" si="74"/>
        <v>0</v>
      </c>
    </row>
    <row r="584" spans="1:39">
      <c r="A584" s="7">
        <v>2007</v>
      </c>
      <c r="B584" s="7" t="s">
        <v>61</v>
      </c>
      <c r="C584" s="7">
        <v>0.24647184</v>
      </c>
      <c r="D584" s="7">
        <v>0.040837</v>
      </c>
      <c r="E584" s="7">
        <v>0.009764</v>
      </c>
      <c r="F584" s="7">
        <v>0.019574</v>
      </c>
      <c r="G584" s="7">
        <v>0.005718</v>
      </c>
      <c r="H584" s="7">
        <v>0.00578</v>
      </c>
      <c r="I584" s="7">
        <v>0.048485</v>
      </c>
      <c r="J584" s="7">
        <v>0.02233</v>
      </c>
      <c r="K584" s="16">
        <v>7109.26</v>
      </c>
      <c r="L584" s="17">
        <v>3612</v>
      </c>
      <c r="M584" s="16">
        <v>9248.53</v>
      </c>
      <c r="N584" s="7">
        <f t="shared" si="76"/>
        <v>1.96823366555925</v>
      </c>
      <c r="O584" s="7">
        <f t="shared" si="77"/>
        <v>0.768690808160864</v>
      </c>
      <c r="P584" s="8">
        <v>162236730.5</v>
      </c>
      <c r="Q584" s="8">
        <f t="shared" si="78"/>
        <v>1.75418937387888</v>
      </c>
      <c r="R584" s="9">
        <v>1737.1</v>
      </c>
      <c r="S584" s="9">
        <v>5849.5</v>
      </c>
      <c r="T584" s="9">
        <v>4566.4</v>
      </c>
      <c r="U584" s="9">
        <v>17561</v>
      </c>
      <c r="V584" s="18">
        <v>0</v>
      </c>
      <c r="W584" s="18">
        <v>0</v>
      </c>
      <c r="X584" s="18">
        <f t="shared" si="79"/>
        <v>0</v>
      </c>
      <c r="Y584" s="12">
        <f t="shared" si="80"/>
        <v>3.23986794305777</v>
      </c>
      <c r="Z584" s="12">
        <f t="shared" si="81"/>
        <v>0.45856145845769</v>
      </c>
      <c r="AA584" s="19">
        <v>7574.16</v>
      </c>
      <c r="AB584" s="19">
        <v>6117.15</v>
      </c>
      <c r="AC584" s="19">
        <v>356.02</v>
      </c>
      <c r="AD584" s="19">
        <v>352.33</v>
      </c>
      <c r="AE584" s="19">
        <v>264.17</v>
      </c>
      <c r="AF584" s="19">
        <v>49.09</v>
      </c>
      <c r="AG584" s="19">
        <v>467.13</v>
      </c>
      <c r="AH584" s="19">
        <v>124.94</v>
      </c>
      <c r="AI584" s="19">
        <v>0.48</v>
      </c>
      <c r="AJ584" s="19">
        <v>1000.33</v>
      </c>
      <c r="AK584" s="3">
        <f t="shared" si="75"/>
        <v>0</v>
      </c>
      <c r="AL584" s="3">
        <v>0</v>
      </c>
      <c r="AM584" s="3">
        <f t="shared" si="74"/>
        <v>0</v>
      </c>
    </row>
    <row r="585" spans="1:39">
      <c r="A585" s="7">
        <v>2008</v>
      </c>
      <c r="B585" s="7" t="s">
        <v>61</v>
      </c>
      <c r="C585" s="7">
        <v>0.29334405</v>
      </c>
      <c r="D585" s="7">
        <v>0.049443</v>
      </c>
      <c r="E585" s="7">
        <v>0.012524</v>
      </c>
      <c r="F585" s="7">
        <v>0.021848</v>
      </c>
      <c r="G585" s="7">
        <v>0.007849</v>
      </c>
      <c r="H585" s="7">
        <v>0.007221</v>
      </c>
      <c r="I585" s="7">
        <v>0.047472</v>
      </c>
      <c r="J585" s="7">
        <v>0.025797</v>
      </c>
      <c r="K585" s="16">
        <v>7734.2</v>
      </c>
      <c r="L585" s="17">
        <v>3639</v>
      </c>
      <c r="M585" s="16">
        <v>10823.01</v>
      </c>
      <c r="N585" s="7">
        <f t="shared" si="76"/>
        <v>2.12536411101951</v>
      </c>
      <c r="O585" s="7">
        <f t="shared" si="77"/>
        <v>0.714607119461222</v>
      </c>
      <c r="P585" s="8">
        <v>171410242.7</v>
      </c>
      <c r="Q585" s="8">
        <f t="shared" si="78"/>
        <v>1.58375759331277</v>
      </c>
      <c r="R585" s="9">
        <v>1956.8</v>
      </c>
      <c r="S585" s="9">
        <v>6981.5</v>
      </c>
      <c r="T585" s="9">
        <v>5261.8</v>
      </c>
      <c r="U585" s="9">
        <v>20385</v>
      </c>
      <c r="V585" s="18">
        <v>0</v>
      </c>
      <c r="W585" s="18">
        <v>0</v>
      </c>
      <c r="X585" s="18">
        <f t="shared" si="79"/>
        <v>0</v>
      </c>
      <c r="Y585" s="12">
        <f t="shared" si="80"/>
        <v>2.71728515287532</v>
      </c>
      <c r="Z585" s="12">
        <f t="shared" si="81"/>
        <v>0.417154437532291</v>
      </c>
      <c r="AA585" s="19">
        <v>8254</v>
      </c>
      <c r="AB585" s="19">
        <v>6596</v>
      </c>
      <c r="AC585" s="19">
        <v>368.04</v>
      </c>
      <c r="AD585" s="19">
        <v>310.96</v>
      </c>
      <c r="AE585" s="19">
        <v>250.48</v>
      </c>
      <c r="AF585" s="19">
        <v>51.95</v>
      </c>
      <c r="AG585" s="19">
        <v>433.08</v>
      </c>
      <c r="AH585" s="19">
        <v>142.32</v>
      </c>
      <c r="AI585" s="19">
        <v>1.53</v>
      </c>
      <c r="AJ585" s="19">
        <v>1149.77</v>
      </c>
      <c r="AK585" s="3">
        <f t="shared" si="75"/>
        <v>0</v>
      </c>
      <c r="AL585" s="3">
        <v>0</v>
      </c>
      <c r="AM585" s="3">
        <f t="shared" si="74"/>
        <v>0</v>
      </c>
    </row>
    <row r="586" spans="1:39">
      <c r="A586" s="7">
        <v>2009</v>
      </c>
      <c r="B586" s="7" t="s">
        <v>61</v>
      </c>
      <c r="C586" s="7">
        <v>0.30693321</v>
      </c>
      <c r="D586" s="7">
        <v>0.051319</v>
      </c>
      <c r="E586" s="7">
        <v>0.012664</v>
      </c>
      <c r="F586" s="7">
        <v>0.022394</v>
      </c>
      <c r="G586" s="7">
        <v>0.008137</v>
      </c>
      <c r="H586" s="7">
        <v>0.008124</v>
      </c>
      <c r="I586" s="7">
        <v>0.054704</v>
      </c>
      <c r="J586" s="7">
        <v>0.023152</v>
      </c>
      <c r="K586" s="16">
        <v>8353.67</v>
      </c>
      <c r="L586" s="17">
        <v>3666</v>
      </c>
      <c r="M586" s="16">
        <v>12236.53</v>
      </c>
      <c r="N586" s="7">
        <f t="shared" si="76"/>
        <v>2.27868794326241</v>
      </c>
      <c r="O586" s="7">
        <f t="shared" si="77"/>
        <v>0.682682917461078</v>
      </c>
      <c r="P586" s="8">
        <v>182221328.9</v>
      </c>
      <c r="Q586" s="8">
        <f t="shared" si="78"/>
        <v>1.48915851879577</v>
      </c>
      <c r="R586" s="9">
        <v>2121.8</v>
      </c>
      <c r="S586" s="9">
        <v>7164.4</v>
      </c>
      <c r="T586" s="9">
        <v>6020.7</v>
      </c>
      <c r="U586" s="9">
        <v>21831</v>
      </c>
      <c r="V586" s="18">
        <v>0</v>
      </c>
      <c r="W586" s="18">
        <v>0</v>
      </c>
      <c r="X586" s="18">
        <f t="shared" si="79"/>
        <v>0</v>
      </c>
      <c r="Y586" s="12">
        <f t="shared" si="80"/>
        <v>2.66960201713366</v>
      </c>
      <c r="Z586" s="12">
        <f t="shared" si="81"/>
        <v>0.442179579863116</v>
      </c>
      <c r="AA586" s="19">
        <v>8916</v>
      </c>
      <c r="AB586" s="19">
        <v>7109</v>
      </c>
      <c r="AC586" s="19">
        <v>653.08</v>
      </c>
      <c r="AD586" s="19">
        <v>706.01</v>
      </c>
      <c r="AE586" s="19">
        <v>263.64</v>
      </c>
      <c r="AF586" s="19">
        <v>50.96</v>
      </c>
      <c r="AG586" s="19">
        <v>413.09</v>
      </c>
      <c r="AH586" s="19">
        <v>165.83</v>
      </c>
      <c r="AI586" s="19">
        <v>8.49</v>
      </c>
      <c r="AJ586" s="19">
        <v>1215.51</v>
      </c>
      <c r="AK586" s="3">
        <f t="shared" si="75"/>
        <v>0</v>
      </c>
      <c r="AL586" s="3">
        <v>0</v>
      </c>
      <c r="AM586" s="3">
        <f t="shared" si="74"/>
        <v>0</v>
      </c>
    </row>
    <row r="587" spans="1:39">
      <c r="A587" s="7">
        <v>2010</v>
      </c>
      <c r="B587" s="7" t="s">
        <v>61</v>
      </c>
      <c r="C587" s="7">
        <v>0.29896009</v>
      </c>
      <c r="D587" s="7">
        <v>0.053301</v>
      </c>
      <c r="E587" s="7">
        <v>0.013708</v>
      </c>
      <c r="F587" s="7">
        <v>0.023599</v>
      </c>
      <c r="G587" s="7">
        <v>0.007793</v>
      </c>
      <c r="H587" s="7">
        <v>0.008202</v>
      </c>
      <c r="I587" s="7">
        <v>0.047756</v>
      </c>
      <c r="J587" s="7">
        <v>0.021514</v>
      </c>
      <c r="K587" s="16">
        <v>9189.42</v>
      </c>
      <c r="L587" s="17">
        <v>3693</v>
      </c>
      <c r="M587" s="16">
        <v>14737.12</v>
      </c>
      <c r="N587" s="7">
        <f t="shared" si="76"/>
        <v>2.48833468724614</v>
      </c>
      <c r="O587" s="7">
        <f t="shared" si="77"/>
        <v>0.623556027229201</v>
      </c>
      <c r="P587" s="8">
        <v>201281954</v>
      </c>
      <c r="Q587" s="8">
        <f t="shared" si="78"/>
        <v>1.36581607532544</v>
      </c>
      <c r="R587" s="9">
        <v>2473.1</v>
      </c>
      <c r="S587" s="9">
        <v>8470.5</v>
      </c>
      <c r="T587" s="9">
        <v>7060</v>
      </c>
      <c r="U587" s="9">
        <v>25308</v>
      </c>
      <c r="V587" s="18">
        <v>0</v>
      </c>
      <c r="W587" s="18">
        <v>0</v>
      </c>
      <c r="X587" s="18">
        <f t="shared" si="79"/>
        <v>0</v>
      </c>
      <c r="Y587" s="12">
        <f t="shared" si="80"/>
        <v>2.40850270516871</v>
      </c>
      <c r="Z587" s="12">
        <f t="shared" si="81"/>
        <v>0.432919019607342</v>
      </c>
      <c r="AA587" s="19">
        <v>9808.52</v>
      </c>
      <c r="AB587" s="19">
        <v>7026.24</v>
      </c>
      <c r="AC587" s="19">
        <v>684.54</v>
      </c>
      <c r="AD587" s="19">
        <v>1141.74</v>
      </c>
      <c r="AE587" s="19">
        <v>333.2</v>
      </c>
      <c r="AF587" s="19">
        <v>56.5</v>
      </c>
      <c r="AG587" s="19">
        <v>510.57</v>
      </c>
      <c r="AH587" s="19">
        <v>182.75</v>
      </c>
      <c r="AI587" s="19">
        <v>29.1</v>
      </c>
      <c r="AJ587" s="19">
        <v>1315.09</v>
      </c>
      <c r="AK587" s="3">
        <f t="shared" si="75"/>
        <v>0</v>
      </c>
      <c r="AL587" s="3">
        <v>0</v>
      </c>
      <c r="AM587" s="3">
        <f t="shared" si="74"/>
        <v>0</v>
      </c>
    </row>
    <row r="588" spans="1:39">
      <c r="A588" s="7">
        <v>2011</v>
      </c>
      <c r="B588" s="7" t="s">
        <v>61</v>
      </c>
      <c r="C588" s="7">
        <v>0.32733862</v>
      </c>
      <c r="D588" s="7">
        <v>0.057592</v>
      </c>
      <c r="E588" s="7">
        <v>0.013776</v>
      </c>
      <c r="F588" s="7">
        <v>0.02571</v>
      </c>
      <c r="G588" s="7">
        <v>0.008793</v>
      </c>
      <c r="H588" s="7">
        <v>0.009312</v>
      </c>
      <c r="I588" s="7">
        <v>0.050314</v>
      </c>
      <c r="J588" s="7">
        <v>0.023691</v>
      </c>
      <c r="K588" s="16">
        <v>9980.23</v>
      </c>
      <c r="L588" s="17">
        <v>3784</v>
      </c>
      <c r="M588" s="16">
        <v>17560.18</v>
      </c>
      <c r="N588" s="7">
        <f t="shared" si="76"/>
        <v>2.63748150105708</v>
      </c>
      <c r="O588" s="7">
        <f t="shared" si="77"/>
        <v>0.568344401936654</v>
      </c>
      <c r="P588" s="8">
        <v>222829975.2</v>
      </c>
      <c r="Q588" s="8">
        <f t="shared" si="78"/>
        <v>1.2689504048364</v>
      </c>
      <c r="R588" s="9">
        <v>2702.8</v>
      </c>
      <c r="S588" s="9">
        <v>10275.5</v>
      </c>
      <c r="T588" s="9">
        <v>8406.4</v>
      </c>
      <c r="U588" s="9">
        <v>29647</v>
      </c>
      <c r="V588" s="18">
        <v>0</v>
      </c>
      <c r="W588" s="18">
        <v>0</v>
      </c>
      <c r="X588" s="18">
        <f t="shared" si="79"/>
        <v>0</v>
      </c>
      <c r="Y588" s="12">
        <f t="shared" si="80"/>
        <v>2.18035126729488</v>
      </c>
      <c r="Z588" s="12">
        <f t="shared" si="81"/>
        <v>0.418006435994709</v>
      </c>
      <c r="AA588" s="19">
        <v>10653</v>
      </c>
      <c r="AB588" s="19">
        <v>8714</v>
      </c>
      <c r="AC588" s="19">
        <v>728.65</v>
      </c>
      <c r="AD588" s="19">
        <v>963</v>
      </c>
      <c r="AE588" s="19">
        <v>374.01</v>
      </c>
      <c r="AF588" s="19">
        <v>64.39</v>
      </c>
      <c r="AG588" s="19">
        <v>531.36</v>
      </c>
      <c r="AH588" s="19">
        <v>189.66</v>
      </c>
      <c r="AI588" s="19">
        <v>37.89</v>
      </c>
      <c r="AJ588" s="19">
        <v>1520</v>
      </c>
      <c r="AK588" s="3">
        <f t="shared" si="75"/>
        <v>0</v>
      </c>
      <c r="AL588" s="3">
        <v>0</v>
      </c>
      <c r="AM588" s="3">
        <f t="shared" si="74"/>
        <v>0</v>
      </c>
    </row>
    <row r="589" spans="1:39">
      <c r="A589" s="7">
        <v>2012</v>
      </c>
      <c r="B589" s="7" t="s">
        <v>61</v>
      </c>
      <c r="C589" s="7">
        <v>0.29832748</v>
      </c>
      <c r="D589" s="7">
        <v>0.048535</v>
      </c>
      <c r="E589" s="7">
        <v>0.01156</v>
      </c>
      <c r="F589" s="7">
        <v>0.02234</v>
      </c>
      <c r="G589" s="7">
        <v>0.006969</v>
      </c>
      <c r="H589" s="7">
        <v>0.007666</v>
      </c>
      <c r="I589" s="7">
        <v>0.051601</v>
      </c>
      <c r="J589" s="7">
        <v>0.027284</v>
      </c>
      <c r="K589" s="16">
        <v>10206.54</v>
      </c>
      <c r="L589" s="17">
        <v>3841</v>
      </c>
      <c r="M589" s="16">
        <v>19701.78</v>
      </c>
      <c r="N589" s="7">
        <f t="shared" si="76"/>
        <v>2.65726112991408</v>
      </c>
      <c r="O589" s="7">
        <f t="shared" si="77"/>
        <v>0.518051668427929</v>
      </c>
      <c r="P589" s="8">
        <v>228164492.3</v>
      </c>
      <c r="Q589" s="8">
        <f t="shared" si="78"/>
        <v>1.15809075271371</v>
      </c>
      <c r="R589" s="9">
        <v>2914</v>
      </c>
      <c r="S589" s="9">
        <v>10919.7</v>
      </c>
      <c r="T589" s="9">
        <v>9243.8</v>
      </c>
      <c r="U589" s="9">
        <v>31844</v>
      </c>
      <c r="V589" s="18">
        <v>0</v>
      </c>
      <c r="W589" s="18">
        <v>0</v>
      </c>
      <c r="X589" s="18">
        <f t="shared" si="79"/>
        <v>0</v>
      </c>
      <c r="Y589" s="12">
        <f t="shared" si="80"/>
        <v>2.01609935715007</v>
      </c>
      <c r="Z589" s="12">
        <f t="shared" si="81"/>
        <v>0.425578531828526</v>
      </c>
      <c r="AA589" s="19">
        <v>11185.44</v>
      </c>
      <c r="AB589" s="19">
        <v>8485</v>
      </c>
      <c r="AC589" s="19">
        <v>650</v>
      </c>
      <c r="AD589" s="19">
        <v>1104.55</v>
      </c>
      <c r="AE589" s="19">
        <v>397.62</v>
      </c>
      <c r="AF589" s="19">
        <v>74.36</v>
      </c>
      <c r="AG589" s="19">
        <v>516.39</v>
      </c>
      <c r="AH589" s="19">
        <v>186.3</v>
      </c>
      <c r="AI589" s="19">
        <v>37.49</v>
      </c>
      <c r="AJ589" s="19">
        <v>1579.51</v>
      </c>
      <c r="AK589" s="3">
        <f t="shared" si="75"/>
        <v>0</v>
      </c>
      <c r="AL589" s="3">
        <v>0</v>
      </c>
      <c r="AM589" s="3">
        <f t="shared" si="74"/>
        <v>0</v>
      </c>
    </row>
    <row r="590" spans="1:39">
      <c r="A590" s="7">
        <v>2013</v>
      </c>
      <c r="B590" s="7" t="s">
        <v>61</v>
      </c>
      <c r="C590" s="7">
        <v>0.33982339</v>
      </c>
      <c r="D590" s="7">
        <v>0.053146</v>
      </c>
      <c r="E590" s="7">
        <v>0.013338</v>
      </c>
      <c r="F590" s="7">
        <v>0.023495</v>
      </c>
      <c r="G590" s="7">
        <v>0.007683</v>
      </c>
      <c r="H590" s="7">
        <v>0.00863</v>
      </c>
      <c r="I590" s="7">
        <v>0.057505</v>
      </c>
      <c r="J590" s="7">
        <v>0.031873</v>
      </c>
      <c r="K590" s="16">
        <v>10898.51</v>
      </c>
      <c r="L590" s="17">
        <v>3885</v>
      </c>
      <c r="M590" s="16">
        <v>21868.49</v>
      </c>
      <c r="N590" s="7">
        <f t="shared" si="76"/>
        <v>2.80527927927928</v>
      </c>
      <c r="O590" s="7">
        <f t="shared" si="77"/>
        <v>0.498365913695916</v>
      </c>
      <c r="P590" s="8">
        <v>231372090.8</v>
      </c>
      <c r="Q590" s="8">
        <f t="shared" si="78"/>
        <v>1.05801585203185</v>
      </c>
      <c r="R590" s="9">
        <v>3141.9</v>
      </c>
      <c r="S590" s="9">
        <v>11178.4</v>
      </c>
      <c r="T590" s="9">
        <v>9939.3</v>
      </c>
      <c r="U590" s="9">
        <v>33346</v>
      </c>
      <c r="V590" s="18">
        <v>0</v>
      </c>
      <c r="W590" s="18">
        <v>0</v>
      </c>
      <c r="X590" s="18">
        <f t="shared" si="79"/>
        <v>0</v>
      </c>
      <c r="Y590" s="12">
        <f t="shared" si="80"/>
        <v>1.91398219724656</v>
      </c>
      <c r="Z590" s="12">
        <f t="shared" si="81"/>
        <v>0.447217506226597</v>
      </c>
      <c r="AA590" s="19">
        <v>11190</v>
      </c>
      <c r="AB590" s="19">
        <v>8078.64</v>
      </c>
      <c r="AC590" s="19">
        <v>655.38</v>
      </c>
      <c r="AD590" s="19">
        <v>1007.11</v>
      </c>
      <c r="AE590" s="19">
        <v>409.56</v>
      </c>
      <c r="AF590" s="19">
        <v>85.41</v>
      </c>
      <c r="AG590" s="19">
        <v>521.6</v>
      </c>
      <c r="AH590" s="19">
        <v>182.94</v>
      </c>
      <c r="AI590" s="19">
        <v>49.39</v>
      </c>
      <c r="AJ590" s="19">
        <v>1700.73</v>
      </c>
      <c r="AK590" s="3">
        <f t="shared" si="75"/>
        <v>1</v>
      </c>
      <c r="AL590" s="3">
        <v>0</v>
      </c>
      <c r="AM590" s="3">
        <f t="shared" si="74"/>
        <v>0</v>
      </c>
    </row>
    <row r="591" spans="1:39">
      <c r="A591" s="7">
        <v>2014</v>
      </c>
      <c r="B591" s="7" t="s">
        <v>61</v>
      </c>
      <c r="C591" s="7">
        <v>0.31394697</v>
      </c>
      <c r="D591" s="7">
        <v>0.051171</v>
      </c>
      <c r="E591" s="7">
        <v>0.01229</v>
      </c>
      <c r="F591" s="7">
        <v>0.023463</v>
      </c>
      <c r="G591" s="7">
        <v>0.007359</v>
      </c>
      <c r="H591" s="7">
        <v>0.008058</v>
      </c>
      <c r="I591" s="7">
        <v>0.055989</v>
      </c>
      <c r="J591" s="7">
        <v>0.026495</v>
      </c>
      <c r="K591" s="16">
        <v>11794.37</v>
      </c>
      <c r="L591" s="17">
        <v>3945</v>
      </c>
      <c r="M591" s="16">
        <v>24055.76</v>
      </c>
      <c r="N591" s="7">
        <f t="shared" si="76"/>
        <v>2.98970088719899</v>
      </c>
      <c r="O591" s="7">
        <f t="shared" si="77"/>
        <v>0.490292969334579</v>
      </c>
      <c r="P591" s="8">
        <v>234368299.8</v>
      </c>
      <c r="Q591" s="8">
        <f t="shared" si="78"/>
        <v>0.974271026149247</v>
      </c>
      <c r="R591" s="9">
        <v>3164.7</v>
      </c>
      <c r="S591" s="9">
        <v>11476.9</v>
      </c>
      <c r="T591" s="9">
        <v>10567.3</v>
      </c>
      <c r="U591" s="9">
        <v>34507</v>
      </c>
      <c r="V591" s="18">
        <v>0</v>
      </c>
      <c r="W591" s="18">
        <v>0</v>
      </c>
      <c r="X591" s="18">
        <f t="shared" si="79"/>
        <v>0</v>
      </c>
      <c r="Y591" s="12">
        <f t="shared" si="80"/>
        <v>1.79640226266579</v>
      </c>
      <c r="Z591" s="12">
        <f t="shared" si="81"/>
        <v>0.457654309172674</v>
      </c>
      <c r="AA591" s="19">
        <v>12109.72</v>
      </c>
      <c r="AB591" s="19">
        <v>8198.3</v>
      </c>
      <c r="AC591" s="19">
        <v>674.69</v>
      </c>
      <c r="AD591" s="19">
        <v>2044.45</v>
      </c>
      <c r="AE591" s="19">
        <v>440.45</v>
      </c>
      <c r="AF591" s="19">
        <v>97.33</v>
      </c>
      <c r="AG591" s="19">
        <v>515.59</v>
      </c>
      <c r="AH591" s="19">
        <v>189.36</v>
      </c>
      <c r="AI591" s="19">
        <v>50.26</v>
      </c>
      <c r="AJ591" s="19">
        <v>1855.79</v>
      </c>
      <c r="AK591" s="3">
        <f t="shared" si="75"/>
        <v>1</v>
      </c>
      <c r="AL591" s="3">
        <v>0</v>
      </c>
      <c r="AM591" s="3">
        <f t="shared" si="74"/>
        <v>0</v>
      </c>
    </row>
    <row r="592" spans="1:39">
      <c r="A592" s="7">
        <v>2015</v>
      </c>
      <c r="B592" s="7" t="s">
        <v>61</v>
      </c>
      <c r="C592" s="7">
        <v>0.35351778</v>
      </c>
      <c r="D592" s="7">
        <v>0.05751</v>
      </c>
      <c r="E592" s="7">
        <v>0.014572</v>
      </c>
      <c r="F592" s="7">
        <v>0.025887</v>
      </c>
      <c r="G592" s="7">
        <v>0.008384</v>
      </c>
      <c r="H592" s="7">
        <v>0.008668</v>
      </c>
      <c r="I592" s="7">
        <v>0.061625</v>
      </c>
      <c r="J592" s="7">
        <v>0.028354</v>
      </c>
      <c r="K592" s="16">
        <v>11862.79</v>
      </c>
      <c r="L592" s="17">
        <v>3984</v>
      </c>
      <c r="M592" s="16">
        <v>25979.82</v>
      </c>
      <c r="N592" s="7">
        <f t="shared" si="76"/>
        <v>2.97760793172691</v>
      </c>
      <c r="O592" s="7">
        <f t="shared" si="77"/>
        <v>0.456615557767529</v>
      </c>
      <c r="P592" s="8">
        <v>230664613.2</v>
      </c>
      <c r="Q592" s="8">
        <f t="shared" si="78"/>
        <v>0.887860705732372</v>
      </c>
      <c r="R592" s="9">
        <v>3100.5</v>
      </c>
      <c r="S592" s="9">
        <v>11519.5</v>
      </c>
      <c r="T592" s="9">
        <v>11778.4</v>
      </c>
      <c r="U592" s="9">
        <v>35994</v>
      </c>
      <c r="V592" s="18">
        <v>0</v>
      </c>
      <c r="W592" s="18">
        <v>0</v>
      </c>
      <c r="X592" s="18">
        <f t="shared" si="79"/>
        <v>0</v>
      </c>
      <c r="Y592" s="12">
        <f t="shared" si="80"/>
        <v>1.71577514742415</v>
      </c>
      <c r="Z592" s="12">
        <f t="shared" si="81"/>
        <v>0.482530850813816</v>
      </c>
      <c r="AA592" s="19">
        <v>11863</v>
      </c>
      <c r="AB592" s="19">
        <v>7659.95</v>
      </c>
      <c r="AC592" s="19">
        <v>625.6</v>
      </c>
      <c r="AD592" s="19">
        <v>2164.85</v>
      </c>
      <c r="AE592" s="19">
        <v>465.09</v>
      </c>
      <c r="AF592" s="19">
        <v>111.81</v>
      </c>
      <c r="AG592" s="19">
        <v>445.3</v>
      </c>
      <c r="AH592" s="19">
        <v>174.86</v>
      </c>
      <c r="AI592" s="19">
        <v>45.38</v>
      </c>
      <c r="AJ592" s="19">
        <v>1852</v>
      </c>
      <c r="AK592" s="3">
        <f t="shared" si="75"/>
        <v>1</v>
      </c>
      <c r="AL592" s="3">
        <v>0</v>
      </c>
      <c r="AM592" s="3">
        <f t="shared" si="74"/>
        <v>0</v>
      </c>
    </row>
    <row r="593" spans="1:39">
      <c r="A593" s="7">
        <v>2016</v>
      </c>
      <c r="B593" s="7" t="s">
        <v>61</v>
      </c>
      <c r="C593" s="7">
        <v>0.33830342</v>
      </c>
      <c r="D593" s="7">
        <v>0.056514</v>
      </c>
      <c r="E593" s="7">
        <v>0.014534</v>
      </c>
      <c r="F593" s="7">
        <v>0.025033</v>
      </c>
      <c r="G593" s="7">
        <v>0.007912</v>
      </c>
      <c r="H593" s="7">
        <v>0.009034</v>
      </c>
      <c r="I593" s="7">
        <v>0.053308</v>
      </c>
      <c r="J593" s="7">
        <v>0.028423</v>
      </c>
      <c r="K593" s="16">
        <v>12035.99</v>
      </c>
      <c r="L593" s="17">
        <v>4016</v>
      </c>
      <c r="M593" s="16">
        <v>28810.58</v>
      </c>
      <c r="N593" s="7">
        <f t="shared" si="76"/>
        <v>2.99700946215139</v>
      </c>
      <c r="O593" s="7">
        <f t="shared" si="77"/>
        <v>0.417762849619827</v>
      </c>
      <c r="P593" s="8">
        <v>227677608.3</v>
      </c>
      <c r="Q593" s="8">
        <f t="shared" si="78"/>
        <v>0.79025694137362</v>
      </c>
      <c r="R593" s="9">
        <v>3082.5</v>
      </c>
      <c r="S593" s="9">
        <v>12332.3</v>
      </c>
      <c r="T593" s="9">
        <v>13059.3</v>
      </c>
      <c r="U593" s="9">
        <v>38688</v>
      </c>
      <c r="V593" s="18">
        <v>0</v>
      </c>
      <c r="W593" s="18">
        <v>0</v>
      </c>
      <c r="X593" s="18">
        <f t="shared" si="79"/>
        <v>0</v>
      </c>
      <c r="Y593" s="12">
        <f t="shared" si="80"/>
        <v>1.62438398605541</v>
      </c>
      <c r="Z593" s="12">
        <f t="shared" si="81"/>
        <v>0.513503612349288</v>
      </c>
      <c r="AA593" s="19">
        <v>12036</v>
      </c>
      <c r="AB593" s="19">
        <v>6826.5</v>
      </c>
      <c r="AC593" s="19">
        <v>608.65</v>
      </c>
      <c r="AD593" s="19">
        <v>2089.38</v>
      </c>
      <c r="AE593" s="19">
        <v>494.76</v>
      </c>
      <c r="AF593" s="19">
        <v>124.22</v>
      </c>
      <c r="AG593" s="19">
        <v>429.53</v>
      </c>
      <c r="AH593" s="19">
        <v>178.23</v>
      </c>
      <c r="AI593" s="19">
        <v>48.55</v>
      </c>
      <c r="AJ593" s="19">
        <v>1968.58</v>
      </c>
      <c r="AK593" s="3">
        <f t="shared" si="75"/>
        <v>1</v>
      </c>
      <c r="AL593" s="3">
        <v>0</v>
      </c>
      <c r="AM593" s="3">
        <f t="shared" si="74"/>
        <v>0</v>
      </c>
    </row>
    <row r="594" spans="1:39">
      <c r="A594" s="7">
        <v>2017</v>
      </c>
      <c r="B594" s="7" t="s">
        <v>61</v>
      </c>
      <c r="C594" s="7">
        <v>0.34885525</v>
      </c>
      <c r="D594" s="7">
        <v>0.057146</v>
      </c>
      <c r="E594" s="7">
        <v>0.014465</v>
      </c>
      <c r="F594" s="7">
        <v>0.026329</v>
      </c>
      <c r="G594" s="7">
        <v>0.008496</v>
      </c>
      <c r="H594" s="7">
        <v>0.007855</v>
      </c>
      <c r="I594" s="7">
        <v>0.062901</v>
      </c>
      <c r="J594" s="7">
        <v>0.027201</v>
      </c>
      <c r="K594" s="16">
        <v>12554.74</v>
      </c>
      <c r="L594" s="17">
        <v>4065</v>
      </c>
      <c r="M594" s="16">
        <v>32182.09</v>
      </c>
      <c r="N594" s="7">
        <f t="shared" si="76"/>
        <v>3.08849692496925</v>
      </c>
      <c r="O594" s="7">
        <f t="shared" si="77"/>
        <v>0.39011574450261</v>
      </c>
      <c r="P594" s="8">
        <v>235449451.1</v>
      </c>
      <c r="Q594" s="8">
        <f t="shared" si="78"/>
        <v>0.731616408691915</v>
      </c>
      <c r="R594" s="9">
        <v>3130</v>
      </c>
      <c r="S594" s="9">
        <v>12778</v>
      </c>
      <c r="T594" s="9">
        <v>14732.8</v>
      </c>
      <c r="U594" s="9">
        <v>41451</v>
      </c>
      <c r="V594" s="18">
        <v>1</v>
      </c>
      <c r="W594" s="18">
        <v>0</v>
      </c>
      <c r="X594" s="18">
        <f t="shared" si="79"/>
        <v>0</v>
      </c>
      <c r="Y594" s="12">
        <f t="shared" si="80"/>
        <v>1.56738551218677</v>
      </c>
      <c r="Z594" s="12">
        <f t="shared" si="81"/>
        <v>0.533224976878097</v>
      </c>
      <c r="AA594" s="19">
        <v>12890</v>
      </c>
      <c r="AB594" s="19">
        <v>7426.08</v>
      </c>
      <c r="AC594" s="19">
        <v>660.1</v>
      </c>
      <c r="AD594" s="19">
        <v>2083.69</v>
      </c>
      <c r="AE594" s="19">
        <v>531.87</v>
      </c>
      <c r="AF594" s="19">
        <v>140.86</v>
      </c>
      <c r="AG594" s="19">
        <v>433.74</v>
      </c>
      <c r="AH594" s="19">
        <v>154.09</v>
      </c>
      <c r="AI594" s="19">
        <v>50.16</v>
      </c>
      <c r="AJ594" s="19">
        <v>2112.72</v>
      </c>
      <c r="AK594" s="3">
        <f t="shared" si="75"/>
        <v>1</v>
      </c>
      <c r="AL594" s="3">
        <v>0</v>
      </c>
      <c r="AM594" s="3">
        <f t="shared" si="74"/>
        <v>0</v>
      </c>
    </row>
    <row r="595" spans="1:39">
      <c r="A595" s="7">
        <v>2018</v>
      </c>
      <c r="B595" s="7" t="s">
        <v>61</v>
      </c>
      <c r="C595" s="7">
        <v>0.37416999</v>
      </c>
      <c r="D595" s="7">
        <v>0.057702</v>
      </c>
      <c r="E595" s="7">
        <v>0.014714</v>
      </c>
      <c r="F595" s="7">
        <v>0.026266</v>
      </c>
      <c r="G595" s="7">
        <v>0.007928</v>
      </c>
      <c r="H595" s="7">
        <v>0.008794</v>
      </c>
      <c r="I595" s="7">
        <v>0.067279</v>
      </c>
      <c r="J595" s="7">
        <v>0.033228</v>
      </c>
      <c r="K595" s="16">
        <v>13131.01</v>
      </c>
      <c r="L595" s="17">
        <v>4104</v>
      </c>
      <c r="M595" s="16">
        <v>35804.04</v>
      </c>
      <c r="N595" s="7">
        <f t="shared" si="76"/>
        <v>3.19956384015595</v>
      </c>
      <c r="O595" s="7">
        <f t="shared" si="77"/>
        <v>0.366746601780134</v>
      </c>
      <c r="P595" s="8">
        <v>247167211.6</v>
      </c>
      <c r="Q595" s="8">
        <f t="shared" si="78"/>
        <v>0.690333302051947</v>
      </c>
      <c r="R595" s="9">
        <v>3338.6</v>
      </c>
      <c r="S595" s="9">
        <v>12904.1</v>
      </c>
      <c r="T595" s="9">
        <v>16252</v>
      </c>
      <c r="U595" s="9">
        <v>43808</v>
      </c>
      <c r="V595" s="18">
        <v>1</v>
      </c>
      <c r="W595" s="18">
        <v>0</v>
      </c>
      <c r="X595" s="18">
        <f t="shared" si="79"/>
        <v>0</v>
      </c>
      <c r="Y595" s="12">
        <f t="shared" si="80"/>
        <v>1.51591455826218</v>
      </c>
      <c r="Z595" s="12">
        <f t="shared" si="81"/>
        <v>0.544609359221844</v>
      </c>
      <c r="AA595" s="19">
        <v>13131</v>
      </c>
      <c r="AB595" s="19">
        <v>8558.85</v>
      </c>
      <c r="AC595" s="19">
        <v>781.86</v>
      </c>
      <c r="AD595" s="19">
        <v>2144.17</v>
      </c>
      <c r="AE595" s="19">
        <v>547.86</v>
      </c>
      <c r="AF595" s="19">
        <v>165.3</v>
      </c>
      <c r="AG595" s="19">
        <v>438.9</v>
      </c>
      <c r="AH595" s="19">
        <v>176.13</v>
      </c>
      <c r="AI595" s="19">
        <v>51.92</v>
      </c>
      <c r="AJ595" s="19">
        <v>2313.82</v>
      </c>
      <c r="AK595" s="3">
        <f t="shared" si="75"/>
        <v>1</v>
      </c>
      <c r="AL595" s="3">
        <v>0</v>
      </c>
      <c r="AM595" s="3">
        <f t="shared" si="74"/>
        <v>0</v>
      </c>
    </row>
    <row r="596" spans="1:39">
      <c r="A596" s="7">
        <v>2019</v>
      </c>
      <c r="B596" s="7" t="s">
        <v>61</v>
      </c>
      <c r="C596" s="7">
        <v>0.39907202</v>
      </c>
      <c r="D596" s="7">
        <v>0.06363</v>
      </c>
      <c r="E596" s="7">
        <v>0.016219</v>
      </c>
      <c r="F596" s="7">
        <v>0.028691</v>
      </c>
      <c r="G596" s="7">
        <v>0.009489</v>
      </c>
      <c r="H596" s="7">
        <v>0.009231</v>
      </c>
      <c r="I596" s="7">
        <v>0.063652</v>
      </c>
      <c r="J596" s="7">
        <v>0.035286</v>
      </c>
      <c r="K596" s="16">
        <v>13906.6948</v>
      </c>
      <c r="L596" s="17">
        <v>4137</v>
      </c>
      <c r="M596" s="16">
        <v>42395</v>
      </c>
      <c r="N596" s="7">
        <f t="shared" si="76"/>
        <v>3.36154092337443</v>
      </c>
      <c r="O596" s="7">
        <f t="shared" si="77"/>
        <v>0.328026767307465</v>
      </c>
      <c r="P596" s="8">
        <v>251051176.1</v>
      </c>
      <c r="Q596" s="8">
        <f t="shared" si="78"/>
        <v>0.592171661988442</v>
      </c>
      <c r="R596" s="9">
        <v>3518.4</v>
      </c>
      <c r="S596" s="9">
        <v>13393.7</v>
      </c>
      <c r="T596" s="9">
        <v>18066.4</v>
      </c>
      <c r="U596" s="9">
        <v>47036</v>
      </c>
      <c r="V596" s="18">
        <v>1</v>
      </c>
      <c r="W596" s="18">
        <v>0</v>
      </c>
      <c r="X596" s="18">
        <f t="shared" si="79"/>
        <v>0</v>
      </c>
      <c r="Y596" s="12">
        <f t="shared" si="80"/>
        <v>1.5000536746505</v>
      </c>
      <c r="Z596" s="12">
        <f t="shared" si="81"/>
        <v>0.60523301799423</v>
      </c>
      <c r="AA596" s="19">
        <v>13718</v>
      </c>
      <c r="AB596" s="19">
        <v>8718.32</v>
      </c>
      <c r="AC596" s="19">
        <v>871.35</v>
      </c>
      <c r="AD596" s="19">
        <v>2559.36</v>
      </c>
      <c r="AE596" s="19">
        <v>562.43</v>
      </c>
      <c r="AF596" s="19">
        <v>171.78</v>
      </c>
      <c r="AG596" s="19">
        <v>453.58</v>
      </c>
      <c r="AH596" s="19">
        <v>180.18</v>
      </c>
      <c r="AI596" s="19">
        <v>52.77</v>
      </c>
      <c r="AJ596" s="19">
        <v>2402.34</v>
      </c>
      <c r="AK596" s="3">
        <f t="shared" si="75"/>
        <v>1</v>
      </c>
      <c r="AL596" s="3">
        <v>0</v>
      </c>
      <c r="AM596" s="3">
        <f t="shared" si="74"/>
        <v>0</v>
      </c>
    </row>
    <row r="597" spans="1:39">
      <c r="A597" s="7">
        <v>2020</v>
      </c>
      <c r="B597" s="7" t="s">
        <v>61</v>
      </c>
      <c r="C597" s="7">
        <v>0.35204546</v>
      </c>
      <c r="D597" s="7">
        <v>0.06145</v>
      </c>
      <c r="E597" s="7">
        <v>0.014631</v>
      </c>
      <c r="F597" s="7">
        <v>0.028164</v>
      </c>
      <c r="G597" s="7">
        <v>0.010573</v>
      </c>
      <c r="H597" s="7">
        <v>0.008082</v>
      </c>
      <c r="I597" s="7">
        <v>0.056775</v>
      </c>
      <c r="J597" s="7">
        <v>0.024458</v>
      </c>
      <c r="K597" s="16">
        <v>14365.9199</v>
      </c>
      <c r="L597" s="17">
        <v>4161.44</v>
      </c>
      <c r="M597" s="16">
        <v>43903.89</v>
      </c>
      <c r="N597" s="7">
        <f t="shared" si="76"/>
        <v>3.45215115440809</v>
      </c>
      <c r="O597" s="7">
        <f t="shared" si="77"/>
        <v>0.32721291666866</v>
      </c>
      <c r="P597" s="8">
        <v>250501261.6</v>
      </c>
      <c r="Q597" s="8">
        <f t="shared" si="78"/>
        <v>0.570567349726869</v>
      </c>
      <c r="R597" s="9">
        <v>3880.4</v>
      </c>
      <c r="S597" s="9">
        <v>13765.1</v>
      </c>
      <c r="T597" s="9">
        <v>18368.4</v>
      </c>
      <c r="U597" s="9">
        <v>48302</v>
      </c>
      <c r="V597" s="18">
        <v>1</v>
      </c>
      <c r="W597" s="18">
        <v>0</v>
      </c>
      <c r="X597" s="18">
        <f t="shared" si="79"/>
        <v>0</v>
      </c>
      <c r="Y597" s="12">
        <f t="shared" si="80"/>
        <v>1.47141701078949</v>
      </c>
      <c r="Z597" s="12">
        <f t="shared" si="81"/>
        <v>0.612232735150499</v>
      </c>
      <c r="AA597" s="19">
        <v>13905.19</v>
      </c>
      <c r="AB597" s="19">
        <v>8960.56</v>
      </c>
      <c r="AC597" s="19">
        <v>878.05</v>
      </c>
      <c r="AD597" s="19">
        <v>2528.74</v>
      </c>
      <c r="AE597" s="19">
        <v>530.9</v>
      </c>
      <c r="AF597" s="19">
        <v>123.51</v>
      </c>
      <c r="AG597" s="19">
        <v>406.41</v>
      </c>
      <c r="AH597" s="19">
        <v>163.18</v>
      </c>
      <c r="AI597" s="19">
        <v>51.14</v>
      </c>
      <c r="AJ597" s="19">
        <v>2483</v>
      </c>
      <c r="AK597" s="3">
        <f t="shared" si="75"/>
        <v>1</v>
      </c>
      <c r="AL597" s="3">
        <v>0</v>
      </c>
      <c r="AM597" s="3">
        <f t="shared" si="74"/>
        <v>0</v>
      </c>
    </row>
    <row r="598" spans="1:39">
      <c r="A598" s="7">
        <v>2021</v>
      </c>
      <c r="B598" s="7" t="s">
        <v>61</v>
      </c>
      <c r="C598" s="7">
        <v>0.39405635</v>
      </c>
      <c r="D598" s="7">
        <v>0.06554</v>
      </c>
      <c r="E598" s="7">
        <v>0.015875</v>
      </c>
      <c r="F598" s="7">
        <v>0.029488</v>
      </c>
      <c r="G598" s="7">
        <v>0.009815</v>
      </c>
      <c r="H598" s="7">
        <v>0.010363</v>
      </c>
      <c r="I598" s="7">
        <v>0.064178</v>
      </c>
      <c r="J598" s="7">
        <v>0.029112</v>
      </c>
      <c r="K598" s="16">
        <v>15843.3744</v>
      </c>
      <c r="L598" s="17">
        <v>4187</v>
      </c>
      <c r="M598" s="16">
        <v>48810.4</v>
      </c>
      <c r="N598" s="7">
        <f t="shared" si="76"/>
        <v>3.78394420826367</v>
      </c>
      <c r="O598" s="7">
        <f t="shared" si="77"/>
        <v>0.324590136528281</v>
      </c>
      <c r="P598" s="8">
        <v>268199779.3</v>
      </c>
      <c r="Q598" s="8">
        <f t="shared" si="78"/>
        <v>0.549472610959959</v>
      </c>
      <c r="R598" s="9">
        <v>4030.4</v>
      </c>
      <c r="S598" s="9">
        <v>16355.8</v>
      </c>
      <c r="T598" s="9">
        <v>20010.9</v>
      </c>
      <c r="U598" s="9">
        <v>54181</v>
      </c>
      <c r="V598" s="18">
        <v>1</v>
      </c>
      <c r="W598" s="18">
        <v>0</v>
      </c>
      <c r="X598" s="18">
        <f t="shared" si="79"/>
        <v>0</v>
      </c>
      <c r="Y598" s="12">
        <f t="shared" si="80"/>
        <v>1.36781889095748</v>
      </c>
      <c r="Z598" s="12">
        <f t="shared" si="81"/>
        <v>0.598285551842813</v>
      </c>
      <c r="AA598" s="19">
        <v>15157.51</v>
      </c>
      <c r="AB598" s="19">
        <v>9946.32</v>
      </c>
      <c r="AC598" s="19">
        <v>858.85</v>
      </c>
      <c r="AD598" s="19">
        <v>2839.74</v>
      </c>
      <c r="AE598" s="19">
        <v>540.19</v>
      </c>
      <c r="AF598" s="19">
        <v>117.24</v>
      </c>
      <c r="AG598" s="19">
        <v>429.63</v>
      </c>
      <c r="AH598" s="19">
        <v>189.03</v>
      </c>
      <c r="AI598" s="19">
        <v>60.04</v>
      </c>
      <c r="AJ598" s="19">
        <v>2837</v>
      </c>
      <c r="AK598" s="3">
        <f t="shared" si="75"/>
        <v>1</v>
      </c>
      <c r="AL598" s="3">
        <v>0</v>
      </c>
      <c r="AM598" s="3">
        <f t="shared" si="74"/>
        <v>0</v>
      </c>
    </row>
    <row r="599" spans="1:39">
      <c r="A599" s="7">
        <v>2022</v>
      </c>
      <c r="B599" s="7" t="s">
        <v>61</v>
      </c>
      <c r="C599" s="7">
        <v>0.39580976</v>
      </c>
      <c r="D599" s="7">
        <v>0.065604</v>
      </c>
      <c r="E599" s="7">
        <v>0.015951</v>
      </c>
      <c r="F599" s="7">
        <v>0.029526</v>
      </c>
      <c r="G599" s="7">
        <v>0.009318</v>
      </c>
      <c r="H599" s="7">
        <v>0.010809</v>
      </c>
      <c r="I599" s="7">
        <v>0.0632</v>
      </c>
      <c r="J599" s="7">
        <v>0.030214</v>
      </c>
      <c r="K599" s="16">
        <v>16302.419</v>
      </c>
      <c r="L599" s="17">
        <v>4188</v>
      </c>
      <c r="M599" s="16">
        <v>53109.9</v>
      </c>
      <c r="N599" s="7">
        <f t="shared" si="76"/>
        <v>3.89265019102197</v>
      </c>
      <c r="O599" s="7">
        <f t="shared" si="77"/>
        <v>0.306956311346849</v>
      </c>
      <c r="P599" s="8">
        <v>266276522.2</v>
      </c>
      <c r="Q599" s="8">
        <f t="shared" si="78"/>
        <v>0.501368901466582</v>
      </c>
      <c r="R599" s="9">
        <v>4408.6</v>
      </c>
      <c r="S599" s="9">
        <v>16129.6</v>
      </c>
      <c r="T599" s="9">
        <v>21449.8</v>
      </c>
      <c r="U599" s="9">
        <v>56481</v>
      </c>
      <c r="V599" s="18">
        <v>1</v>
      </c>
      <c r="W599" s="18">
        <v>0</v>
      </c>
      <c r="X599" s="18">
        <f t="shared" si="79"/>
        <v>0</v>
      </c>
      <c r="Y599" s="12">
        <f t="shared" si="80"/>
        <v>1.27047633725244</v>
      </c>
      <c r="Z599" s="12">
        <f t="shared" si="81"/>
        <v>0.605369351033444</v>
      </c>
      <c r="AA599" s="19">
        <v>15784.1645556962</v>
      </c>
      <c r="AB599" s="19">
        <v>9538.63</v>
      </c>
      <c r="AC599" s="19">
        <v>990.44</v>
      </c>
      <c r="AD599" s="19">
        <v>2580.98</v>
      </c>
      <c r="AE599" s="19">
        <v>502.06</v>
      </c>
      <c r="AF599" s="19">
        <v>89.96</v>
      </c>
      <c r="AG599" s="19">
        <v>412.45</v>
      </c>
      <c r="AH599" s="19">
        <v>196.92</v>
      </c>
      <c r="AI599" s="19">
        <v>55.41</v>
      </c>
      <c r="AJ599" s="19">
        <v>2914.45</v>
      </c>
      <c r="AK599" s="3">
        <f t="shared" si="75"/>
        <v>1</v>
      </c>
      <c r="AL599" s="3">
        <v>0</v>
      </c>
      <c r="AM599" s="3">
        <f t="shared" si="74"/>
        <v>0</v>
      </c>
    </row>
    <row r="600" spans="1:39">
      <c r="A600" s="7">
        <v>2023</v>
      </c>
      <c r="B600" s="7" t="s">
        <v>61</v>
      </c>
      <c r="C600" s="7">
        <v>0.53447942</v>
      </c>
      <c r="D600" s="7">
        <v>0.072423</v>
      </c>
      <c r="E600" s="7">
        <v>0.022782</v>
      </c>
      <c r="F600" s="7">
        <v>0.036319</v>
      </c>
      <c r="G600" s="7">
        <v>0.015575</v>
      </c>
      <c r="H600" s="7">
        <v>0.018009</v>
      </c>
      <c r="I600" s="7">
        <v>0.068975</v>
      </c>
      <c r="J600" s="7">
        <v>0.038069</v>
      </c>
      <c r="K600" s="16">
        <v>17215.7667</v>
      </c>
      <c r="L600" s="17">
        <v>4183</v>
      </c>
      <c r="M600" s="16">
        <v>54355.1</v>
      </c>
      <c r="N600" s="7">
        <f t="shared" si="76"/>
        <v>4.1156506574229</v>
      </c>
      <c r="O600" s="7">
        <f t="shared" si="77"/>
        <v>0.316727716442431</v>
      </c>
      <c r="P600" s="8">
        <v>269347880.9</v>
      </c>
      <c r="Q600" s="8">
        <f t="shared" si="78"/>
        <v>0.49553377861507</v>
      </c>
      <c r="R600" s="9">
        <v>4466.2</v>
      </c>
      <c r="S600" s="9">
        <v>16435.3</v>
      </c>
      <c r="T600" s="9">
        <v>23042.6</v>
      </c>
      <c r="U600" s="9">
        <v>59332</v>
      </c>
      <c r="V600" s="18">
        <v>1</v>
      </c>
      <c r="W600" s="18">
        <v>0</v>
      </c>
      <c r="X600" s="18">
        <f t="shared" si="79"/>
        <v>0</v>
      </c>
      <c r="Y600" s="12">
        <f t="shared" si="80"/>
        <v>1.2756783895882</v>
      </c>
      <c r="Z600" s="12">
        <f t="shared" si="81"/>
        <v>0.611552737226321</v>
      </c>
      <c r="AA600" s="12"/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2">
        <v>0</v>
      </c>
      <c r="AK600" s="3">
        <f t="shared" si="75"/>
        <v>1</v>
      </c>
      <c r="AL600" s="3">
        <v>0</v>
      </c>
      <c r="AM600" s="3">
        <f t="shared" si="74"/>
        <v>0</v>
      </c>
    </row>
    <row r="601" spans="1:39">
      <c r="A601" s="7">
        <v>2024</v>
      </c>
      <c r="B601" s="7" t="s">
        <v>61</v>
      </c>
      <c r="C601" s="7">
        <v>0.58648808</v>
      </c>
      <c r="D601" s="7">
        <v>0.075898</v>
      </c>
      <c r="E601" s="7">
        <v>0.025162</v>
      </c>
      <c r="F601" s="7">
        <v>0.038877</v>
      </c>
      <c r="G601" s="7">
        <v>0.018255</v>
      </c>
      <c r="H601" s="7">
        <v>0.021311</v>
      </c>
      <c r="I601" s="7">
        <v>0.069591</v>
      </c>
      <c r="J601" s="7">
        <v>0.039921</v>
      </c>
      <c r="K601" s="16">
        <v>18162.4899</v>
      </c>
      <c r="L601" s="17">
        <v>4193</v>
      </c>
      <c r="M601" s="16">
        <v>57761</v>
      </c>
      <c r="N601" s="7">
        <f t="shared" si="76"/>
        <v>4.33162172668734</v>
      </c>
      <c r="O601" s="7">
        <f t="shared" si="77"/>
        <v>0.314442095877841</v>
      </c>
      <c r="P601" s="8">
        <v>271418291.9</v>
      </c>
      <c r="Q601" s="8">
        <f t="shared" si="78"/>
        <v>0.469898879693911</v>
      </c>
      <c r="R601" s="9">
        <v>4522.3</v>
      </c>
      <c r="S601" s="9">
        <v>17470.5</v>
      </c>
      <c r="T601" s="9">
        <v>25534.1</v>
      </c>
      <c r="U601" s="9">
        <v>64352</v>
      </c>
      <c r="V601" s="18">
        <v>1</v>
      </c>
      <c r="W601" s="18">
        <v>0</v>
      </c>
      <c r="X601" s="18">
        <f t="shared" si="79"/>
        <v>0</v>
      </c>
      <c r="Y601" s="12">
        <f t="shared" si="80"/>
        <v>1.21200651315194</v>
      </c>
      <c r="Z601" s="12">
        <f t="shared" si="81"/>
        <v>0.612296737191706</v>
      </c>
      <c r="AA601" s="12"/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3">
        <f t="shared" si="75"/>
        <v>1</v>
      </c>
      <c r="AL601" s="3">
        <v>0</v>
      </c>
      <c r="AM601" s="3">
        <f t="shared" si="74"/>
        <v>0</v>
      </c>
    </row>
    <row r="602" spans="1:39">
      <c r="A602" s="7">
        <v>2000</v>
      </c>
      <c r="B602" s="7" t="s">
        <v>62</v>
      </c>
      <c r="C602" s="7">
        <v>0.16506732</v>
      </c>
      <c r="D602" s="7">
        <v>0.030383</v>
      </c>
      <c r="E602" s="7">
        <v>0.007724</v>
      </c>
      <c r="F602" s="7">
        <v>0.01342</v>
      </c>
      <c r="G602" s="7">
        <v>0.0043</v>
      </c>
      <c r="H602" s="7">
        <v>0.004938</v>
      </c>
      <c r="I602" s="7">
        <v>0.030563</v>
      </c>
      <c r="J602" s="7">
        <v>0.016482</v>
      </c>
      <c r="K602" s="16">
        <v>4279</v>
      </c>
      <c r="L602" s="17">
        <v>3755.72</v>
      </c>
      <c r="M602" s="16">
        <v>993.53</v>
      </c>
      <c r="N602" s="7">
        <f t="shared" ref="N602:N665" si="82">K602/L602</f>
        <v>1.13932881045445</v>
      </c>
      <c r="O602" s="7">
        <f t="shared" ref="O602:O665" si="83">K602/M602</f>
        <v>4.30686541926263</v>
      </c>
      <c r="P602" s="8">
        <v>53914078.44</v>
      </c>
      <c r="Q602" s="8">
        <f t="shared" si="78"/>
        <v>5.4265174116534</v>
      </c>
      <c r="R602" s="9">
        <v>395.3</v>
      </c>
      <c r="S602" s="9">
        <v>675.7</v>
      </c>
      <c r="T602" s="9">
        <v>680.3</v>
      </c>
      <c r="U602" s="9">
        <v>6646</v>
      </c>
      <c r="V602" s="18">
        <v>0</v>
      </c>
      <c r="W602" s="18">
        <v>1</v>
      </c>
      <c r="X602" s="18">
        <f t="shared" si="79"/>
        <v>0</v>
      </c>
      <c r="Y602" s="12">
        <f t="shared" si="80"/>
        <v>4.53658228674969</v>
      </c>
      <c r="Z602" s="12">
        <f t="shared" si="81"/>
        <v>0</v>
      </c>
      <c r="AA602" s="19">
        <v>4278.61</v>
      </c>
      <c r="AB602" s="19">
        <v>5146.3</v>
      </c>
      <c r="AC602" s="19">
        <v>238.86</v>
      </c>
      <c r="AD602" s="12">
        <v>0</v>
      </c>
      <c r="AE602" s="19">
        <v>46.46</v>
      </c>
      <c r="AF602" s="19">
        <v>9.37</v>
      </c>
      <c r="AG602" s="19">
        <v>57.81</v>
      </c>
      <c r="AH602" s="19">
        <v>7.51</v>
      </c>
      <c r="AI602" s="19">
        <v>5.72</v>
      </c>
      <c r="AJ602" s="19">
        <v>287.78</v>
      </c>
      <c r="AK602" s="3">
        <f t="shared" si="75"/>
        <v>0</v>
      </c>
      <c r="AL602" s="3">
        <v>0</v>
      </c>
      <c r="AM602" s="3">
        <f t="shared" si="74"/>
        <v>0</v>
      </c>
    </row>
    <row r="603" spans="1:39">
      <c r="A603" s="7">
        <v>2001</v>
      </c>
      <c r="B603" s="7" t="s">
        <v>62</v>
      </c>
      <c r="C603" s="7">
        <v>0.1900944</v>
      </c>
      <c r="D603" s="7">
        <v>0.035894</v>
      </c>
      <c r="E603" s="7">
        <v>0.009528</v>
      </c>
      <c r="F603" s="7">
        <v>0.016356</v>
      </c>
      <c r="G603" s="7">
        <v>0.005064</v>
      </c>
      <c r="H603" s="7">
        <v>0.004947</v>
      </c>
      <c r="I603" s="7">
        <v>0.034065</v>
      </c>
      <c r="J603" s="7">
        <v>0.01615</v>
      </c>
      <c r="K603" s="16">
        <v>4438</v>
      </c>
      <c r="L603" s="17">
        <v>3798.51</v>
      </c>
      <c r="M603" s="16">
        <v>1133.27</v>
      </c>
      <c r="N603" s="7">
        <f t="shared" si="82"/>
        <v>1.16835285414544</v>
      </c>
      <c r="O603" s="7">
        <f t="shared" si="83"/>
        <v>3.91610119389025</v>
      </c>
      <c r="P603" s="8">
        <v>56735951.87</v>
      </c>
      <c r="Q603" s="8">
        <f t="shared" si="78"/>
        <v>5.00639316932417</v>
      </c>
      <c r="R603" s="9">
        <v>405.3</v>
      </c>
      <c r="S603" s="9">
        <v>747.5</v>
      </c>
      <c r="T603" s="9">
        <v>748</v>
      </c>
      <c r="U603" s="9">
        <v>7076</v>
      </c>
      <c r="V603" s="18">
        <v>0</v>
      </c>
      <c r="W603" s="18">
        <v>1</v>
      </c>
      <c r="X603" s="18">
        <f t="shared" si="79"/>
        <v>0</v>
      </c>
      <c r="Y603" s="12">
        <f t="shared" si="80"/>
        <v>4.16809156222866</v>
      </c>
      <c r="Z603" s="12">
        <f t="shared" si="81"/>
        <v>0</v>
      </c>
      <c r="AA603" s="19">
        <v>4438</v>
      </c>
      <c r="AB603" s="19">
        <v>4946</v>
      </c>
      <c r="AC603" s="19">
        <v>225.34</v>
      </c>
      <c r="AD603" s="12">
        <v>0</v>
      </c>
      <c r="AE603" s="19">
        <v>47.83</v>
      </c>
      <c r="AF603" s="19">
        <v>2.36</v>
      </c>
      <c r="AG603" s="19">
        <v>82.85</v>
      </c>
      <c r="AH603" s="19">
        <v>7.46</v>
      </c>
      <c r="AI603" s="19">
        <v>6</v>
      </c>
      <c r="AJ603" s="19">
        <v>449.05</v>
      </c>
      <c r="AK603" s="3">
        <f t="shared" si="75"/>
        <v>0</v>
      </c>
      <c r="AL603" s="3">
        <v>0</v>
      </c>
      <c r="AM603" s="3">
        <f t="shared" si="74"/>
        <v>0</v>
      </c>
    </row>
    <row r="604" spans="1:39">
      <c r="A604" s="7">
        <v>2002</v>
      </c>
      <c r="B604" s="7" t="s">
        <v>62</v>
      </c>
      <c r="C604" s="7">
        <v>0.1918495</v>
      </c>
      <c r="D604" s="7">
        <v>0.031151</v>
      </c>
      <c r="E604" s="7">
        <v>0.007629</v>
      </c>
      <c r="F604" s="7">
        <v>0.013731</v>
      </c>
      <c r="G604" s="7">
        <v>0.004965</v>
      </c>
      <c r="H604" s="7">
        <v>0.004826</v>
      </c>
      <c r="I604" s="7">
        <v>0.039671</v>
      </c>
      <c r="J604" s="7">
        <v>0.020305</v>
      </c>
      <c r="K604" s="16">
        <v>4470</v>
      </c>
      <c r="L604" s="17">
        <v>3837.28</v>
      </c>
      <c r="M604" s="16">
        <v>1243.43</v>
      </c>
      <c r="N604" s="7">
        <f t="shared" si="82"/>
        <v>1.16488762873702</v>
      </c>
      <c r="O604" s="7">
        <f t="shared" si="83"/>
        <v>3.5948947668948</v>
      </c>
      <c r="P604" s="8">
        <v>63423654.5</v>
      </c>
      <c r="Q604" s="8">
        <f t="shared" si="78"/>
        <v>5.10070164786116</v>
      </c>
      <c r="R604" s="9">
        <v>441.6</v>
      </c>
      <c r="S604" s="9">
        <v>793.5</v>
      </c>
      <c r="T604" s="9">
        <v>808</v>
      </c>
      <c r="U604" s="9">
        <v>7581</v>
      </c>
      <c r="V604" s="18">
        <v>0</v>
      </c>
      <c r="W604" s="18">
        <v>1</v>
      </c>
      <c r="X604" s="18">
        <f t="shared" si="79"/>
        <v>0</v>
      </c>
      <c r="Y604" s="12">
        <f t="shared" si="80"/>
        <v>4.06804884448575</v>
      </c>
      <c r="Z604" s="12">
        <f t="shared" si="81"/>
        <v>0</v>
      </c>
      <c r="AA604" s="19">
        <v>4470</v>
      </c>
      <c r="AB604" s="19">
        <v>5199</v>
      </c>
      <c r="AC604" s="19">
        <v>234.4</v>
      </c>
      <c r="AD604" s="12">
        <v>0</v>
      </c>
      <c r="AE604" s="19">
        <v>50.48</v>
      </c>
      <c r="AF604" s="19">
        <v>2.29</v>
      </c>
      <c r="AG604" s="19">
        <v>89.23</v>
      </c>
      <c r="AH604" s="19">
        <v>7.67</v>
      </c>
      <c r="AI604" s="19">
        <v>5.48</v>
      </c>
      <c r="AJ604" s="19">
        <v>491.67</v>
      </c>
      <c r="AK604" s="3">
        <f t="shared" si="75"/>
        <v>0</v>
      </c>
      <c r="AL604" s="3">
        <v>0</v>
      </c>
      <c r="AM604" s="3">
        <f t="shared" si="74"/>
        <v>0</v>
      </c>
    </row>
    <row r="605" spans="1:39">
      <c r="A605" s="7">
        <v>2003</v>
      </c>
      <c r="B605" s="7" t="s">
        <v>62</v>
      </c>
      <c r="C605" s="7">
        <v>0.23160364</v>
      </c>
      <c r="D605" s="7">
        <v>0.042036</v>
      </c>
      <c r="E605" s="7">
        <v>0.010277</v>
      </c>
      <c r="F605" s="7">
        <v>0.018607</v>
      </c>
      <c r="G605" s="7">
        <v>0.006087</v>
      </c>
      <c r="H605" s="7">
        <v>0.007065</v>
      </c>
      <c r="I605" s="7">
        <v>0.037827</v>
      </c>
      <c r="J605" s="7">
        <v>0.018934</v>
      </c>
      <c r="K605" s="16">
        <v>5534</v>
      </c>
      <c r="L605" s="17">
        <v>3869.66</v>
      </c>
      <c r="M605" s="16">
        <v>1426.34</v>
      </c>
      <c r="N605" s="7">
        <f t="shared" si="82"/>
        <v>1.43009980204979</v>
      </c>
      <c r="O605" s="7">
        <f t="shared" si="83"/>
        <v>3.87986034185398</v>
      </c>
      <c r="P605" s="8">
        <v>82908641.21</v>
      </c>
      <c r="Q605" s="8">
        <f t="shared" si="78"/>
        <v>5.81268429757281</v>
      </c>
      <c r="R605" s="9">
        <v>486.7</v>
      </c>
      <c r="S605" s="9">
        <v>805.7</v>
      </c>
      <c r="T605" s="9">
        <v>848.6</v>
      </c>
      <c r="U605" s="9">
        <v>7925</v>
      </c>
      <c r="V605" s="18">
        <v>0</v>
      </c>
      <c r="W605" s="18">
        <v>1</v>
      </c>
      <c r="X605" s="18">
        <f t="shared" si="79"/>
        <v>0</v>
      </c>
      <c r="Y605" s="12">
        <f t="shared" si="80"/>
        <v>4.08414499624993</v>
      </c>
      <c r="Z605" s="12">
        <f t="shared" si="81"/>
        <v>0</v>
      </c>
      <c r="AA605" s="19">
        <v>5534.49</v>
      </c>
      <c r="AB605" s="19">
        <v>6793.62</v>
      </c>
      <c r="AC605" s="19">
        <v>239.99</v>
      </c>
      <c r="AD605" s="12">
        <v>0</v>
      </c>
      <c r="AE605" s="19">
        <v>58.94</v>
      </c>
      <c r="AF605" s="19">
        <v>2.55</v>
      </c>
      <c r="AG605" s="19">
        <v>104.41</v>
      </c>
      <c r="AH605" s="19">
        <v>9.94</v>
      </c>
      <c r="AI605" s="19">
        <v>5.45</v>
      </c>
      <c r="AJ605" s="19">
        <v>551.07</v>
      </c>
      <c r="AK605" s="3">
        <f t="shared" si="75"/>
        <v>0</v>
      </c>
      <c r="AL605" s="3">
        <v>0</v>
      </c>
      <c r="AM605" s="3">
        <f t="shared" si="74"/>
        <v>0</v>
      </c>
    </row>
    <row r="606" spans="1:39">
      <c r="A606" s="7">
        <v>2004</v>
      </c>
      <c r="B606" s="7" t="s">
        <v>62</v>
      </c>
      <c r="C606" s="7">
        <v>0.23385036</v>
      </c>
      <c r="D606" s="7">
        <v>0.042154</v>
      </c>
      <c r="E606" s="7">
        <v>0.011092</v>
      </c>
      <c r="F606" s="7">
        <v>0.01945</v>
      </c>
      <c r="G606" s="7">
        <v>0.006424</v>
      </c>
      <c r="H606" s="7">
        <v>0.005188</v>
      </c>
      <c r="I606" s="7">
        <v>0.039814</v>
      </c>
      <c r="J606" s="7">
        <v>0.020215</v>
      </c>
      <c r="K606" s="16">
        <v>6282</v>
      </c>
      <c r="L606" s="17">
        <v>3903.7</v>
      </c>
      <c r="M606" s="16">
        <v>1677.8</v>
      </c>
      <c r="N606" s="7">
        <f t="shared" si="82"/>
        <v>1.60924251351282</v>
      </c>
      <c r="O606" s="7">
        <f t="shared" si="83"/>
        <v>3.74418881869114</v>
      </c>
      <c r="P606" s="8">
        <v>98376936.28</v>
      </c>
      <c r="Q606" s="8">
        <f t="shared" si="78"/>
        <v>5.86344834187627</v>
      </c>
      <c r="R606" s="9">
        <v>562.3</v>
      </c>
      <c r="S606" s="9">
        <v>903.4</v>
      </c>
      <c r="T606" s="9">
        <v>989.5</v>
      </c>
      <c r="U606" s="9">
        <v>9073</v>
      </c>
      <c r="V606" s="18">
        <v>0</v>
      </c>
      <c r="W606" s="18">
        <v>1</v>
      </c>
      <c r="X606" s="18">
        <f t="shared" si="79"/>
        <v>0</v>
      </c>
      <c r="Y606" s="12">
        <f t="shared" si="80"/>
        <v>3.89549779892895</v>
      </c>
      <c r="Z606" s="12">
        <f t="shared" si="81"/>
        <v>0</v>
      </c>
      <c r="AA606" s="19">
        <v>6021</v>
      </c>
      <c r="AB606" s="19">
        <v>7993.74</v>
      </c>
      <c r="AC606" s="19">
        <v>269.06</v>
      </c>
      <c r="AD606" s="12">
        <v>0</v>
      </c>
      <c r="AE606" s="19">
        <v>67.23</v>
      </c>
      <c r="AF606" s="19">
        <v>2.69</v>
      </c>
      <c r="AG606" s="19">
        <v>108.4</v>
      </c>
      <c r="AH606" s="19">
        <v>10.34</v>
      </c>
      <c r="AI606" s="19">
        <v>4.99</v>
      </c>
      <c r="AJ606" s="19">
        <v>583.26</v>
      </c>
      <c r="AK606" s="3">
        <f t="shared" si="75"/>
        <v>0</v>
      </c>
      <c r="AL606" s="3">
        <v>0</v>
      </c>
      <c r="AM606" s="3">
        <f t="shared" ref="AM606:AM669" si="84">AK606*AL606</f>
        <v>0</v>
      </c>
    </row>
    <row r="607" spans="1:39">
      <c r="A607" s="7">
        <v>2005</v>
      </c>
      <c r="B607" s="7" t="s">
        <v>62</v>
      </c>
      <c r="C607" s="7">
        <v>0.23921872</v>
      </c>
      <c r="D607" s="7">
        <v>0.041812</v>
      </c>
      <c r="E607" s="7">
        <v>0.00985</v>
      </c>
      <c r="F607" s="7">
        <v>0.019026</v>
      </c>
      <c r="G607" s="7">
        <v>0.006508</v>
      </c>
      <c r="H607" s="7">
        <v>0.006427</v>
      </c>
      <c r="I607" s="7">
        <v>0.041628</v>
      </c>
      <c r="J607" s="7">
        <v>0.020595</v>
      </c>
      <c r="K607" s="16">
        <v>5641</v>
      </c>
      <c r="L607" s="17">
        <v>3730</v>
      </c>
      <c r="M607" s="16">
        <v>2005.42</v>
      </c>
      <c r="N607" s="7">
        <f t="shared" si="82"/>
        <v>1.51233243967828</v>
      </c>
      <c r="O607" s="7">
        <f t="shared" si="83"/>
        <v>2.81287710305073</v>
      </c>
      <c r="P607" s="8">
        <v>112836575.3</v>
      </c>
      <c r="Q607" s="8">
        <f t="shared" si="78"/>
        <v>5.6265807312184</v>
      </c>
      <c r="R607" s="9">
        <v>618.7</v>
      </c>
      <c r="S607" s="9">
        <v>1002.4</v>
      </c>
      <c r="T607" s="9">
        <v>1155.5</v>
      </c>
      <c r="U607" s="9">
        <v>10237</v>
      </c>
      <c r="V607" s="18">
        <v>0</v>
      </c>
      <c r="W607" s="18">
        <v>1</v>
      </c>
      <c r="X607" s="18">
        <f t="shared" si="79"/>
        <v>0</v>
      </c>
      <c r="Y607" s="12">
        <f t="shared" si="80"/>
        <v>3.71995059106252</v>
      </c>
      <c r="Z607" s="12">
        <f t="shared" si="81"/>
        <v>0</v>
      </c>
      <c r="AA607" s="19">
        <v>6428.6</v>
      </c>
      <c r="AB607" s="19">
        <v>8651.44</v>
      </c>
      <c r="AC607" s="19">
        <v>333.86</v>
      </c>
      <c r="AD607" s="12">
        <v>0</v>
      </c>
      <c r="AE607" s="19">
        <v>67.52</v>
      </c>
      <c r="AF607" s="19">
        <v>8.41</v>
      </c>
      <c r="AG607" s="19">
        <v>139.04</v>
      </c>
      <c r="AH607" s="19">
        <v>10.39</v>
      </c>
      <c r="AI607" s="19">
        <v>5.44</v>
      </c>
      <c r="AJ607" s="19">
        <v>486.97</v>
      </c>
      <c r="AK607" s="3">
        <f t="shared" ref="AK607:AK670" si="85">IF(A607&gt;=2013,1,0)</f>
        <v>0</v>
      </c>
      <c r="AL607" s="3">
        <v>0</v>
      </c>
      <c r="AM607" s="3">
        <f t="shared" si="84"/>
        <v>0</v>
      </c>
    </row>
    <row r="608" spans="1:39">
      <c r="A608" s="7">
        <v>2006</v>
      </c>
      <c r="B608" s="7" t="s">
        <v>62</v>
      </c>
      <c r="C608" s="7">
        <v>0.26236356</v>
      </c>
      <c r="D608" s="7">
        <v>0.047421</v>
      </c>
      <c r="E608" s="7">
        <v>0.011324</v>
      </c>
      <c r="F608" s="7">
        <v>0.021831</v>
      </c>
      <c r="G608" s="7">
        <v>0.007294</v>
      </c>
      <c r="H608" s="7">
        <v>0.006972</v>
      </c>
      <c r="I608" s="7">
        <v>0.042065</v>
      </c>
      <c r="J608" s="7">
        <v>0.020652</v>
      </c>
      <c r="K608" s="16">
        <v>6172</v>
      </c>
      <c r="L608" s="17">
        <v>3690</v>
      </c>
      <c r="M608" s="16">
        <v>2338.98</v>
      </c>
      <c r="N608" s="7">
        <f t="shared" si="82"/>
        <v>1.67262872628726</v>
      </c>
      <c r="O608" s="7">
        <f t="shared" si="83"/>
        <v>2.63875706504545</v>
      </c>
      <c r="P608" s="8">
        <v>131473075.8</v>
      </c>
      <c r="Q608" s="8">
        <f t="shared" si="78"/>
        <v>5.62095767385784</v>
      </c>
      <c r="R608" s="9">
        <v>640.2</v>
      </c>
      <c r="S608" s="9">
        <v>1097.2</v>
      </c>
      <c r="T608" s="9">
        <v>1489.1</v>
      </c>
      <c r="U608" s="9">
        <v>11864</v>
      </c>
      <c r="V608" s="18">
        <v>0</v>
      </c>
      <c r="W608" s="18">
        <v>1</v>
      </c>
      <c r="X608" s="18">
        <f t="shared" si="79"/>
        <v>0</v>
      </c>
      <c r="Y608" s="12">
        <f t="shared" si="80"/>
        <v>3.57740717995078</v>
      </c>
      <c r="Z608" s="12">
        <f t="shared" si="81"/>
        <v>0</v>
      </c>
      <c r="AA608" s="19">
        <v>7045.34</v>
      </c>
      <c r="AB608" s="19">
        <v>9938.99</v>
      </c>
      <c r="AC608" s="19">
        <v>477.05</v>
      </c>
      <c r="AD608" s="12">
        <v>0</v>
      </c>
      <c r="AE608" s="19">
        <v>78.94</v>
      </c>
      <c r="AF608" s="19">
        <v>9.63</v>
      </c>
      <c r="AG608" s="19">
        <v>169.73</v>
      </c>
      <c r="AH608" s="19">
        <v>12.01</v>
      </c>
      <c r="AI608" s="19">
        <v>4.95</v>
      </c>
      <c r="AJ608" s="19">
        <v>619.59</v>
      </c>
      <c r="AK608" s="3">
        <f t="shared" si="85"/>
        <v>0</v>
      </c>
      <c r="AL608" s="3">
        <v>0</v>
      </c>
      <c r="AM608" s="3">
        <f t="shared" si="84"/>
        <v>0</v>
      </c>
    </row>
    <row r="609" spans="1:39">
      <c r="A609" s="7">
        <v>2007</v>
      </c>
      <c r="B609" s="7" t="s">
        <v>62</v>
      </c>
      <c r="C609" s="7">
        <v>0.25578526</v>
      </c>
      <c r="D609" s="7">
        <v>0.047545</v>
      </c>
      <c r="E609" s="7">
        <v>0.01176</v>
      </c>
      <c r="F609" s="7">
        <v>0.021695</v>
      </c>
      <c r="G609" s="7">
        <v>0.007091</v>
      </c>
      <c r="H609" s="7">
        <v>0.006999</v>
      </c>
      <c r="I609" s="7">
        <v>0.038054</v>
      </c>
      <c r="J609" s="7">
        <v>0.020216</v>
      </c>
      <c r="K609" s="16">
        <v>6800</v>
      </c>
      <c r="L609" s="17">
        <v>3631.98</v>
      </c>
      <c r="M609" s="16">
        <v>2884.11</v>
      </c>
      <c r="N609" s="7">
        <f t="shared" si="82"/>
        <v>1.87225700582052</v>
      </c>
      <c r="O609" s="7">
        <f t="shared" si="83"/>
        <v>2.35774641050445</v>
      </c>
      <c r="P609" s="8">
        <v>138781659.8</v>
      </c>
      <c r="Q609" s="8">
        <f t="shared" si="78"/>
        <v>4.811940591725</v>
      </c>
      <c r="R609" s="9">
        <v>755.2</v>
      </c>
      <c r="S609" s="9">
        <v>1477.7</v>
      </c>
      <c r="T609" s="9">
        <v>1847.5</v>
      </c>
      <c r="U609" s="9">
        <v>14966</v>
      </c>
      <c r="V609" s="18">
        <v>0</v>
      </c>
      <c r="W609" s="18">
        <v>1</v>
      </c>
      <c r="X609" s="18">
        <f t="shared" si="79"/>
        <v>0</v>
      </c>
      <c r="Y609" s="12">
        <f t="shared" si="80"/>
        <v>3.23986794305777</v>
      </c>
      <c r="Z609" s="12">
        <f t="shared" si="81"/>
        <v>0</v>
      </c>
      <c r="AA609" s="19">
        <v>7691.96</v>
      </c>
      <c r="AB609" s="19">
        <v>10630.35</v>
      </c>
      <c r="AC609" s="19">
        <v>486.06</v>
      </c>
      <c r="AD609" s="12">
        <v>0</v>
      </c>
      <c r="AE609" s="19">
        <v>85.65</v>
      </c>
      <c r="AF609" s="19">
        <v>9.73</v>
      </c>
      <c r="AG609" s="19">
        <v>183.5</v>
      </c>
      <c r="AH609" s="19">
        <v>34.35</v>
      </c>
      <c r="AI609" s="19">
        <v>5.14</v>
      </c>
      <c r="AJ609" s="19">
        <v>714.09</v>
      </c>
      <c r="AK609" s="3">
        <f t="shared" si="85"/>
        <v>0</v>
      </c>
      <c r="AL609" s="3">
        <v>0</v>
      </c>
      <c r="AM609" s="3">
        <f t="shared" si="84"/>
        <v>0</v>
      </c>
    </row>
    <row r="610" spans="1:39">
      <c r="A610" s="7">
        <v>2008</v>
      </c>
      <c r="B610" s="7" t="s">
        <v>62</v>
      </c>
      <c r="C610" s="7">
        <v>0.27172886</v>
      </c>
      <c r="D610" s="7">
        <v>0.045578</v>
      </c>
      <c r="E610" s="7">
        <v>0.010719</v>
      </c>
      <c r="F610" s="7">
        <v>0.020915</v>
      </c>
      <c r="G610" s="7">
        <v>0.00688</v>
      </c>
      <c r="H610" s="7">
        <v>0.007064</v>
      </c>
      <c r="I610" s="7">
        <v>0.045377</v>
      </c>
      <c r="J610" s="7">
        <v>0.025188</v>
      </c>
      <c r="K610" s="16">
        <v>7084</v>
      </c>
      <c r="L610" s="17">
        <v>3595.98</v>
      </c>
      <c r="M610" s="16">
        <v>3561.56</v>
      </c>
      <c r="N610" s="7">
        <f t="shared" si="82"/>
        <v>1.96997758608224</v>
      </c>
      <c r="O610" s="7">
        <f t="shared" si="83"/>
        <v>1.989016049147</v>
      </c>
      <c r="P610" s="8">
        <v>133498262.3</v>
      </c>
      <c r="Q610" s="8">
        <f t="shared" si="78"/>
        <v>3.74830867091948</v>
      </c>
      <c r="R610" s="9">
        <v>863.6</v>
      </c>
      <c r="S610" s="9">
        <v>1788</v>
      </c>
      <c r="T610" s="9">
        <v>2183.2</v>
      </c>
      <c r="U610" s="9">
        <v>17696</v>
      </c>
      <c r="V610" s="18">
        <v>0</v>
      </c>
      <c r="W610" s="18">
        <v>1</v>
      </c>
      <c r="X610" s="18">
        <f t="shared" si="79"/>
        <v>0</v>
      </c>
      <c r="Y610" s="12">
        <f t="shared" si="80"/>
        <v>2.71728515287532</v>
      </c>
      <c r="Z610" s="12">
        <f t="shared" si="81"/>
        <v>0</v>
      </c>
      <c r="AA610" s="19">
        <v>7084</v>
      </c>
      <c r="AB610" s="19">
        <v>9732</v>
      </c>
      <c r="AC610" s="19">
        <v>450.97</v>
      </c>
      <c r="AD610" s="12">
        <v>0</v>
      </c>
      <c r="AE610" s="19">
        <v>123.42</v>
      </c>
      <c r="AF610" s="19">
        <v>2.95</v>
      </c>
      <c r="AG610" s="19">
        <v>226.46</v>
      </c>
      <c r="AH610" s="19">
        <v>23.16</v>
      </c>
      <c r="AI610" s="19">
        <v>4.74</v>
      </c>
      <c r="AJ610" s="19">
        <v>679.18</v>
      </c>
      <c r="AK610" s="3">
        <f t="shared" si="85"/>
        <v>0</v>
      </c>
      <c r="AL610" s="3">
        <v>0</v>
      </c>
      <c r="AM610" s="3">
        <f t="shared" si="84"/>
        <v>0</v>
      </c>
    </row>
    <row r="611" spans="1:39">
      <c r="A611" s="7">
        <v>2009</v>
      </c>
      <c r="B611" s="7" t="s">
        <v>62</v>
      </c>
      <c r="C611" s="7">
        <v>0.27887664</v>
      </c>
      <c r="D611" s="7">
        <v>0.047632</v>
      </c>
      <c r="E611" s="7">
        <v>0.01191</v>
      </c>
      <c r="F611" s="7">
        <v>0.021569</v>
      </c>
      <c r="G611" s="7">
        <v>0.006377</v>
      </c>
      <c r="H611" s="7">
        <v>0.007775</v>
      </c>
      <c r="I611" s="7">
        <v>0.049079</v>
      </c>
      <c r="J611" s="7">
        <v>0.022416</v>
      </c>
      <c r="K611" s="16">
        <v>7566</v>
      </c>
      <c r="L611" s="17">
        <v>3537</v>
      </c>
      <c r="M611" s="16">
        <v>3912.68</v>
      </c>
      <c r="N611" s="7">
        <f t="shared" si="82"/>
        <v>2.13910093299406</v>
      </c>
      <c r="O611" s="7">
        <f t="shared" si="83"/>
        <v>1.93371295378104</v>
      </c>
      <c r="P611" s="8">
        <v>145437965</v>
      </c>
      <c r="Q611" s="8">
        <f t="shared" si="78"/>
        <v>3.71709327110829</v>
      </c>
      <c r="R611" s="9">
        <v>888.6</v>
      </c>
      <c r="S611" s="9">
        <v>2055.1</v>
      </c>
      <c r="T611" s="9">
        <v>2491.1</v>
      </c>
      <c r="U611" s="9">
        <v>19858</v>
      </c>
      <c r="V611" s="18">
        <v>0</v>
      </c>
      <c r="W611" s="18">
        <v>1</v>
      </c>
      <c r="X611" s="18">
        <f t="shared" si="79"/>
        <v>0</v>
      </c>
      <c r="Y611" s="12">
        <f t="shared" si="80"/>
        <v>2.66960201713366</v>
      </c>
      <c r="Z611" s="12">
        <f t="shared" si="81"/>
        <v>0</v>
      </c>
      <c r="AA611" s="19">
        <v>7566</v>
      </c>
      <c r="AB611" s="19">
        <v>10912</v>
      </c>
      <c r="AC611" s="19">
        <v>367.79</v>
      </c>
      <c r="AD611" s="12">
        <v>0</v>
      </c>
      <c r="AE611" s="19">
        <v>129.99</v>
      </c>
      <c r="AF611" s="19">
        <v>2.95</v>
      </c>
      <c r="AG611" s="19">
        <v>234.69</v>
      </c>
      <c r="AH611" s="19">
        <v>13.47</v>
      </c>
      <c r="AI611" s="19">
        <v>4.18</v>
      </c>
      <c r="AJ611" s="19">
        <v>750.3</v>
      </c>
      <c r="AK611" s="3">
        <f t="shared" si="85"/>
        <v>0</v>
      </c>
      <c r="AL611" s="3">
        <v>0</v>
      </c>
      <c r="AM611" s="3">
        <f t="shared" si="84"/>
        <v>0</v>
      </c>
    </row>
    <row r="612" spans="1:39">
      <c r="A612" s="7">
        <v>2010</v>
      </c>
      <c r="B612" s="7" t="s">
        <v>62</v>
      </c>
      <c r="C612" s="7">
        <v>0.31362201</v>
      </c>
      <c r="D612" s="7">
        <v>0.049917</v>
      </c>
      <c r="E612" s="7">
        <v>0.012341</v>
      </c>
      <c r="F612" s="7">
        <v>0.022656</v>
      </c>
      <c r="G612" s="7">
        <v>0.007835</v>
      </c>
      <c r="H612" s="7">
        <v>0.007085</v>
      </c>
      <c r="I612" s="7">
        <v>0.053816</v>
      </c>
      <c r="J612" s="7">
        <v>0.029842</v>
      </c>
      <c r="K612" s="16">
        <v>8175</v>
      </c>
      <c r="L612" s="17">
        <v>3479</v>
      </c>
      <c r="M612" s="16">
        <v>4602.16</v>
      </c>
      <c r="N612" s="7">
        <f t="shared" si="82"/>
        <v>2.3498131647025</v>
      </c>
      <c r="O612" s="7">
        <f t="shared" si="83"/>
        <v>1.77633980565647</v>
      </c>
      <c r="P612" s="8">
        <v>147723402.3</v>
      </c>
      <c r="Q612" s="8">
        <f t="shared" si="78"/>
        <v>3.20987106706416</v>
      </c>
      <c r="R612" s="9">
        <v>928.4</v>
      </c>
      <c r="S612" s="9">
        <v>2485.8</v>
      </c>
      <c r="T612" s="9">
        <v>2996.3</v>
      </c>
      <c r="U612" s="9">
        <v>23370</v>
      </c>
      <c r="V612" s="18">
        <v>0</v>
      </c>
      <c r="W612" s="18">
        <v>1</v>
      </c>
      <c r="X612" s="18">
        <f t="shared" si="79"/>
        <v>0</v>
      </c>
      <c r="Y612" s="12">
        <f t="shared" si="80"/>
        <v>2.40850270516871</v>
      </c>
      <c r="Z612" s="12">
        <f t="shared" si="81"/>
        <v>0</v>
      </c>
      <c r="AA612" s="19">
        <v>8175.43</v>
      </c>
      <c r="AB612" s="19">
        <v>10908.1</v>
      </c>
      <c r="AC612" s="19">
        <v>380.44</v>
      </c>
      <c r="AD612" s="12">
        <v>0</v>
      </c>
      <c r="AE612" s="19">
        <v>143.36</v>
      </c>
      <c r="AF612" s="19">
        <v>8.94</v>
      </c>
      <c r="AG612" s="19">
        <v>264.66</v>
      </c>
      <c r="AH612" s="19">
        <v>14.43</v>
      </c>
      <c r="AI612" s="19">
        <v>4.14</v>
      </c>
      <c r="AJ612" s="19">
        <v>835.38</v>
      </c>
      <c r="AK612" s="3">
        <f t="shared" si="85"/>
        <v>0</v>
      </c>
      <c r="AL612" s="3">
        <v>0</v>
      </c>
      <c r="AM612" s="3">
        <f t="shared" si="84"/>
        <v>0</v>
      </c>
    </row>
    <row r="613" spans="1:39">
      <c r="A613" s="7">
        <v>2011</v>
      </c>
      <c r="B613" s="7" t="s">
        <v>62</v>
      </c>
      <c r="C613" s="7">
        <v>0.30882314</v>
      </c>
      <c r="D613" s="7">
        <v>0.050057</v>
      </c>
      <c r="E613" s="7">
        <v>0.012408</v>
      </c>
      <c r="F613" s="7">
        <v>0.023193</v>
      </c>
      <c r="G613" s="7">
        <v>0.007622</v>
      </c>
      <c r="H613" s="7">
        <v>0.006833</v>
      </c>
      <c r="I613" s="7">
        <v>0.055627</v>
      </c>
      <c r="J613" s="7">
        <v>0.027248</v>
      </c>
      <c r="K613" s="16">
        <v>9068</v>
      </c>
      <c r="L613" s="17">
        <v>3530</v>
      </c>
      <c r="M613" s="16">
        <v>5701.84</v>
      </c>
      <c r="N613" s="7">
        <f t="shared" si="82"/>
        <v>2.56883852691218</v>
      </c>
      <c r="O613" s="7">
        <f t="shared" si="83"/>
        <v>1.59036381238337</v>
      </c>
      <c r="P613" s="8">
        <v>161327047.2</v>
      </c>
      <c r="Q613" s="8">
        <f t="shared" si="78"/>
        <v>2.82938572811584</v>
      </c>
      <c r="R613" s="9">
        <v>1105.9</v>
      </c>
      <c r="S613" s="9">
        <v>2931.4</v>
      </c>
      <c r="T613" s="9">
        <v>3697.4</v>
      </c>
      <c r="U613" s="9">
        <v>28270</v>
      </c>
      <c r="V613" s="18">
        <v>0</v>
      </c>
      <c r="W613" s="18">
        <v>1</v>
      </c>
      <c r="X613" s="18">
        <f t="shared" si="79"/>
        <v>0</v>
      </c>
      <c r="Y613" s="12">
        <f t="shared" si="80"/>
        <v>2.18035126729488</v>
      </c>
      <c r="Z613" s="12">
        <f t="shared" si="81"/>
        <v>0</v>
      </c>
      <c r="AA613" s="19">
        <v>9068</v>
      </c>
      <c r="AB613" s="19">
        <v>12085</v>
      </c>
      <c r="AC613" s="19">
        <v>402.88</v>
      </c>
      <c r="AD613" s="12">
        <v>0</v>
      </c>
      <c r="AE613" s="19">
        <v>145.23</v>
      </c>
      <c r="AF613" s="19">
        <v>10.84</v>
      </c>
      <c r="AG613" s="19">
        <v>304.97</v>
      </c>
      <c r="AH613" s="19">
        <v>16.04</v>
      </c>
      <c r="AI613" s="19">
        <v>4.76</v>
      </c>
      <c r="AJ613" s="19">
        <v>944</v>
      </c>
      <c r="AK613" s="3">
        <f t="shared" si="85"/>
        <v>0</v>
      </c>
      <c r="AL613" s="3">
        <v>0</v>
      </c>
      <c r="AM613" s="3">
        <f t="shared" si="84"/>
        <v>0</v>
      </c>
    </row>
    <row r="614" spans="1:39">
      <c r="A614" s="7">
        <v>2012</v>
      </c>
      <c r="B614" s="7" t="s">
        <v>62</v>
      </c>
      <c r="C614" s="7">
        <v>0.32436133</v>
      </c>
      <c r="D614" s="7">
        <v>0.050913</v>
      </c>
      <c r="E614" s="7">
        <v>0.012152</v>
      </c>
      <c r="F614" s="7">
        <v>0.023482</v>
      </c>
      <c r="G614" s="7">
        <v>0.007959</v>
      </c>
      <c r="H614" s="7">
        <v>0.007321</v>
      </c>
      <c r="I614" s="7">
        <v>0.060321</v>
      </c>
      <c r="J614" s="7">
        <v>0.028767</v>
      </c>
      <c r="K614" s="16">
        <v>9878</v>
      </c>
      <c r="L614" s="17">
        <v>3587</v>
      </c>
      <c r="M614" s="16">
        <v>6852.2</v>
      </c>
      <c r="N614" s="7">
        <f t="shared" si="82"/>
        <v>2.75383328686925</v>
      </c>
      <c r="O614" s="7">
        <f t="shared" si="83"/>
        <v>1.44158080616444</v>
      </c>
      <c r="P614" s="8">
        <v>164305566.1</v>
      </c>
      <c r="Q614" s="8">
        <f t="shared" si="78"/>
        <v>2.39785129009661</v>
      </c>
      <c r="R614" s="9">
        <v>1195.6</v>
      </c>
      <c r="S614" s="9">
        <v>3315.2</v>
      </c>
      <c r="T614" s="9">
        <v>4167.2</v>
      </c>
      <c r="U614" s="9">
        <v>32005</v>
      </c>
      <c r="V614" s="18">
        <v>0</v>
      </c>
      <c r="W614" s="18">
        <v>1</v>
      </c>
      <c r="X614" s="18">
        <f t="shared" si="79"/>
        <v>0</v>
      </c>
      <c r="Y614" s="12">
        <f t="shared" si="80"/>
        <v>2.01609935715007</v>
      </c>
      <c r="Z614" s="12">
        <f t="shared" si="81"/>
        <v>0</v>
      </c>
      <c r="AA614" s="19">
        <v>9878.38</v>
      </c>
      <c r="AB614" s="19">
        <v>13328</v>
      </c>
      <c r="AC614" s="19">
        <v>382.26</v>
      </c>
      <c r="AD614" s="12">
        <v>0</v>
      </c>
      <c r="AE614" s="19">
        <v>158.3</v>
      </c>
      <c r="AF614" s="19">
        <v>13.27</v>
      </c>
      <c r="AG614" s="19">
        <v>336.03</v>
      </c>
      <c r="AH614" s="19">
        <v>4.68</v>
      </c>
      <c r="AI614" s="19">
        <v>5.26</v>
      </c>
      <c r="AJ614" s="19">
        <v>1046.72</v>
      </c>
      <c r="AK614" s="3">
        <f t="shared" si="85"/>
        <v>0</v>
      </c>
      <c r="AL614" s="3">
        <v>0</v>
      </c>
      <c r="AM614" s="3">
        <f t="shared" si="84"/>
        <v>0</v>
      </c>
    </row>
    <row r="615" spans="1:39">
      <c r="A615" s="7">
        <v>2013</v>
      </c>
      <c r="B615" s="7" t="s">
        <v>62</v>
      </c>
      <c r="C615" s="7">
        <v>0.30009743</v>
      </c>
      <c r="D615" s="7">
        <v>0.050383</v>
      </c>
      <c r="E615" s="7">
        <v>0.011904</v>
      </c>
      <c r="F615" s="7">
        <v>0.023035</v>
      </c>
      <c r="G615" s="7">
        <v>0.007178</v>
      </c>
      <c r="H615" s="7">
        <v>0.008266</v>
      </c>
      <c r="I615" s="7">
        <v>0.04984</v>
      </c>
      <c r="J615" s="7">
        <v>0.025676</v>
      </c>
      <c r="K615" s="16">
        <v>9299</v>
      </c>
      <c r="L615" s="17">
        <v>3632</v>
      </c>
      <c r="M615" s="16">
        <v>8086.86</v>
      </c>
      <c r="N615" s="7">
        <f t="shared" si="82"/>
        <v>2.56029735682819</v>
      </c>
      <c r="O615" s="7">
        <f t="shared" si="83"/>
        <v>1.14989006858039</v>
      </c>
      <c r="P615" s="8">
        <v>183800967</v>
      </c>
      <c r="Q615" s="8">
        <f t="shared" si="78"/>
        <v>2.27283478383452</v>
      </c>
      <c r="R615" s="9">
        <v>1250.2</v>
      </c>
      <c r="S615" s="9">
        <v>3572.1</v>
      </c>
      <c r="T615" s="9">
        <v>4605.5</v>
      </c>
      <c r="U615" s="9">
        <v>35139</v>
      </c>
      <c r="V615" s="18">
        <v>0</v>
      </c>
      <c r="W615" s="18">
        <v>1</v>
      </c>
      <c r="X615" s="18">
        <f t="shared" si="79"/>
        <v>0</v>
      </c>
      <c r="Y615" s="12">
        <f t="shared" si="80"/>
        <v>1.91398219724656</v>
      </c>
      <c r="Z615" s="12">
        <f t="shared" si="81"/>
        <v>0</v>
      </c>
      <c r="AA615" s="19">
        <v>9299</v>
      </c>
      <c r="AB615" s="19">
        <v>13650.74</v>
      </c>
      <c r="AC615" s="19">
        <v>423.46</v>
      </c>
      <c r="AD615" s="12">
        <v>0</v>
      </c>
      <c r="AE615" s="19">
        <v>195.4</v>
      </c>
      <c r="AF615" s="19">
        <v>21.8</v>
      </c>
      <c r="AG615" s="19">
        <v>378.7</v>
      </c>
      <c r="AH615" s="19">
        <v>0.51</v>
      </c>
      <c r="AI615" s="19">
        <v>8.42</v>
      </c>
      <c r="AJ615" s="19">
        <v>1126.27</v>
      </c>
      <c r="AK615" s="3">
        <f t="shared" si="85"/>
        <v>1</v>
      </c>
      <c r="AL615" s="3">
        <v>0</v>
      </c>
      <c r="AM615" s="3">
        <f t="shared" si="84"/>
        <v>0</v>
      </c>
    </row>
    <row r="616" spans="1:39">
      <c r="A616" s="7">
        <v>2014</v>
      </c>
      <c r="B616" s="7" t="s">
        <v>62</v>
      </c>
      <c r="C616" s="7">
        <v>0.33445218</v>
      </c>
      <c r="D616" s="7">
        <v>0.055052</v>
      </c>
      <c r="E616" s="7">
        <v>0.013128</v>
      </c>
      <c r="F616" s="7">
        <v>0.024197</v>
      </c>
      <c r="G616" s="7">
        <v>0.009358</v>
      </c>
      <c r="H616" s="7">
        <v>0.008369</v>
      </c>
      <c r="I616" s="7">
        <v>0.053205</v>
      </c>
      <c r="J616" s="7">
        <v>0.02872</v>
      </c>
      <c r="K616" s="16">
        <v>9709</v>
      </c>
      <c r="L616" s="17">
        <v>3677</v>
      </c>
      <c r="M616" s="16">
        <v>9266.39</v>
      </c>
      <c r="N616" s="7">
        <f t="shared" si="82"/>
        <v>2.64046777264074</v>
      </c>
      <c r="O616" s="7">
        <f t="shared" si="83"/>
        <v>1.04776509514493</v>
      </c>
      <c r="P616" s="8">
        <v>183829383.6</v>
      </c>
      <c r="Q616" s="8">
        <f t="shared" si="78"/>
        <v>1.98382955606229</v>
      </c>
      <c r="R616" s="9">
        <v>1270.2</v>
      </c>
      <c r="S616" s="9">
        <v>3804.9</v>
      </c>
      <c r="T616" s="9">
        <v>4891.5</v>
      </c>
      <c r="U616" s="9">
        <v>37539</v>
      </c>
      <c r="V616" s="18">
        <v>0</v>
      </c>
      <c r="W616" s="18">
        <v>1</v>
      </c>
      <c r="X616" s="18">
        <f t="shared" si="79"/>
        <v>0</v>
      </c>
      <c r="Y616" s="12">
        <f t="shared" si="80"/>
        <v>1.79640226266579</v>
      </c>
      <c r="Z616" s="12">
        <f t="shared" si="81"/>
        <v>0</v>
      </c>
      <c r="AA616" s="19">
        <v>9708.78</v>
      </c>
      <c r="AB616" s="19">
        <v>13117.6</v>
      </c>
      <c r="AC616" s="19">
        <v>375.31</v>
      </c>
      <c r="AD616" s="12">
        <v>0</v>
      </c>
      <c r="AE616" s="19">
        <v>217.38</v>
      </c>
      <c r="AF616" s="19">
        <v>30.1</v>
      </c>
      <c r="AG616" s="19">
        <v>380.34</v>
      </c>
      <c r="AH616" s="19">
        <v>0.12</v>
      </c>
      <c r="AI616" s="19">
        <v>10.62</v>
      </c>
      <c r="AJ616" s="19">
        <v>1173.74</v>
      </c>
      <c r="AK616" s="3">
        <f t="shared" si="85"/>
        <v>1</v>
      </c>
      <c r="AL616" s="3">
        <v>0</v>
      </c>
      <c r="AM616" s="3">
        <f t="shared" si="84"/>
        <v>0</v>
      </c>
    </row>
    <row r="617" spans="1:39">
      <c r="A617" s="7">
        <v>2015</v>
      </c>
      <c r="B617" s="7" t="s">
        <v>62</v>
      </c>
      <c r="C617" s="7">
        <v>0.35143304</v>
      </c>
      <c r="D617" s="7">
        <v>0.054887</v>
      </c>
      <c r="E617" s="7">
        <v>0.013297</v>
      </c>
      <c r="F617" s="7">
        <v>0.024407</v>
      </c>
      <c r="G617" s="7">
        <v>0.008143</v>
      </c>
      <c r="H617" s="7">
        <v>0.00904</v>
      </c>
      <c r="I617" s="7">
        <v>0.062063</v>
      </c>
      <c r="J617" s="7">
        <v>0.03075</v>
      </c>
      <c r="K617" s="16">
        <v>9344</v>
      </c>
      <c r="L617" s="17">
        <v>3708</v>
      </c>
      <c r="M617" s="16">
        <v>10502.56</v>
      </c>
      <c r="N617" s="7">
        <f t="shared" si="82"/>
        <v>2.51995685005394</v>
      </c>
      <c r="O617" s="7">
        <f t="shared" si="83"/>
        <v>0.889687847534316</v>
      </c>
      <c r="P617" s="8">
        <v>177974564.7</v>
      </c>
      <c r="Q617" s="8">
        <f t="shared" si="78"/>
        <v>1.69458269888484</v>
      </c>
      <c r="R617" s="9">
        <v>1270.6</v>
      </c>
      <c r="S617" s="9">
        <v>3837.8</v>
      </c>
      <c r="T617" s="9">
        <v>4909.6</v>
      </c>
      <c r="U617" s="9">
        <v>38128</v>
      </c>
      <c r="V617" s="18">
        <v>0</v>
      </c>
      <c r="W617" s="18">
        <v>1</v>
      </c>
      <c r="X617" s="18">
        <f t="shared" si="79"/>
        <v>0</v>
      </c>
      <c r="Y617" s="12">
        <f t="shared" si="80"/>
        <v>1.71577514742415</v>
      </c>
      <c r="Z617" s="12">
        <f t="shared" si="81"/>
        <v>0.0123515301938725</v>
      </c>
      <c r="AA617" s="19">
        <v>9344</v>
      </c>
      <c r="AB617" s="19">
        <v>12956.77</v>
      </c>
      <c r="AC617" s="19">
        <v>310.42</v>
      </c>
      <c r="AD617" s="19">
        <v>0.02</v>
      </c>
      <c r="AE617" s="19">
        <v>290.47</v>
      </c>
      <c r="AF617" s="19">
        <v>31.5</v>
      </c>
      <c r="AG617" s="19">
        <v>453.96</v>
      </c>
      <c r="AH617" s="19">
        <v>0.42</v>
      </c>
      <c r="AI617" s="19">
        <v>13.32</v>
      </c>
      <c r="AJ617" s="19">
        <v>1174</v>
      </c>
      <c r="AK617" s="3">
        <f t="shared" si="85"/>
        <v>1</v>
      </c>
      <c r="AL617" s="3">
        <v>0</v>
      </c>
      <c r="AM617" s="3">
        <f t="shared" si="84"/>
        <v>0</v>
      </c>
    </row>
    <row r="618" spans="1:39">
      <c r="A618" s="7">
        <v>2016</v>
      </c>
      <c r="B618" s="7" t="s">
        <v>62</v>
      </c>
      <c r="C618" s="7">
        <v>0.35589303</v>
      </c>
      <c r="D618" s="7">
        <v>0.053992</v>
      </c>
      <c r="E618" s="7">
        <v>0.013987</v>
      </c>
      <c r="F618" s="7">
        <v>0.024101</v>
      </c>
      <c r="G618" s="7">
        <v>0.009182</v>
      </c>
      <c r="H618" s="7">
        <v>0.006722</v>
      </c>
      <c r="I618" s="7">
        <v>0.064277</v>
      </c>
      <c r="J618" s="7">
        <v>0.033824</v>
      </c>
      <c r="K618" s="16">
        <v>9606</v>
      </c>
      <c r="L618" s="17">
        <v>3758</v>
      </c>
      <c r="M618" s="16">
        <v>11776.73</v>
      </c>
      <c r="N618" s="7">
        <f t="shared" si="82"/>
        <v>2.55614688664183</v>
      </c>
      <c r="O618" s="7">
        <f t="shared" si="83"/>
        <v>0.815676337998748</v>
      </c>
      <c r="P618" s="8">
        <v>191920774.1</v>
      </c>
      <c r="Q618" s="8">
        <f t="shared" si="78"/>
        <v>1.62966098484044</v>
      </c>
      <c r="R618" s="9">
        <v>1130.1</v>
      </c>
      <c r="S618" s="9">
        <v>3901.4</v>
      </c>
      <c r="T618" s="9">
        <v>5395.5</v>
      </c>
      <c r="U618" s="9">
        <v>40259</v>
      </c>
      <c r="V618" s="18">
        <v>0</v>
      </c>
      <c r="W618" s="18">
        <v>1</v>
      </c>
      <c r="X618" s="18">
        <f t="shared" si="79"/>
        <v>0</v>
      </c>
      <c r="Y618" s="12">
        <f t="shared" si="80"/>
        <v>1.62438398605541</v>
      </c>
      <c r="Z618" s="12">
        <f t="shared" si="81"/>
        <v>0</v>
      </c>
      <c r="AA618" s="19">
        <v>9606</v>
      </c>
      <c r="AB618" s="19">
        <v>13678.92</v>
      </c>
      <c r="AC618" s="19">
        <v>253.42</v>
      </c>
      <c r="AD618" s="19">
        <v>0.02</v>
      </c>
      <c r="AE618" s="19">
        <v>313.65</v>
      </c>
      <c r="AF618" s="19">
        <v>38.64</v>
      </c>
      <c r="AG618" s="19">
        <v>440.49</v>
      </c>
      <c r="AH618" s="19">
        <v>0.52</v>
      </c>
      <c r="AI618" s="19">
        <v>17.11</v>
      </c>
      <c r="AJ618" s="19">
        <v>1241.78</v>
      </c>
      <c r="AK618" s="3">
        <f t="shared" si="85"/>
        <v>1</v>
      </c>
      <c r="AL618" s="3">
        <v>0</v>
      </c>
      <c r="AM618" s="3">
        <f t="shared" si="84"/>
        <v>0</v>
      </c>
    </row>
    <row r="619" spans="1:39">
      <c r="A619" s="7">
        <v>2017</v>
      </c>
      <c r="B619" s="7" t="s">
        <v>62</v>
      </c>
      <c r="C619" s="7">
        <v>0.38557406</v>
      </c>
      <c r="D619" s="7">
        <v>0.062544</v>
      </c>
      <c r="E619" s="7">
        <v>0.016197</v>
      </c>
      <c r="F619" s="7">
        <v>0.027637</v>
      </c>
      <c r="G619" s="7">
        <v>0.008592</v>
      </c>
      <c r="H619" s="7">
        <v>0.010116</v>
      </c>
      <c r="I619" s="7">
        <v>0.062187</v>
      </c>
      <c r="J619" s="7">
        <v>0.03186</v>
      </c>
      <c r="K619" s="16">
        <v>9846</v>
      </c>
      <c r="L619" s="17">
        <v>3803</v>
      </c>
      <c r="M619" s="16">
        <v>13540.8256</v>
      </c>
      <c r="N619" s="7">
        <f t="shared" si="82"/>
        <v>2.58900867735998</v>
      </c>
      <c r="O619" s="7">
        <f t="shared" si="83"/>
        <v>0.727134392750764</v>
      </c>
      <c r="P619" s="8">
        <v>198911518.4</v>
      </c>
      <c r="Q619" s="8">
        <f t="shared" si="78"/>
        <v>1.46897629639363</v>
      </c>
      <c r="R619" s="9">
        <v>1095.4</v>
      </c>
      <c r="S619" s="9">
        <v>3995.5</v>
      </c>
      <c r="T619" s="9">
        <v>5831.2</v>
      </c>
      <c r="U619" s="9">
        <v>42890</v>
      </c>
      <c r="V619" s="18">
        <v>1</v>
      </c>
      <c r="W619" s="18">
        <v>1</v>
      </c>
      <c r="X619" s="18">
        <f t="shared" si="79"/>
        <v>1</v>
      </c>
      <c r="Y619" s="12">
        <f t="shared" si="80"/>
        <v>1.56738551218677</v>
      </c>
      <c r="Z619" s="12">
        <f t="shared" si="81"/>
        <v>0.0627855846745974</v>
      </c>
      <c r="AA619" s="19">
        <v>9846</v>
      </c>
      <c r="AB619" s="19">
        <v>13634.1</v>
      </c>
      <c r="AC619" s="19">
        <v>214.9</v>
      </c>
      <c r="AD619" s="12">
        <v>0</v>
      </c>
      <c r="AE619" s="19">
        <v>380.41</v>
      </c>
      <c r="AF619" s="19">
        <v>48.57</v>
      </c>
      <c r="AG619" s="19">
        <v>480.92</v>
      </c>
      <c r="AH619" s="19">
        <v>0.32</v>
      </c>
      <c r="AI619" s="19">
        <v>17.73</v>
      </c>
      <c r="AJ619" s="19">
        <v>1384.89</v>
      </c>
      <c r="AK619" s="3">
        <f t="shared" si="85"/>
        <v>1</v>
      </c>
      <c r="AL619" s="3">
        <v>0</v>
      </c>
      <c r="AM619" s="3">
        <f t="shared" si="84"/>
        <v>0</v>
      </c>
    </row>
    <row r="620" spans="1:39">
      <c r="A620" s="7">
        <v>2018</v>
      </c>
      <c r="B620" s="7" t="s">
        <v>62</v>
      </c>
      <c r="C620" s="7">
        <v>0.38837797</v>
      </c>
      <c r="D620" s="7">
        <v>0.06327</v>
      </c>
      <c r="E620" s="7">
        <v>0.014652</v>
      </c>
      <c r="F620" s="7">
        <v>0.028708</v>
      </c>
      <c r="G620" s="7">
        <v>0.009936</v>
      </c>
      <c r="H620" s="7">
        <v>0.009974</v>
      </c>
      <c r="I620" s="7">
        <v>0.064052</v>
      </c>
      <c r="J620" s="7">
        <v>0.03061</v>
      </c>
      <c r="K620" s="16">
        <v>10036</v>
      </c>
      <c r="L620" s="17">
        <v>3822</v>
      </c>
      <c r="M620" s="16">
        <v>14806.45</v>
      </c>
      <c r="N620" s="7">
        <f t="shared" si="82"/>
        <v>2.62585034013605</v>
      </c>
      <c r="O620" s="7">
        <f t="shared" si="83"/>
        <v>0.677812710001385</v>
      </c>
      <c r="P620" s="8">
        <v>208486248.2</v>
      </c>
      <c r="Q620" s="8">
        <f t="shared" si="78"/>
        <v>1.40807721094523</v>
      </c>
      <c r="R620" s="9">
        <v>1160.7</v>
      </c>
      <c r="S620" s="9">
        <v>4051.5</v>
      </c>
      <c r="T620" s="9">
        <v>6041.6</v>
      </c>
      <c r="U620" s="9">
        <v>44925</v>
      </c>
      <c r="V620" s="18">
        <v>1</v>
      </c>
      <c r="W620" s="18">
        <v>1</v>
      </c>
      <c r="X620" s="18">
        <f t="shared" si="79"/>
        <v>1</v>
      </c>
      <c r="Y620" s="12">
        <f t="shared" si="80"/>
        <v>1.51591455826218</v>
      </c>
      <c r="Z620" s="12">
        <f t="shared" si="81"/>
        <v>0.0711368241232337</v>
      </c>
      <c r="AA620" s="19">
        <v>10036</v>
      </c>
      <c r="AB620" s="19">
        <v>12008.04</v>
      </c>
      <c r="AC620" s="19">
        <v>209.54</v>
      </c>
      <c r="AD620" s="12">
        <v>0</v>
      </c>
      <c r="AE620" s="19">
        <v>437.87</v>
      </c>
      <c r="AF620" s="19">
        <v>56.68</v>
      </c>
      <c r="AG620" s="19">
        <v>571.07</v>
      </c>
      <c r="AH620" s="19">
        <v>0.4</v>
      </c>
      <c r="AI620" s="19">
        <v>30.82</v>
      </c>
      <c r="AJ620" s="19">
        <v>1482.12</v>
      </c>
      <c r="AK620" s="3">
        <f t="shared" si="85"/>
        <v>1</v>
      </c>
      <c r="AL620" s="3">
        <v>0</v>
      </c>
      <c r="AM620" s="3">
        <f t="shared" si="84"/>
        <v>0</v>
      </c>
    </row>
    <row r="621" spans="1:39">
      <c r="A621" s="7">
        <v>2019</v>
      </c>
      <c r="B621" s="7" t="s">
        <v>62</v>
      </c>
      <c r="C621" s="7">
        <v>0.34209519</v>
      </c>
      <c r="D621" s="7">
        <v>0.059545</v>
      </c>
      <c r="E621" s="7">
        <v>0.014318</v>
      </c>
      <c r="F621" s="7">
        <v>0.027119</v>
      </c>
      <c r="G621" s="7">
        <v>0.009297</v>
      </c>
      <c r="H621" s="7">
        <v>0.008811</v>
      </c>
      <c r="I621" s="7">
        <v>0.052467</v>
      </c>
      <c r="J621" s="7">
        <v>0.025842</v>
      </c>
      <c r="K621" s="16">
        <v>10423</v>
      </c>
      <c r="L621" s="17">
        <v>3848</v>
      </c>
      <c r="M621" s="16">
        <v>16769.34</v>
      </c>
      <c r="N621" s="7">
        <f t="shared" si="82"/>
        <v>2.70867983367983</v>
      </c>
      <c r="O621" s="7">
        <f t="shared" si="83"/>
        <v>0.621550997236624</v>
      </c>
      <c r="P621" s="8">
        <v>213655104.9</v>
      </c>
      <c r="Q621" s="8">
        <f t="shared" si="78"/>
        <v>1.27408177602696</v>
      </c>
      <c r="R621" s="9">
        <v>1287.3</v>
      </c>
      <c r="S621" s="9">
        <v>4134.8</v>
      </c>
      <c r="T621" s="9">
        <v>6304.7</v>
      </c>
      <c r="U621" s="9">
        <v>47554</v>
      </c>
      <c r="V621" s="18">
        <v>1</v>
      </c>
      <c r="W621" s="18">
        <v>1</v>
      </c>
      <c r="X621" s="18">
        <f t="shared" si="79"/>
        <v>1</v>
      </c>
      <c r="Y621" s="12">
        <f t="shared" si="80"/>
        <v>1.5000536746505</v>
      </c>
      <c r="Z621" s="12">
        <f t="shared" si="81"/>
        <v>0.150642541958499</v>
      </c>
      <c r="AA621" s="19">
        <v>10423</v>
      </c>
      <c r="AB621" s="19">
        <v>12204.17</v>
      </c>
      <c r="AC621" s="19">
        <v>223.81</v>
      </c>
      <c r="AD621" s="12">
        <v>0</v>
      </c>
      <c r="AE621" s="19">
        <v>465.68</v>
      </c>
      <c r="AF621" s="19">
        <v>59.12</v>
      </c>
      <c r="AG621" s="19">
        <v>583.44</v>
      </c>
      <c r="AH621" s="19">
        <v>0.16</v>
      </c>
      <c r="AI621" s="19">
        <v>36.76</v>
      </c>
      <c r="AJ621" s="19">
        <v>1540.68</v>
      </c>
      <c r="AK621" s="3">
        <f t="shared" si="85"/>
        <v>1</v>
      </c>
      <c r="AL621" s="3">
        <v>0</v>
      </c>
      <c r="AM621" s="3">
        <f t="shared" si="84"/>
        <v>0</v>
      </c>
    </row>
    <row r="622" spans="1:39">
      <c r="A622" s="7">
        <v>2020</v>
      </c>
      <c r="B622" s="7" t="s">
        <v>62</v>
      </c>
      <c r="C622" s="7">
        <v>0.42913495</v>
      </c>
      <c r="D622" s="7">
        <v>0.071593</v>
      </c>
      <c r="E622" s="7">
        <v>0.017344</v>
      </c>
      <c r="F622" s="7">
        <v>0.03157</v>
      </c>
      <c r="G622" s="7">
        <v>0.011717</v>
      </c>
      <c r="H622" s="7">
        <v>0.010963</v>
      </c>
      <c r="I622" s="7">
        <v>0.06708</v>
      </c>
      <c r="J622" s="7">
        <v>0.03063</v>
      </c>
      <c r="K622" s="16">
        <v>10621.44</v>
      </c>
      <c r="L622" s="17">
        <v>3857.86</v>
      </c>
      <c r="M622" s="16">
        <v>17826.56</v>
      </c>
      <c r="N622" s="7">
        <f t="shared" si="82"/>
        <v>2.75319477637861</v>
      </c>
      <c r="O622" s="7">
        <f t="shared" si="83"/>
        <v>0.595821066992173</v>
      </c>
      <c r="P622" s="8">
        <v>219840204.8</v>
      </c>
      <c r="Q622" s="8">
        <f t="shared" si="78"/>
        <v>1.23321720399225</v>
      </c>
      <c r="R622" s="9">
        <v>1553</v>
      </c>
      <c r="S622" s="9">
        <v>4319.9</v>
      </c>
      <c r="T622" s="9">
        <v>6383.1</v>
      </c>
      <c r="U622" s="9">
        <v>50561</v>
      </c>
      <c r="V622" s="18">
        <v>1</v>
      </c>
      <c r="W622" s="18">
        <v>1</v>
      </c>
      <c r="X622" s="18">
        <f t="shared" si="79"/>
        <v>1</v>
      </c>
      <c r="Y622" s="12">
        <f t="shared" si="80"/>
        <v>1.47141701078949</v>
      </c>
      <c r="Z622" s="12">
        <f t="shared" si="81"/>
        <v>0.161884635729088</v>
      </c>
      <c r="AA622" s="19">
        <v>10621.44</v>
      </c>
      <c r="AB622" s="19">
        <v>11658.89</v>
      </c>
      <c r="AC622" s="19">
        <v>248.69</v>
      </c>
      <c r="AD622" s="12">
        <v>0</v>
      </c>
      <c r="AE622" s="19">
        <v>484.53</v>
      </c>
      <c r="AF622" s="19">
        <v>49.45</v>
      </c>
      <c r="AG622" s="19">
        <v>598.02</v>
      </c>
      <c r="AH622" s="19">
        <v>0.5</v>
      </c>
      <c r="AI622" s="19">
        <v>39.11</v>
      </c>
      <c r="AJ622" s="19">
        <v>1586</v>
      </c>
      <c r="AK622" s="3">
        <f t="shared" si="85"/>
        <v>1</v>
      </c>
      <c r="AL622" s="3">
        <v>0</v>
      </c>
      <c r="AM622" s="3">
        <f t="shared" si="84"/>
        <v>0</v>
      </c>
    </row>
    <row r="623" spans="1:39">
      <c r="A623" s="7">
        <v>2021</v>
      </c>
      <c r="B623" s="7" t="s">
        <v>62</v>
      </c>
      <c r="C623" s="7">
        <v>0.41248701</v>
      </c>
      <c r="D623" s="7">
        <v>0.063452</v>
      </c>
      <c r="E623" s="7">
        <v>0.015416</v>
      </c>
      <c r="F623" s="7">
        <v>0.027776</v>
      </c>
      <c r="G623" s="7">
        <v>0.008803</v>
      </c>
      <c r="H623" s="7">
        <v>0.011457</v>
      </c>
      <c r="I623" s="7">
        <v>0.072518</v>
      </c>
      <c r="J623" s="7">
        <v>0.033782</v>
      </c>
      <c r="K623" s="16">
        <v>11263.82</v>
      </c>
      <c r="L623" s="17">
        <v>3852</v>
      </c>
      <c r="M623" s="16">
        <v>19586.4</v>
      </c>
      <c r="N623" s="7">
        <f t="shared" si="82"/>
        <v>2.92414849428868</v>
      </c>
      <c r="O623" s="7">
        <f t="shared" si="83"/>
        <v>0.575083731568844</v>
      </c>
      <c r="P623" s="8">
        <v>225493929.1</v>
      </c>
      <c r="Q623" s="8">
        <f t="shared" si="78"/>
        <v>1.15127807611404</v>
      </c>
      <c r="R623" s="9">
        <v>1553.8</v>
      </c>
      <c r="S623" s="9">
        <v>4768.3</v>
      </c>
      <c r="T623" s="9">
        <v>6841.7</v>
      </c>
      <c r="U623" s="9">
        <v>55148</v>
      </c>
      <c r="V623" s="18">
        <v>1</v>
      </c>
      <c r="W623" s="18">
        <v>1</v>
      </c>
      <c r="X623" s="18">
        <f t="shared" si="79"/>
        <v>1</v>
      </c>
      <c r="Y623" s="12">
        <f t="shared" si="80"/>
        <v>1.36781889095748</v>
      </c>
      <c r="Z623" s="12">
        <f t="shared" si="81"/>
        <v>0.158311028071749</v>
      </c>
      <c r="AA623" s="19">
        <v>11263.82</v>
      </c>
      <c r="AB623" s="19">
        <v>14372.19</v>
      </c>
      <c r="AC623" s="19">
        <v>263.43</v>
      </c>
      <c r="AD623" s="12">
        <v>0</v>
      </c>
      <c r="AE623" s="19">
        <v>596.6</v>
      </c>
      <c r="AF623" s="19">
        <v>49.8</v>
      </c>
      <c r="AG623" s="19">
        <v>728.78</v>
      </c>
      <c r="AH623" s="19">
        <v>0.81</v>
      </c>
      <c r="AI623" s="19">
        <v>48.08</v>
      </c>
      <c r="AJ623" s="19">
        <v>1743</v>
      </c>
      <c r="AK623" s="3">
        <f t="shared" si="85"/>
        <v>1</v>
      </c>
      <c r="AL623" s="3">
        <v>0</v>
      </c>
      <c r="AM623" s="3">
        <f t="shared" si="84"/>
        <v>0</v>
      </c>
    </row>
    <row r="624" spans="1:39">
      <c r="A624" s="7">
        <v>2022</v>
      </c>
      <c r="B624" s="7" t="s">
        <v>62</v>
      </c>
      <c r="C624" s="7">
        <v>0.45844038</v>
      </c>
      <c r="D624" s="7">
        <v>0.072556</v>
      </c>
      <c r="E624" s="7">
        <v>0.01854</v>
      </c>
      <c r="F624" s="7">
        <v>0.032959</v>
      </c>
      <c r="G624" s="7">
        <v>0.010163</v>
      </c>
      <c r="H624" s="7">
        <v>0.010893</v>
      </c>
      <c r="I624" s="7">
        <v>0.075092</v>
      </c>
      <c r="J624" s="7">
        <v>0.037543</v>
      </c>
      <c r="K624" s="16">
        <v>10980.64</v>
      </c>
      <c r="L624" s="17">
        <v>3856</v>
      </c>
      <c r="M624" s="16">
        <v>20164.6</v>
      </c>
      <c r="N624" s="7">
        <f t="shared" si="82"/>
        <v>2.84767634854772</v>
      </c>
      <c r="O624" s="7">
        <f t="shared" si="83"/>
        <v>0.544550350614443</v>
      </c>
      <c r="P624" s="8">
        <v>223389255.9</v>
      </c>
      <c r="Q624" s="8">
        <f t="shared" si="78"/>
        <v>1.1078288480803</v>
      </c>
      <c r="R624" s="9">
        <v>1689.1</v>
      </c>
      <c r="S624" s="9">
        <v>4370.2</v>
      </c>
      <c r="T624" s="9">
        <v>6758.7</v>
      </c>
      <c r="U624" s="9">
        <v>54279</v>
      </c>
      <c r="V624" s="18">
        <v>1</v>
      </c>
      <c r="W624" s="18">
        <v>1</v>
      </c>
      <c r="X624" s="18">
        <f t="shared" si="79"/>
        <v>1</v>
      </c>
      <c r="Y624" s="12">
        <f t="shared" si="80"/>
        <v>1.27047633725244</v>
      </c>
      <c r="Z624" s="12">
        <f t="shared" si="81"/>
        <v>0.128020872489355</v>
      </c>
      <c r="AA624" s="19">
        <v>10980.6384024511</v>
      </c>
      <c r="AB624" s="19">
        <v>14059.6</v>
      </c>
      <c r="AC624" s="19">
        <v>269.86</v>
      </c>
      <c r="AD624" s="12">
        <v>0</v>
      </c>
      <c r="AE624" s="19">
        <v>605.59</v>
      </c>
      <c r="AF624" s="19">
        <v>32.34</v>
      </c>
      <c r="AG624" s="19">
        <v>732.52</v>
      </c>
      <c r="AH624" s="19">
        <v>0.69</v>
      </c>
      <c r="AI624" s="19">
        <v>53.93</v>
      </c>
      <c r="AJ624" s="19">
        <v>1743.96</v>
      </c>
      <c r="AK624" s="3">
        <f t="shared" si="85"/>
        <v>1</v>
      </c>
      <c r="AL624" s="3">
        <v>0</v>
      </c>
      <c r="AM624" s="3">
        <f t="shared" si="84"/>
        <v>0</v>
      </c>
    </row>
    <row r="625" spans="1:39">
      <c r="A625" s="7">
        <v>2023</v>
      </c>
      <c r="B625" s="7" t="s">
        <v>62</v>
      </c>
      <c r="C625" s="7">
        <v>0.66559571</v>
      </c>
      <c r="D625" s="7">
        <v>0.089612</v>
      </c>
      <c r="E625" s="7">
        <v>0.029616</v>
      </c>
      <c r="F625" s="7">
        <v>0.046095</v>
      </c>
      <c r="G625" s="7">
        <v>0.019475</v>
      </c>
      <c r="H625" s="7">
        <v>0.018281</v>
      </c>
      <c r="I625" s="7">
        <v>0.085618</v>
      </c>
      <c r="J625" s="7">
        <v>0.049256</v>
      </c>
      <c r="K625" s="16">
        <v>11148.31</v>
      </c>
      <c r="L625" s="17">
        <v>3865</v>
      </c>
      <c r="M625" s="16">
        <v>20913.3</v>
      </c>
      <c r="N625" s="7">
        <f t="shared" si="82"/>
        <v>2.88442690815006</v>
      </c>
      <c r="O625" s="7">
        <f t="shared" si="83"/>
        <v>0.533072733619276</v>
      </c>
      <c r="P625" s="8">
        <v>229221073.1</v>
      </c>
      <c r="Q625" s="8">
        <f t="shared" si="78"/>
        <v>1.09605405698766</v>
      </c>
      <c r="R625" s="9">
        <v>1644.8</v>
      </c>
      <c r="S625" s="9">
        <v>4585</v>
      </c>
      <c r="T625" s="9">
        <v>7301.4</v>
      </c>
      <c r="U625" s="9">
        <v>57739</v>
      </c>
      <c r="V625" s="18">
        <v>1</v>
      </c>
      <c r="W625" s="18">
        <v>1</v>
      </c>
      <c r="X625" s="18">
        <f t="shared" si="79"/>
        <v>1</v>
      </c>
      <c r="Y625" s="12">
        <f t="shared" si="80"/>
        <v>1.2756783895882</v>
      </c>
      <c r="Z625" s="12">
        <f t="shared" si="81"/>
        <v>0.140806910320493</v>
      </c>
      <c r="AA625" s="20"/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3">
        <f t="shared" si="85"/>
        <v>1</v>
      </c>
      <c r="AL625" s="3">
        <v>0</v>
      </c>
      <c r="AM625" s="3">
        <f t="shared" si="84"/>
        <v>0</v>
      </c>
    </row>
    <row r="626" spans="1:39">
      <c r="A626" s="7">
        <v>2024</v>
      </c>
      <c r="B626" s="7" t="s">
        <v>62</v>
      </c>
      <c r="C626" s="7">
        <v>0.75732809</v>
      </c>
      <c r="D626" s="7">
        <v>0.096929</v>
      </c>
      <c r="E626" s="7">
        <v>0.034814</v>
      </c>
      <c r="F626" s="7">
        <v>0.051384</v>
      </c>
      <c r="G626" s="7">
        <v>0.02344</v>
      </c>
      <c r="H626" s="7">
        <v>0.021213</v>
      </c>
      <c r="I626" s="7">
        <v>0.091686</v>
      </c>
      <c r="J626" s="7">
        <v>0.054731</v>
      </c>
      <c r="K626" s="16">
        <v>11315.98</v>
      </c>
      <c r="L626" s="17">
        <v>3860</v>
      </c>
      <c r="M626" s="16">
        <v>22667.1</v>
      </c>
      <c r="N626" s="7">
        <f t="shared" si="82"/>
        <v>2.93160103626943</v>
      </c>
      <c r="O626" s="7">
        <f t="shared" si="83"/>
        <v>0.499224867759881</v>
      </c>
      <c r="P626" s="8">
        <v>235354735.8</v>
      </c>
      <c r="Q626" s="8">
        <f t="shared" si="78"/>
        <v>1.03830986672314</v>
      </c>
      <c r="R626" s="9">
        <v>1589.8</v>
      </c>
      <c r="S626" s="9">
        <v>4577.6</v>
      </c>
      <c r="T626" s="9">
        <v>8193.8</v>
      </c>
      <c r="U626" s="9">
        <v>61689</v>
      </c>
      <c r="V626" s="18">
        <v>1</v>
      </c>
      <c r="W626" s="18">
        <v>1</v>
      </c>
      <c r="X626" s="18">
        <f t="shared" si="79"/>
        <v>1</v>
      </c>
      <c r="Y626" s="12">
        <f t="shared" si="80"/>
        <v>1.21200651315194</v>
      </c>
      <c r="Z626" s="12">
        <f t="shared" si="81"/>
        <v>0.143313294560675</v>
      </c>
      <c r="AA626" s="12"/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2">
        <v>0</v>
      </c>
      <c r="AK626" s="3">
        <f t="shared" si="85"/>
        <v>1</v>
      </c>
      <c r="AL626" s="3">
        <v>0</v>
      </c>
      <c r="AM626" s="3">
        <f t="shared" si="84"/>
        <v>0</v>
      </c>
    </row>
    <row r="627" spans="1:39">
      <c r="A627" s="7">
        <v>2000</v>
      </c>
      <c r="B627" s="7" t="s">
        <v>63</v>
      </c>
      <c r="C627" s="7">
        <v>0.17839717</v>
      </c>
      <c r="D627" s="7">
        <v>0.032589</v>
      </c>
      <c r="E627" s="7">
        <v>0.008793</v>
      </c>
      <c r="F627" s="7">
        <v>0.014956</v>
      </c>
      <c r="G627" s="7">
        <v>0.005291</v>
      </c>
      <c r="H627" s="7">
        <v>0.003548</v>
      </c>
      <c r="I627" s="7">
        <v>0.035541</v>
      </c>
      <c r="J627" s="7">
        <v>0.016477</v>
      </c>
      <c r="K627" s="16">
        <v>10656</v>
      </c>
      <c r="L627" s="17">
        <v>4184</v>
      </c>
      <c r="M627" s="16">
        <v>4669.06</v>
      </c>
      <c r="N627" s="7">
        <f t="shared" si="82"/>
        <v>2.54684512428298</v>
      </c>
      <c r="O627" s="7">
        <f t="shared" si="83"/>
        <v>2.28225809906062</v>
      </c>
      <c r="P627" s="8">
        <v>176156582.7</v>
      </c>
      <c r="Q627" s="8">
        <f t="shared" si="78"/>
        <v>3.77284898245043</v>
      </c>
      <c r="R627" s="9">
        <v>662.3</v>
      </c>
      <c r="S627" s="9">
        <v>1432.8</v>
      </c>
      <c r="T627" s="9">
        <v>1450.3</v>
      </c>
      <c r="U627" s="9">
        <v>6121</v>
      </c>
      <c r="V627" s="18">
        <v>0</v>
      </c>
      <c r="W627" s="18">
        <v>0</v>
      </c>
      <c r="X627" s="18">
        <f t="shared" si="79"/>
        <v>0</v>
      </c>
      <c r="Y627" s="12">
        <f t="shared" si="80"/>
        <v>4.53658228674969</v>
      </c>
      <c r="Z627" s="12">
        <f t="shared" si="81"/>
        <v>0.168349928652225</v>
      </c>
      <c r="AA627" s="19">
        <v>10655.82</v>
      </c>
      <c r="AB627" s="19">
        <v>9582.18</v>
      </c>
      <c r="AC627" s="19">
        <v>878.12</v>
      </c>
      <c r="AD627" s="19">
        <v>3938.74</v>
      </c>
      <c r="AE627" s="19">
        <v>149.47</v>
      </c>
      <c r="AF627" s="19">
        <v>18.55</v>
      </c>
      <c r="AG627" s="19">
        <v>197.22</v>
      </c>
      <c r="AH627" s="19">
        <v>296.73</v>
      </c>
      <c r="AI627" s="19">
        <v>20.15</v>
      </c>
      <c r="AJ627" s="19">
        <v>748.89</v>
      </c>
      <c r="AK627" s="3">
        <f t="shared" si="85"/>
        <v>0</v>
      </c>
      <c r="AL627" s="3">
        <v>0</v>
      </c>
      <c r="AM627" s="3">
        <f t="shared" si="84"/>
        <v>0</v>
      </c>
    </row>
    <row r="628" spans="1:39">
      <c r="A628" s="7">
        <v>2001</v>
      </c>
      <c r="B628" s="7" t="s">
        <v>63</v>
      </c>
      <c r="C628" s="7">
        <v>0.17772927</v>
      </c>
      <c r="D628" s="7">
        <v>0.031704</v>
      </c>
      <c r="E628" s="7">
        <v>0.007647</v>
      </c>
      <c r="F628" s="7">
        <v>0.014264</v>
      </c>
      <c r="G628" s="7">
        <v>0.004852</v>
      </c>
      <c r="H628" s="7">
        <v>0.004942</v>
      </c>
      <c r="I628" s="7">
        <v>0.034044</v>
      </c>
      <c r="J628" s="7">
        <v>0.017358</v>
      </c>
      <c r="K628" s="16">
        <v>10656</v>
      </c>
      <c r="L628" s="17">
        <v>4194</v>
      </c>
      <c r="M628" s="16">
        <v>5033.08</v>
      </c>
      <c r="N628" s="7">
        <f t="shared" si="82"/>
        <v>2.54077253218884</v>
      </c>
      <c r="O628" s="7">
        <f t="shared" si="83"/>
        <v>2.11719265340507</v>
      </c>
      <c r="P628" s="8">
        <v>175085791.9</v>
      </c>
      <c r="Q628" s="8">
        <f t="shared" si="78"/>
        <v>3.47870075381277</v>
      </c>
      <c r="R628" s="9">
        <v>692.2</v>
      </c>
      <c r="S628" s="9">
        <v>1569.3</v>
      </c>
      <c r="T628" s="9">
        <v>1619</v>
      </c>
      <c r="U628" s="9">
        <v>6866</v>
      </c>
      <c r="V628" s="18">
        <v>0</v>
      </c>
      <c r="W628" s="18">
        <v>0</v>
      </c>
      <c r="X628" s="18">
        <f t="shared" si="79"/>
        <v>0</v>
      </c>
      <c r="Y628" s="12">
        <f t="shared" si="80"/>
        <v>4.16809156222866</v>
      </c>
      <c r="Z628" s="12">
        <f t="shared" si="81"/>
        <v>0.165397232312066</v>
      </c>
      <c r="AA628" s="19">
        <v>10656</v>
      </c>
      <c r="AB628" s="19">
        <v>9084</v>
      </c>
      <c r="AC628" s="19">
        <v>898.14</v>
      </c>
      <c r="AD628" s="19">
        <v>4046.3</v>
      </c>
      <c r="AE628" s="19">
        <v>235.79</v>
      </c>
      <c r="AF628" s="19">
        <v>18.17</v>
      </c>
      <c r="AG628" s="19">
        <v>279.75</v>
      </c>
      <c r="AH628" s="19">
        <v>293.2</v>
      </c>
      <c r="AI628" s="19">
        <v>18.93</v>
      </c>
      <c r="AJ628" s="19">
        <v>809.42</v>
      </c>
      <c r="AK628" s="3">
        <f t="shared" si="85"/>
        <v>0</v>
      </c>
      <c r="AL628" s="3">
        <v>0</v>
      </c>
      <c r="AM628" s="3">
        <f t="shared" si="84"/>
        <v>0</v>
      </c>
    </row>
    <row r="629" spans="1:39">
      <c r="A629" s="7">
        <v>2002</v>
      </c>
      <c r="B629" s="7" t="s">
        <v>63</v>
      </c>
      <c r="C629" s="7">
        <v>0.20766888</v>
      </c>
      <c r="D629" s="7">
        <v>0.038642</v>
      </c>
      <c r="E629" s="7">
        <v>0.009544</v>
      </c>
      <c r="F629" s="7">
        <v>0.016763</v>
      </c>
      <c r="G629" s="7">
        <v>0.005932</v>
      </c>
      <c r="H629" s="7">
        <v>0.006404</v>
      </c>
      <c r="I629" s="7">
        <v>0.035498</v>
      </c>
      <c r="J629" s="7">
        <v>0.016189</v>
      </c>
      <c r="K629" s="16">
        <v>10602</v>
      </c>
      <c r="L629" s="17">
        <v>4203</v>
      </c>
      <c r="M629" s="16">
        <v>5458.22</v>
      </c>
      <c r="N629" s="7">
        <f t="shared" si="82"/>
        <v>2.52248394004283</v>
      </c>
      <c r="O629" s="7">
        <f t="shared" si="83"/>
        <v>1.94239147560926</v>
      </c>
      <c r="P629" s="8">
        <v>186465904.9</v>
      </c>
      <c r="Q629" s="8">
        <f t="shared" si="78"/>
        <v>3.41624018269692</v>
      </c>
      <c r="R629" s="9">
        <v>707</v>
      </c>
      <c r="S629" s="9">
        <v>1704.4</v>
      </c>
      <c r="T629" s="9">
        <v>1801.4</v>
      </c>
      <c r="U629" s="9">
        <v>7437</v>
      </c>
      <c r="V629" s="18">
        <v>0</v>
      </c>
      <c r="W629" s="18">
        <v>0</v>
      </c>
      <c r="X629" s="18">
        <f t="shared" si="79"/>
        <v>0</v>
      </c>
      <c r="Y629" s="12">
        <f t="shared" si="80"/>
        <v>4.06804884448575</v>
      </c>
      <c r="Z629" s="12">
        <f t="shared" si="81"/>
        <v>0.16022636077056</v>
      </c>
      <c r="AA629" s="19">
        <v>10602</v>
      </c>
      <c r="AB629" s="19">
        <v>9355</v>
      </c>
      <c r="AC629" s="19">
        <v>1046.88</v>
      </c>
      <c r="AD629" s="19">
        <v>4218.81</v>
      </c>
      <c r="AE629" s="19">
        <v>236.1</v>
      </c>
      <c r="AF629" s="19">
        <v>20.27</v>
      </c>
      <c r="AG629" s="19">
        <v>273.24</v>
      </c>
      <c r="AH629" s="19">
        <v>237.58</v>
      </c>
      <c r="AI629" s="19">
        <v>18.81</v>
      </c>
      <c r="AJ629" s="19">
        <v>859.2</v>
      </c>
      <c r="AK629" s="3">
        <f t="shared" si="85"/>
        <v>0</v>
      </c>
      <c r="AL629" s="3">
        <v>0</v>
      </c>
      <c r="AM629" s="3">
        <f t="shared" si="84"/>
        <v>0</v>
      </c>
    </row>
    <row r="630" spans="1:39">
      <c r="A630" s="7">
        <v>2003</v>
      </c>
      <c r="B630" s="7" t="s">
        <v>63</v>
      </c>
      <c r="C630" s="7">
        <v>0.21435373</v>
      </c>
      <c r="D630" s="7">
        <v>0.036716</v>
      </c>
      <c r="E630" s="7">
        <v>0.009591</v>
      </c>
      <c r="F630" s="7">
        <v>0.016415</v>
      </c>
      <c r="G630" s="7">
        <v>0.005462</v>
      </c>
      <c r="H630" s="7">
        <v>0.005249</v>
      </c>
      <c r="I630" s="7">
        <v>0.040547</v>
      </c>
      <c r="J630" s="7">
        <v>0.020111</v>
      </c>
      <c r="K630" s="16">
        <v>11253</v>
      </c>
      <c r="L630" s="17">
        <v>4210</v>
      </c>
      <c r="M630" s="16">
        <v>6002.54</v>
      </c>
      <c r="N630" s="7">
        <f t="shared" si="82"/>
        <v>2.6729216152019</v>
      </c>
      <c r="O630" s="7">
        <f t="shared" si="83"/>
        <v>1.87470637430155</v>
      </c>
      <c r="P630" s="8">
        <v>205655396.1</v>
      </c>
      <c r="Q630" s="8">
        <f t="shared" si="78"/>
        <v>3.42613953592979</v>
      </c>
      <c r="R630" s="9">
        <v>798.4</v>
      </c>
      <c r="S630" s="9">
        <v>1949.8</v>
      </c>
      <c r="T630" s="9">
        <v>2009.3</v>
      </c>
      <c r="U630" s="9">
        <v>8378</v>
      </c>
      <c r="V630" s="18">
        <v>0</v>
      </c>
      <c r="W630" s="18">
        <v>0</v>
      </c>
      <c r="X630" s="18">
        <f t="shared" si="79"/>
        <v>0</v>
      </c>
      <c r="Y630" s="12">
        <f t="shared" si="80"/>
        <v>4.08414499624993</v>
      </c>
      <c r="Z630" s="12">
        <f t="shared" si="81"/>
        <v>0.161112169358415</v>
      </c>
      <c r="AA630" s="19">
        <v>11253.34</v>
      </c>
      <c r="AB630" s="19">
        <v>10453.84</v>
      </c>
      <c r="AC630" s="19">
        <v>1131.02</v>
      </c>
      <c r="AD630" s="19">
        <v>4560.41</v>
      </c>
      <c r="AE630" s="19">
        <v>227.94</v>
      </c>
      <c r="AF630" s="19">
        <v>18.42</v>
      </c>
      <c r="AG630" s="19">
        <v>267.7</v>
      </c>
      <c r="AH630" s="19">
        <v>192.54</v>
      </c>
      <c r="AI630" s="19">
        <v>18.82</v>
      </c>
      <c r="AJ630" s="19">
        <v>886.88</v>
      </c>
      <c r="AK630" s="3">
        <f t="shared" si="85"/>
        <v>0</v>
      </c>
      <c r="AL630" s="3">
        <v>0</v>
      </c>
      <c r="AM630" s="3">
        <f t="shared" si="84"/>
        <v>0</v>
      </c>
    </row>
    <row r="631" spans="1:39">
      <c r="A631" s="7">
        <v>2004</v>
      </c>
      <c r="B631" s="7" t="s">
        <v>63</v>
      </c>
      <c r="C631" s="7">
        <v>0.25517716</v>
      </c>
      <c r="D631" s="7">
        <v>0.043586</v>
      </c>
      <c r="E631" s="7">
        <v>0.011076</v>
      </c>
      <c r="F631" s="7">
        <v>0.020067</v>
      </c>
      <c r="G631" s="7">
        <v>0.006604</v>
      </c>
      <c r="H631" s="7">
        <v>0.005838</v>
      </c>
      <c r="I631" s="7">
        <v>0.043126</v>
      </c>
      <c r="J631" s="7">
        <v>0.024</v>
      </c>
      <c r="K631" s="16">
        <v>13074</v>
      </c>
      <c r="L631" s="17">
        <v>4217</v>
      </c>
      <c r="M631" s="16">
        <v>6672</v>
      </c>
      <c r="N631" s="7">
        <f t="shared" si="82"/>
        <v>3.10030827602561</v>
      </c>
      <c r="O631" s="7">
        <f t="shared" si="83"/>
        <v>1.95953237410072</v>
      </c>
      <c r="P631" s="8">
        <v>224169708.1</v>
      </c>
      <c r="Q631" s="8">
        <f t="shared" si="78"/>
        <v>3.35985773531175</v>
      </c>
      <c r="R631" s="9">
        <v>1008.9</v>
      </c>
      <c r="S631" s="9">
        <v>2273.5</v>
      </c>
      <c r="T631" s="9">
        <v>2264.4</v>
      </c>
      <c r="U631" s="9">
        <v>9746</v>
      </c>
      <c r="V631" s="18">
        <v>0</v>
      </c>
      <c r="W631" s="18">
        <v>0</v>
      </c>
      <c r="X631" s="18">
        <f t="shared" si="79"/>
        <v>0</v>
      </c>
      <c r="Y631" s="12">
        <f t="shared" si="80"/>
        <v>3.89549779892895</v>
      </c>
      <c r="Z631" s="12">
        <f t="shared" si="81"/>
        <v>0.137502340205267</v>
      </c>
      <c r="AA631" s="19">
        <v>13074.15</v>
      </c>
      <c r="AB631" s="19">
        <v>11944.98</v>
      </c>
      <c r="AC631" s="19">
        <v>821.02</v>
      </c>
      <c r="AD631" s="19">
        <v>5216.67</v>
      </c>
      <c r="AE631" s="19">
        <v>229.18</v>
      </c>
      <c r="AF631" s="19">
        <v>21.53</v>
      </c>
      <c r="AG631" s="19">
        <v>321.68</v>
      </c>
      <c r="AH631" s="19">
        <v>193.29</v>
      </c>
      <c r="AI631" s="19">
        <v>15.81</v>
      </c>
      <c r="AJ631" s="19">
        <v>1058.1</v>
      </c>
      <c r="AK631" s="3">
        <f t="shared" si="85"/>
        <v>0</v>
      </c>
      <c r="AL631" s="3">
        <v>0</v>
      </c>
      <c r="AM631" s="3">
        <f t="shared" si="84"/>
        <v>0</v>
      </c>
    </row>
    <row r="632" spans="1:39">
      <c r="A632" s="7">
        <v>2005</v>
      </c>
      <c r="B632" s="7" t="s">
        <v>63</v>
      </c>
      <c r="C632" s="7">
        <v>0.24432896</v>
      </c>
      <c r="D632" s="7">
        <v>0.04549</v>
      </c>
      <c r="E632" s="7">
        <v>0.011666</v>
      </c>
      <c r="F632" s="7">
        <v>0.020775</v>
      </c>
      <c r="G632" s="7">
        <v>0.006732</v>
      </c>
      <c r="H632" s="7">
        <v>0.006318</v>
      </c>
      <c r="I632" s="7">
        <v>0.038642</v>
      </c>
      <c r="J632" s="7">
        <v>0.019054</v>
      </c>
      <c r="K632" s="16">
        <v>13611</v>
      </c>
      <c r="L632" s="17">
        <v>4221</v>
      </c>
      <c r="M632" s="16">
        <v>8047.26</v>
      </c>
      <c r="N632" s="7">
        <f t="shared" si="82"/>
        <v>3.22459132906894</v>
      </c>
      <c r="O632" s="7">
        <f t="shared" si="83"/>
        <v>1.69138315401764</v>
      </c>
      <c r="P632" s="8">
        <v>246017834.8</v>
      </c>
      <c r="Q632" s="8">
        <f t="shared" si="78"/>
        <v>3.05716274607755</v>
      </c>
      <c r="R632" s="9">
        <v>1069.8</v>
      </c>
      <c r="S632" s="9">
        <v>2758.8</v>
      </c>
      <c r="T632" s="9">
        <v>2641</v>
      </c>
      <c r="U632" s="9">
        <v>11342</v>
      </c>
      <c r="V632" s="18">
        <v>0</v>
      </c>
      <c r="W632" s="18">
        <v>0</v>
      </c>
      <c r="X632" s="18">
        <f t="shared" si="79"/>
        <v>0</v>
      </c>
      <c r="Y632" s="12">
        <f t="shared" si="80"/>
        <v>3.71995059106252</v>
      </c>
      <c r="Z632" s="12">
        <f t="shared" si="81"/>
        <v>0.178171141997792</v>
      </c>
      <c r="AA632" s="19">
        <v>14684.9</v>
      </c>
      <c r="AB632" s="19">
        <v>13069.67</v>
      </c>
      <c r="AC632" s="19">
        <v>1703.41</v>
      </c>
      <c r="AD632" s="19">
        <v>5410.89</v>
      </c>
      <c r="AE632" s="19">
        <v>357.17</v>
      </c>
      <c r="AF632" s="19">
        <v>26.4</v>
      </c>
      <c r="AG632" s="19">
        <v>534.4</v>
      </c>
      <c r="AH632" s="19">
        <v>189.88</v>
      </c>
      <c r="AI632" s="19">
        <v>14.81</v>
      </c>
      <c r="AJ632" s="19">
        <v>1110.56</v>
      </c>
      <c r="AK632" s="3">
        <f t="shared" si="85"/>
        <v>0</v>
      </c>
      <c r="AL632" s="3">
        <v>0</v>
      </c>
      <c r="AM632" s="3">
        <f t="shared" si="84"/>
        <v>0</v>
      </c>
    </row>
    <row r="633" spans="1:39">
      <c r="A633" s="7">
        <v>2006</v>
      </c>
      <c r="B633" s="7" t="s">
        <v>63</v>
      </c>
      <c r="C633" s="7">
        <v>0.28009311</v>
      </c>
      <c r="D633" s="7">
        <v>0.048088</v>
      </c>
      <c r="E633" s="7">
        <v>0.012309</v>
      </c>
      <c r="F633" s="7">
        <v>0.021821</v>
      </c>
      <c r="G633" s="7">
        <v>0.007254</v>
      </c>
      <c r="H633" s="7">
        <v>0.006705</v>
      </c>
      <c r="I633" s="7">
        <v>0.044978</v>
      </c>
      <c r="J633" s="7">
        <v>0.025045</v>
      </c>
      <c r="K633" s="16">
        <v>14987</v>
      </c>
      <c r="L633" s="17">
        <v>4271</v>
      </c>
      <c r="M633" s="16">
        <v>9304.52</v>
      </c>
      <c r="N633" s="7">
        <f t="shared" si="82"/>
        <v>3.50901428236947</v>
      </c>
      <c r="O633" s="7">
        <f t="shared" si="83"/>
        <v>1.61072253055504</v>
      </c>
      <c r="P633" s="8">
        <v>264916374</v>
      </c>
      <c r="Q633" s="8">
        <f t="shared" si="78"/>
        <v>2.84717937088641</v>
      </c>
      <c r="R633" s="9">
        <v>1125.5</v>
      </c>
      <c r="S633" s="9">
        <v>3270.8</v>
      </c>
      <c r="T633" s="9">
        <v>3135.5</v>
      </c>
      <c r="U633" s="9">
        <v>13210</v>
      </c>
      <c r="V633" s="18">
        <v>0</v>
      </c>
      <c r="W633" s="18">
        <v>0</v>
      </c>
      <c r="X633" s="18">
        <f t="shared" si="79"/>
        <v>0</v>
      </c>
      <c r="Y633" s="12">
        <f t="shared" si="80"/>
        <v>3.57740717995078</v>
      </c>
      <c r="Z633" s="12">
        <f t="shared" si="81"/>
        <v>0.204122084049268</v>
      </c>
      <c r="AA633" s="19">
        <v>15883.16</v>
      </c>
      <c r="AB633" s="19">
        <v>14211.31</v>
      </c>
      <c r="AC633" s="19">
        <v>1959.93</v>
      </c>
      <c r="AD633" s="19">
        <v>5555.04</v>
      </c>
      <c r="AE633" s="19">
        <v>393.53</v>
      </c>
      <c r="AF633" s="19">
        <v>34.89</v>
      </c>
      <c r="AG633" s="19">
        <v>587.76</v>
      </c>
      <c r="AH633" s="19">
        <v>230.73</v>
      </c>
      <c r="AI633" s="19">
        <v>13.1</v>
      </c>
      <c r="AJ633" s="19">
        <v>1228.28</v>
      </c>
      <c r="AK633" s="3">
        <f t="shared" si="85"/>
        <v>0</v>
      </c>
      <c r="AL633" s="3">
        <v>0</v>
      </c>
      <c r="AM633" s="3">
        <f t="shared" si="84"/>
        <v>0</v>
      </c>
    </row>
    <row r="634" spans="1:39">
      <c r="A634" s="7">
        <v>2007</v>
      </c>
      <c r="B634" s="7" t="s">
        <v>63</v>
      </c>
      <c r="C634" s="7">
        <v>0.2654155</v>
      </c>
      <c r="D634" s="7">
        <v>0.0441</v>
      </c>
      <c r="E634" s="7">
        <v>0.011066</v>
      </c>
      <c r="F634" s="7">
        <v>0.02008</v>
      </c>
      <c r="G634" s="7">
        <v>0.006779</v>
      </c>
      <c r="H634" s="7">
        <v>0.006175</v>
      </c>
      <c r="I634" s="7">
        <v>0.04795</v>
      </c>
      <c r="J634" s="7">
        <v>0.023979</v>
      </c>
      <c r="K634" s="16">
        <v>16544</v>
      </c>
      <c r="L634" s="17">
        <v>4298</v>
      </c>
      <c r="M634" s="16">
        <v>11164.3</v>
      </c>
      <c r="N634" s="7">
        <f t="shared" si="82"/>
        <v>3.84923220102373</v>
      </c>
      <c r="O634" s="7">
        <f t="shared" si="83"/>
        <v>1.48186630599321</v>
      </c>
      <c r="P634" s="8">
        <v>285893260.4</v>
      </c>
      <c r="Q634" s="8">
        <f t="shared" si="78"/>
        <v>2.56078088550111</v>
      </c>
      <c r="R634" s="9">
        <v>1331.4</v>
      </c>
      <c r="S634" s="9">
        <v>4128.9</v>
      </c>
      <c r="T634" s="9">
        <v>3991.1</v>
      </c>
      <c r="U634" s="9">
        <v>16593</v>
      </c>
      <c r="V634" s="18">
        <v>0</v>
      </c>
      <c r="W634" s="18">
        <v>0</v>
      </c>
      <c r="X634" s="18">
        <f t="shared" si="79"/>
        <v>0</v>
      </c>
      <c r="Y634" s="12">
        <f t="shared" si="80"/>
        <v>3.23986794305777</v>
      </c>
      <c r="Z634" s="12">
        <f t="shared" si="81"/>
        <v>0.20960331392882</v>
      </c>
      <c r="AA634" s="19">
        <v>17379.47</v>
      </c>
      <c r="AB634" s="19">
        <v>15224.32</v>
      </c>
      <c r="AC634" s="19">
        <v>2298.83</v>
      </c>
      <c r="AD634" s="19">
        <v>5893.46</v>
      </c>
      <c r="AE634" s="19">
        <v>442.12</v>
      </c>
      <c r="AF634" s="19">
        <v>38.15</v>
      </c>
      <c r="AG634" s="19">
        <v>693.71</v>
      </c>
      <c r="AH634" s="19">
        <v>224.22</v>
      </c>
      <c r="AI634" s="19">
        <v>14.24</v>
      </c>
      <c r="AJ634" s="19">
        <v>1359.51</v>
      </c>
      <c r="AK634" s="3">
        <f t="shared" si="85"/>
        <v>0</v>
      </c>
      <c r="AL634" s="3">
        <v>0</v>
      </c>
      <c r="AM634" s="3">
        <f t="shared" si="84"/>
        <v>0</v>
      </c>
    </row>
    <row r="635" spans="1:39">
      <c r="A635" s="7">
        <v>2008</v>
      </c>
      <c r="B635" s="7" t="s">
        <v>63</v>
      </c>
      <c r="C635" s="7">
        <v>0.29345783</v>
      </c>
      <c r="D635" s="7">
        <v>0.049011</v>
      </c>
      <c r="E635" s="7">
        <v>0.012034</v>
      </c>
      <c r="F635" s="7">
        <v>0.022177</v>
      </c>
      <c r="G635" s="7">
        <v>0.007184</v>
      </c>
      <c r="H635" s="7">
        <v>0.007615</v>
      </c>
      <c r="I635" s="7">
        <v>0.048008</v>
      </c>
      <c r="J635" s="7">
        <v>0.026496</v>
      </c>
      <c r="K635" s="16">
        <v>17801</v>
      </c>
      <c r="L635" s="17">
        <v>4315</v>
      </c>
      <c r="M635" s="16">
        <v>13668.58</v>
      </c>
      <c r="N635" s="7">
        <f t="shared" si="82"/>
        <v>4.12537659327926</v>
      </c>
      <c r="O635" s="7">
        <f t="shared" si="83"/>
        <v>1.3023298689403</v>
      </c>
      <c r="P635" s="8">
        <v>298107504.1</v>
      </c>
      <c r="Q635" s="8">
        <f t="shared" si="78"/>
        <v>2.18096908457206</v>
      </c>
      <c r="R635" s="9">
        <v>1716</v>
      </c>
      <c r="S635" s="9">
        <v>5066.2</v>
      </c>
      <c r="T635" s="9">
        <v>4715.2</v>
      </c>
      <c r="U635" s="9">
        <v>20153</v>
      </c>
      <c r="V635" s="18">
        <v>0</v>
      </c>
      <c r="W635" s="18">
        <v>0</v>
      </c>
      <c r="X635" s="18">
        <f t="shared" si="79"/>
        <v>0</v>
      </c>
      <c r="Y635" s="12">
        <f t="shared" si="80"/>
        <v>2.71728515287532</v>
      </c>
      <c r="Z635" s="12">
        <f t="shared" si="81"/>
        <v>0.197372023225369</v>
      </c>
      <c r="AA635" s="19">
        <v>17801</v>
      </c>
      <c r="AB635" s="19">
        <v>15347</v>
      </c>
      <c r="AC635" s="19">
        <v>2440.82</v>
      </c>
      <c r="AD635" s="19">
        <v>5945.19</v>
      </c>
      <c r="AE635" s="19">
        <v>410.49</v>
      </c>
      <c r="AF635" s="19">
        <v>24.99</v>
      </c>
      <c r="AG635" s="19">
        <v>778.42</v>
      </c>
      <c r="AH635" s="19">
        <v>379.66</v>
      </c>
      <c r="AI635" s="19">
        <v>16.21</v>
      </c>
      <c r="AJ635" s="19">
        <v>1411.99</v>
      </c>
      <c r="AK635" s="3">
        <f t="shared" si="85"/>
        <v>0</v>
      </c>
      <c r="AL635" s="3">
        <v>0</v>
      </c>
      <c r="AM635" s="3">
        <f t="shared" si="84"/>
        <v>0</v>
      </c>
    </row>
    <row r="636" spans="1:39">
      <c r="A636" s="7">
        <v>2009</v>
      </c>
      <c r="B636" s="7" t="s">
        <v>63</v>
      </c>
      <c r="C636" s="7">
        <v>0.27578534</v>
      </c>
      <c r="D636" s="7">
        <v>0.046388</v>
      </c>
      <c r="E636" s="7">
        <v>0.011466</v>
      </c>
      <c r="F636" s="7">
        <v>0.020751</v>
      </c>
      <c r="G636" s="7">
        <v>0.00727</v>
      </c>
      <c r="H636" s="7">
        <v>0.006901</v>
      </c>
      <c r="I636" s="7">
        <v>0.049373</v>
      </c>
      <c r="J636" s="7">
        <v>0.022884</v>
      </c>
      <c r="K636" s="16">
        <v>19112</v>
      </c>
      <c r="L636" s="17">
        <v>4341</v>
      </c>
      <c r="M636" s="16">
        <v>15212.49</v>
      </c>
      <c r="N636" s="7">
        <f t="shared" si="82"/>
        <v>4.40267219534669</v>
      </c>
      <c r="O636" s="7">
        <f t="shared" si="83"/>
        <v>1.256336076474</v>
      </c>
      <c r="P636" s="8">
        <v>320278907.1</v>
      </c>
      <c r="Q636" s="8">
        <f t="shared" si="78"/>
        <v>2.10536806992149</v>
      </c>
      <c r="R636" s="9">
        <v>1717.3</v>
      </c>
      <c r="S636" s="9">
        <v>6035.5</v>
      </c>
      <c r="T636" s="9">
        <v>5439.3</v>
      </c>
      <c r="U636" s="9">
        <v>23081</v>
      </c>
      <c r="V636" s="18">
        <v>0</v>
      </c>
      <c r="W636" s="18">
        <v>0</v>
      </c>
      <c r="X636" s="18">
        <f t="shared" si="79"/>
        <v>0</v>
      </c>
      <c r="Y636" s="12">
        <f t="shared" si="80"/>
        <v>2.66960201713366</v>
      </c>
      <c r="Z636" s="12">
        <f t="shared" si="81"/>
        <v>0.211355079742554</v>
      </c>
      <c r="AA636" s="19">
        <v>19112</v>
      </c>
      <c r="AB636" s="19">
        <v>16033</v>
      </c>
      <c r="AC636" s="19">
        <v>2795.19</v>
      </c>
      <c r="AD636" s="19">
        <v>5873.05</v>
      </c>
      <c r="AE636" s="19">
        <v>464.05</v>
      </c>
      <c r="AF636" s="19">
        <v>20.62</v>
      </c>
      <c r="AG636" s="19">
        <v>810.45</v>
      </c>
      <c r="AH636" s="19">
        <v>299.94</v>
      </c>
      <c r="AI636" s="19">
        <v>16.44</v>
      </c>
      <c r="AJ636" s="19">
        <v>1488.17</v>
      </c>
      <c r="AK636" s="3">
        <f t="shared" si="85"/>
        <v>0</v>
      </c>
      <c r="AL636" s="3">
        <v>0</v>
      </c>
      <c r="AM636" s="3">
        <f t="shared" si="84"/>
        <v>0</v>
      </c>
    </row>
    <row r="637" spans="1:39">
      <c r="A637" s="7">
        <v>2010</v>
      </c>
      <c r="B637" s="7" t="s">
        <v>63</v>
      </c>
      <c r="C637" s="7">
        <v>0.31256425</v>
      </c>
      <c r="D637" s="7">
        <v>0.053863</v>
      </c>
      <c r="E637" s="7">
        <v>0.013691</v>
      </c>
      <c r="F637" s="7">
        <v>0.023574</v>
      </c>
      <c r="G637" s="7">
        <v>0.008392</v>
      </c>
      <c r="H637" s="7">
        <v>0.008206</v>
      </c>
      <c r="I637" s="7">
        <v>0.04977</v>
      </c>
      <c r="J637" s="7">
        <v>0.024414</v>
      </c>
      <c r="K637" s="16">
        <v>20947</v>
      </c>
      <c r="L637" s="17">
        <v>4375</v>
      </c>
      <c r="M637" s="16">
        <v>18457.27</v>
      </c>
      <c r="N637" s="7">
        <f t="shared" si="82"/>
        <v>4.78788571428571</v>
      </c>
      <c r="O637" s="7">
        <f t="shared" si="83"/>
        <v>1.13489156305347</v>
      </c>
      <c r="P637" s="8">
        <v>363871750.4</v>
      </c>
      <c r="Q637" s="8">
        <f t="shared" si="78"/>
        <v>1.97142779186738</v>
      </c>
      <c r="R637" s="9">
        <v>2043.2</v>
      </c>
      <c r="S637" s="9">
        <v>7748.3</v>
      </c>
      <c r="T637" s="9">
        <v>6435.5</v>
      </c>
      <c r="U637" s="9">
        <v>28359</v>
      </c>
      <c r="V637" s="18">
        <v>0</v>
      </c>
      <c r="W637" s="18">
        <v>0</v>
      </c>
      <c r="X637" s="18">
        <f t="shared" si="79"/>
        <v>0</v>
      </c>
      <c r="Y637" s="12">
        <f t="shared" si="80"/>
        <v>2.40850270516871</v>
      </c>
      <c r="Z637" s="12">
        <f t="shared" si="81"/>
        <v>0.181471630637306</v>
      </c>
      <c r="AA637" s="19">
        <v>20946.52</v>
      </c>
      <c r="AB637" s="19">
        <v>16908.43</v>
      </c>
      <c r="AC637" s="19">
        <v>3162.88</v>
      </c>
      <c r="AD637" s="19">
        <v>6558.91</v>
      </c>
      <c r="AE637" s="19">
        <v>593.17</v>
      </c>
      <c r="AF637" s="19">
        <v>23.34</v>
      </c>
      <c r="AG637" s="19">
        <v>963.9</v>
      </c>
      <c r="AH637" s="19">
        <v>356.43</v>
      </c>
      <c r="AI637" s="19">
        <v>19.02</v>
      </c>
      <c r="AJ637" s="19">
        <v>1715.26</v>
      </c>
      <c r="AK637" s="3">
        <f t="shared" si="85"/>
        <v>0</v>
      </c>
      <c r="AL637" s="3">
        <v>0</v>
      </c>
      <c r="AM637" s="3">
        <f t="shared" si="84"/>
        <v>0</v>
      </c>
    </row>
    <row r="638" spans="1:39">
      <c r="A638" s="7">
        <v>2011</v>
      </c>
      <c r="B638" s="7" t="s">
        <v>63</v>
      </c>
      <c r="C638" s="7">
        <v>0.32118388</v>
      </c>
      <c r="D638" s="7">
        <v>0.051516</v>
      </c>
      <c r="E638" s="7">
        <v>0.012726</v>
      </c>
      <c r="F638" s="7">
        <v>0.023096</v>
      </c>
      <c r="G638" s="7">
        <v>0.00831</v>
      </c>
      <c r="H638" s="7">
        <v>0.007384</v>
      </c>
      <c r="I638" s="7">
        <v>0.057421</v>
      </c>
      <c r="J638" s="7">
        <v>0.027736</v>
      </c>
      <c r="K638" s="16">
        <v>22712</v>
      </c>
      <c r="L638" s="17">
        <v>4379</v>
      </c>
      <c r="M638" s="16">
        <v>22226.7</v>
      </c>
      <c r="N638" s="7">
        <f t="shared" si="82"/>
        <v>5.18657227677552</v>
      </c>
      <c r="O638" s="7">
        <f t="shared" si="83"/>
        <v>1.02183410042876</v>
      </c>
      <c r="P638" s="8">
        <v>387398738.3</v>
      </c>
      <c r="Q638" s="8">
        <f t="shared" si="78"/>
        <v>1.74294311931146</v>
      </c>
      <c r="R638" s="9">
        <v>2469.2</v>
      </c>
      <c r="S638" s="9">
        <v>9766.1</v>
      </c>
      <c r="T638" s="9">
        <v>7707.1</v>
      </c>
      <c r="U638" s="9">
        <v>34719</v>
      </c>
      <c r="V638" s="18">
        <v>0</v>
      </c>
      <c r="W638" s="18">
        <v>0</v>
      </c>
      <c r="X638" s="18">
        <f t="shared" si="79"/>
        <v>0</v>
      </c>
      <c r="Y638" s="12">
        <f t="shared" si="80"/>
        <v>2.18035126729488</v>
      </c>
      <c r="Z638" s="12">
        <f t="shared" si="81"/>
        <v>0.200613614211853</v>
      </c>
      <c r="AA638" s="19">
        <v>22712</v>
      </c>
      <c r="AB638" s="19">
        <v>18054</v>
      </c>
      <c r="AC638" s="19">
        <v>3386.6</v>
      </c>
      <c r="AD638" s="19">
        <v>6705.53</v>
      </c>
      <c r="AE638" s="19">
        <v>706.61</v>
      </c>
      <c r="AF638" s="19">
        <v>27.35</v>
      </c>
      <c r="AG638" s="19">
        <v>1104.53</v>
      </c>
      <c r="AH638" s="19">
        <v>391.4</v>
      </c>
      <c r="AI638" s="19">
        <v>39.07</v>
      </c>
      <c r="AJ638" s="19">
        <v>1862</v>
      </c>
      <c r="AK638" s="3">
        <f t="shared" si="85"/>
        <v>0</v>
      </c>
      <c r="AL638" s="3">
        <v>0</v>
      </c>
      <c r="AM638" s="3">
        <f t="shared" si="84"/>
        <v>0</v>
      </c>
    </row>
    <row r="639" spans="1:39">
      <c r="A639" s="7">
        <v>2012</v>
      </c>
      <c r="B639" s="7" t="s">
        <v>63</v>
      </c>
      <c r="C639" s="7">
        <v>0.30927006</v>
      </c>
      <c r="D639" s="7">
        <v>0.050378</v>
      </c>
      <c r="E639" s="7">
        <v>0.012278</v>
      </c>
      <c r="F639" s="7">
        <v>0.021676</v>
      </c>
      <c r="G639" s="7">
        <v>0.00788</v>
      </c>
      <c r="H639" s="7">
        <v>0.008545</v>
      </c>
      <c r="I639" s="7">
        <v>0.051283</v>
      </c>
      <c r="J639" s="7">
        <v>0.027106</v>
      </c>
      <c r="K639" s="16">
        <v>23526</v>
      </c>
      <c r="L639" s="17">
        <v>4375</v>
      </c>
      <c r="M639" s="16">
        <v>24846.43</v>
      </c>
      <c r="N639" s="7">
        <f t="shared" si="82"/>
        <v>5.37737142857143</v>
      </c>
      <c r="O639" s="7">
        <f t="shared" si="83"/>
        <v>0.946856349181754</v>
      </c>
      <c r="P639" s="8">
        <v>406671208.8</v>
      </c>
      <c r="Q639" s="8">
        <f t="shared" si="78"/>
        <v>1.63673899550157</v>
      </c>
      <c r="R639" s="9">
        <v>2674.8</v>
      </c>
      <c r="S639" s="9">
        <v>11152.6</v>
      </c>
      <c r="T639" s="9">
        <v>8763.5</v>
      </c>
      <c r="U639" s="9">
        <v>39149</v>
      </c>
      <c r="V639" s="18">
        <v>0</v>
      </c>
      <c r="W639" s="18">
        <v>0</v>
      </c>
      <c r="X639" s="18">
        <f t="shared" si="79"/>
        <v>0</v>
      </c>
      <c r="Y639" s="12">
        <f t="shared" si="80"/>
        <v>2.01609935715007</v>
      </c>
      <c r="Z639" s="12">
        <f t="shared" si="81"/>
        <v>0.18816550895823</v>
      </c>
      <c r="AA639" s="19">
        <v>23526.4</v>
      </c>
      <c r="AB639" s="19">
        <v>18219</v>
      </c>
      <c r="AC639" s="19">
        <v>3442.08</v>
      </c>
      <c r="AD639" s="19">
        <v>7000.91</v>
      </c>
      <c r="AE639" s="19">
        <v>780.84</v>
      </c>
      <c r="AF639" s="19">
        <v>35.58</v>
      </c>
      <c r="AG639" s="19">
        <v>1225.48</v>
      </c>
      <c r="AH639" s="19">
        <v>422</v>
      </c>
      <c r="AI639" s="19">
        <v>63.72</v>
      </c>
      <c r="AJ639" s="19">
        <v>1899.88</v>
      </c>
      <c r="AK639" s="3">
        <f t="shared" si="85"/>
        <v>0</v>
      </c>
      <c r="AL639" s="3">
        <v>0</v>
      </c>
      <c r="AM639" s="3">
        <f t="shared" si="84"/>
        <v>0</v>
      </c>
    </row>
    <row r="640" spans="1:39">
      <c r="A640" s="7">
        <v>2013</v>
      </c>
      <c r="B640" s="7" t="s">
        <v>63</v>
      </c>
      <c r="C640" s="7">
        <v>0.32427977</v>
      </c>
      <c r="D640" s="7">
        <v>0.056116</v>
      </c>
      <c r="E640" s="7">
        <v>0.013949</v>
      </c>
      <c r="F640" s="7">
        <v>0.025977</v>
      </c>
      <c r="G640" s="7">
        <v>0.008846</v>
      </c>
      <c r="H640" s="7">
        <v>0.007344</v>
      </c>
      <c r="I640" s="7">
        <v>0.053071</v>
      </c>
      <c r="J640" s="7">
        <v>0.025039</v>
      </c>
      <c r="K640" s="16">
        <v>21721</v>
      </c>
      <c r="L640" s="17">
        <v>4365</v>
      </c>
      <c r="M640" s="16">
        <v>27213.22</v>
      </c>
      <c r="N640" s="7">
        <f t="shared" si="82"/>
        <v>4.97617411225659</v>
      </c>
      <c r="O640" s="7">
        <f t="shared" si="83"/>
        <v>0.798178238370909</v>
      </c>
      <c r="P640" s="8">
        <v>418257332.9</v>
      </c>
      <c r="Q640" s="8">
        <f t="shared" si="78"/>
        <v>1.53696377312203</v>
      </c>
      <c r="R640" s="9">
        <v>2883.7</v>
      </c>
      <c r="S640" s="9">
        <v>11846.3</v>
      </c>
      <c r="T640" s="9">
        <v>10648</v>
      </c>
      <c r="U640" s="9">
        <v>43835</v>
      </c>
      <c r="V640" s="18">
        <v>0</v>
      </c>
      <c r="W640" s="18">
        <v>0</v>
      </c>
      <c r="X640" s="18">
        <f t="shared" si="79"/>
        <v>0</v>
      </c>
      <c r="Y640" s="12">
        <f t="shared" si="80"/>
        <v>1.91398219724656</v>
      </c>
      <c r="Z640" s="12">
        <f t="shared" si="81"/>
        <v>0.196981155136608</v>
      </c>
      <c r="AA640" s="19">
        <v>21721</v>
      </c>
      <c r="AB640" s="19">
        <v>18132.77</v>
      </c>
      <c r="AC640" s="19">
        <v>3201.31</v>
      </c>
      <c r="AD640" s="19">
        <v>6480.07</v>
      </c>
      <c r="AE640" s="19">
        <v>658.9</v>
      </c>
      <c r="AF640" s="19">
        <v>29.05</v>
      </c>
      <c r="AG640" s="19">
        <v>1021.71</v>
      </c>
      <c r="AH640" s="19">
        <v>360.39</v>
      </c>
      <c r="AI640" s="19">
        <v>78.68</v>
      </c>
      <c r="AJ640" s="19">
        <v>2008.46</v>
      </c>
      <c r="AK640" s="3">
        <f t="shared" si="85"/>
        <v>1</v>
      </c>
      <c r="AL640" s="3">
        <v>0</v>
      </c>
      <c r="AM640" s="3">
        <f t="shared" si="84"/>
        <v>0</v>
      </c>
    </row>
    <row r="641" spans="1:39">
      <c r="A641" s="7">
        <v>2014</v>
      </c>
      <c r="B641" s="7" t="s">
        <v>63</v>
      </c>
      <c r="C641" s="7">
        <v>0.34840465</v>
      </c>
      <c r="D641" s="7">
        <v>0.055321</v>
      </c>
      <c r="E641" s="7">
        <v>0.013148</v>
      </c>
      <c r="F641" s="7">
        <v>0.025001</v>
      </c>
      <c r="G641" s="7">
        <v>0.008293</v>
      </c>
      <c r="H641" s="7">
        <v>0.008878</v>
      </c>
      <c r="I641" s="7">
        <v>0.058436</v>
      </c>
      <c r="J641" s="7">
        <v>0.031327</v>
      </c>
      <c r="K641" s="16">
        <v>21803</v>
      </c>
      <c r="L641" s="17">
        <v>4358</v>
      </c>
      <c r="M641" s="16">
        <v>28626.58</v>
      </c>
      <c r="N641" s="7">
        <f t="shared" si="82"/>
        <v>5.00298301973382</v>
      </c>
      <c r="O641" s="7">
        <f t="shared" si="83"/>
        <v>0.761634816314069</v>
      </c>
      <c r="P641" s="8">
        <v>425743311.2</v>
      </c>
      <c r="Q641" s="8">
        <f t="shared" si="78"/>
        <v>1.48723078761067</v>
      </c>
      <c r="R641" s="9">
        <v>3001.6</v>
      </c>
      <c r="S641" s="9">
        <v>13007.9</v>
      </c>
      <c r="T641" s="9">
        <v>12232.6</v>
      </c>
      <c r="U641" s="9">
        <v>48635</v>
      </c>
      <c r="V641" s="18">
        <v>0</v>
      </c>
      <c r="W641" s="18">
        <v>0</v>
      </c>
      <c r="X641" s="18">
        <f t="shared" si="79"/>
        <v>0</v>
      </c>
      <c r="Y641" s="12">
        <f t="shared" si="80"/>
        <v>1.79640226266579</v>
      </c>
      <c r="Z641" s="12">
        <f t="shared" si="81"/>
        <v>0.172105926094926</v>
      </c>
      <c r="AA641" s="19">
        <v>21803.38</v>
      </c>
      <c r="AB641" s="19">
        <v>18002.27</v>
      </c>
      <c r="AC641" s="19">
        <v>3296.94</v>
      </c>
      <c r="AD641" s="19">
        <v>6364.79</v>
      </c>
      <c r="AE641" s="19">
        <v>704.73</v>
      </c>
      <c r="AF641" s="19">
        <v>29.75</v>
      </c>
      <c r="AG641" s="19">
        <v>1060.16</v>
      </c>
      <c r="AH641" s="19">
        <v>362.91</v>
      </c>
      <c r="AI641" s="19">
        <v>84</v>
      </c>
      <c r="AJ641" s="19">
        <v>2038.73</v>
      </c>
      <c r="AK641" s="3">
        <f t="shared" si="85"/>
        <v>1</v>
      </c>
      <c r="AL641" s="3">
        <v>0</v>
      </c>
      <c r="AM641" s="3">
        <f t="shared" si="84"/>
        <v>0</v>
      </c>
    </row>
    <row r="642" spans="1:39">
      <c r="A642" s="7">
        <v>2015</v>
      </c>
      <c r="B642" s="7" t="s">
        <v>63</v>
      </c>
      <c r="C642" s="7">
        <v>0.33136766</v>
      </c>
      <c r="D642" s="7">
        <v>0.055045</v>
      </c>
      <c r="E642" s="7">
        <v>0.013641</v>
      </c>
      <c r="F642" s="7">
        <v>0.024929</v>
      </c>
      <c r="G642" s="7">
        <v>0.008042</v>
      </c>
      <c r="H642" s="7">
        <v>0.008433</v>
      </c>
      <c r="I642" s="7">
        <v>0.058811</v>
      </c>
      <c r="J642" s="7">
        <v>0.025279</v>
      </c>
      <c r="K642" s="16">
        <v>21362</v>
      </c>
      <c r="L642" s="17">
        <v>4338</v>
      </c>
      <c r="M642" s="16">
        <v>28669.016</v>
      </c>
      <c r="N642" s="7">
        <f t="shared" si="82"/>
        <v>4.92438911940987</v>
      </c>
      <c r="O642" s="7">
        <f t="shared" si="83"/>
        <v>0.745124980920168</v>
      </c>
      <c r="P642" s="8">
        <v>416430621.9</v>
      </c>
      <c r="Q642" s="8">
        <f t="shared" si="78"/>
        <v>1.4525459189112</v>
      </c>
      <c r="R642" s="9">
        <v>3109.9</v>
      </c>
      <c r="S642" s="9">
        <v>13569.5</v>
      </c>
      <c r="T642" s="9">
        <v>13664.6</v>
      </c>
      <c r="U642" s="9">
        <v>52021</v>
      </c>
      <c r="V642" s="18">
        <v>0</v>
      </c>
      <c r="W642" s="18">
        <v>0</v>
      </c>
      <c r="X642" s="18">
        <f t="shared" si="79"/>
        <v>0</v>
      </c>
      <c r="Y642" s="12">
        <f t="shared" si="80"/>
        <v>1.71577514742415</v>
      </c>
      <c r="Z642" s="12">
        <f t="shared" si="81"/>
        <v>0.153417089009667</v>
      </c>
      <c r="AA642" s="19">
        <v>21362</v>
      </c>
      <c r="AB642" s="19">
        <v>17028.08</v>
      </c>
      <c r="AC642" s="19">
        <v>3187.56</v>
      </c>
      <c r="AD642" s="19">
        <v>6439.87</v>
      </c>
      <c r="AE642" s="19">
        <v>826.3</v>
      </c>
      <c r="AF642" s="19">
        <v>29.97</v>
      </c>
      <c r="AG642" s="19">
        <v>1109.26</v>
      </c>
      <c r="AH642" s="19">
        <v>246.24</v>
      </c>
      <c r="AI642" s="19">
        <v>55.35</v>
      </c>
      <c r="AJ642" s="19">
        <v>1985</v>
      </c>
      <c r="AK642" s="3">
        <f t="shared" si="85"/>
        <v>1</v>
      </c>
      <c r="AL642" s="3">
        <v>0</v>
      </c>
      <c r="AM642" s="3">
        <f t="shared" si="84"/>
        <v>0</v>
      </c>
    </row>
    <row r="643" spans="1:39">
      <c r="A643" s="7">
        <v>2016</v>
      </c>
      <c r="B643" s="7" t="s">
        <v>63</v>
      </c>
      <c r="C643" s="7">
        <v>0.39068394</v>
      </c>
      <c r="D643" s="7">
        <v>0.061663</v>
      </c>
      <c r="E643" s="7">
        <v>0.015546</v>
      </c>
      <c r="F643" s="7">
        <v>0.027469</v>
      </c>
      <c r="G643" s="7">
        <v>0.009033</v>
      </c>
      <c r="H643" s="7">
        <v>0.009615</v>
      </c>
      <c r="I643" s="7">
        <v>0.064615</v>
      </c>
      <c r="J643" s="7">
        <v>0.034011</v>
      </c>
      <c r="K643" s="16">
        <v>20847</v>
      </c>
      <c r="L643" s="17">
        <v>4327</v>
      </c>
      <c r="M643" s="16">
        <v>22246.9</v>
      </c>
      <c r="N643" s="7">
        <f t="shared" si="82"/>
        <v>4.81788768199676</v>
      </c>
      <c r="O643" s="7">
        <f t="shared" si="83"/>
        <v>0.937074378902229</v>
      </c>
      <c r="P643" s="8">
        <v>397728459.4</v>
      </c>
      <c r="Q643" s="8">
        <f t="shared" ref="Q643:Q706" si="86">P643/10000/M643</f>
        <v>1.78779272348057</v>
      </c>
      <c r="R643" s="9">
        <v>3406.5</v>
      </c>
      <c r="S643" s="9">
        <v>14527</v>
      </c>
      <c r="T643" s="9">
        <v>15419.5</v>
      </c>
      <c r="U643" s="9">
        <v>56844</v>
      </c>
      <c r="V643" s="18">
        <v>0</v>
      </c>
      <c r="W643" s="18">
        <v>0</v>
      </c>
      <c r="X643" s="18">
        <f t="shared" ref="X643:X706" si="87">V643*W643</f>
        <v>0</v>
      </c>
      <c r="Y643" s="12">
        <f t="shared" ref="Y643:Y706" si="88">AVERAGEIF($A:$A,$A643,$Q:$Q)</f>
        <v>1.62438398605541</v>
      </c>
      <c r="Z643" s="12">
        <f t="shared" ref="Z643:Z706" si="89">MAX(0,1-Q643/Y643)</f>
        <v>0</v>
      </c>
      <c r="AA643" s="19">
        <v>20847</v>
      </c>
      <c r="AB643" s="19">
        <v>16943.7</v>
      </c>
      <c r="AC643" s="19">
        <v>2993.06</v>
      </c>
      <c r="AD643" s="19">
        <v>7057</v>
      </c>
      <c r="AE643" s="19">
        <v>815.49</v>
      </c>
      <c r="AF643" s="19">
        <v>38.99</v>
      </c>
      <c r="AG643" s="19">
        <v>1008.72</v>
      </c>
      <c r="AH643" s="19">
        <v>305.07</v>
      </c>
      <c r="AI643" s="19">
        <v>50.63</v>
      </c>
      <c r="AJ643" s="19">
        <v>2037.4</v>
      </c>
      <c r="AK643" s="3">
        <f t="shared" si="85"/>
        <v>1</v>
      </c>
      <c r="AL643" s="3">
        <v>0</v>
      </c>
      <c r="AM643" s="3">
        <f t="shared" si="84"/>
        <v>0</v>
      </c>
    </row>
    <row r="644" spans="1:39">
      <c r="A644" s="7">
        <v>2017</v>
      </c>
      <c r="B644" s="7" t="s">
        <v>63</v>
      </c>
      <c r="C644" s="7">
        <v>0.37446203</v>
      </c>
      <c r="D644" s="7">
        <v>0.059264</v>
      </c>
      <c r="E644" s="7">
        <v>0.01506</v>
      </c>
      <c r="F644" s="7">
        <v>0.026809</v>
      </c>
      <c r="G644" s="7">
        <v>0.008422</v>
      </c>
      <c r="H644" s="7">
        <v>0.008973</v>
      </c>
      <c r="I644" s="7">
        <v>0.06223</v>
      </c>
      <c r="J644" s="7">
        <v>0.033554</v>
      </c>
      <c r="K644" s="16">
        <v>21365</v>
      </c>
      <c r="L644" s="17">
        <v>4312</v>
      </c>
      <c r="M644" s="16">
        <v>23409.24</v>
      </c>
      <c r="N644" s="7">
        <f t="shared" si="82"/>
        <v>4.95477736549165</v>
      </c>
      <c r="O644" s="7">
        <f t="shared" si="83"/>
        <v>0.912673798893087</v>
      </c>
      <c r="P644" s="8">
        <v>409828924.3</v>
      </c>
      <c r="Q644" s="8">
        <f t="shared" si="86"/>
        <v>1.75071435168335</v>
      </c>
      <c r="R644" s="9">
        <v>3529</v>
      </c>
      <c r="S644" s="9">
        <v>15713.9</v>
      </c>
      <c r="T644" s="9">
        <v>17992.2</v>
      </c>
      <c r="U644" s="9">
        <v>63169</v>
      </c>
      <c r="V644" s="18">
        <v>1</v>
      </c>
      <c r="W644" s="18">
        <v>0</v>
      </c>
      <c r="X644" s="18">
        <f t="shared" si="87"/>
        <v>0</v>
      </c>
      <c r="Y644" s="12">
        <f t="shared" si="88"/>
        <v>1.56738551218677</v>
      </c>
      <c r="Z644" s="12">
        <f t="shared" si="89"/>
        <v>0</v>
      </c>
      <c r="AA644" s="19">
        <v>21365</v>
      </c>
      <c r="AB644" s="19">
        <v>17587.17</v>
      </c>
      <c r="AC644" s="19">
        <v>3089.27</v>
      </c>
      <c r="AD644" s="19">
        <v>7133.87</v>
      </c>
      <c r="AE644" s="19">
        <v>792.1</v>
      </c>
      <c r="AF644" s="19">
        <v>44.37</v>
      </c>
      <c r="AG644" s="19">
        <v>1032.56</v>
      </c>
      <c r="AH644" s="19">
        <v>304.99</v>
      </c>
      <c r="AI644" s="19">
        <v>62.05</v>
      </c>
      <c r="AJ644" s="19">
        <v>2135.5</v>
      </c>
      <c r="AK644" s="3">
        <f t="shared" si="85"/>
        <v>1</v>
      </c>
      <c r="AL644" s="3">
        <v>0</v>
      </c>
      <c r="AM644" s="3">
        <f t="shared" si="84"/>
        <v>0</v>
      </c>
    </row>
    <row r="645" spans="1:39">
      <c r="A645" s="7">
        <v>2018</v>
      </c>
      <c r="B645" s="7" t="s">
        <v>63</v>
      </c>
      <c r="C645" s="7">
        <v>0.36600996</v>
      </c>
      <c r="D645" s="7">
        <v>0.061864</v>
      </c>
      <c r="E645" s="7">
        <v>0.015579</v>
      </c>
      <c r="F645" s="7">
        <v>0.028414</v>
      </c>
      <c r="G645" s="7">
        <v>0.009305</v>
      </c>
      <c r="H645" s="7">
        <v>0.008567</v>
      </c>
      <c r="I645" s="7">
        <v>0.05981</v>
      </c>
      <c r="J645" s="7">
        <v>0.027938</v>
      </c>
      <c r="K645" s="16">
        <v>22321</v>
      </c>
      <c r="L645" s="17">
        <v>4291</v>
      </c>
      <c r="M645" s="16">
        <v>25315.35</v>
      </c>
      <c r="N645" s="7">
        <f t="shared" si="82"/>
        <v>5.20181775809835</v>
      </c>
      <c r="O645" s="7">
        <f t="shared" si="83"/>
        <v>0.881718009034045</v>
      </c>
      <c r="P645" s="8">
        <v>433325651.3</v>
      </c>
      <c r="Q645" s="8">
        <f t="shared" si="86"/>
        <v>1.71171108161649</v>
      </c>
      <c r="R645" s="9">
        <v>3548.2</v>
      </c>
      <c r="S645" s="9">
        <v>17573.9</v>
      </c>
      <c r="T645" s="9">
        <v>20899.9</v>
      </c>
      <c r="U645" s="9">
        <v>71097</v>
      </c>
      <c r="V645" s="18">
        <v>1</v>
      </c>
      <c r="W645" s="18">
        <v>0</v>
      </c>
      <c r="X645" s="18">
        <f t="shared" si="87"/>
        <v>0</v>
      </c>
      <c r="Y645" s="12">
        <f t="shared" si="88"/>
        <v>1.51591455826218</v>
      </c>
      <c r="Z645" s="12">
        <f t="shared" si="89"/>
        <v>0</v>
      </c>
      <c r="AA645" s="19">
        <v>22321</v>
      </c>
      <c r="AB645" s="19">
        <v>17904.4</v>
      </c>
      <c r="AC645" s="19">
        <v>3279.64</v>
      </c>
      <c r="AD645" s="19">
        <v>8202.5</v>
      </c>
      <c r="AE645" s="19">
        <v>856.85</v>
      </c>
      <c r="AF645" s="19">
        <v>51.48</v>
      </c>
      <c r="AG645" s="19">
        <v>1040.93</v>
      </c>
      <c r="AH645" s="19">
        <v>216.88</v>
      </c>
      <c r="AI645" s="19">
        <v>73.16</v>
      </c>
      <c r="AJ645" s="19">
        <v>2302.38</v>
      </c>
      <c r="AK645" s="3">
        <f t="shared" si="85"/>
        <v>1</v>
      </c>
      <c r="AL645" s="3">
        <v>0</v>
      </c>
      <c r="AM645" s="3">
        <f t="shared" si="84"/>
        <v>0</v>
      </c>
    </row>
    <row r="646" spans="1:39">
      <c r="A646" s="7">
        <v>2019</v>
      </c>
      <c r="B646" s="7" t="s">
        <v>63</v>
      </c>
      <c r="C646" s="7">
        <v>0.4019117</v>
      </c>
      <c r="D646" s="7">
        <v>0.0635</v>
      </c>
      <c r="E646" s="7">
        <v>0.016474</v>
      </c>
      <c r="F646" s="7">
        <v>0.028358</v>
      </c>
      <c r="G646" s="7">
        <v>0.008552</v>
      </c>
      <c r="H646" s="7">
        <v>0.010116</v>
      </c>
      <c r="I646" s="7">
        <v>0.068663</v>
      </c>
      <c r="J646" s="7">
        <v>0.033304</v>
      </c>
      <c r="K646" s="16">
        <v>23749</v>
      </c>
      <c r="L646" s="17">
        <v>4277</v>
      </c>
      <c r="M646" s="16">
        <v>24909.45</v>
      </c>
      <c r="N646" s="7">
        <f t="shared" si="82"/>
        <v>5.55272387187281</v>
      </c>
      <c r="O646" s="7">
        <f t="shared" si="83"/>
        <v>0.953413262837999</v>
      </c>
      <c r="P646" s="8">
        <v>444688060.5</v>
      </c>
      <c r="Q646" s="8">
        <f t="shared" si="86"/>
        <v>1.78521830269235</v>
      </c>
      <c r="R646" s="9">
        <v>3809.4</v>
      </c>
      <c r="S646" s="9">
        <v>18723</v>
      </c>
      <c r="T646" s="9">
        <v>22896.5</v>
      </c>
      <c r="U646" s="9">
        <v>76712</v>
      </c>
      <c r="V646" s="18">
        <v>1</v>
      </c>
      <c r="W646" s="18">
        <v>0</v>
      </c>
      <c r="X646" s="18">
        <f t="shared" si="87"/>
        <v>0</v>
      </c>
      <c r="Y646" s="12">
        <f t="shared" si="88"/>
        <v>1.5000536746505</v>
      </c>
      <c r="Z646" s="12">
        <f t="shared" si="89"/>
        <v>0</v>
      </c>
      <c r="AA646" s="19">
        <v>23749</v>
      </c>
      <c r="AB646" s="19">
        <v>18710.78</v>
      </c>
      <c r="AC646" s="19">
        <v>3348.65</v>
      </c>
      <c r="AD646" s="19">
        <v>9894.5</v>
      </c>
      <c r="AE646" s="19">
        <v>880.13</v>
      </c>
      <c r="AF646" s="19">
        <v>52.78</v>
      </c>
      <c r="AG646" s="19">
        <v>1044.87</v>
      </c>
      <c r="AH646" s="19">
        <v>221.12</v>
      </c>
      <c r="AI646" s="19">
        <v>75.01</v>
      </c>
      <c r="AJ646" s="19">
        <v>2401.47</v>
      </c>
      <c r="AK646" s="3">
        <f t="shared" si="85"/>
        <v>1</v>
      </c>
      <c r="AL646" s="3">
        <v>0</v>
      </c>
      <c r="AM646" s="3">
        <f t="shared" si="84"/>
        <v>0</v>
      </c>
    </row>
    <row r="647" spans="1:39">
      <c r="A647" s="7">
        <v>2020</v>
      </c>
      <c r="B647" s="7" t="s">
        <v>63</v>
      </c>
      <c r="C647" s="7">
        <v>0.43045344</v>
      </c>
      <c r="D647" s="7">
        <v>0.071944</v>
      </c>
      <c r="E647" s="7">
        <v>0.019148</v>
      </c>
      <c r="F647" s="7">
        <v>0.032004</v>
      </c>
      <c r="G647" s="7">
        <v>0.011166</v>
      </c>
      <c r="H647" s="7">
        <v>0.009626</v>
      </c>
      <c r="I647" s="7">
        <v>0.069008</v>
      </c>
      <c r="J647" s="7">
        <v>0.031012</v>
      </c>
      <c r="K647" s="16">
        <v>24849.5</v>
      </c>
      <c r="L647" s="17">
        <v>4255.49</v>
      </c>
      <c r="M647" s="16">
        <v>25114.96</v>
      </c>
      <c r="N647" s="7">
        <f t="shared" si="82"/>
        <v>5.83939804816837</v>
      </c>
      <c r="O647" s="7">
        <f t="shared" si="83"/>
        <v>0.98943020414924</v>
      </c>
      <c r="P647" s="8">
        <v>441199546.3</v>
      </c>
      <c r="Q647" s="8">
        <f t="shared" si="86"/>
        <v>1.75672008356772</v>
      </c>
      <c r="R647" s="9">
        <v>4133.2</v>
      </c>
      <c r="S647" s="9">
        <v>15933.8</v>
      </c>
      <c r="T647" s="9">
        <v>22937.6</v>
      </c>
      <c r="U647" s="9">
        <v>73687</v>
      </c>
      <c r="V647" s="18">
        <v>1</v>
      </c>
      <c r="W647" s="18">
        <v>0</v>
      </c>
      <c r="X647" s="18">
        <f t="shared" si="87"/>
        <v>0</v>
      </c>
      <c r="Y647" s="12">
        <f t="shared" si="88"/>
        <v>1.47141701078949</v>
      </c>
      <c r="Z647" s="12">
        <f t="shared" si="89"/>
        <v>0</v>
      </c>
      <c r="AA647" s="19">
        <v>24849.5</v>
      </c>
      <c r="AB647" s="19">
        <v>19068</v>
      </c>
      <c r="AC647" s="19">
        <v>3496.78</v>
      </c>
      <c r="AD647" s="19">
        <v>10289.53</v>
      </c>
      <c r="AE647" s="19">
        <v>797.39</v>
      </c>
      <c r="AF647" s="19">
        <v>33.51</v>
      </c>
      <c r="AG647" s="19">
        <v>1007.1</v>
      </c>
      <c r="AH647" s="19">
        <v>212.76</v>
      </c>
      <c r="AI647" s="19">
        <v>72.7</v>
      </c>
      <c r="AJ647" s="19">
        <v>2423</v>
      </c>
      <c r="AK647" s="3">
        <f t="shared" si="85"/>
        <v>1</v>
      </c>
      <c r="AL647" s="3">
        <v>0</v>
      </c>
      <c r="AM647" s="3">
        <f t="shared" si="84"/>
        <v>0</v>
      </c>
    </row>
    <row r="648" spans="1:39">
      <c r="A648" s="7">
        <v>2021</v>
      </c>
      <c r="B648" s="7" t="s">
        <v>63</v>
      </c>
      <c r="C648" s="7">
        <v>0.4336234</v>
      </c>
      <c r="D648" s="7">
        <v>0.070805</v>
      </c>
      <c r="E648" s="7">
        <v>0.018337</v>
      </c>
      <c r="F648" s="7">
        <v>0.033071</v>
      </c>
      <c r="G648" s="7">
        <v>0.01161</v>
      </c>
      <c r="H648" s="7">
        <v>0.007788</v>
      </c>
      <c r="I648" s="7">
        <v>0.070671</v>
      </c>
      <c r="J648" s="7">
        <v>0.035027</v>
      </c>
      <c r="K648" s="16">
        <v>24930.8</v>
      </c>
      <c r="L648" s="17">
        <v>4229</v>
      </c>
      <c r="M648" s="16">
        <v>27584.1</v>
      </c>
      <c r="N648" s="7">
        <f t="shared" si="82"/>
        <v>5.89519981082998</v>
      </c>
      <c r="O648" s="7">
        <f t="shared" si="83"/>
        <v>0.903810528529116</v>
      </c>
      <c r="P648" s="8">
        <v>465108490.6</v>
      </c>
      <c r="Q648" s="8">
        <f t="shared" si="86"/>
        <v>1.68614705790655</v>
      </c>
      <c r="R648" s="9">
        <v>4635.2</v>
      </c>
      <c r="S648" s="9">
        <v>19332.1</v>
      </c>
      <c r="T648" s="9">
        <v>26123.9</v>
      </c>
      <c r="U648" s="9">
        <v>86551</v>
      </c>
      <c r="V648" s="18">
        <v>1</v>
      </c>
      <c r="W648" s="18">
        <v>0</v>
      </c>
      <c r="X648" s="18">
        <f t="shared" si="87"/>
        <v>0</v>
      </c>
      <c r="Y648" s="12">
        <f t="shared" si="88"/>
        <v>1.36781889095748</v>
      </c>
      <c r="Z648" s="12">
        <f t="shared" si="89"/>
        <v>0</v>
      </c>
      <c r="AA648" s="19">
        <v>24930.8</v>
      </c>
      <c r="AB648" s="19">
        <v>16403.27</v>
      </c>
      <c r="AC648" s="19">
        <v>3405.54</v>
      </c>
      <c r="AD648" s="19">
        <v>10412.73</v>
      </c>
      <c r="AE648" s="19">
        <v>824.65</v>
      </c>
      <c r="AF648" s="19">
        <v>34.48</v>
      </c>
      <c r="AG648" s="19">
        <v>1059.73</v>
      </c>
      <c r="AH648" s="19">
        <v>178.24</v>
      </c>
      <c r="AI648" s="19">
        <v>81.27</v>
      </c>
      <c r="AJ648" s="19">
        <v>2576</v>
      </c>
      <c r="AK648" s="3">
        <f t="shared" si="85"/>
        <v>1</v>
      </c>
      <c r="AL648" s="3">
        <v>0</v>
      </c>
      <c r="AM648" s="3">
        <f t="shared" si="84"/>
        <v>0</v>
      </c>
    </row>
    <row r="649" spans="1:39">
      <c r="A649" s="7">
        <v>2022</v>
      </c>
      <c r="B649" s="7" t="s">
        <v>63</v>
      </c>
      <c r="C649" s="7">
        <v>0.48379776</v>
      </c>
      <c r="D649" s="7">
        <v>0.077754</v>
      </c>
      <c r="E649" s="7">
        <v>0.019531</v>
      </c>
      <c r="F649" s="7">
        <v>0.034222</v>
      </c>
      <c r="G649" s="7">
        <v>0.010538</v>
      </c>
      <c r="H649" s="7">
        <v>0.013463</v>
      </c>
      <c r="I649" s="7">
        <v>0.069672</v>
      </c>
      <c r="J649" s="7">
        <v>0.040399</v>
      </c>
      <c r="K649" s="16">
        <v>24707.3</v>
      </c>
      <c r="L649" s="17">
        <v>4197</v>
      </c>
      <c r="M649" s="16">
        <v>28975.1</v>
      </c>
      <c r="N649" s="7">
        <f t="shared" si="82"/>
        <v>5.88689540147725</v>
      </c>
      <c r="O649" s="7">
        <f t="shared" si="83"/>
        <v>0.852708014812719</v>
      </c>
      <c r="P649" s="8">
        <v>474128458.1</v>
      </c>
      <c r="Q649" s="8">
        <f t="shared" si="86"/>
        <v>1.63633070498462</v>
      </c>
      <c r="R649" s="9">
        <v>4982.1</v>
      </c>
      <c r="S649" s="9">
        <v>19793.7</v>
      </c>
      <c r="T649" s="9">
        <v>27965.8</v>
      </c>
      <c r="U649" s="9">
        <v>90358</v>
      </c>
      <c r="V649" s="18">
        <v>1</v>
      </c>
      <c r="W649" s="18">
        <v>0</v>
      </c>
      <c r="X649" s="18">
        <f t="shared" si="87"/>
        <v>0</v>
      </c>
      <c r="Y649" s="12">
        <f t="shared" si="88"/>
        <v>1.27047633725244</v>
      </c>
      <c r="Z649" s="12">
        <f t="shared" si="89"/>
        <v>0</v>
      </c>
      <c r="AA649" s="19">
        <v>25911.6186934015</v>
      </c>
      <c r="AB649" s="19">
        <v>15732.2</v>
      </c>
      <c r="AC649" s="19">
        <v>3387.93</v>
      </c>
      <c r="AD649" s="19">
        <v>9752.73</v>
      </c>
      <c r="AE649" s="19">
        <v>815.75</v>
      </c>
      <c r="AF649" s="19">
        <v>26</v>
      </c>
      <c r="AG649" s="19">
        <v>981.16</v>
      </c>
      <c r="AH649" s="19">
        <v>188.34</v>
      </c>
      <c r="AI649" s="19">
        <v>79</v>
      </c>
      <c r="AJ649" s="19">
        <v>2659.22</v>
      </c>
      <c r="AK649" s="3">
        <f t="shared" si="85"/>
        <v>1</v>
      </c>
      <c r="AL649" s="3">
        <v>0</v>
      </c>
      <c r="AM649" s="3">
        <f t="shared" si="84"/>
        <v>0</v>
      </c>
    </row>
    <row r="650" spans="1:39">
      <c r="A650" s="7">
        <v>2023</v>
      </c>
      <c r="B650" s="7" t="s">
        <v>63</v>
      </c>
      <c r="C650" s="7">
        <v>0.67042213</v>
      </c>
      <c r="D650" s="7">
        <v>0.091434</v>
      </c>
      <c r="E650" s="7">
        <v>0.027456</v>
      </c>
      <c r="F650" s="7">
        <v>0.042105</v>
      </c>
      <c r="G650" s="7">
        <v>0.016198</v>
      </c>
      <c r="H650" s="7">
        <v>0.025869</v>
      </c>
      <c r="I650" s="7">
        <v>0.075403</v>
      </c>
      <c r="J650" s="7">
        <v>0.052503</v>
      </c>
      <c r="K650" s="16">
        <v>24483.8</v>
      </c>
      <c r="L650" s="17">
        <v>4182</v>
      </c>
      <c r="M650" s="16">
        <v>30209.4</v>
      </c>
      <c r="N650" s="7">
        <f t="shared" si="82"/>
        <v>5.85456719273075</v>
      </c>
      <c r="O650" s="7">
        <f t="shared" si="83"/>
        <v>0.810469588935894</v>
      </c>
      <c r="P650" s="8">
        <v>487215855</v>
      </c>
      <c r="Q650" s="8">
        <f t="shared" si="86"/>
        <v>1.61279553715069</v>
      </c>
      <c r="R650" s="9">
        <v>5073.4</v>
      </c>
      <c r="S650" s="9">
        <v>20215.5</v>
      </c>
      <c r="T650" s="9">
        <v>30514.7</v>
      </c>
      <c r="U650" s="9">
        <v>95538</v>
      </c>
      <c r="V650" s="18">
        <v>1</v>
      </c>
      <c r="W650" s="18">
        <v>0</v>
      </c>
      <c r="X650" s="18">
        <f t="shared" si="87"/>
        <v>0</v>
      </c>
      <c r="Y650" s="12">
        <f t="shared" si="88"/>
        <v>1.2756783895882</v>
      </c>
      <c r="Z650" s="12">
        <f t="shared" si="89"/>
        <v>0</v>
      </c>
      <c r="AA650" s="20"/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3">
        <f t="shared" si="85"/>
        <v>1</v>
      </c>
      <c r="AL650" s="3">
        <v>0</v>
      </c>
      <c r="AM650" s="3">
        <f t="shared" si="84"/>
        <v>0</v>
      </c>
    </row>
    <row r="651" spans="1:39">
      <c r="A651" s="7">
        <v>2024</v>
      </c>
      <c r="B651" s="7" t="s">
        <v>63</v>
      </c>
      <c r="C651" s="7">
        <v>0.77545032</v>
      </c>
      <c r="D651" s="7">
        <v>0.099072</v>
      </c>
      <c r="E651" s="7">
        <v>0.031016</v>
      </c>
      <c r="F651" s="7">
        <v>0.045684</v>
      </c>
      <c r="G651" s="7">
        <v>0.018495</v>
      </c>
      <c r="H651" s="7">
        <v>0.034104</v>
      </c>
      <c r="I651" s="7">
        <v>0.079102</v>
      </c>
      <c r="J651" s="7">
        <v>0.059912</v>
      </c>
      <c r="K651" s="16">
        <v>24260.3</v>
      </c>
      <c r="L651" s="17">
        <v>4155</v>
      </c>
      <c r="M651" s="16">
        <v>32612.7</v>
      </c>
      <c r="N651" s="7">
        <f t="shared" si="82"/>
        <v>5.83882069795427</v>
      </c>
      <c r="O651" s="7">
        <f t="shared" si="83"/>
        <v>0.743891183496</v>
      </c>
      <c r="P651" s="8">
        <v>493326697.1</v>
      </c>
      <c r="Q651" s="8">
        <f t="shared" si="86"/>
        <v>1.51268278032791</v>
      </c>
      <c r="R651" s="9">
        <v>5462.2</v>
      </c>
      <c r="S651" s="9">
        <v>21573.8</v>
      </c>
      <c r="T651" s="9">
        <v>32977</v>
      </c>
      <c r="U651" s="9">
        <v>102832</v>
      </c>
      <c r="V651" s="18">
        <v>1</v>
      </c>
      <c r="W651" s="18">
        <v>0</v>
      </c>
      <c r="X651" s="18">
        <f t="shared" si="87"/>
        <v>0</v>
      </c>
      <c r="Y651" s="12">
        <f t="shared" si="88"/>
        <v>1.21200651315194</v>
      </c>
      <c r="Z651" s="12">
        <f t="shared" si="89"/>
        <v>0</v>
      </c>
      <c r="AA651" s="12"/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3">
        <f t="shared" si="85"/>
        <v>1</v>
      </c>
      <c r="AL651" s="3">
        <v>0</v>
      </c>
      <c r="AM651" s="3">
        <f t="shared" si="84"/>
        <v>0</v>
      </c>
    </row>
    <row r="652" spans="1:39">
      <c r="A652" s="7">
        <v>2000</v>
      </c>
      <c r="B652" s="7" t="s">
        <v>64</v>
      </c>
      <c r="C652" s="7">
        <v>0.17229911</v>
      </c>
      <c r="D652" s="7">
        <v>0.031438</v>
      </c>
      <c r="E652" s="7">
        <v>0.008017</v>
      </c>
      <c r="F652" s="7">
        <v>0.013978</v>
      </c>
      <c r="G652" s="7">
        <v>0.004707</v>
      </c>
      <c r="H652" s="7">
        <v>0.004735</v>
      </c>
      <c r="I652" s="7">
        <v>0.034221</v>
      </c>
      <c r="J652" s="7">
        <v>0.01564</v>
      </c>
      <c r="K652" s="16">
        <v>2428</v>
      </c>
      <c r="L652" s="17">
        <v>2848.82</v>
      </c>
      <c r="M652" s="16">
        <v>1589.34</v>
      </c>
      <c r="N652" s="7">
        <f t="shared" si="82"/>
        <v>0.852282699503654</v>
      </c>
      <c r="O652" s="7">
        <f t="shared" si="83"/>
        <v>1.52767815571243</v>
      </c>
      <c r="P652" s="8">
        <v>52157514.77</v>
      </c>
      <c r="Q652" s="8">
        <f t="shared" si="86"/>
        <v>3.28170905973549</v>
      </c>
      <c r="R652" s="9">
        <v>274.4</v>
      </c>
      <c r="S652" s="9">
        <v>525</v>
      </c>
      <c r="T652" s="9">
        <v>564.2</v>
      </c>
      <c r="U652" s="9">
        <v>7372</v>
      </c>
      <c r="V652" s="18">
        <v>0</v>
      </c>
      <c r="W652" s="18">
        <v>1</v>
      </c>
      <c r="X652" s="18">
        <f t="shared" si="87"/>
        <v>0</v>
      </c>
      <c r="Y652" s="12">
        <f t="shared" si="88"/>
        <v>4.53658228674969</v>
      </c>
      <c r="Z652" s="12">
        <f t="shared" si="89"/>
        <v>0.276612028107458</v>
      </c>
      <c r="AA652" s="19">
        <v>2428</v>
      </c>
      <c r="AB652" s="19">
        <v>2942.05</v>
      </c>
      <c r="AC652" s="19">
        <v>180.74</v>
      </c>
      <c r="AD652" s="12">
        <v>0</v>
      </c>
      <c r="AE652" s="19">
        <v>65.66</v>
      </c>
      <c r="AF652" s="19">
        <v>8.34</v>
      </c>
      <c r="AG652" s="19">
        <v>61.44</v>
      </c>
      <c r="AH652" s="19">
        <v>2.68</v>
      </c>
      <c r="AI652" s="19">
        <v>33.26</v>
      </c>
      <c r="AJ652" s="19">
        <v>307.61</v>
      </c>
      <c r="AK652" s="3">
        <f t="shared" si="85"/>
        <v>0</v>
      </c>
      <c r="AL652" s="3">
        <v>1</v>
      </c>
      <c r="AM652" s="3">
        <f t="shared" si="84"/>
        <v>0</v>
      </c>
    </row>
    <row r="653" spans="1:39">
      <c r="A653" s="7">
        <v>2001</v>
      </c>
      <c r="B653" s="7" t="s">
        <v>64</v>
      </c>
      <c r="C653" s="7">
        <v>0.18250542</v>
      </c>
      <c r="D653" s="7">
        <v>0.034962</v>
      </c>
      <c r="E653" s="7">
        <v>0.008419</v>
      </c>
      <c r="F653" s="7">
        <v>0.016161</v>
      </c>
      <c r="G653" s="7">
        <v>0.00555</v>
      </c>
      <c r="H653" s="7">
        <v>0.004833</v>
      </c>
      <c r="I653" s="7">
        <v>0.030541</v>
      </c>
      <c r="J653" s="7">
        <v>0.016527</v>
      </c>
      <c r="K653" s="16">
        <v>3016</v>
      </c>
      <c r="L653" s="17">
        <v>2829.21</v>
      </c>
      <c r="M653" s="16">
        <v>1765.68</v>
      </c>
      <c r="N653" s="7">
        <f t="shared" si="82"/>
        <v>1.06602196372839</v>
      </c>
      <c r="O653" s="7">
        <f t="shared" si="83"/>
        <v>1.70812378233882</v>
      </c>
      <c r="P653" s="8">
        <v>53727124.83</v>
      </c>
      <c r="Q653" s="8">
        <f t="shared" si="86"/>
        <v>3.04285741640614</v>
      </c>
      <c r="R653" s="9">
        <v>274.3</v>
      </c>
      <c r="S653" s="9">
        <v>560.5</v>
      </c>
      <c r="T653" s="9">
        <v>656.7</v>
      </c>
      <c r="U653" s="9">
        <v>7945</v>
      </c>
      <c r="V653" s="18">
        <v>0</v>
      </c>
      <c r="W653" s="18">
        <v>1</v>
      </c>
      <c r="X653" s="18">
        <f t="shared" si="87"/>
        <v>0</v>
      </c>
      <c r="Y653" s="12">
        <f t="shared" si="88"/>
        <v>4.16809156222866</v>
      </c>
      <c r="Z653" s="12">
        <f t="shared" si="89"/>
        <v>0.269963874119134</v>
      </c>
      <c r="AA653" s="19">
        <v>3016</v>
      </c>
      <c r="AB653" s="19">
        <v>2736</v>
      </c>
      <c r="AC653" s="19">
        <v>191.05</v>
      </c>
      <c r="AD653" s="19">
        <v>0.19</v>
      </c>
      <c r="AE653" s="19">
        <v>64.14</v>
      </c>
      <c r="AF653" s="19">
        <v>8.33</v>
      </c>
      <c r="AG653" s="19">
        <v>64.31</v>
      </c>
      <c r="AH653" s="19">
        <v>4.1</v>
      </c>
      <c r="AI653" s="19">
        <v>26.56</v>
      </c>
      <c r="AJ653" s="19">
        <v>280.34</v>
      </c>
      <c r="AK653" s="3">
        <f t="shared" si="85"/>
        <v>0</v>
      </c>
      <c r="AL653" s="3">
        <v>1</v>
      </c>
      <c r="AM653" s="3">
        <f t="shared" si="84"/>
        <v>0</v>
      </c>
    </row>
    <row r="654" spans="1:39">
      <c r="A654" s="7">
        <v>2002</v>
      </c>
      <c r="B654" s="7" t="s">
        <v>64</v>
      </c>
      <c r="C654" s="7">
        <v>0.19245119</v>
      </c>
      <c r="D654" s="7">
        <v>0.035981</v>
      </c>
      <c r="E654" s="7">
        <v>0.009423</v>
      </c>
      <c r="F654" s="7">
        <v>0.015822</v>
      </c>
      <c r="G654" s="7">
        <v>0.005487</v>
      </c>
      <c r="H654" s="7">
        <v>0.00525</v>
      </c>
      <c r="I654" s="7">
        <v>0.034972</v>
      </c>
      <c r="J654" s="7">
        <v>0.015635</v>
      </c>
      <c r="K654" s="16">
        <v>2662</v>
      </c>
      <c r="L654" s="17">
        <v>2814.83</v>
      </c>
      <c r="M654" s="16">
        <v>1990.01</v>
      </c>
      <c r="N654" s="7">
        <f t="shared" si="82"/>
        <v>0.945705424483894</v>
      </c>
      <c r="O654" s="7">
        <f t="shared" si="83"/>
        <v>1.33768172019236</v>
      </c>
      <c r="P654" s="8">
        <v>56581442.35</v>
      </c>
      <c r="Q654" s="8">
        <f t="shared" si="86"/>
        <v>2.84327427249109</v>
      </c>
      <c r="R654" s="9">
        <v>290.4</v>
      </c>
      <c r="S654" s="9">
        <v>589.2</v>
      </c>
      <c r="T654" s="9">
        <v>733</v>
      </c>
      <c r="U654" s="9">
        <v>8457</v>
      </c>
      <c r="V654" s="18">
        <v>0</v>
      </c>
      <c r="W654" s="18">
        <v>1</v>
      </c>
      <c r="X654" s="18">
        <f t="shared" si="87"/>
        <v>0</v>
      </c>
      <c r="Y654" s="12">
        <f t="shared" si="88"/>
        <v>4.06804884448575</v>
      </c>
      <c r="Z654" s="12">
        <f t="shared" si="89"/>
        <v>0.301071746878075</v>
      </c>
      <c r="AA654" s="19">
        <v>2696</v>
      </c>
      <c r="AB654" s="19">
        <v>3053</v>
      </c>
      <c r="AC654" s="19">
        <v>189.72</v>
      </c>
      <c r="AD654" s="19">
        <v>0.25</v>
      </c>
      <c r="AE654" s="19">
        <v>65.41</v>
      </c>
      <c r="AF654" s="19">
        <v>8.53</v>
      </c>
      <c r="AG654" s="19">
        <v>68.91</v>
      </c>
      <c r="AH654" s="19">
        <v>3.24</v>
      </c>
      <c r="AI654" s="19">
        <v>27.33</v>
      </c>
      <c r="AJ654" s="19">
        <v>283.51</v>
      </c>
      <c r="AK654" s="3">
        <f t="shared" si="85"/>
        <v>0</v>
      </c>
      <c r="AL654" s="3">
        <v>1</v>
      </c>
      <c r="AM654" s="3">
        <f t="shared" si="84"/>
        <v>0</v>
      </c>
    </row>
    <row r="655" spans="1:39">
      <c r="A655" s="7">
        <v>2003</v>
      </c>
      <c r="B655" s="7" t="s">
        <v>64</v>
      </c>
      <c r="C655" s="7">
        <v>0.21970305</v>
      </c>
      <c r="D655" s="7">
        <v>0.038891</v>
      </c>
      <c r="E655" s="7">
        <v>0.009666</v>
      </c>
      <c r="F655" s="7">
        <v>0.017301</v>
      </c>
      <c r="G655" s="7">
        <v>0.005706</v>
      </c>
      <c r="H655" s="7">
        <v>0.006218</v>
      </c>
      <c r="I655" s="7">
        <v>0.037764</v>
      </c>
      <c r="J655" s="7">
        <v>0.019763</v>
      </c>
      <c r="K655" s="16">
        <v>3009</v>
      </c>
      <c r="L655" s="17">
        <v>2803.19</v>
      </c>
      <c r="M655" s="16">
        <v>2272.82</v>
      </c>
      <c r="N655" s="7">
        <f t="shared" si="82"/>
        <v>1.0734199251567</v>
      </c>
      <c r="O655" s="7">
        <f t="shared" si="83"/>
        <v>1.32390598463583</v>
      </c>
      <c r="P655" s="8">
        <v>63119829.29</v>
      </c>
      <c r="Q655" s="8">
        <f t="shared" si="86"/>
        <v>2.77715918066543</v>
      </c>
      <c r="R655" s="9">
        <v>393.1</v>
      </c>
      <c r="S655" s="9">
        <v>700.3</v>
      </c>
      <c r="T655" s="9">
        <v>795.8</v>
      </c>
      <c r="U655" s="9">
        <v>9842</v>
      </c>
      <c r="V655" s="18">
        <v>0</v>
      </c>
      <c r="W655" s="18">
        <v>1</v>
      </c>
      <c r="X655" s="18">
        <f t="shared" si="87"/>
        <v>0</v>
      </c>
      <c r="Y655" s="12">
        <f t="shared" si="88"/>
        <v>4.08414499624993</v>
      </c>
      <c r="Z655" s="12">
        <f t="shared" si="89"/>
        <v>0.320014548157467</v>
      </c>
      <c r="AA655" s="19">
        <v>3069</v>
      </c>
      <c r="AB655" s="19">
        <v>2646.13</v>
      </c>
      <c r="AC655" s="19">
        <v>187.73</v>
      </c>
      <c r="AD655" s="19">
        <v>0.27</v>
      </c>
      <c r="AE655" s="19">
        <v>65.87</v>
      </c>
      <c r="AF655" s="19">
        <v>8.58</v>
      </c>
      <c r="AG655" s="19">
        <v>73.15</v>
      </c>
      <c r="AH655" s="19">
        <v>2.99</v>
      </c>
      <c r="AI655" s="19">
        <v>28.75</v>
      </c>
      <c r="AJ655" s="19">
        <v>294.19</v>
      </c>
      <c r="AK655" s="3">
        <f t="shared" si="85"/>
        <v>0</v>
      </c>
      <c r="AL655" s="3">
        <v>1</v>
      </c>
      <c r="AM655" s="3">
        <f t="shared" si="84"/>
        <v>0</v>
      </c>
    </row>
    <row r="656" spans="1:39">
      <c r="A656" s="7">
        <v>2004</v>
      </c>
      <c r="B656" s="7" t="s">
        <v>64</v>
      </c>
      <c r="C656" s="7">
        <v>0.23302374</v>
      </c>
      <c r="D656" s="7">
        <v>0.040583</v>
      </c>
      <c r="E656" s="7">
        <v>0.010313</v>
      </c>
      <c r="F656" s="7">
        <v>0.018831</v>
      </c>
      <c r="G656" s="7">
        <v>0.006084</v>
      </c>
      <c r="H656" s="7">
        <v>0.005355</v>
      </c>
      <c r="I656" s="7">
        <v>0.039879</v>
      </c>
      <c r="J656" s="7">
        <v>0.022234</v>
      </c>
      <c r="K656" s="16">
        <v>3590</v>
      </c>
      <c r="L656" s="17">
        <v>2793.32</v>
      </c>
      <c r="M656" s="16">
        <v>2692.81</v>
      </c>
      <c r="N656" s="7">
        <f t="shared" si="82"/>
        <v>1.28520899861097</v>
      </c>
      <c r="O656" s="7">
        <f t="shared" si="83"/>
        <v>1.33317983816162</v>
      </c>
      <c r="P656" s="8">
        <v>71275556.62</v>
      </c>
      <c r="Q656" s="8">
        <f t="shared" si="86"/>
        <v>2.64688398438806</v>
      </c>
      <c r="R656" s="9">
        <v>439.2</v>
      </c>
      <c r="S656" s="9">
        <v>887.1</v>
      </c>
      <c r="T656" s="9">
        <v>844.1</v>
      </c>
      <c r="U656" s="9">
        <v>11139</v>
      </c>
      <c r="V656" s="18">
        <v>0</v>
      </c>
      <c r="W656" s="18">
        <v>1</v>
      </c>
      <c r="X656" s="18">
        <f t="shared" si="87"/>
        <v>0</v>
      </c>
      <c r="Y656" s="12">
        <f t="shared" si="88"/>
        <v>3.89549779892895</v>
      </c>
      <c r="Z656" s="12">
        <f t="shared" si="89"/>
        <v>0.320527408559745</v>
      </c>
      <c r="AA656" s="19">
        <v>3670</v>
      </c>
      <c r="AB656" s="19">
        <v>2904.38</v>
      </c>
      <c r="AC656" s="19">
        <v>191.42</v>
      </c>
      <c r="AD656" s="19">
        <v>0.48</v>
      </c>
      <c r="AE656" s="19">
        <v>76.37</v>
      </c>
      <c r="AF656" s="19">
        <v>12.53</v>
      </c>
      <c r="AG656" s="19">
        <v>169.57</v>
      </c>
      <c r="AH656" s="19">
        <v>4.32</v>
      </c>
      <c r="AI656" s="19">
        <v>30.34</v>
      </c>
      <c r="AJ656" s="19">
        <v>309.06</v>
      </c>
      <c r="AK656" s="3">
        <f t="shared" si="85"/>
        <v>0</v>
      </c>
      <c r="AL656" s="3">
        <v>1</v>
      </c>
      <c r="AM656" s="3">
        <f t="shared" si="84"/>
        <v>0</v>
      </c>
    </row>
    <row r="657" spans="1:39">
      <c r="A657" s="7">
        <v>2005</v>
      </c>
      <c r="B657" s="7" t="s">
        <v>64</v>
      </c>
      <c r="C657" s="7">
        <v>0.24494073</v>
      </c>
      <c r="D657" s="7">
        <v>0.043206</v>
      </c>
      <c r="E657" s="7">
        <v>0.011108</v>
      </c>
      <c r="F657" s="7">
        <v>0.0193</v>
      </c>
      <c r="G657" s="7">
        <v>0.006252</v>
      </c>
      <c r="H657" s="7">
        <v>0.006547</v>
      </c>
      <c r="I657" s="7">
        <v>0.041089</v>
      </c>
      <c r="J657" s="7">
        <v>0.021002</v>
      </c>
      <c r="K657" s="16">
        <v>4943</v>
      </c>
      <c r="L657" s="17">
        <v>2798</v>
      </c>
      <c r="M657" s="16">
        <v>3467.72</v>
      </c>
      <c r="N657" s="7">
        <f t="shared" si="82"/>
        <v>1.76661901358113</v>
      </c>
      <c r="O657" s="7">
        <f t="shared" si="83"/>
        <v>1.42543227250182</v>
      </c>
      <c r="P657" s="8">
        <v>79743891.44</v>
      </c>
      <c r="Q657" s="8">
        <f t="shared" si="86"/>
        <v>2.29960583438109</v>
      </c>
      <c r="R657" s="9">
        <v>485.6</v>
      </c>
      <c r="S657" s="9">
        <v>1127.1</v>
      </c>
      <c r="T657" s="9">
        <v>907.8</v>
      </c>
      <c r="U657" s="9">
        <v>12687</v>
      </c>
      <c r="V657" s="18">
        <v>0</v>
      </c>
      <c r="W657" s="18">
        <v>1</v>
      </c>
      <c r="X657" s="18">
        <f t="shared" si="87"/>
        <v>0</v>
      </c>
      <c r="Y657" s="12">
        <f t="shared" si="88"/>
        <v>3.71995059106252</v>
      </c>
      <c r="Z657" s="12">
        <f t="shared" si="89"/>
        <v>0.38181817793331</v>
      </c>
      <c r="AA657" s="19">
        <v>4359.84</v>
      </c>
      <c r="AB657" s="19">
        <v>3335.2</v>
      </c>
      <c r="AC657" s="19">
        <v>388</v>
      </c>
      <c r="AD657" s="19">
        <v>2.86</v>
      </c>
      <c r="AE657" s="19">
        <v>77.53</v>
      </c>
      <c r="AF657" s="19">
        <v>12.3</v>
      </c>
      <c r="AG657" s="19">
        <v>180.18</v>
      </c>
      <c r="AH657" s="19">
        <v>3.61</v>
      </c>
      <c r="AI657" s="19">
        <v>35.5</v>
      </c>
      <c r="AJ657" s="19">
        <v>347.68</v>
      </c>
      <c r="AK657" s="3">
        <f t="shared" si="85"/>
        <v>0</v>
      </c>
      <c r="AL657" s="3">
        <v>1</v>
      </c>
      <c r="AM657" s="3">
        <f t="shared" si="84"/>
        <v>0</v>
      </c>
    </row>
    <row r="658" spans="1:39">
      <c r="A658" s="7">
        <v>2006</v>
      </c>
      <c r="B658" s="7" t="s">
        <v>64</v>
      </c>
      <c r="C658" s="7">
        <v>0.26533107</v>
      </c>
      <c r="D658" s="7">
        <v>0.044059</v>
      </c>
      <c r="E658" s="7">
        <v>0.010699</v>
      </c>
      <c r="F658" s="7">
        <v>0.020264</v>
      </c>
      <c r="G658" s="7">
        <v>0.006989</v>
      </c>
      <c r="H658" s="7">
        <v>0.006107</v>
      </c>
      <c r="I658" s="7">
        <v>0.047708</v>
      </c>
      <c r="J658" s="7">
        <v>0.024201</v>
      </c>
      <c r="K658" s="16">
        <v>5368</v>
      </c>
      <c r="L658" s="17">
        <v>2808</v>
      </c>
      <c r="M658" s="16">
        <v>3907.23</v>
      </c>
      <c r="N658" s="7">
        <f t="shared" si="82"/>
        <v>1.91168091168091</v>
      </c>
      <c r="O658" s="7">
        <f t="shared" si="83"/>
        <v>1.37386332516898</v>
      </c>
      <c r="P658" s="8">
        <v>96776490.99</v>
      </c>
      <c r="Q658" s="8">
        <f t="shared" si="86"/>
        <v>2.47685677551616</v>
      </c>
      <c r="R658" s="9">
        <v>502.5</v>
      </c>
      <c r="S658" s="9">
        <v>1409.8</v>
      </c>
      <c r="T658" s="9">
        <v>1045.1</v>
      </c>
      <c r="U658" s="9">
        <v>14567</v>
      </c>
      <c r="V658" s="18">
        <v>0</v>
      </c>
      <c r="W658" s="18">
        <v>1</v>
      </c>
      <c r="X658" s="18">
        <f t="shared" si="87"/>
        <v>0</v>
      </c>
      <c r="Y658" s="12">
        <f t="shared" si="88"/>
        <v>3.57740717995078</v>
      </c>
      <c r="Z658" s="12">
        <f t="shared" si="89"/>
        <v>0.307639122155997</v>
      </c>
      <c r="AA658" s="19">
        <v>4722.98</v>
      </c>
      <c r="AB658" s="19">
        <v>3734.6</v>
      </c>
      <c r="AC658" s="19">
        <v>329.15</v>
      </c>
      <c r="AD658" s="19">
        <v>3.17</v>
      </c>
      <c r="AE658" s="19">
        <v>86.22</v>
      </c>
      <c r="AF658" s="19">
        <v>23.01</v>
      </c>
      <c r="AG658" s="19">
        <v>186.55</v>
      </c>
      <c r="AH658" s="19">
        <v>2.66</v>
      </c>
      <c r="AI658" s="19">
        <v>40.05</v>
      </c>
      <c r="AJ658" s="19">
        <v>405.19</v>
      </c>
      <c r="AK658" s="3">
        <f t="shared" si="85"/>
        <v>0</v>
      </c>
      <c r="AL658" s="3">
        <v>1</v>
      </c>
      <c r="AM658" s="3">
        <f t="shared" si="84"/>
        <v>0</v>
      </c>
    </row>
    <row r="659" spans="1:39">
      <c r="A659" s="7">
        <v>2007</v>
      </c>
      <c r="B659" s="7" t="s">
        <v>64</v>
      </c>
      <c r="C659" s="7">
        <v>0.26650984</v>
      </c>
      <c r="D659" s="7">
        <v>0.04744</v>
      </c>
      <c r="E659" s="7">
        <v>0.0119</v>
      </c>
      <c r="F659" s="7">
        <v>0.020932</v>
      </c>
      <c r="G659" s="7">
        <v>0.007484</v>
      </c>
      <c r="H659" s="7">
        <v>0.007124</v>
      </c>
      <c r="I659" s="7">
        <v>0.042718</v>
      </c>
      <c r="J659" s="7">
        <v>0.021153</v>
      </c>
      <c r="K659" s="16">
        <v>5947</v>
      </c>
      <c r="L659" s="17">
        <v>2816</v>
      </c>
      <c r="M659" s="16">
        <v>4676.13</v>
      </c>
      <c r="N659" s="7">
        <f t="shared" si="82"/>
        <v>2.11186079545455</v>
      </c>
      <c r="O659" s="7">
        <f t="shared" si="83"/>
        <v>1.27177815843443</v>
      </c>
      <c r="P659" s="8">
        <v>104514946.6</v>
      </c>
      <c r="Q659" s="8">
        <f t="shared" si="86"/>
        <v>2.23507358862991</v>
      </c>
      <c r="R659" s="9">
        <v>593.3</v>
      </c>
      <c r="S659" s="9">
        <v>1588.5</v>
      </c>
      <c r="T659" s="9">
        <v>1318.3</v>
      </c>
      <c r="U659" s="9">
        <v>16887</v>
      </c>
      <c r="V659" s="18">
        <v>0</v>
      </c>
      <c r="W659" s="18">
        <v>1</v>
      </c>
      <c r="X659" s="18">
        <f t="shared" si="87"/>
        <v>0</v>
      </c>
      <c r="Y659" s="12">
        <f t="shared" si="88"/>
        <v>3.23986794305777</v>
      </c>
      <c r="Z659" s="12">
        <f t="shared" si="89"/>
        <v>0.31013435488347</v>
      </c>
      <c r="AA659" s="19">
        <v>5216.82</v>
      </c>
      <c r="AB659" s="19">
        <v>4078.69</v>
      </c>
      <c r="AC659" s="19">
        <v>323.38</v>
      </c>
      <c r="AD659" s="19">
        <v>0.13</v>
      </c>
      <c r="AE659" s="19">
        <v>86.46</v>
      </c>
      <c r="AF659" s="19">
        <v>27.01</v>
      </c>
      <c r="AG659" s="19">
        <v>234.11</v>
      </c>
      <c r="AH659" s="19">
        <v>7.84</v>
      </c>
      <c r="AI659" s="19">
        <v>43.53</v>
      </c>
      <c r="AJ659" s="19">
        <v>449.21</v>
      </c>
      <c r="AK659" s="3">
        <f t="shared" si="85"/>
        <v>0</v>
      </c>
      <c r="AL659" s="3">
        <v>1</v>
      </c>
      <c r="AM659" s="3">
        <f t="shared" si="84"/>
        <v>0</v>
      </c>
    </row>
    <row r="660" spans="1:39">
      <c r="A660" s="7">
        <v>2008</v>
      </c>
      <c r="B660" s="7" t="s">
        <v>64</v>
      </c>
      <c r="C660" s="7">
        <v>0.26556602</v>
      </c>
      <c r="D660" s="7">
        <v>0.045958</v>
      </c>
      <c r="E660" s="7">
        <v>0.010735</v>
      </c>
      <c r="F660" s="7">
        <v>0.020131</v>
      </c>
      <c r="G660" s="7">
        <v>0.006915</v>
      </c>
      <c r="H660" s="7">
        <v>0.008178</v>
      </c>
      <c r="I660" s="7">
        <v>0.044117</v>
      </c>
      <c r="J660" s="7">
        <v>0.021511</v>
      </c>
      <c r="K660" s="16">
        <v>6472</v>
      </c>
      <c r="L660" s="17">
        <v>2839</v>
      </c>
      <c r="M660" s="16">
        <v>5793.66</v>
      </c>
      <c r="N660" s="7">
        <f t="shared" si="82"/>
        <v>2.27967594223318</v>
      </c>
      <c r="O660" s="7">
        <f t="shared" si="83"/>
        <v>1.11708315641581</v>
      </c>
      <c r="P660" s="8">
        <v>108480978.7</v>
      </c>
      <c r="Q660" s="8">
        <f t="shared" si="86"/>
        <v>1.87240843784413</v>
      </c>
      <c r="R660" s="9">
        <v>646.9</v>
      </c>
      <c r="S660" s="9">
        <v>1991.8</v>
      </c>
      <c r="T660" s="9">
        <v>1503.8</v>
      </c>
      <c r="U660" s="9">
        <v>19605</v>
      </c>
      <c r="V660" s="18">
        <v>0</v>
      </c>
      <c r="W660" s="18">
        <v>1</v>
      </c>
      <c r="X660" s="18">
        <f t="shared" si="87"/>
        <v>0</v>
      </c>
      <c r="Y660" s="12">
        <f t="shared" si="88"/>
        <v>2.71728515287532</v>
      </c>
      <c r="Z660" s="12">
        <f t="shared" si="89"/>
        <v>0.310926777094842</v>
      </c>
      <c r="AA660" s="19">
        <v>6472</v>
      </c>
      <c r="AB660" s="19">
        <v>5273</v>
      </c>
      <c r="AC660" s="19">
        <v>342.44</v>
      </c>
      <c r="AD660" s="19">
        <v>0.02</v>
      </c>
      <c r="AE660" s="19">
        <v>96.59</v>
      </c>
      <c r="AF660" s="19">
        <v>30.44</v>
      </c>
      <c r="AG660" s="19">
        <v>257.65</v>
      </c>
      <c r="AH660" s="19">
        <v>8.14</v>
      </c>
      <c r="AI660" s="19">
        <v>48.75</v>
      </c>
      <c r="AJ660" s="19">
        <v>485.92</v>
      </c>
      <c r="AK660" s="3">
        <f t="shared" si="85"/>
        <v>0</v>
      </c>
      <c r="AL660" s="3">
        <v>1</v>
      </c>
      <c r="AM660" s="3">
        <f t="shared" si="84"/>
        <v>0</v>
      </c>
    </row>
    <row r="661" spans="1:39">
      <c r="A661" s="7">
        <v>2009</v>
      </c>
      <c r="B661" s="7" t="s">
        <v>64</v>
      </c>
      <c r="C661" s="7">
        <v>0.29356989</v>
      </c>
      <c r="D661" s="7">
        <v>0.050718</v>
      </c>
      <c r="E661" s="7">
        <v>0.01335</v>
      </c>
      <c r="F661" s="7">
        <v>0.022867</v>
      </c>
      <c r="G661" s="7">
        <v>0.007505</v>
      </c>
      <c r="H661" s="7">
        <v>0.006996</v>
      </c>
      <c r="I661" s="7">
        <v>0.045904</v>
      </c>
      <c r="J661" s="7">
        <v>0.025572</v>
      </c>
      <c r="K661" s="16">
        <v>7030</v>
      </c>
      <c r="L661" s="17">
        <v>2859</v>
      </c>
      <c r="M661" s="16">
        <v>6530.01</v>
      </c>
      <c r="N661" s="7">
        <f t="shared" si="82"/>
        <v>2.45890171388597</v>
      </c>
      <c r="O661" s="7">
        <f t="shared" si="83"/>
        <v>1.07656802975799</v>
      </c>
      <c r="P661" s="8">
        <v>112372833.9</v>
      </c>
      <c r="Q661" s="8">
        <f t="shared" si="86"/>
        <v>1.72086771536338</v>
      </c>
      <c r="R661" s="9">
        <v>704.9</v>
      </c>
      <c r="S661" s="9">
        <v>1846</v>
      </c>
      <c r="T661" s="9">
        <v>1686.1</v>
      </c>
      <c r="U661" s="9">
        <v>19755</v>
      </c>
      <c r="V661" s="18">
        <v>0</v>
      </c>
      <c r="W661" s="18">
        <v>1</v>
      </c>
      <c r="X661" s="18">
        <f t="shared" si="87"/>
        <v>0</v>
      </c>
      <c r="Y661" s="12">
        <f t="shared" si="88"/>
        <v>2.66960201713366</v>
      </c>
      <c r="Z661" s="12">
        <f t="shared" si="89"/>
        <v>0.35538417175341</v>
      </c>
      <c r="AA661" s="19">
        <v>7030</v>
      </c>
      <c r="AB661" s="19">
        <v>5782</v>
      </c>
      <c r="AC661" s="19">
        <v>334.1</v>
      </c>
      <c r="AD661" s="19">
        <v>0.01</v>
      </c>
      <c r="AE661" s="19">
        <v>90.54</v>
      </c>
      <c r="AF661" s="19">
        <v>34.06</v>
      </c>
      <c r="AG661" s="19">
        <v>273.55</v>
      </c>
      <c r="AH661" s="19">
        <v>7.59</v>
      </c>
      <c r="AI661" s="19">
        <v>49.47</v>
      </c>
      <c r="AJ661" s="19">
        <v>532.34</v>
      </c>
      <c r="AK661" s="3">
        <f t="shared" si="85"/>
        <v>0</v>
      </c>
      <c r="AL661" s="3">
        <v>1</v>
      </c>
      <c r="AM661" s="3">
        <f t="shared" si="84"/>
        <v>0</v>
      </c>
    </row>
    <row r="662" spans="1:39">
      <c r="A662" s="7">
        <v>2010</v>
      </c>
      <c r="B662" s="7" t="s">
        <v>64</v>
      </c>
      <c r="C662" s="7">
        <v>0.29572368</v>
      </c>
      <c r="D662" s="7">
        <v>0.049664</v>
      </c>
      <c r="E662" s="7">
        <v>0.012639</v>
      </c>
      <c r="F662" s="7">
        <v>0.021438</v>
      </c>
      <c r="G662" s="7">
        <v>0.00756</v>
      </c>
      <c r="H662" s="7">
        <v>0.008028</v>
      </c>
      <c r="I662" s="7">
        <v>0.049455</v>
      </c>
      <c r="J662" s="7">
        <v>0.024486</v>
      </c>
      <c r="K662" s="16">
        <v>7856</v>
      </c>
      <c r="L662" s="17">
        <v>2884.62</v>
      </c>
      <c r="M662" s="16">
        <v>7925.58</v>
      </c>
      <c r="N662" s="7">
        <f t="shared" si="82"/>
        <v>2.72340897587897</v>
      </c>
      <c r="O662" s="7">
        <f t="shared" si="83"/>
        <v>0.991220831787705</v>
      </c>
      <c r="P662" s="8">
        <v>118016318.8</v>
      </c>
      <c r="Q662" s="8">
        <f t="shared" si="86"/>
        <v>1.48905592776806</v>
      </c>
      <c r="R662" s="9">
        <v>1000.3</v>
      </c>
      <c r="S662" s="9">
        <v>2479.8</v>
      </c>
      <c r="T662" s="9">
        <v>1880.1</v>
      </c>
      <c r="U662" s="9">
        <v>24700</v>
      </c>
      <c r="V662" s="18">
        <v>0</v>
      </c>
      <c r="W662" s="18">
        <v>1</v>
      </c>
      <c r="X662" s="18">
        <f t="shared" si="87"/>
        <v>0</v>
      </c>
      <c r="Y662" s="12">
        <f t="shared" si="88"/>
        <v>2.40850270516871</v>
      </c>
      <c r="Z662" s="12">
        <f t="shared" si="89"/>
        <v>0.381750361096748</v>
      </c>
      <c r="AA662" s="19">
        <v>7855.52</v>
      </c>
      <c r="AB662" s="19">
        <v>6396.9</v>
      </c>
      <c r="AC662" s="19">
        <v>299.47</v>
      </c>
      <c r="AD662" s="12">
        <v>0</v>
      </c>
      <c r="AE662" s="19">
        <v>102.63</v>
      </c>
      <c r="AF662" s="19">
        <v>41.78</v>
      </c>
      <c r="AG662" s="19">
        <v>338.51</v>
      </c>
      <c r="AH662" s="19">
        <v>8.61</v>
      </c>
      <c r="AI662" s="19">
        <v>56.42</v>
      </c>
      <c r="AJ662" s="19">
        <v>626.44</v>
      </c>
      <c r="AK662" s="3">
        <f t="shared" si="85"/>
        <v>0</v>
      </c>
      <c r="AL662" s="3">
        <v>1</v>
      </c>
      <c r="AM662" s="3">
        <f t="shared" si="84"/>
        <v>0</v>
      </c>
    </row>
    <row r="663" spans="1:39">
      <c r="A663" s="7">
        <v>2011</v>
      </c>
      <c r="B663" s="7" t="s">
        <v>64</v>
      </c>
      <c r="C663" s="7">
        <v>0.29119158</v>
      </c>
      <c r="D663" s="7">
        <v>0.050218</v>
      </c>
      <c r="E663" s="7">
        <v>0.012976</v>
      </c>
      <c r="F663" s="7">
        <v>0.022229</v>
      </c>
      <c r="G663" s="7">
        <v>0.007936</v>
      </c>
      <c r="H663" s="7">
        <v>0.007078</v>
      </c>
      <c r="I663" s="7">
        <v>0.048788</v>
      </c>
      <c r="J663" s="7">
        <v>0.023126</v>
      </c>
      <c r="K663" s="16">
        <v>8792</v>
      </c>
      <c r="L663" s="17">
        <v>2944</v>
      </c>
      <c r="M663" s="16">
        <v>10011.37</v>
      </c>
      <c r="N663" s="7">
        <f t="shared" si="82"/>
        <v>2.98641304347826</v>
      </c>
      <c r="O663" s="7">
        <f t="shared" si="83"/>
        <v>0.878201484911655</v>
      </c>
      <c r="P663" s="8">
        <v>125565089.2</v>
      </c>
      <c r="Q663" s="8">
        <f t="shared" si="86"/>
        <v>1.25422483835879</v>
      </c>
      <c r="R663" s="9">
        <v>1047.2</v>
      </c>
      <c r="S663" s="9">
        <v>3093.4</v>
      </c>
      <c r="T663" s="9">
        <v>2391.4</v>
      </c>
      <c r="U663" s="9">
        <v>29624</v>
      </c>
      <c r="V663" s="18">
        <v>0</v>
      </c>
      <c r="W663" s="18">
        <v>1</v>
      </c>
      <c r="X663" s="18">
        <f t="shared" si="87"/>
        <v>0</v>
      </c>
      <c r="Y663" s="12">
        <f t="shared" si="88"/>
        <v>2.18035126729488</v>
      </c>
      <c r="Z663" s="12">
        <f t="shared" si="89"/>
        <v>0.424760194757571</v>
      </c>
      <c r="AA663" s="19">
        <v>8792</v>
      </c>
      <c r="AB663" s="19">
        <v>7189</v>
      </c>
      <c r="AC663" s="19">
        <v>377.79</v>
      </c>
      <c r="AD663" s="12">
        <v>0</v>
      </c>
      <c r="AE663" s="19">
        <v>144.97</v>
      </c>
      <c r="AF663" s="19">
        <v>52.78</v>
      </c>
      <c r="AG663" s="19">
        <v>397.7</v>
      </c>
      <c r="AH663" s="19">
        <v>9.37</v>
      </c>
      <c r="AI663" s="19">
        <v>61.8</v>
      </c>
      <c r="AJ663" s="19">
        <v>717</v>
      </c>
      <c r="AK663" s="3">
        <f t="shared" si="85"/>
        <v>0</v>
      </c>
      <c r="AL663" s="3">
        <v>1</v>
      </c>
      <c r="AM663" s="3">
        <f t="shared" si="84"/>
        <v>0</v>
      </c>
    </row>
    <row r="664" spans="1:39">
      <c r="A664" s="7">
        <v>2012</v>
      </c>
      <c r="B664" s="7" t="s">
        <v>64</v>
      </c>
      <c r="C664" s="7">
        <v>0.31163365</v>
      </c>
      <c r="D664" s="7">
        <v>0.053733</v>
      </c>
      <c r="E664" s="7">
        <v>0.013987</v>
      </c>
      <c r="F664" s="7">
        <v>0.024427</v>
      </c>
      <c r="G664" s="7">
        <v>0.008133</v>
      </c>
      <c r="H664" s="7">
        <v>0.007186</v>
      </c>
      <c r="I664" s="7">
        <v>0.050528</v>
      </c>
      <c r="J664" s="7">
        <v>0.025238</v>
      </c>
      <c r="K664" s="16">
        <v>9278</v>
      </c>
      <c r="L664" s="17">
        <v>2975</v>
      </c>
      <c r="M664" s="16">
        <v>11409.6</v>
      </c>
      <c r="N664" s="7">
        <f t="shared" si="82"/>
        <v>3.11865546218487</v>
      </c>
      <c r="O664" s="7">
        <f t="shared" si="83"/>
        <v>0.813174870284673</v>
      </c>
      <c r="P664" s="8">
        <v>127652458.7</v>
      </c>
      <c r="Q664" s="8">
        <f t="shared" si="86"/>
        <v>1.11881624859767</v>
      </c>
      <c r="R664" s="9">
        <v>1204.1</v>
      </c>
      <c r="S664" s="9">
        <v>3325.9</v>
      </c>
      <c r="T664" s="9">
        <v>2881.9</v>
      </c>
      <c r="U664" s="9">
        <v>33103</v>
      </c>
      <c r="V664" s="18">
        <v>0</v>
      </c>
      <c r="W664" s="18">
        <v>1</v>
      </c>
      <c r="X664" s="18">
        <f t="shared" si="87"/>
        <v>0</v>
      </c>
      <c r="Y664" s="12">
        <f t="shared" si="88"/>
        <v>2.01609935715007</v>
      </c>
      <c r="Z664" s="12">
        <f t="shared" si="89"/>
        <v>0.445058972599837</v>
      </c>
      <c r="AA664" s="19">
        <v>9278.41</v>
      </c>
      <c r="AB664" s="19">
        <v>6750</v>
      </c>
      <c r="AC664" s="19">
        <v>503.77</v>
      </c>
      <c r="AD664" s="12">
        <v>0</v>
      </c>
      <c r="AE664" s="19">
        <v>144.63</v>
      </c>
      <c r="AF664" s="19">
        <v>54.28</v>
      </c>
      <c r="AG664" s="19">
        <v>409.91</v>
      </c>
      <c r="AH664" s="19">
        <v>9.89</v>
      </c>
      <c r="AI664" s="19">
        <v>70.98</v>
      </c>
      <c r="AJ664" s="19">
        <v>723.03</v>
      </c>
      <c r="AK664" s="3">
        <f t="shared" si="85"/>
        <v>0</v>
      </c>
      <c r="AL664" s="3">
        <v>1</v>
      </c>
      <c r="AM664" s="3">
        <f t="shared" si="84"/>
        <v>0</v>
      </c>
    </row>
    <row r="665" spans="1:39">
      <c r="A665" s="7">
        <v>2013</v>
      </c>
      <c r="B665" s="7" t="s">
        <v>64</v>
      </c>
      <c r="C665" s="7">
        <v>0.31246633</v>
      </c>
      <c r="D665" s="7">
        <v>0.052174</v>
      </c>
      <c r="E665" s="7">
        <v>0.012741</v>
      </c>
      <c r="F665" s="7">
        <v>0.024121</v>
      </c>
      <c r="G665" s="7">
        <v>0.008079</v>
      </c>
      <c r="H665" s="7">
        <v>0.007233</v>
      </c>
      <c r="I665" s="7">
        <v>0.052936</v>
      </c>
      <c r="J665" s="7">
        <v>0.026624</v>
      </c>
      <c r="K665" s="16">
        <v>8049</v>
      </c>
      <c r="L665" s="17">
        <v>3011</v>
      </c>
      <c r="M665" s="16">
        <v>12783.26</v>
      </c>
      <c r="N665" s="7">
        <f t="shared" si="82"/>
        <v>2.673198272999</v>
      </c>
      <c r="O665" s="7">
        <f t="shared" si="83"/>
        <v>0.629651591221644</v>
      </c>
      <c r="P665" s="8">
        <v>138678554.1</v>
      </c>
      <c r="Q665" s="8">
        <f t="shared" si="86"/>
        <v>1.08484497772869</v>
      </c>
      <c r="R665" s="9">
        <v>1326.6</v>
      </c>
      <c r="S665" s="9">
        <v>3479.9</v>
      </c>
      <c r="T665" s="9">
        <v>3586.2</v>
      </c>
      <c r="U665" s="9">
        <v>36988</v>
      </c>
      <c r="V665" s="18">
        <v>0</v>
      </c>
      <c r="W665" s="18">
        <v>1</v>
      </c>
      <c r="X665" s="18">
        <f t="shared" si="87"/>
        <v>0</v>
      </c>
      <c r="Y665" s="12">
        <f t="shared" si="88"/>
        <v>1.91398219724656</v>
      </c>
      <c r="Z665" s="12">
        <f t="shared" si="89"/>
        <v>0.433200068794088</v>
      </c>
      <c r="AA665" s="19">
        <v>8049</v>
      </c>
      <c r="AB665" s="19">
        <v>5794.47</v>
      </c>
      <c r="AC665" s="19">
        <v>208.82</v>
      </c>
      <c r="AD665" s="12">
        <v>0</v>
      </c>
      <c r="AE665" s="19">
        <v>161.7</v>
      </c>
      <c r="AF665" s="19">
        <v>58.99</v>
      </c>
      <c r="AG665" s="19">
        <v>455.95</v>
      </c>
      <c r="AH665" s="19">
        <v>11.98</v>
      </c>
      <c r="AI665" s="19">
        <v>72.19</v>
      </c>
      <c r="AJ665" s="19">
        <v>813.26</v>
      </c>
      <c r="AK665" s="3">
        <f t="shared" si="85"/>
        <v>1</v>
      </c>
      <c r="AL665" s="3">
        <v>1</v>
      </c>
      <c r="AM665" s="3">
        <f t="shared" si="84"/>
        <v>1</v>
      </c>
    </row>
    <row r="666" spans="1:39">
      <c r="A666" s="7">
        <v>2014</v>
      </c>
      <c r="B666" s="7" t="s">
        <v>64</v>
      </c>
      <c r="C666" s="7">
        <v>0.33787745</v>
      </c>
      <c r="D666" s="7">
        <v>0.057573</v>
      </c>
      <c r="E666" s="7">
        <v>0.014937</v>
      </c>
      <c r="F666" s="7">
        <v>0.025921</v>
      </c>
      <c r="G666" s="7">
        <v>0.008629</v>
      </c>
      <c r="H666" s="7">
        <v>0.008086</v>
      </c>
      <c r="I666" s="7">
        <v>0.054124</v>
      </c>
      <c r="J666" s="7">
        <v>0.02682</v>
      </c>
      <c r="K666" s="16">
        <v>8593</v>
      </c>
      <c r="L666" s="17">
        <v>3043</v>
      </c>
      <c r="M666" s="16">
        <v>14262.6</v>
      </c>
      <c r="N666" s="7">
        <f t="shared" ref="N666:N729" si="90">K666/L666</f>
        <v>2.82385803483405</v>
      </c>
      <c r="O666" s="7">
        <f t="shared" ref="O666:O729" si="91">K666/M666</f>
        <v>0.602484820439471</v>
      </c>
      <c r="P666" s="8">
        <v>148080876.5</v>
      </c>
      <c r="Q666" s="8">
        <f t="shared" si="86"/>
        <v>1.03824601755641</v>
      </c>
      <c r="R666" s="9">
        <v>1406.7</v>
      </c>
      <c r="S666" s="9">
        <v>3829.3</v>
      </c>
      <c r="T666" s="9">
        <v>4028.5</v>
      </c>
      <c r="U666" s="9">
        <v>40193</v>
      </c>
      <c r="V666" s="18">
        <v>0</v>
      </c>
      <c r="W666" s="18">
        <v>1</v>
      </c>
      <c r="X666" s="18">
        <f t="shared" si="87"/>
        <v>0</v>
      </c>
      <c r="Y666" s="12">
        <f t="shared" si="88"/>
        <v>1.79640226266579</v>
      </c>
      <c r="Z666" s="12">
        <f t="shared" si="89"/>
        <v>0.422041466360827</v>
      </c>
      <c r="AA666" s="19">
        <v>8592.73</v>
      </c>
      <c r="AB666" s="19">
        <v>6095.78</v>
      </c>
      <c r="AC666" s="19">
        <v>320.43</v>
      </c>
      <c r="AD666" s="12">
        <v>0</v>
      </c>
      <c r="AE666" s="19">
        <v>181.64</v>
      </c>
      <c r="AF666" s="19">
        <v>61.99</v>
      </c>
      <c r="AG666" s="19">
        <v>425.53</v>
      </c>
      <c r="AH666" s="19">
        <v>14.75</v>
      </c>
      <c r="AI666" s="19">
        <v>82.15</v>
      </c>
      <c r="AJ666" s="19">
        <v>867.24</v>
      </c>
      <c r="AK666" s="3">
        <f t="shared" si="85"/>
        <v>1</v>
      </c>
      <c r="AL666" s="3">
        <v>1</v>
      </c>
      <c r="AM666" s="3">
        <f t="shared" si="84"/>
        <v>1</v>
      </c>
    </row>
    <row r="667" spans="1:39">
      <c r="A667" s="7">
        <v>2015</v>
      </c>
      <c r="B667" s="7" t="s">
        <v>64</v>
      </c>
      <c r="C667" s="7">
        <v>0.34163834</v>
      </c>
      <c r="D667" s="7">
        <v>0.056373</v>
      </c>
      <c r="E667" s="7">
        <v>0.014047</v>
      </c>
      <c r="F667" s="7">
        <v>0.025388</v>
      </c>
      <c r="G667" s="7">
        <v>0.008189</v>
      </c>
      <c r="H667" s="7">
        <v>0.00875</v>
      </c>
      <c r="I667" s="7">
        <v>0.05766</v>
      </c>
      <c r="J667" s="7">
        <v>0.027687</v>
      </c>
      <c r="K667" s="16">
        <v>7747</v>
      </c>
      <c r="L667" s="17">
        <v>3070</v>
      </c>
      <c r="M667" s="16">
        <v>15717.27</v>
      </c>
      <c r="N667" s="7">
        <f t="shared" si="90"/>
        <v>2.52345276872964</v>
      </c>
      <c r="O667" s="7">
        <f t="shared" si="91"/>
        <v>0.492897303412107</v>
      </c>
      <c r="P667" s="8">
        <v>149919706.2</v>
      </c>
      <c r="Q667" s="8">
        <f t="shared" si="86"/>
        <v>0.953853348577711</v>
      </c>
      <c r="R667" s="9">
        <v>1409.7</v>
      </c>
      <c r="S667" s="9">
        <v>3446.1</v>
      </c>
      <c r="T667" s="9">
        <v>4451.2</v>
      </c>
      <c r="U667" s="9">
        <v>39520</v>
      </c>
      <c r="V667" s="18">
        <v>0</v>
      </c>
      <c r="W667" s="18">
        <v>1</v>
      </c>
      <c r="X667" s="18">
        <f t="shared" si="87"/>
        <v>0</v>
      </c>
      <c r="Y667" s="12">
        <f t="shared" si="88"/>
        <v>1.71577514742415</v>
      </c>
      <c r="Z667" s="12">
        <f t="shared" si="89"/>
        <v>0.444068559910248</v>
      </c>
      <c r="AA667" s="19">
        <v>7747</v>
      </c>
      <c r="AB667" s="19">
        <v>5047.19</v>
      </c>
      <c r="AC667" s="19">
        <v>169.91</v>
      </c>
      <c r="AD667" s="12">
        <v>0</v>
      </c>
      <c r="AE667" s="19">
        <v>199.98</v>
      </c>
      <c r="AF667" s="19">
        <v>66.63</v>
      </c>
      <c r="AG667" s="19">
        <v>491.21</v>
      </c>
      <c r="AH667" s="19">
        <v>13.9</v>
      </c>
      <c r="AI667" s="19">
        <v>88.37</v>
      </c>
      <c r="AJ667" s="19">
        <v>875</v>
      </c>
      <c r="AK667" s="3">
        <f t="shared" si="85"/>
        <v>1</v>
      </c>
      <c r="AL667" s="3">
        <v>1</v>
      </c>
      <c r="AM667" s="3">
        <f t="shared" si="84"/>
        <v>1</v>
      </c>
    </row>
    <row r="668" spans="1:39">
      <c r="A668" s="7">
        <v>2016</v>
      </c>
      <c r="B668" s="7" t="s">
        <v>64</v>
      </c>
      <c r="C668" s="7">
        <v>0.3523144</v>
      </c>
      <c r="D668" s="7">
        <v>0.05828</v>
      </c>
      <c r="E668" s="7">
        <v>0.014609</v>
      </c>
      <c r="F668" s="7">
        <v>0.02683</v>
      </c>
      <c r="G668" s="7">
        <v>0.008898</v>
      </c>
      <c r="H668" s="7">
        <v>0.007943</v>
      </c>
      <c r="I668" s="7">
        <v>0.060023</v>
      </c>
      <c r="J668" s="7">
        <v>0.028326</v>
      </c>
      <c r="K668" s="16">
        <v>7982</v>
      </c>
      <c r="L668" s="17">
        <v>3110</v>
      </c>
      <c r="M668" s="16">
        <v>17740.59</v>
      </c>
      <c r="N668" s="7">
        <f t="shared" si="90"/>
        <v>2.56655948553055</v>
      </c>
      <c r="O668" s="7">
        <f t="shared" si="91"/>
        <v>0.449928666408502</v>
      </c>
      <c r="P668" s="8">
        <v>155810002.5</v>
      </c>
      <c r="Q668" s="8">
        <f t="shared" si="86"/>
        <v>0.878268436957283</v>
      </c>
      <c r="R668" s="9">
        <v>1473.2</v>
      </c>
      <c r="S668" s="9">
        <v>3446.1</v>
      </c>
      <c r="T668" s="9">
        <v>4711.6</v>
      </c>
      <c r="U668" s="9">
        <v>40020</v>
      </c>
      <c r="V668" s="18">
        <v>0</v>
      </c>
      <c r="W668" s="18">
        <v>1</v>
      </c>
      <c r="X668" s="18">
        <f t="shared" si="87"/>
        <v>0</v>
      </c>
      <c r="Y668" s="12">
        <f t="shared" si="88"/>
        <v>1.62438398605541</v>
      </c>
      <c r="Z668" s="12">
        <f t="shared" si="89"/>
        <v>0.459322152584109</v>
      </c>
      <c r="AA668" s="19">
        <v>7982</v>
      </c>
      <c r="AB668" s="19">
        <v>4854.37</v>
      </c>
      <c r="AC668" s="19">
        <v>384.31</v>
      </c>
      <c r="AD668" s="12">
        <v>0</v>
      </c>
      <c r="AE668" s="19">
        <v>219.05</v>
      </c>
      <c r="AF668" s="19">
        <v>80.97</v>
      </c>
      <c r="AG668" s="19">
        <v>514.22</v>
      </c>
      <c r="AH668" s="19">
        <v>13.91</v>
      </c>
      <c r="AI668" s="19">
        <v>89.32</v>
      </c>
      <c r="AJ668" s="19">
        <v>924.89</v>
      </c>
      <c r="AK668" s="3">
        <f t="shared" si="85"/>
        <v>1</v>
      </c>
      <c r="AL668" s="3">
        <v>1</v>
      </c>
      <c r="AM668" s="3">
        <f t="shared" si="84"/>
        <v>1</v>
      </c>
    </row>
    <row r="669" spans="1:39">
      <c r="A669" s="7">
        <v>2017</v>
      </c>
      <c r="B669" s="7" t="s">
        <v>64</v>
      </c>
      <c r="C669" s="7">
        <v>0.3475351</v>
      </c>
      <c r="D669" s="7">
        <v>0.055887</v>
      </c>
      <c r="E669" s="7">
        <v>0.013963</v>
      </c>
      <c r="F669" s="7">
        <v>0.025014</v>
      </c>
      <c r="G669" s="7">
        <v>0.008781</v>
      </c>
      <c r="H669" s="7">
        <v>0.00813</v>
      </c>
      <c r="I669" s="7">
        <v>0.060188</v>
      </c>
      <c r="J669" s="7">
        <v>0.029317</v>
      </c>
      <c r="K669" s="16">
        <v>8279</v>
      </c>
      <c r="L669" s="17">
        <v>3144</v>
      </c>
      <c r="M669" s="16">
        <v>19424.73</v>
      </c>
      <c r="N669" s="7">
        <f t="shared" si="90"/>
        <v>2.63326972010178</v>
      </c>
      <c r="O669" s="7">
        <f t="shared" si="91"/>
        <v>0.426209270347644</v>
      </c>
      <c r="P669" s="8">
        <v>158641558.1</v>
      </c>
      <c r="Q669" s="8">
        <f t="shared" si="86"/>
        <v>0.816698909585873</v>
      </c>
      <c r="R669" s="9">
        <v>1551.8</v>
      </c>
      <c r="S669" s="9">
        <v>4096.2</v>
      </c>
      <c r="T669" s="9">
        <v>5511.9</v>
      </c>
      <c r="U669" s="9">
        <v>45476</v>
      </c>
      <c r="V669" s="18">
        <v>0</v>
      </c>
      <c r="W669" s="18">
        <v>1</v>
      </c>
      <c r="X669" s="18">
        <f t="shared" si="87"/>
        <v>0</v>
      </c>
      <c r="Y669" s="12">
        <f t="shared" si="88"/>
        <v>1.56738551218677</v>
      </c>
      <c r="Z669" s="12">
        <f t="shared" si="89"/>
        <v>0.478941904696797</v>
      </c>
      <c r="AA669" s="19">
        <v>8279</v>
      </c>
      <c r="AB669" s="19">
        <v>5290.31</v>
      </c>
      <c r="AC669" s="19">
        <v>162.28</v>
      </c>
      <c r="AD669" s="12">
        <v>0</v>
      </c>
      <c r="AE669" s="19">
        <v>232.65</v>
      </c>
      <c r="AF669" s="19">
        <v>83.44</v>
      </c>
      <c r="AG669" s="19">
        <v>542.31</v>
      </c>
      <c r="AH669" s="19">
        <v>14.25</v>
      </c>
      <c r="AI669" s="19">
        <v>95.24</v>
      </c>
      <c r="AJ669" s="19">
        <v>996.55</v>
      </c>
      <c r="AK669" s="3">
        <f t="shared" si="85"/>
        <v>1</v>
      </c>
      <c r="AL669" s="3">
        <v>1</v>
      </c>
      <c r="AM669" s="3">
        <f t="shared" si="84"/>
        <v>1</v>
      </c>
    </row>
    <row r="670" spans="1:39">
      <c r="A670" s="7">
        <v>2018</v>
      </c>
      <c r="B670" s="7" t="s">
        <v>64</v>
      </c>
      <c r="C670" s="7">
        <v>0.39016885</v>
      </c>
      <c r="D670" s="7">
        <v>0.062459</v>
      </c>
      <c r="E670" s="7">
        <v>0.016268</v>
      </c>
      <c r="F670" s="7">
        <v>0.028152</v>
      </c>
      <c r="G670" s="7">
        <v>0.0086</v>
      </c>
      <c r="H670" s="7">
        <v>0.009438</v>
      </c>
      <c r="I670" s="7">
        <v>0.065978</v>
      </c>
      <c r="J670" s="7">
        <v>0.032405</v>
      </c>
      <c r="K670" s="16">
        <v>8557</v>
      </c>
      <c r="L670" s="17">
        <v>3163</v>
      </c>
      <c r="M670" s="16">
        <v>20363.19</v>
      </c>
      <c r="N670" s="7">
        <f t="shared" si="90"/>
        <v>2.70534302877015</v>
      </c>
      <c r="O670" s="7">
        <f t="shared" si="91"/>
        <v>0.420219032479685</v>
      </c>
      <c r="P670" s="8">
        <v>163218693.2</v>
      </c>
      <c r="Q670" s="8">
        <f t="shared" si="86"/>
        <v>0.80153793781819</v>
      </c>
      <c r="R670" s="9">
        <v>1692.1</v>
      </c>
      <c r="S670" s="9">
        <v>4657.2</v>
      </c>
      <c r="T670" s="9">
        <v>6460.1</v>
      </c>
      <c r="U670" s="9">
        <v>51238</v>
      </c>
      <c r="V670" s="18">
        <v>0</v>
      </c>
      <c r="W670" s="18">
        <v>1</v>
      </c>
      <c r="X670" s="18">
        <f t="shared" si="87"/>
        <v>0</v>
      </c>
      <c r="Y670" s="12">
        <f t="shared" si="88"/>
        <v>1.51591455826218</v>
      </c>
      <c r="Z670" s="12">
        <f t="shared" si="89"/>
        <v>0.471251243383359</v>
      </c>
      <c r="AA670" s="19">
        <v>8557</v>
      </c>
      <c r="AB670" s="19">
        <v>5129.52</v>
      </c>
      <c r="AC670" s="19">
        <v>266.86</v>
      </c>
      <c r="AD670" s="12">
        <v>0</v>
      </c>
      <c r="AE670" s="19">
        <v>358.96</v>
      </c>
      <c r="AF670" s="19">
        <v>94.93</v>
      </c>
      <c r="AG670" s="19">
        <v>411.42</v>
      </c>
      <c r="AH670" s="19">
        <v>16.18</v>
      </c>
      <c r="AI670" s="19">
        <v>99.5</v>
      </c>
      <c r="AJ670" s="19">
        <v>1118.79</v>
      </c>
      <c r="AK670" s="3">
        <f t="shared" si="85"/>
        <v>1</v>
      </c>
      <c r="AL670" s="3">
        <v>1</v>
      </c>
      <c r="AM670" s="3">
        <f t="shared" ref="AM670:AM733" si="92">AK670*AL670</f>
        <v>1</v>
      </c>
    </row>
    <row r="671" spans="1:39">
      <c r="A671" s="7">
        <v>2019</v>
      </c>
      <c r="B671" s="7" t="s">
        <v>64</v>
      </c>
      <c r="C671" s="7">
        <v>0.4073558</v>
      </c>
      <c r="D671" s="7">
        <v>0.067131</v>
      </c>
      <c r="E671" s="7">
        <v>0.016499</v>
      </c>
      <c r="F671" s="7">
        <v>0.031337</v>
      </c>
      <c r="G671" s="7">
        <v>0.009761</v>
      </c>
      <c r="H671" s="7">
        <v>0.009534</v>
      </c>
      <c r="I671" s="7">
        <v>0.063247</v>
      </c>
      <c r="J671" s="7">
        <v>0.03393</v>
      </c>
      <c r="K671" s="16">
        <v>8889</v>
      </c>
      <c r="L671" s="17">
        <v>3188</v>
      </c>
      <c r="M671" s="16">
        <v>23605.77</v>
      </c>
      <c r="N671" s="7">
        <f t="shared" si="90"/>
        <v>2.78826850690088</v>
      </c>
      <c r="O671" s="7">
        <f t="shared" si="91"/>
        <v>0.376560476527561</v>
      </c>
      <c r="P671" s="8">
        <v>164744399.4</v>
      </c>
      <c r="Q671" s="8">
        <f t="shared" si="86"/>
        <v>0.697898858626514</v>
      </c>
      <c r="R671" s="9">
        <v>1781.8</v>
      </c>
      <c r="S671" s="9">
        <v>4784.4</v>
      </c>
      <c r="T671" s="9">
        <v>7030.9</v>
      </c>
      <c r="U671" s="9">
        <v>53542</v>
      </c>
      <c r="V671" s="18">
        <v>0</v>
      </c>
      <c r="W671" s="18">
        <v>1</v>
      </c>
      <c r="X671" s="18">
        <f t="shared" si="87"/>
        <v>0</v>
      </c>
      <c r="Y671" s="12">
        <f t="shared" si="88"/>
        <v>1.5000536746505</v>
      </c>
      <c r="Z671" s="12">
        <f t="shared" si="89"/>
        <v>0.534750742309858</v>
      </c>
      <c r="AA671" s="19">
        <v>7687.25</v>
      </c>
      <c r="AB671" s="19">
        <v>5022.94</v>
      </c>
      <c r="AC671" s="19">
        <v>306.43</v>
      </c>
      <c r="AD671" s="12">
        <v>0</v>
      </c>
      <c r="AE671" s="19">
        <v>400.08</v>
      </c>
      <c r="AF671" s="19">
        <v>102.14</v>
      </c>
      <c r="AG671" s="19">
        <v>407.02</v>
      </c>
      <c r="AH671" s="19">
        <v>18.42</v>
      </c>
      <c r="AI671" s="19">
        <v>103.51</v>
      </c>
      <c r="AJ671" s="19">
        <v>1160.27</v>
      </c>
      <c r="AK671" s="3">
        <f t="shared" ref="AK671:AK734" si="93">IF(A671&gt;=2013,1,0)</f>
        <v>1</v>
      </c>
      <c r="AL671" s="3">
        <v>1</v>
      </c>
      <c r="AM671" s="3">
        <f t="shared" si="92"/>
        <v>1</v>
      </c>
    </row>
    <row r="672" spans="1:39">
      <c r="A672" s="7">
        <v>2020</v>
      </c>
      <c r="B672" s="7" t="s">
        <v>64</v>
      </c>
      <c r="C672" s="7">
        <v>0.42445673</v>
      </c>
      <c r="D672" s="7">
        <v>0.070429</v>
      </c>
      <c r="E672" s="7">
        <v>0.017765</v>
      </c>
      <c r="F672" s="7">
        <v>0.031165</v>
      </c>
      <c r="G672" s="7">
        <v>0.010206</v>
      </c>
      <c r="H672" s="7">
        <v>0.011292</v>
      </c>
      <c r="I672" s="7">
        <v>0.066643</v>
      </c>
      <c r="J672" s="7">
        <v>0.031356</v>
      </c>
      <c r="K672" s="16">
        <v>7621.87</v>
      </c>
      <c r="L672" s="17">
        <v>3208.91</v>
      </c>
      <c r="M672" s="16">
        <v>25002.79</v>
      </c>
      <c r="N672" s="7">
        <f t="shared" si="90"/>
        <v>2.37522086939179</v>
      </c>
      <c r="O672" s="7">
        <f t="shared" si="91"/>
        <v>0.304840779768978</v>
      </c>
      <c r="P672" s="8">
        <v>164799681.1</v>
      </c>
      <c r="Q672" s="8">
        <f t="shared" si="86"/>
        <v>0.659125166031471</v>
      </c>
      <c r="R672" s="9">
        <v>1981.3</v>
      </c>
      <c r="S672" s="9">
        <v>4786.7</v>
      </c>
      <c r="T672" s="9">
        <v>7032.8</v>
      </c>
      <c r="U672" s="9">
        <v>53606</v>
      </c>
      <c r="V672" s="18">
        <v>0</v>
      </c>
      <c r="W672" s="18">
        <v>1</v>
      </c>
      <c r="X672" s="18">
        <f t="shared" si="87"/>
        <v>0</v>
      </c>
      <c r="Y672" s="12">
        <f t="shared" si="88"/>
        <v>1.47141701078949</v>
      </c>
      <c r="Z672" s="12">
        <f t="shared" si="89"/>
        <v>0.552047338587029</v>
      </c>
      <c r="AA672" s="19">
        <v>7621.87</v>
      </c>
      <c r="AB672" s="19">
        <v>4995.54</v>
      </c>
      <c r="AC672" s="19">
        <v>323.46</v>
      </c>
      <c r="AD672" s="12">
        <v>0</v>
      </c>
      <c r="AE672" s="19">
        <v>410.27</v>
      </c>
      <c r="AF672" s="19">
        <v>86.32</v>
      </c>
      <c r="AG672" s="19">
        <v>387.07</v>
      </c>
      <c r="AH672" s="19">
        <v>12.69</v>
      </c>
      <c r="AI672" s="19">
        <v>103.31</v>
      </c>
      <c r="AJ672" s="19">
        <v>1186</v>
      </c>
      <c r="AK672" s="3">
        <f t="shared" si="93"/>
        <v>1</v>
      </c>
      <c r="AL672" s="3">
        <v>1</v>
      </c>
      <c r="AM672" s="3">
        <f t="shared" si="92"/>
        <v>1</v>
      </c>
    </row>
    <row r="673" spans="1:39">
      <c r="A673" s="7">
        <v>2021</v>
      </c>
      <c r="B673" s="7" t="s">
        <v>64</v>
      </c>
      <c r="C673" s="7">
        <v>0.41675995</v>
      </c>
      <c r="D673" s="7">
        <v>0.066205</v>
      </c>
      <c r="E673" s="7">
        <v>0.015963</v>
      </c>
      <c r="F673" s="7">
        <v>0.029975</v>
      </c>
      <c r="G673" s="7">
        <v>0.010512</v>
      </c>
      <c r="H673" s="7">
        <v>0.009754</v>
      </c>
      <c r="I673" s="7">
        <v>0.068201</v>
      </c>
      <c r="J673" s="7">
        <v>0.034967</v>
      </c>
      <c r="K673" s="16">
        <v>8046.31</v>
      </c>
      <c r="L673" s="17">
        <v>3212</v>
      </c>
      <c r="M673" s="16">
        <v>27894</v>
      </c>
      <c r="N673" s="7">
        <f t="shared" si="90"/>
        <v>2.50507783312578</v>
      </c>
      <c r="O673" s="7">
        <f t="shared" si="91"/>
        <v>0.288460242346024</v>
      </c>
      <c r="P673" s="8">
        <v>169593071.2</v>
      </c>
      <c r="Q673" s="8">
        <f t="shared" si="86"/>
        <v>0.607991221051122</v>
      </c>
      <c r="R673" s="9">
        <v>2359.1</v>
      </c>
      <c r="S673" s="9">
        <v>6295.9</v>
      </c>
      <c r="T673" s="9">
        <v>7656.6</v>
      </c>
      <c r="U673" s="9">
        <v>62991</v>
      </c>
      <c r="V673" s="18">
        <v>0</v>
      </c>
      <c r="W673" s="18">
        <v>1</v>
      </c>
      <c r="X673" s="18">
        <f t="shared" si="87"/>
        <v>0</v>
      </c>
      <c r="Y673" s="12">
        <f t="shared" si="88"/>
        <v>1.36781889095748</v>
      </c>
      <c r="Z673" s="12">
        <f t="shared" si="89"/>
        <v>0.555503126129859</v>
      </c>
      <c r="AA673" s="19">
        <v>8046.31</v>
      </c>
      <c r="AB673" s="19">
        <v>4503.11</v>
      </c>
      <c r="AC673" s="19">
        <v>341.33</v>
      </c>
      <c r="AD673" s="12">
        <v>0</v>
      </c>
      <c r="AE673" s="19">
        <v>416.25</v>
      </c>
      <c r="AF673" s="19">
        <v>73.99</v>
      </c>
      <c r="AG673" s="19">
        <v>390.94</v>
      </c>
      <c r="AH673" s="19">
        <v>13.19</v>
      </c>
      <c r="AI673" s="19">
        <v>130.22</v>
      </c>
      <c r="AJ673" s="19">
        <v>1341</v>
      </c>
      <c r="AK673" s="3">
        <f t="shared" si="93"/>
        <v>1</v>
      </c>
      <c r="AL673" s="3">
        <v>1</v>
      </c>
      <c r="AM673" s="3">
        <f t="shared" si="92"/>
        <v>1</v>
      </c>
    </row>
    <row r="674" spans="1:39">
      <c r="A674" s="7">
        <v>2022</v>
      </c>
      <c r="B674" s="7" t="s">
        <v>64</v>
      </c>
      <c r="C674" s="7">
        <v>0.41638721</v>
      </c>
      <c r="D674" s="7">
        <v>0.068975</v>
      </c>
      <c r="E674" s="7">
        <v>0.01728</v>
      </c>
      <c r="F674" s="7">
        <v>0.030409</v>
      </c>
      <c r="G674" s="7">
        <v>0.010007</v>
      </c>
      <c r="H674" s="7">
        <v>0.01128</v>
      </c>
      <c r="I674" s="7">
        <v>0.064968</v>
      </c>
      <c r="J674" s="7">
        <v>0.031322</v>
      </c>
      <c r="K674" s="16">
        <v>8022.76</v>
      </c>
      <c r="L674" s="17">
        <v>3213</v>
      </c>
      <c r="M674" s="16">
        <v>29129</v>
      </c>
      <c r="N674" s="7">
        <f t="shared" si="90"/>
        <v>2.49696856520386</v>
      </c>
      <c r="O674" s="7">
        <f t="shared" si="91"/>
        <v>0.275421744653095</v>
      </c>
      <c r="P674" s="8">
        <v>168807492.7</v>
      </c>
      <c r="Q674" s="8">
        <f t="shared" si="86"/>
        <v>0.57951695114834</v>
      </c>
      <c r="R674" s="9">
        <v>2653.9</v>
      </c>
      <c r="S674" s="9">
        <v>7412.3</v>
      </c>
      <c r="T674" s="9">
        <v>7976.4</v>
      </c>
      <c r="U674" s="9">
        <v>69717</v>
      </c>
      <c r="V674" s="18">
        <v>1</v>
      </c>
      <c r="W674" s="18">
        <v>1</v>
      </c>
      <c r="X674" s="18">
        <f t="shared" si="87"/>
        <v>1</v>
      </c>
      <c r="Y674" s="12">
        <f t="shared" si="88"/>
        <v>1.27047633725244</v>
      </c>
      <c r="Z674" s="12">
        <f t="shared" si="89"/>
        <v>0.543858524432169</v>
      </c>
      <c r="AA674" s="19">
        <v>8022.76</v>
      </c>
      <c r="AB674" s="19">
        <v>4789.38</v>
      </c>
      <c r="AC674" s="19">
        <v>363.26</v>
      </c>
      <c r="AD674" s="12">
        <v>0</v>
      </c>
      <c r="AE674" s="19">
        <v>384.01</v>
      </c>
      <c r="AF674" s="19">
        <v>63</v>
      </c>
      <c r="AG674" s="19">
        <v>334.46</v>
      </c>
      <c r="AH674" s="19">
        <v>11.57</v>
      </c>
      <c r="AI674" s="19">
        <v>130.23</v>
      </c>
      <c r="AJ674" s="19">
        <v>1404.29</v>
      </c>
      <c r="AK674" s="3">
        <f t="shared" si="93"/>
        <v>1</v>
      </c>
      <c r="AL674" s="3">
        <v>1</v>
      </c>
      <c r="AM674" s="3">
        <f t="shared" si="92"/>
        <v>1</v>
      </c>
    </row>
    <row r="675" spans="1:39">
      <c r="A675" s="7">
        <v>2023</v>
      </c>
      <c r="B675" s="7" t="s">
        <v>64</v>
      </c>
      <c r="C675" s="7">
        <v>0.48262787</v>
      </c>
      <c r="D675" s="7">
        <v>0.075032</v>
      </c>
      <c r="E675" s="7">
        <v>0.021883</v>
      </c>
      <c r="F675" s="7">
        <v>0.034128</v>
      </c>
      <c r="G675" s="7">
        <v>0.012787</v>
      </c>
      <c r="H675" s="7">
        <v>0.016091</v>
      </c>
      <c r="I675" s="7">
        <v>0.065021</v>
      </c>
      <c r="J675" s="7">
        <v>0.030963</v>
      </c>
      <c r="K675" s="16">
        <v>8422.28</v>
      </c>
      <c r="L675" s="17">
        <v>3191</v>
      </c>
      <c r="M675" s="16">
        <v>30145.8</v>
      </c>
      <c r="N675" s="7">
        <f t="shared" si="90"/>
        <v>2.63938577248511</v>
      </c>
      <c r="O675" s="7">
        <f t="shared" si="91"/>
        <v>0.279384856265218</v>
      </c>
      <c r="P675" s="8">
        <v>176775561.3</v>
      </c>
      <c r="Q675" s="8">
        <f t="shared" si="86"/>
        <v>0.586401957486615</v>
      </c>
      <c r="R675" s="9">
        <v>2742.2</v>
      </c>
      <c r="S675" s="9">
        <v>7710.3</v>
      </c>
      <c r="T675" s="9">
        <v>8673.4</v>
      </c>
      <c r="U675" s="9">
        <v>73774</v>
      </c>
      <c r="V675" s="18">
        <v>1</v>
      </c>
      <c r="W675" s="18">
        <v>1</v>
      </c>
      <c r="X675" s="18">
        <f t="shared" si="87"/>
        <v>1</v>
      </c>
      <c r="Y675" s="12">
        <f t="shared" si="88"/>
        <v>1.2756783895882</v>
      </c>
      <c r="Z675" s="12">
        <f t="shared" si="89"/>
        <v>0.5403214773624</v>
      </c>
      <c r="AA675" s="12"/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3">
        <f t="shared" si="93"/>
        <v>1</v>
      </c>
      <c r="AL675" s="3">
        <v>1</v>
      </c>
      <c r="AM675" s="3">
        <f t="shared" si="92"/>
        <v>1</v>
      </c>
    </row>
    <row r="676" spans="1:39">
      <c r="A676" s="7">
        <v>2024</v>
      </c>
      <c r="B676" s="7" t="s">
        <v>64</v>
      </c>
      <c r="C676" s="7">
        <v>0.50870626</v>
      </c>
      <c r="D676" s="7">
        <v>0.077937</v>
      </c>
      <c r="E676" s="7">
        <v>0.023365</v>
      </c>
      <c r="F676" s="7">
        <v>0.035535</v>
      </c>
      <c r="G676" s="7">
        <v>0.013913</v>
      </c>
      <c r="H676" s="7">
        <v>0.018156</v>
      </c>
      <c r="I676" s="7">
        <v>0.064879</v>
      </c>
      <c r="J676" s="7">
        <v>0.030781</v>
      </c>
      <c r="K676" s="16">
        <v>8821.8</v>
      </c>
      <c r="L676" s="17">
        <v>3190</v>
      </c>
      <c r="M676" s="16">
        <v>32193.2</v>
      </c>
      <c r="N676" s="7">
        <f t="shared" si="90"/>
        <v>2.76545454545455</v>
      </c>
      <c r="O676" s="7">
        <f t="shared" si="91"/>
        <v>0.274026813115813</v>
      </c>
      <c r="P676" s="8">
        <v>176657841.9</v>
      </c>
      <c r="Q676" s="8">
        <f t="shared" si="86"/>
        <v>0.548742721754905</v>
      </c>
      <c r="R676" s="9">
        <v>2572</v>
      </c>
      <c r="S676" s="9">
        <v>8135.9</v>
      </c>
      <c r="T676" s="9">
        <v>9826.2</v>
      </c>
      <c r="U676" s="9">
        <v>78660</v>
      </c>
      <c r="V676" s="18">
        <v>1</v>
      </c>
      <c r="W676" s="18">
        <v>1</v>
      </c>
      <c r="X676" s="18">
        <f t="shared" si="87"/>
        <v>1</v>
      </c>
      <c r="Y676" s="12">
        <f t="shared" si="88"/>
        <v>1.21200651315194</v>
      </c>
      <c r="Z676" s="12">
        <f t="shared" si="89"/>
        <v>0.547244411807783</v>
      </c>
      <c r="AA676" s="12"/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3">
        <f t="shared" si="93"/>
        <v>1</v>
      </c>
      <c r="AL676" s="3">
        <v>1</v>
      </c>
      <c r="AM676" s="3">
        <f t="shared" si="92"/>
        <v>1</v>
      </c>
    </row>
    <row r="677" spans="1:39">
      <c r="A677" s="7">
        <v>2000</v>
      </c>
      <c r="B677" s="7" t="s">
        <v>65</v>
      </c>
      <c r="C677" s="7">
        <v>0.20016263</v>
      </c>
      <c r="D677" s="7">
        <v>0.033503</v>
      </c>
      <c r="E677" s="7">
        <v>0.008641</v>
      </c>
      <c r="F677" s="7">
        <v>0.015102</v>
      </c>
      <c r="G677" s="7">
        <v>0.005235</v>
      </c>
      <c r="H677" s="7">
        <v>0.004525</v>
      </c>
      <c r="I677" s="7">
        <v>0.036828</v>
      </c>
      <c r="J677" s="7">
        <v>0.022121</v>
      </c>
      <c r="K677" s="16">
        <v>2731</v>
      </c>
      <c r="L677" s="17">
        <v>3644</v>
      </c>
      <c r="M677" s="16">
        <v>1660.92</v>
      </c>
      <c r="N677" s="7">
        <f t="shared" si="90"/>
        <v>0.749451152579583</v>
      </c>
      <c r="O677" s="7">
        <f t="shared" si="91"/>
        <v>1.64426944103268</v>
      </c>
      <c r="P677" s="8">
        <v>88299658.19</v>
      </c>
      <c r="Q677" s="8">
        <f t="shared" si="86"/>
        <v>5.31631012872384</v>
      </c>
      <c r="R677" s="9">
        <v>945.6</v>
      </c>
      <c r="S677" s="9">
        <v>1433.1</v>
      </c>
      <c r="T677" s="9">
        <v>1549.5</v>
      </c>
      <c r="U677" s="9">
        <v>4956</v>
      </c>
      <c r="V677" s="18">
        <v>0</v>
      </c>
      <c r="W677" s="18">
        <v>0</v>
      </c>
      <c r="X677" s="18">
        <f t="shared" si="87"/>
        <v>0</v>
      </c>
      <c r="Y677" s="12">
        <f t="shared" si="88"/>
        <v>4.53658228674969</v>
      </c>
      <c r="Z677" s="12">
        <f t="shared" si="89"/>
        <v>0</v>
      </c>
      <c r="AA677" s="19">
        <v>2731.23</v>
      </c>
      <c r="AB677" s="19">
        <v>2765.72</v>
      </c>
      <c r="AC677" s="19">
        <v>134.27</v>
      </c>
      <c r="AD677" s="19">
        <v>521.61</v>
      </c>
      <c r="AE677" s="19">
        <v>103.51</v>
      </c>
      <c r="AF677" s="19">
        <v>19.49</v>
      </c>
      <c r="AG677" s="19">
        <v>94.76</v>
      </c>
      <c r="AH677" s="19">
        <v>80.05</v>
      </c>
      <c r="AI677" s="19">
        <v>6.67</v>
      </c>
      <c r="AJ677" s="19">
        <v>292.76</v>
      </c>
      <c r="AK677" s="3">
        <f t="shared" si="93"/>
        <v>0</v>
      </c>
      <c r="AL677" s="3">
        <v>0</v>
      </c>
      <c r="AM677" s="3">
        <f t="shared" si="92"/>
        <v>0</v>
      </c>
    </row>
    <row r="678" spans="1:39">
      <c r="A678" s="7">
        <v>2001</v>
      </c>
      <c r="B678" s="7" t="s">
        <v>65</v>
      </c>
      <c r="C678" s="7">
        <v>0.21166254</v>
      </c>
      <c r="D678" s="7">
        <v>0.039666</v>
      </c>
      <c r="E678" s="7">
        <v>0.009785</v>
      </c>
      <c r="F678" s="7">
        <v>0.017738</v>
      </c>
      <c r="G678" s="7">
        <v>0.006001</v>
      </c>
      <c r="H678" s="7">
        <v>0.006142</v>
      </c>
      <c r="I678" s="7">
        <v>0.032571</v>
      </c>
      <c r="J678" s="7">
        <v>0.018464</v>
      </c>
      <c r="K678" s="16">
        <v>3257</v>
      </c>
      <c r="L678" s="17">
        <v>3653.14</v>
      </c>
      <c r="M678" s="16">
        <v>2010.62</v>
      </c>
      <c r="N678" s="7">
        <f t="shared" si="90"/>
        <v>0.891561779729219</v>
      </c>
      <c r="O678" s="7">
        <f t="shared" si="91"/>
        <v>1.61989833981558</v>
      </c>
      <c r="P678" s="8">
        <v>92370495.95</v>
      </c>
      <c r="Q678" s="8">
        <f t="shared" si="86"/>
        <v>4.59412996737325</v>
      </c>
      <c r="R678" s="9">
        <v>981.7</v>
      </c>
      <c r="S678" s="9">
        <v>1572</v>
      </c>
      <c r="T678" s="9">
        <v>1739.8</v>
      </c>
      <c r="U678" s="9">
        <v>5376</v>
      </c>
      <c r="V678" s="18">
        <v>0</v>
      </c>
      <c r="W678" s="18">
        <v>0</v>
      </c>
      <c r="X678" s="18">
        <f t="shared" si="87"/>
        <v>0</v>
      </c>
      <c r="Y678" s="12">
        <f t="shared" si="88"/>
        <v>4.16809156222866</v>
      </c>
      <c r="Z678" s="12">
        <f t="shared" si="89"/>
        <v>0</v>
      </c>
      <c r="AA678" s="19">
        <v>3257</v>
      </c>
      <c r="AB678" s="19">
        <v>3133</v>
      </c>
      <c r="AC678" s="19">
        <v>128.04</v>
      </c>
      <c r="AD678" s="19">
        <v>618.26</v>
      </c>
      <c r="AE678" s="19">
        <v>78.16</v>
      </c>
      <c r="AF678" s="19">
        <v>18.48</v>
      </c>
      <c r="AG678" s="19">
        <v>120.77</v>
      </c>
      <c r="AH678" s="19">
        <v>91.39</v>
      </c>
      <c r="AI678" s="19">
        <v>10.84</v>
      </c>
      <c r="AJ678" s="19">
        <v>344.69</v>
      </c>
      <c r="AK678" s="3">
        <f t="shared" si="93"/>
        <v>0</v>
      </c>
      <c r="AL678" s="3">
        <v>0</v>
      </c>
      <c r="AM678" s="3">
        <f t="shared" si="92"/>
        <v>0</v>
      </c>
    </row>
    <row r="679" spans="1:39">
      <c r="A679" s="7">
        <v>2002</v>
      </c>
      <c r="B679" s="7" t="s">
        <v>65</v>
      </c>
      <c r="C679" s="7">
        <v>0.20409342</v>
      </c>
      <c r="D679" s="7">
        <v>0.034846</v>
      </c>
      <c r="E679" s="7">
        <v>0.008579</v>
      </c>
      <c r="F679" s="7">
        <v>0.016097</v>
      </c>
      <c r="G679" s="7">
        <v>0.005095</v>
      </c>
      <c r="H679" s="7">
        <v>0.005075</v>
      </c>
      <c r="I679" s="7">
        <v>0.038412</v>
      </c>
      <c r="J679" s="7">
        <v>0.020654</v>
      </c>
      <c r="K679" s="16">
        <v>3713</v>
      </c>
      <c r="L679" s="17">
        <v>3662.24</v>
      </c>
      <c r="M679" s="16">
        <v>2253.39</v>
      </c>
      <c r="N679" s="7">
        <f t="shared" si="90"/>
        <v>1.01386036960986</v>
      </c>
      <c r="O679" s="7">
        <f t="shared" si="91"/>
        <v>1.6477396278496</v>
      </c>
      <c r="P679" s="8">
        <v>99018446.85</v>
      </c>
      <c r="Q679" s="8">
        <f t="shared" si="86"/>
        <v>4.39419926643857</v>
      </c>
      <c r="R679" s="9">
        <v>1048</v>
      </c>
      <c r="S679" s="9">
        <v>1733.4</v>
      </c>
      <c r="T679" s="9">
        <v>1943.7</v>
      </c>
      <c r="U679" s="9">
        <v>5890</v>
      </c>
      <c r="V679" s="18">
        <v>0</v>
      </c>
      <c r="W679" s="18">
        <v>0</v>
      </c>
      <c r="X679" s="18">
        <f t="shared" si="87"/>
        <v>0</v>
      </c>
      <c r="Y679" s="12">
        <f t="shared" si="88"/>
        <v>4.06804884448575</v>
      </c>
      <c r="Z679" s="12">
        <f t="shared" si="89"/>
        <v>0</v>
      </c>
      <c r="AA679" s="19">
        <v>3713</v>
      </c>
      <c r="AB679" s="19">
        <v>3451</v>
      </c>
      <c r="AC679" s="19">
        <v>175.94</v>
      </c>
      <c r="AD679" s="19">
        <v>704.25</v>
      </c>
      <c r="AE679" s="19">
        <v>95</v>
      </c>
      <c r="AF679" s="19">
        <v>28.03</v>
      </c>
      <c r="AG679" s="19">
        <v>147.38</v>
      </c>
      <c r="AH679" s="19">
        <v>120.19</v>
      </c>
      <c r="AI679" s="19">
        <v>14.01</v>
      </c>
      <c r="AJ679" s="19">
        <v>373.86</v>
      </c>
      <c r="AK679" s="3">
        <f t="shared" si="93"/>
        <v>0</v>
      </c>
      <c r="AL679" s="3">
        <v>0</v>
      </c>
      <c r="AM679" s="3">
        <f t="shared" si="92"/>
        <v>0</v>
      </c>
    </row>
    <row r="680" spans="1:39">
      <c r="A680" s="7">
        <v>2003</v>
      </c>
      <c r="B680" s="7" t="s">
        <v>65</v>
      </c>
      <c r="C680" s="7">
        <v>0.23522757</v>
      </c>
      <c r="D680" s="7">
        <v>0.041017</v>
      </c>
      <c r="E680" s="7">
        <v>0.010329</v>
      </c>
      <c r="F680" s="7">
        <v>0.018465</v>
      </c>
      <c r="G680" s="7">
        <v>0.005773</v>
      </c>
      <c r="H680" s="7">
        <v>0.00645</v>
      </c>
      <c r="I680" s="7">
        <v>0.039946</v>
      </c>
      <c r="J680" s="7">
        <v>0.021431</v>
      </c>
      <c r="K680" s="16">
        <v>4170</v>
      </c>
      <c r="L680" s="17">
        <v>3671.74</v>
      </c>
      <c r="M680" s="16">
        <v>2587.72</v>
      </c>
      <c r="N680" s="7">
        <f t="shared" si="90"/>
        <v>1.13570132961484</v>
      </c>
      <c r="O680" s="7">
        <f t="shared" si="91"/>
        <v>1.6114571901133</v>
      </c>
      <c r="P680" s="8">
        <v>113909793.1</v>
      </c>
      <c r="Q680" s="8">
        <f t="shared" si="86"/>
        <v>4.40193657350873</v>
      </c>
      <c r="R680" s="9">
        <v>1128.6</v>
      </c>
      <c r="S680" s="9">
        <v>2020.5</v>
      </c>
      <c r="T680" s="9">
        <v>2197.1</v>
      </c>
      <c r="U680" s="9">
        <v>6565</v>
      </c>
      <c r="V680" s="18">
        <v>0</v>
      </c>
      <c r="W680" s="18">
        <v>0</v>
      </c>
      <c r="X680" s="18">
        <f t="shared" si="87"/>
        <v>0</v>
      </c>
      <c r="Y680" s="12">
        <f t="shared" si="88"/>
        <v>4.08414499624993</v>
      </c>
      <c r="Z680" s="12">
        <f t="shared" si="89"/>
        <v>0</v>
      </c>
      <c r="AA680" s="19">
        <v>4169.98</v>
      </c>
      <c r="AB680" s="19">
        <v>3960.65</v>
      </c>
      <c r="AC680" s="19">
        <v>188.88</v>
      </c>
      <c r="AD680" s="19">
        <v>869.97</v>
      </c>
      <c r="AE680" s="19">
        <v>105.43</v>
      </c>
      <c r="AF680" s="19">
        <v>36.01</v>
      </c>
      <c r="AG680" s="19">
        <v>162.56</v>
      </c>
      <c r="AH680" s="19">
        <v>57.15</v>
      </c>
      <c r="AI680" s="19">
        <v>18.26</v>
      </c>
      <c r="AJ680" s="19">
        <v>421.92</v>
      </c>
      <c r="AK680" s="3">
        <f t="shared" si="93"/>
        <v>0</v>
      </c>
      <c r="AL680" s="3">
        <v>0</v>
      </c>
      <c r="AM680" s="3">
        <f t="shared" si="92"/>
        <v>0</v>
      </c>
    </row>
    <row r="681" spans="1:39">
      <c r="A681" s="7">
        <v>2004</v>
      </c>
      <c r="B681" s="7" t="s">
        <v>65</v>
      </c>
      <c r="C681" s="7">
        <v>0.22826169</v>
      </c>
      <c r="D681" s="7">
        <v>0.041065</v>
      </c>
      <c r="E681" s="7">
        <v>0.010568</v>
      </c>
      <c r="F681" s="7">
        <v>0.018589</v>
      </c>
      <c r="G681" s="7">
        <v>0.00604</v>
      </c>
      <c r="H681" s="7">
        <v>0.005869</v>
      </c>
      <c r="I681" s="7">
        <v>0.037969</v>
      </c>
      <c r="J681" s="7">
        <v>0.020138</v>
      </c>
      <c r="K681" s="16">
        <v>4776</v>
      </c>
      <c r="L681" s="17">
        <v>3681.23</v>
      </c>
      <c r="M681" s="16">
        <v>3175.58</v>
      </c>
      <c r="N681" s="7">
        <f t="shared" si="90"/>
        <v>1.29739244763299</v>
      </c>
      <c r="O681" s="7">
        <f t="shared" si="91"/>
        <v>1.5039772262075</v>
      </c>
      <c r="P681" s="8">
        <v>131326964.6</v>
      </c>
      <c r="Q681" s="8">
        <f t="shared" si="86"/>
        <v>4.13552688327801</v>
      </c>
      <c r="R681" s="9">
        <v>1329.1</v>
      </c>
      <c r="S681" s="9">
        <v>2439.7</v>
      </c>
      <c r="T681" s="9">
        <v>2535.2</v>
      </c>
      <c r="U681" s="9">
        <v>7751</v>
      </c>
      <c r="V681" s="18">
        <v>0</v>
      </c>
      <c r="W681" s="18">
        <v>0</v>
      </c>
      <c r="X681" s="18">
        <f t="shared" si="87"/>
        <v>0</v>
      </c>
      <c r="Y681" s="12">
        <f t="shared" si="88"/>
        <v>3.89549779892895</v>
      </c>
      <c r="Z681" s="12">
        <f t="shared" si="89"/>
        <v>0</v>
      </c>
      <c r="AA681" s="19">
        <v>4775.96</v>
      </c>
      <c r="AB681" s="19">
        <v>4958.06</v>
      </c>
      <c r="AC681" s="19">
        <v>249.65</v>
      </c>
      <c r="AD681" s="19">
        <v>1072.98</v>
      </c>
      <c r="AE681" s="19">
        <v>144.96</v>
      </c>
      <c r="AF681" s="19">
        <v>48.46</v>
      </c>
      <c r="AG681" s="19">
        <v>197.75</v>
      </c>
      <c r="AH681" s="19">
        <v>39.85</v>
      </c>
      <c r="AI681" s="19">
        <v>32.77</v>
      </c>
      <c r="AJ681" s="19">
        <v>459.78</v>
      </c>
      <c r="AK681" s="3">
        <f t="shared" si="93"/>
        <v>0</v>
      </c>
      <c r="AL681" s="3">
        <v>0</v>
      </c>
      <c r="AM681" s="3">
        <f t="shared" si="92"/>
        <v>0</v>
      </c>
    </row>
    <row r="682" spans="1:39">
      <c r="A682" s="7">
        <v>2005</v>
      </c>
      <c r="B682" s="7" t="s">
        <v>65</v>
      </c>
      <c r="C682" s="7">
        <v>0.22564458</v>
      </c>
      <c r="D682" s="7">
        <v>0.040191</v>
      </c>
      <c r="E682" s="7">
        <v>0.010158</v>
      </c>
      <c r="F682" s="7">
        <v>0.018686</v>
      </c>
      <c r="G682" s="7">
        <v>0.006358</v>
      </c>
      <c r="H682" s="7">
        <v>0.004989</v>
      </c>
      <c r="I682" s="7">
        <v>0.040399</v>
      </c>
      <c r="J682" s="7">
        <v>0.019731</v>
      </c>
      <c r="K682" s="16">
        <v>5571</v>
      </c>
      <c r="L682" s="17">
        <v>3690</v>
      </c>
      <c r="M682" s="16">
        <v>3933.72</v>
      </c>
      <c r="N682" s="7">
        <f t="shared" si="90"/>
        <v>1.50975609756098</v>
      </c>
      <c r="O682" s="7">
        <f t="shared" si="91"/>
        <v>1.41621671089961</v>
      </c>
      <c r="P682" s="8">
        <v>153865966.6</v>
      </c>
      <c r="Q682" s="8">
        <f t="shared" si="86"/>
        <v>3.91146209186216</v>
      </c>
      <c r="R682" s="9">
        <v>1403.2</v>
      </c>
      <c r="S682" s="9">
        <v>2961.2</v>
      </c>
      <c r="T682" s="9">
        <v>2831.5</v>
      </c>
      <c r="U682" s="9">
        <v>8828</v>
      </c>
      <c r="V682" s="18">
        <v>0</v>
      </c>
      <c r="W682" s="18">
        <v>0</v>
      </c>
      <c r="X682" s="18">
        <f t="shared" si="87"/>
        <v>0</v>
      </c>
      <c r="Y682" s="12">
        <f t="shared" si="88"/>
        <v>3.71995059106252</v>
      </c>
      <c r="Z682" s="12">
        <f t="shared" si="89"/>
        <v>0</v>
      </c>
      <c r="AA682" s="19">
        <v>5423.7</v>
      </c>
      <c r="AB682" s="19">
        <v>6049.12</v>
      </c>
      <c r="AC682" s="19">
        <v>251.1</v>
      </c>
      <c r="AD682" s="19">
        <v>1242.42</v>
      </c>
      <c r="AE682" s="19">
        <v>196.7</v>
      </c>
      <c r="AF682" s="19">
        <v>34.81</v>
      </c>
      <c r="AG682" s="19">
        <v>180.28</v>
      </c>
      <c r="AH682" s="19">
        <v>4.43</v>
      </c>
      <c r="AI682" s="19">
        <v>18.76</v>
      </c>
      <c r="AJ682" s="19">
        <v>516.43</v>
      </c>
      <c r="AK682" s="3">
        <f t="shared" si="93"/>
        <v>0</v>
      </c>
      <c r="AL682" s="3">
        <v>0</v>
      </c>
      <c r="AM682" s="3">
        <f t="shared" si="92"/>
        <v>0</v>
      </c>
    </row>
    <row r="683" spans="1:39">
      <c r="A683" s="7">
        <v>2006</v>
      </c>
      <c r="B683" s="7" t="s">
        <v>65</v>
      </c>
      <c r="C683" s="7">
        <v>0.23342327</v>
      </c>
      <c r="D683" s="7">
        <v>0.040473</v>
      </c>
      <c r="E683" s="7">
        <v>0.010366</v>
      </c>
      <c r="F683" s="7">
        <v>0.018272</v>
      </c>
      <c r="G683" s="7">
        <v>0.006895</v>
      </c>
      <c r="H683" s="7">
        <v>0.00494</v>
      </c>
      <c r="I683" s="7">
        <v>0.042533</v>
      </c>
      <c r="J683" s="7">
        <v>0.020588</v>
      </c>
      <c r="K683" s="16">
        <v>6129</v>
      </c>
      <c r="L683" s="17">
        <v>3699</v>
      </c>
      <c r="M683" s="16">
        <v>4743.61</v>
      </c>
      <c r="N683" s="7">
        <f t="shared" si="90"/>
        <v>1.65693430656934</v>
      </c>
      <c r="O683" s="7">
        <f t="shared" si="91"/>
        <v>1.29205394203992</v>
      </c>
      <c r="P683" s="8">
        <v>163683638.8</v>
      </c>
      <c r="Q683" s="8">
        <f t="shared" si="86"/>
        <v>3.45061332613769</v>
      </c>
      <c r="R683" s="9">
        <v>1614</v>
      </c>
      <c r="S683" s="9">
        <v>3658.1</v>
      </c>
      <c r="T683" s="9">
        <v>3222.6</v>
      </c>
      <c r="U683" s="9">
        <v>10371</v>
      </c>
      <c r="V683" s="18">
        <v>0</v>
      </c>
      <c r="W683" s="18">
        <v>0</v>
      </c>
      <c r="X683" s="18">
        <f t="shared" si="87"/>
        <v>0</v>
      </c>
      <c r="Y683" s="12">
        <f t="shared" si="88"/>
        <v>3.57740717995078</v>
      </c>
      <c r="Z683" s="12">
        <f t="shared" si="89"/>
        <v>0.0354429472059242</v>
      </c>
      <c r="AA683" s="19">
        <v>5905.41</v>
      </c>
      <c r="AB683" s="19">
        <v>7400.1</v>
      </c>
      <c r="AC683" s="19">
        <v>288.23</v>
      </c>
      <c r="AD683" s="19">
        <v>1488.94</v>
      </c>
      <c r="AE683" s="19">
        <v>210.66</v>
      </c>
      <c r="AF683" s="19">
        <v>34.8</v>
      </c>
      <c r="AG683" s="19">
        <v>221.99</v>
      </c>
      <c r="AH683" s="19">
        <v>0.99</v>
      </c>
      <c r="AI683" s="19">
        <v>28.43</v>
      </c>
      <c r="AJ683" s="19">
        <v>580.73</v>
      </c>
      <c r="AK683" s="3">
        <f t="shared" si="93"/>
        <v>0</v>
      </c>
      <c r="AL683" s="3">
        <v>0</v>
      </c>
      <c r="AM683" s="3">
        <f t="shared" si="92"/>
        <v>0</v>
      </c>
    </row>
    <row r="684" spans="1:39">
      <c r="A684" s="7">
        <v>2007</v>
      </c>
      <c r="B684" s="7" t="s">
        <v>65</v>
      </c>
      <c r="C684" s="7">
        <v>0.25529124</v>
      </c>
      <c r="D684" s="7">
        <v>0.043532</v>
      </c>
      <c r="E684" s="7">
        <v>0.01056</v>
      </c>
      <c r="F684" s="7">
        <v>0.019391</v>
      </c>
      <c r="G684" s="7">
        <v>0.006217</v>
      </c>
      <c r="H684" s="7">
        <v>0.007365</v>
      </c>
      <c r="I684" s="7">
        <v>0.046205</v>
      </c>
      <c r="J684" s="7">
        <v>0.020953</v>
      </c>
      <c r="K684" s="16">
        <v>6775</v>
      </c>
      <c r="L684" s="17">
        <v>3708</v>
      </c>
      <c r="M684" s="16">
        <v>5757.29</v>
      </c>
      <c r="N684" s="7">
        <f t="shared" si="90"/>
        <v>1.82713052858684</v>
      </c>
      <c r="O684" s="7">
        <f t="shared" si="91"/>
        <v>1.1767689312159</v>
      </c>
      <c r="P684" s="8">
        <v>193745080.8</v>
      </c>
      <c r="Q684" s="8">
        <f t="shared" si="86"/>
        <v>3.3652131610532</v>
      </c>
      <c r="R684" s="9">
        <v>1966.5</v>
      </c>
      <c r="S684" s="9">
        <v>4607.7</v>
      </c>
      <c r="T684" s="9">
        <v>3987.8</v>
      </c>
      <c r="U684" s="9">
        <v>12963</v>
      </c>
      <c r="V684" s="18">
        <v>0</v>
      </c>
      <c r="W684" s="18">
        <v>0</v>
      </c>
      <c r="X684" s="18">
        <f t="shared" si="87"/>
        <v>0</v>
      </c>
      <c r="Y684" s="12">
        <f t="shared" si="88"/>
        <v>3.23986794305777</v>
      </c>
      <c r="Z684" s="12">
        <f t="shared" si="89"/>
        <v>0</v>
      </c>
      <c r="AA684" s="19">
        <v>6639.48</v>
      </c>
      <c r="AB684" s="19">
        <v>7893.75</v>
      </c>
      <c r="AC684" s="19">
        <v>407</v>
      </c>
      <c r="AD684" s="19">
        <v>1608.85</v>
      </c>
      <c r="AE684" s="19">
        <v>286.77</v>
      </c>
      <c r="AF684" s="19">
        <v>1.78</v>
      </c>
      <c r="AG684" s="19">
        <v>279.89</v>
      </c>
      <c r="AH684" s="19">
        <v>1.13</v>
      </c>
      <c r="AI684" s="19">
        <v>41.34</v>
      </c>
      <c r="AJ684" s="19">
        <v>653.69</v>
      </c>
      <c r="AK684" s="3">
        <f t="shared" si="93"/>
        <v>0</v>
      </c>
      <c r="AL684" s="3">
        <v>0</v>
      </c>
      <c r="AM684" s="3">
        <f t="shared" si="92"/>
        <v>0</v>
      </c>
    </row>
    <row r="685" spans="1:39">
      <c r="A685" s="7">
        <v>2008</v>
      </c>
      <c r="B685" s="7" t="s">
        <v>65</v>
      </c>
      <c r="C685" s="7">
        <v>0.26460046</v>
      </c>
      <c r="D685" s="7">
        <v>0.045403</v>
      </c>
      <c r="E685" s="7">
        <v>0.011837</v>
      </c>
      <c r="F685" s="7">
        <v>0.020754</v>
      </c>
      <c r="G685" s="7">
        <v>0.006652</v>
      </c>
      <c r="H685" s="7">
        <v>0.00616</v>
      </c>
      <c r="I685" s="7">
        <v>0.04535</v>
      </c>
      <c r="J685" s="7">
        <v>0.023426</v>
      </c>
      <c r="K685" s="16">
        <v>7417</v>
      </c>
      <c r="L685" s="17">
        <v>3718</v>
      </c>
      <c r="M685" s="16">
        <v>7314.58</v>
      </c>
      <c r="N685" s="7">
        <f t="shared" si="90"/>
        <v>1.99488972565896</v>
      </c>
      <c r="O685" s="7">
        <f t="shared" si="91"/>
        <v>1.0140021710064</v>
      </c>
      <c r="P685" s="8">
        <v>215007934.1</v>
      </c>
      <c r="Q685" s="8">
        <f t="shared" si="86"/>
        <v>2.93944333235811</v>
      </c>
      <c r="R685" s="9">
        <v>2139</v>
      </c>
      <c r="S685" s="9">
        <v>5766.5</v>
      </c>
      <c r="T685" s="9">
        <v>4850.8</v>
      </c>
      <c r="U685" s="9">
        <v>15685</v>
      </c>
      <c r="V685" s="18">
        <v>0</v>
      </c>
      <c r="W685" s="18">
        <v>0</v>
      </c>
      <c r="X685" s="18">
        <f t="shared" si="87"/>
        <v>0</v>
      </c>
      <c r="Y685" s="12">
        <f t="shared" si="88"/>
        <v>2.71728515287532</v>
      </c>
      <c r="Z685" s="12">
        <f t="shared" si="89"/>
        <v>0</v>
      </c>
      <c r="AA685" s="19">
        <v>7417</v>
      </c>
      <c r="AB685" s="19">
        <v>8941</v>
      </c>
      <c r="AC685" s="19">
        <v>387.95</v>
      </c>
      <c r="AD685" s="19">
        <v>1764.73</v>
      </c>
      <c r="AE685" s="19">
        <v>219.13</v>
      </c>
      <c r="AF685" s="19">
        <v>15.65</v>
      </c>
      <c r="AG685" s="19">
        <v>443.55</v>
      </c>
      <c r="AH685" s="19">
        <v>5.93</v>
      </c>
      <c r="AI685" s="19">
        <v>51.6</v>
      </c>
      <c r="AJ685" s="19">
        <v>708.02</v>
      </c>
      <c r="AK685" s="3">
        <f t="shared" si="93"/>
        <v>0</v>
      </c>
      <c r="AL685" s="3">
        <v>0</v>
      </c>
      <c r="AM685" s="3">
        <f t="shared" si="92"/>
        <v>0</v>
      </c>
    </row>
    <row r="686" spans="1:39">
      <c r="A686" s="7">
        <v>2009</v>
      </c>
      <c r="B686" s="7" t="s">
        <v>65</v>
      </c>
      <c r="C686" s="7">
        <v>0.24074904</v>
      </c>
      <c r="D686" s="7">
        <v>0.041847</v>
      </c>
      <c r="E686" s="7">
        <v>0.010521</v>
      </c>
      <c r="F686" s="7">
        <v>0.018911</v>
      </c>
      <c r="G686" s="7">
        <v>0.006951</v>
      </c>
      <c r="H686" s="7">
        <v>0.005465</v>
      </c>
      <c r="I686" s="7">
        <v>0.044568</v>
      </c>
      <c r="J686" s="7">
        <v>0.01986</v>
      </c>
      <c r="K686" s="16">
        <v>8044</v>
      </c>
      <c r="L686" s="17">
        <v>3727</v>
      </c>
      <c r="M686" s="16">
        <v>8169.8</v>
      </c>
      <c r="N686" s="7">
        <f t="shared" si="90"/>
        <v>2.15830426616582</v>
      </c>
      <c r="O686" s="7">
        <f t="shared" si="91"/>
        <v>0.984601826238096</v>
      </c>
      <c r="P686" s="8">
        <v>231562640.6</v>
      </c>
      <c r="Q686" s="8">
        <f t="shared" si="86"/>
        <v>2.83437343141815</v>
      </c>
      <c r="R686" s="9">
        <v>2160.4</v>
      </c>
      <c r="S686" s="9">
        <v>6653.2</v>
      </c>
      <c r="T686" s="9">
        <v>5377</v>
      </c>
      <c r="U686" s="9">
        <v>17387</v>
      </c>
      <c r="V686" s="18">
        <v>0</v>
      </c>
      <c r="W686" s="18">
        <v>0</v>
      </c>
      <c r="X686" s="18">
        <f t="shared" si="87"/>
        <v>0</v>
      </c>
      <c r="Y686" s="12">
        <f t="shared" si="88"/>
        <v>2.66960201713366</v>
      </c>
      <c r="Z686" s="12">
        <f t="shared" si="89"/>
        <v>0</v>
      </c>
      <c r="AA686" s="19">
        <v>8044</v>
      </c>
      <c r="AB686" s="19">
        <v>9497</v>
      </c>
      <c r="AC686" s="19">
        <v>655</v>
      </c>
      <c r="AD686" s="19">
        <v>1870.1</v>
      </c>
      <c r="AE686" s="19">
        <v>248.49</v>
      </c>
      <c r="AF686" s="19">
        <v>8.48</v>
      </c>
      <c r="AG686" s="19">
        <v>493.29</v>
      </c>
      <c r="AH686" s="19">
        <v>0.03</v>
      </c>
      <c r="AI686" s="19">
        <v>50.01</v>
      </c>
      <c r="AJ686" s="19">
        <v>740.11</v>
      </c>
      <c r="AK686" s="3">
        <f t="shared" si="93"/>
        <v>0</v>
      </c>
      <c r="AL686" s="3">
        <v>0</v>
      </c>
      <c r="AM686" s="3">
        <f t="shared" si="92"/>
        <v>0</v>
      </c>
    </row>
    <row r="687" spans="1:39">
      <c r="A687" s="7">
        <v>2010</v>
      </c>
      <c r="B687" s="7" t="s">
        <v>65</v>
      </c>
      <c r="C687" s="7">
        <v>0.28017924</v>
      </c>
      <c r="D687" s="7">
        <v>0.048023</v>
      </c>
      <c r="E687" s="7">
        <v>0.011269</v>
      </c>
      <c r="F687" s="7">
        <v>0.021266</v>
      </c>
      <c r="G687" s="7">
        <v>0.007334</v>
      </c>
      <c r="H687" s="7">
        <v>0.008153</v>
      </c>
      <c r="I687" s="7">
        <v>0.045852</v>
      </c>
      <c r="J687" s="7">
        <v>0.02318</v>
      </c>
      <c r="K687" s="16">
        <v>8882</v>
      </c>
      <c r="L687" s="17">
        <v>3735</v>
      </c>
      <c r="M687" s="16">
        <v>10123.48</v>
      </c>
      <c r="N687" s="7">
        <f t="shared" si="90"/>
        <v>2.37804551539491</v>
      </c>
      <c r="O687" s="7">
        <f t="shared" si="91"/>
        <v>0.877366281160234</v>
      </c>
      <c r="P687" s="8">
        <v>250104562.1</v>
      </c>
      <c r="Q687" s="8">
        <f t="shared" si="86"/>
        <v>2.47053940048284</v>
      </c>
      <c r="R687" s="9">
        <v>2384.9</v>
      </c>
      <c r="S687" s="9">
        <v>8283.2</v>
      </c>
      <c r="T687" s="9">
        <v>6556.7</v>
      </c>
      <c r="U687" s="9">
        <v>21230</v>
      </c>
      <c r="V687" s="18">
        <v>0</v>
      </c>
      <c r="W687" s="18">
        <v>0</v>
      </c>
      <c r="X687" s="18">
        <f t="shared" si="87"/>
        <v>0</v>
      </c>
      <c r="Y687" s="12">
        <f t="shared" si="88"/>
        <v>2.40850270516871</v>
      </c>
      <c r="Z687" s="12">
        <f t="shared" si="89"/>
        <v>0</v>
      </c>
      <c r="AA687" s="19">
        <v>8882.11</v>
      </c>
      <c r="AB687" s="19">
        <v>11638.53</v>
      </c>
      <c r="AC687" s="19">
        <v>731.25</v>
      </c>
      <c r="AD687" s="19">
        <v>2104.61</v>
      </c>
      <c r="AE687" s="19">
        <v>255.23</v>
      </c>
      <c r="AF687" s="19">
        <v>8.94</v>
      </c>
      <c r="AG687" s="19">
        <v>531.5</v>
      </c>
      <c r="AH687" s="19">
        <v>0.14</v>
      </c>
      <c r="AI687" s="19">
        <v>59.19</v>
      </c>
      <c r="AJ687" s="19">
        <v>859.22</v>
      </c>
      <c r="AK687" s="3">
        <f t="shared" si="93"/>
        <v>0</v>
      </c>
      <c r="AL687" s="3">
        <v>0</v>
      </c>
      <c r="AM687" s="3">
        <f t="shared" si="92"/>
        <v>0</v>
      </c>
    </row>
    <row r="688" spans="1:39">
      <c r="A688" s="7">
        <v>2011</v>
      </c>
      <c r="B688" s="7" t="s">
        <v>65</v>
      </c>
      <c r="C688" s="7">
        <v>0.307421</v>
      </c>
      <c r="D688" s="7">
        <v>0.051692</v>
      </c>
      <c r="E688" s="7">
        <v>0.013582</v>
      </c>
      <c r="F688" s="7">
        <v>0.022563</v>
      </c>
      <c r="G688" s="7">
        <v>0.008171</v>
      </c>
      <c r="H688" s="7">
        <v>0.007376</v>
      </c>
      <c r="I688" s="7">
        <v>0.051795</v>
      </c>
      <c r="J688" s="7">
        <v>0.025091</v>
      </c>
      <c r="K688" s="16">
        <v>9761</v>
      </c>
      <c r="L688" s="17">
        <v>3765</v>
      </c>
      <c r="M688" s="16">
        <v>12512.3</v>
      </c>
      <c r="N688" s="7">
        <f t="shared" si="90"/>
        <v>2.5925630810093</v>
      </c>
      <c r="O688" s="7">
        <f t="shared" si="91"/>
        <v>0.780112369428482</v>
      </c>
      <c r="P688" s="8">
        <v>277501217.5</v>
      </c>
      <c r="Q688" s="8">
        <f t="shared" si="86"/>
        <v>2.21782739784052</v>
      </c>
      <c r="R688" s="9">
        <v>2854.6</v>
      </c>
      <c r="S688" s="9">
        <v>10014.4</v>
      </c>
      <c r="T688" s="9">
        <v>8181.9</v>
      </c>
      <c r="U688" s="9">
        <v>26136</v>
      </c>
      <c r="V688" s="18">
        <v>0</v>
      </c>
      <c r="W688" s="18">
        <v>0</v>
      </c>
      <c r="X688" s="18">
        <f t="shared" si="87"/>
        <v>0</v>
      </c>
      <c r="Y688" s="12">
        <f t="shared" si="88"/>
        <v>2.18035126729488</v>
      </c>
      <c r="Z688" s="12">
        <f t="shared" si="89"/>
        <v>0</v>
      </c>
      <c r="AA688" s="19">
        <v>9761</v>
      </c>
      <c r="AB688" s="19">
        <v>13318</v>
      </c>
      <c r="AC688" s="19">
        <v>793.68</v>
      </c>
      <c r="AD688" s="19">
        <v>2095.67</v>
      </c>
      <c r="AE688" s="19">
        <v>279.6</v>
      </c>
      <c r="AF688" s="19">
        <v>9.67</v>
      </c>
      <c r="AG688" s="19">
        <v>573.75</v>
      </c>
      <c r="AH688" s="19">
        <v>0.16</v>
      </c>
      <c r="AI688" s="19">
        <v>62.49</v>
      </c>
      <c r="AJ688" s="19">
        <v>982</v>
      </c>
      <c r="AK688" s="3">
        <f t="shared" si="93"/>
        <v>0</v>
      </c>
      <c r="AL688" s="3">
        <v>0</v>
      </c>
      <c r="AM688" s="3">
        <f t="shared" si="92"/>
        <v>0</v>
      </c>
    </row>
    <row r="689" spans="1:39">
      <c r="A689" s="7">
        <v>2012</v>
      </c>
      <c r="B689" s="7" t="s">
        <v>65</v>
      </c>
      <c r="C689" s="7">
        <v>0.29641507</v>
      </c>
      <c r="D689" s="7">
        <v>0.050822</v>
      </c>
      <c r="E689" s="7">
        <v>0.011823</v>
      </c>
      <c r="F689" s="7">
        <v>0.022813</v>
      </c>
      <c r="G689" s="7">
        <v>0.008113</v>
      </c>
      <c r="H689" s="7">
        <v>0.008072</v>
      </c>
      <c r="I689" s="7">
        <v>0.04994</v>
      </c>
      <c r="J689" s="7">
        <v>0.022932</v>
      </c>
      <c r="K689" s="16">
        <v>10626</v>
      </c>
      <c r="L689" s="17">
        <v>3787</v>
      </c>
      <c r="M689" s="16">
        <v>14453.68</v>
      </c>
      <c r="N689" s="7">
        <f t="shared" si="90"/>
        <v>2.80591497227357</v>
      </c>
      <c r="O689" s="7">
        <f t="shared" si="91"/>
        <v>0.735176093562331</v>
      </c>
      <c r="P689" s="8">
        <v>277327415.4</v>
      </c>
      <c r="Q689" s="8">
        <f t="shared" si="86"/>
        <v>1.91873222182863</v>
      </c>
      <c r="R689" s="9">
        <v>3142.6</v>
      </c>
      <c r="S689" s="9">
        <v>11231.1</v>
      </c>
      <c r="T689" s="9">
        <v>9548.8</v>
      </c>
      <c r="U689" s="9">
        <v>29627</v>
      </c>
      <c r="V689" s="18">
        <v>0</v>
      </c>
      <c r="W689" s="18">
        <v>0</v>
      </c>
      <c r="X689" s="18">
        <f t="shared" si="87"/>
        <v>0</v>
      </c>
      <c r="Y689" s="12">
        <f t="shared" si="88"/>
        <v>2.01609935715007</v>
      </c>
      <c r="Z689" s="12">
        <f t="shared" si="89"/>
        <v>0.0482948099636717</v>
      </c>
      <c r="AA689" s="19">
        <v>10625.71</v>
      </c>
      <c r="AB689" s="19">
        <v>15774</v>
      </c>
      <c r="AC689" s="19">
        <v>895.44</v>
      </c>
      <c r="AD689" s="19">
        <v>2267.96</v>
      </c>
      <c r="AE689" s="19">
        <v>287.01</v>
      </c>
      <c r="AF689" s="19">
        <v>10.11</v>
      </c>
      <c r="AG689" s="19">
        <v>586.5</v>
      </c>
      <c r="AH689" s="19">
        <v>0.09</v>
      </c>
      <c r="AI689" s="19">
        <v>65.97</v>
      </c>
      <c r="AJ689" s="19">
        <v>1066.75</v>
      </c>
      <c r="AK689" s="3">
        <f t="shared" si="93"/>
        <v>0</v>
      </c>
      <c r="AL689" s="3">
        <v>0</v>
      </c>
      <c r="AM689" s="3">
        <f t="shared" si="92"/>
        <v>0</v>
      </c>
    </row>
    <row r="690" spans="1:39">
      <c r="A690" s="7">
        <v>2013</v>
      </c>
      <c r="B690" s="7" t="s">
        <v>65</v>
      </c>
      <c r="C690" s="7">
        <v>0.33633252</v>
      </c>
      <c r="D690" s="7">
        <v>0.054636</v>
      </c>
      <c r="E690" s="7">
        <v>0.012871</v>
      </c>
      <c r="F690" s="7">
        <v>0.024706</v>
      </c>
      <c r="G690" s="7">
        <v>0.007967</v>
      </c>
      <c r="H690" s="7">
        <v>0.009092</v>
      </c>
      <c r="I690" s="7">
        <v>0.056743</v>
      </c>
      <c r="J690" s="7">
        <v>0.028557</v>
      </c>
      <c r="K690" s="16">
        <v>10610</v>
      </c>
      <c r="L690" s="17">
        <v>3804</v>
      </c>
      <c r="M690" s="16">
        <v>16205.45</v>
      </c>
      <c r="N690" s="7">
        <f t="shared" si="90"/>
        <v>2.78916929547844</v>
      </c>
      <c r="O690" s="7">
        <f t="shared" si="91"/>
        <v>0.654718011533157</v>
      </c>
      <c r="P690" s="8">
        <v>294633089.7</v>
      </c>
      <c r="Q690" s="8">
        <f t="shared" si="86"/>
        <v>1.81811112742935</v>
      </c>
      <c r="R690" s="9">
        <v>3257.4</v>
      </c>
      <c r="S690" s="9">
        <v>12418.9</v>
      </c>
      <c r="T690" s="9">
        <v>10841.7</v>
      </c>
      <c r="U690" s="9">
        <v>32750</v>
      </c>
      <c r="V690" s="18">
        <v>0</v>
      </c>
      <c r="W690" s="18">
        <v>0</v>
      </c>
      <c r="X690" s="18">
        <f t="shared" si="87"/>
        <v>0</v>
      </c>
      <c r="Y690" s="12">
        <f t="shared" si="88"/>
        <v>1.91398219724656</v>
      </c>
      <c r="Z690" s="12">
        <f t="shared" si="89"/>
        <v>0.0500898440722851</v>
      </c>
      <c r="AA690" s="19">
        <v>10610</v>
      </c>
      <c r="AB690" s="19">
        <v>17247.95</v>
      </c>
      <c r="AC690" s="19">
        <v>935.22</v>
      </c>
      <c r="AD690" s="19">
        <v>2230.64</v>
      </c>
      <c r="AE690" s="19">
        <v>220.98</v>
      </c>
      <c r="AF690" s="19">
        <v>32.27</v>
      </c>
      <c r="AG690" s="19">
        <v>521.87</v>
      </c>
      <c r="AH690" s="19">
        <v>21.7</v>
      </c>
      <c r="AI690" s="19">
        <v>70.3</v>
      </c>
      <c r="AJ690" s="19">
        <v>1152.22</v>
      </c>
      <c r="AK690" s="3">
        <f t="shared" si="93"/>
        <v>1</v>
      </c>
      <c r="AL690" s="3">
        <v>0</v>
      </c>
      <c r="AM690" s="3">
        <f t="shared" si="92"/>
        <v>0</v>
      </c>
    </row>
    <row r="691" spans="1:39">
      <c r="A691" s="7">
        <v>2014</v>
      </c>
      <c r="B691" s="7" t="s">
        <v>65</v>
      </c>
      <c r="C691" s="7">
        <v>0.330291</v>
      </c>
      <c r="D691" s="7">
        <v>0.053114</v>
      </c>
      <c r="E691" s="7">
        <v>0.013256</v>
      </c>
      <c r="F691" s="7">
        <v>0.024293</v>
      </c>
      <c r="G691" s="7">
        <v>0.008415</v>
      </c>
      <c r="H691" s="7">
        <v>0.00715</v>
      </c>
      <c r="I691" s="7">
        <v>0.058181</v>
      </c>
      <c r="J691" s="7">
        <v>0.028966</v>
      </c>
      <c r="K691" s="16">
        <v>11222</v>
      </c>
      <c r="L691" s="17">
        <v>3827</v>
      </c>
      <c r="M691" s="16">
        <v>17689.94</v>
      </c>
      <c r="N691" s="7">
        <f t="shared" si="90"/>
        <v>2.93232296838254</v>
      </c>
      <c r="O691" s="7">
        <f t="shared" si="91"/>
        <v>0.634371852024371</v>
      </c>
      <c r="P691" s="8">
        <v>291516245.6</v>
      </c>
      <c r="Q691" s="8">
        <f t="shared" si="86"/>
        <v>1.64792105343489</v>
      </c>
      <c r="R691" s="9">
        <v>3524.7</v>
      </c>
      <c r="S691" s="9">
        <v>13082.7</v>
      </c>
      <c r="T691" s="9">
        <v>12283.9</v>
      </c>
      <c r="U691" s="9">
        <v>35563</v>
      </c>
      <c r="V691" s="18">
        <v>0</v>
      </c>
      <c r="W691" s="18">
        <v>0</v>
      </c>
      <c r="X691" s="18">
        <f t="shared" si="87"/>
        <v>0</v>
      </c>
      <c r="Y691" s="12">
        <f t="shared" si="88"/>
        <v>1.79640226266579</v>
      </c>
      <c r="Z691" s="12">
        <f t="shared" si="89"/>
        <v>0.0826547663164021</v>
      </c>
      <c r="AA691" s="19">
        <v>11222.46</v>
      </c>
      <c r="AB691" s="19">
        <v>18375.34</v>
      </c>
      <c r="AC691" s="19">
        <v>975.07</v>
      </c>
      <c r="AD691" s="19">
        <v>2249.6</v>
      </c>
      <c r="AE691" s="19">
        <v>229.92</v>
      </c>
      <c r="AF691" s="19">
        <v>36.26</v>
      </c>
      <c r="AG691" s="19">
        <v>539.43</v>
      </c>
      <c r="AH691" s="19">
        <v>17.53</v>
      </c>
      <c r="AI691" s="19">
        <v>74.26</v>
      </c>
      <c r="AJ691" s="19">
        <v>1226.01</v>
      </c>
      <c r="AK691" s="3">
        <f t="shared" si="93"/>
        <v>1</v>
      </c>
      <c r="AL691" s="3">
        <v>0</v>
      </c>
      <c r="AM691" s="3">
        <f t="shared" si="92"/>
        <v>0</v>
      </c>
    </row>
    <row r="692" spans="1:39">
      <c r="A692" s="7">
        <v>2015</v>
      </c>
      <c r="B692" s="7" t="s">
        <v>65</v>
      </c>
      <c r="C692" s="7">
        <v>0.3584854</v>
      </c>
      <c r="D692" s="7">
        <v>0.054288</v>
      </c>
      <c r="E692" s="7">
        <v>0.013673</v>
      </c>
      <c r="F692" s="7">
        <v>0.023817</v>
      </c>
      <c r="G692" s="7">
        <v>0.007636</v>
      </c>
      <c r="H692" s="7">
        <v>0.009163</v>
      </c>
      <c r="I692" s="7">
        <v>0.060994</v>
      </c>
      <c r="J692" s="7">
        <v>0.035044</v>
      </c>
      <c r="K692" s="16">
        <v>11746</v>
      </c>
      <c r="L692" s="17">
        <v>3846</v>
      </c>
      <c r="M692" s="16">
        <v>18021.8609</v>
      </c>
      <c r="N692" s="7">
        <f t="shared" si="90"/>
        <v>3.05408216328653</v>
      </c>
      <c r="O692" s="7">
        <f t="shared" si="91"/>
        <v>0.651763991808415</v>
      </c>
      <c r="P692" s="8">
        <v>295209176.4</v>
      </c>
      <c r="Q692" s="8">
        <f t="shared" si="86"/>
        <v>1.63806156333168</v>
      </c>
      <c r="R692" s="9">
        <v>3661</v>
      </c>
      <c r="S692" s="9">
        <v>13192.5</v>
      </c>
      <c r="T692" s="9">
        <v>13488.6</v>
      </c>
      <c r="U692" s="9">
        <v>37150</v>
      </c>
      <c r="V692" s="18">
        <v>0</v>
      </c>
      <c r="W692" s="18">
        <v>0</v>
      </c>
      <c r="X692" s="18">
        <f t="shared" si="87"/>
        <v>0</v>
      </c>
      <c r="Y692" s="12">
        <f t="shared" si="88"/>
        <v>1.71577514742415</v>
      </c>
      <c r="Z692" s="12">
        <f t="shared" si="89"/>
        <v>0.0452935713686814</v>
      </c>
      <c r="AA692" s="19">
        <v>11746</v>
      </c>
      <c r="AB692" s="19">
        <v>18373.61</v>
      </c>
      <c r="AC692" s="19">
        <v>960.47</v>
      </c>
      <c r="AD692" s="19">
        <v>2101.1</v>
      </c>
      <c r="AE692" s="19">
        <v>243.51</v>
      </c>
      <c r="AF692" s="19">
        <v>34.48</v>
      </c>
      <c r="AG692" s="19">
        <v>409.39</v>
      </c>
      <c r="AH692" s="19">
        <v>13.81</v>
      </c>
      <c r="AI692" s="19">
        <v>92.35</v>
      </c>
      <c r="AJ692" s="19">
        <v>1222</v>
      </c>
      <c r="AK692" s="3">
        <f t="shared" si="93"/>
        <v>1</v>
      </c>
      <c r="AL692" s="3">
        <v>0</v>
      </c>
      <c r="AM692" s="3">
        <f t="shared" si="92"/>
        <v>0</v>
      </c>
    </row>
    <row r="693" spans="1:39">
      <c r="A693" s="7">
        <v>2016</v>
      </c>
      <c r="B693" s="7" t="s">
        <v>65</v>
      </c>
      <c r="C693" s="7">
        <v>0.35116108</v>
      </c>
      <c r="D693" s="7">
        <v>0.060574</v>
      </c>
      <c r="E693" s="7">
        <v>0.015081</v>
      </c>
      <c r="F693" s="7">
        <v>0.027579</v>
      </c>
      <c r="G693" s="7">
        <v>0.008887</v>
      </c>
      <c r="H693" s="7">
        <v>0.009028</v>
      </c>
      <c r="I693" s="7">
        <v>0.053714</v>
      </c>
      <c r="J693" s="7">
        <v>0.027251</v>
      </c>
      <c r="K693" s="16">
        <v>12146</v>
      </c>
      <c r="L693" s="17">
        <v>3874</v>
      </c>
      <c r="M693" s="16">
        <v>19399.59</v>
      </c>
      <c r="N693" s="7">
        <f t="shared" si="90"/>
        <v>3.13526071244192</v>
      </c>
      <c r="O693" s="7">
        <f t="shared" si="91"/>
        <v>0.626095706146367</v>
      </c>
      <c r="P693" s="8">
        <v>293190892.2</v>
      </c>
      <c r="Q693" s="8">
        <f t="shared" si="86"/>
        <v>1.51132519914081</v>
      </c>
      <c r="R693" s="9">
        <v>3900.6</v>
      </c>
      <c r="S693" s="9">
        <v>13450.1</v>
      </c>
      <c r="T693" s="9">
        <v>15787.8</v>
      </c>
      <c r="U693" s="9">
        <v>40297</v>
      </c>
      <c r="V693" s="18">
        <v>0</v>
      </c>
      <c r="W693" s="18">
        <v>0</v>
      </c>
      <c r="X693" s="18">
        <f t="shared" si="87"/>
        <v>0</v>
      </c>
      <c r="Y693" s="12">
        <f t="shared" si="88"/>
        <v>1.62438398605541</v>
      </c>
      <c r="Z693" s="12">
        <f t="shared" si="89"/>
        <v>0.0696010228401385</v>
      </c>
      <c r="AA693" s="19">
        <v>12146</v>
      </c>
      <c r="AB693" s="19">
        <v>19392.24</v>
      </c>
      <c r="AC693" s="19">
        <v>830.38</v>
      </c>
      <c r="AD693" s="19">
        <v>1823.86</v>
      </c>
      <c r="AE693" s="19">
        <v>257.31</v>
      </c>
      <c r="AF693" s="19">
        <v>30.03</v>
      </c>
      <c r="AG693" s="19">
        <v>409.63</v>
      </c>
      <c r="AH693" s="19">
        <v>12.35</v>
      </c>
      <c r="AI693" s="19">
        <v>98.22</v>
      </c>
      <c r="AJ693" s="19">
        <v>1357.06</v>
      </c>
      <c r="AK693" s="3">
        <f t="shared" si="93"/>
        <v>1</v>
      </c>
      <c r="AL693" s="3">
        <v>0</v>
      </c>
      <c r="AM693" s="3">
        <f t="shared" si="92"/>
        <v>0</v>
      </c>
    </row>
    <row r="694" spans="1:39">
      <c r="A694" s="7">
        <v>2017</v>
      </c>
      <c r="B694" s="7" t="s">
        <v>65</v>
      </c>
      <c r="C694" s="7">
        <v>0.35850715</v>
      </c>
      <c r="D694" s="7">
        <v>0.06146</v>
      </c>
      <c r="E694" s="7">
        <v>0.015059</v>
      </c>
      <c r="F694" s="7">
        <v>0.028877</v>
      </c>
      <c r="G694" s="7">
        <v>0.008592</v>
      </c>
      <c r="H694" s="7">
        <v>0.008932</v>
      </c>
      <c r="I694" s="7">
        <v>0.05776</v>
      </c>
      <c r="J694" s="7">
        <v>0.027225</v>
      </c>
      <c r="K694" s="16">
        <v>12549</v>
      </c>
      <c r="L694" s="17">
        <v>3904</v>
      </c>
      <c r="M694" s="16">
        <v>21898.81</v>
      </c>
      <c r="N694" s="7">
        <f t="shared" si="90"/>
        <v>3.21439549180328</v>
      </c>
      <c r="O694" s="7">
        <f t="shared" si="91"/>
        <v>0.573044836682907</v>
      </c>
      <c r="P694" s="8">
        <v>295654615.5</v>
      </c>
      <c r="Q694" s="8">
        <f t="shared" si="86"/>
        <v>1.35009443663834</v>
      </c>
      <c r="R694" s="9">
        <v>4262.5</v>
      </c>
      <c r="S694" s="9">
        <v>14569.2</v>
      </c>
      <c r="T694" s="9">
        <v>19073.5</v>
      </c>
      <c r="U694" s="9">
        <v>45835</v>
      </c>
      <c r="V694" s="18">
        <v>1</v>
      </c>
      <c r="W694" s="18">
        <v>0</v>
      </c>
      <c r="X694" s="18">
        <f t="shared" si="87"/>
        <v>0</v>
      </c>
      <c r="Y694" s="12">
        <f t="shared" si="88"/>
        <v>1.56738551218677</v>
      </c>
      <c r="Z694" s="12">
        <f t="shared" si="89"/>
        <v>0.13863282125485</v>
      </c>
      <c r="AA694" s="19">
        <v>12549</v>
      </c>
      <c r="AB694" s="19">
        <v>20065.4</v>
      </c>
      <c r="AC694" s="19">
        <v>829.6</v>
      </c>
      <c r="AD694" s="19">
        <v>1853.57</v>
      </c>
      <c r="AE694" s="19">
        <v>277.42</v>
      </c>
      <c r="AF694" s="19">
        <v>50</v>
      </c>
      <c r="AG694" s="19">
        <v>373.81</v>
      </c>
      <c r="AH694" s="19">
        <v>19.46</v>
      </c>
      <c r="AI694" s="19">
        <v>103.16</v>
      </c>
      <c r="AJ694" s="19">
        <v>1494.75</v>
      </c>
      <c r="AK694" s="3">
        <f t="shared" si="93"/>
        <v>1</v>
      </c>
      <c r="AL694" s="3">
        <v>0</v>
      </c>
      <c r="AM694" s="3">
        <f t="shared" si="92"/>
        <v>0</v>
      </c>
    </row>
    <row r="695" spans="1:39">
      <c r="A695" s="7">
        <v>2018</v>
      </c>
      <c r="B695" s="7" t="s">
        <v>65</v>
      </c>
      <c r="C695" s="7">
        <v>0.4084364</v>
      </c>
      <c r="D695" s="7">
        <v>0.061414</v>
      </c>
      <c r="E695" s="7">
        <v>0.015693</v>
      </c>
      <c r="F695" s="7">
        <v>0.02665</v>
      </c>
      <c r="G695" s="7">
        <v>0.007976</v>
      </c>
      <c r="H695" s="7">
        <v>0.011095</v>
      </c>
      <c r="I695" s="7">
        <v>0.066136</v>
      </c>
      <c r="J695" s="7">
        <v>0.03952</v>
      </c>
      <c r="K695" s="16">
        <v>12900</v>
      </c>
      <c r="L695" s="17">
        <v>3931</v>
      </c>
      <c r="M695" s="16">
        <v>24438.32</v>
      </c>
      <c r="N695" s="7">
        <f t="shared" si="90"/>
        <v>3.28160773340117</v>
      </c>
      <c r="O695" s="7">
        <f t="shared" si="91"/>
        <v>0.527859525532033</v>
      </c>
      <c r="P695" s="8">
        <v>325154185.3</v>
      </c>
      <c r="Q695" s="8">
        <f t="shared" si="86"/>
        <v>1.33050956571483</v>
      </c>
      <c r="R695" s="9">
        <v>4427.4</v>
      </c>
      <c r="S695" s="9">
        <v>16056.9</v>
      </c>
      <c r="T695" s="9">
        <v>22417.7</v>
      </c>
      <c r="U695" s="9">
        <v>51658</v>
      </c>
      <c r="V695" s="18">
        <v>1</v>
      </c>
      <c r="W695" s="18">
        <v>0</v>
      </c>
      <c r="X695" s="18">
        <f t="shared" si="87"/>
        <v>0</v>
      </c>
      <c r="Y695" s="12">
        <f t="shared" si="88"/>
        <v>1.51591455826218</v>
      </c>
      <c r="Z695" s="12">
        <f t="shared" si="89"/>
        <v>0.122305700896422</v>
      </c>
      <c r="AA695" s="19">
        <v>12900</v>
      </c>
      <c r="AB695" s="19">
        <v>19395.89</v>
      </c>
      <c r="AC695" s="19">
        <v>769.12</v>
      </c>
      <c r="AD695" s="19">
        <v>1864.17</v>
      </c>
      <c r="AE695" s="19">
        <v>298.34</v>
      </c>
      <c r="AF695" s="19">
        <v>77.96</v>
      </c>
      <c r="AG695" s="19">
        <v>400.54</v>
      </c>
      <c r="AH695" s="19">
        <v>28.09</v>
      </c>
      <c r="AI695" s="19">
        <v>105.52</v>
      </c>
      <c r="AJ695" s="19">
        <v>1594.17</v>
      </c>
      <c r="AK695" s="3">
        <f t="shared" si="93"/>
        <v>1</v>
      </c>
      <c r="AL695" s="3">
        <v>0</v>
      </c>
      <c r="AM695" s="3">
        <f t="shared" si="92"/>
        <v>0</v>
      </c>
    </row>
    <row r="696" spans="1:39">
      <c r="A696" s="7">
        <v>2019</v>
      </c>
      <c r="B696" s="7" t="s">
        <v>65</v>
      </c>
      <c r="C696" s="7">
        <v>0.38321518</v>
      </c>
      <c r="D696" s="7">
        <v>0.062809</v>
      </c>
      <c r="E696" s="7">
        <v>0.0151</v>
      </c>
      <c r="F696" s="7">
        <v>0.028549</v>
      </c>
      <c r="G696" s="7">
        <v>0.010114</v>
      </c>
      <c r="H696" s="7">
        <v>0.009046</v>
      </c>
      <c r="I696" s="7">
        <v>0.061566</v>
      </c>
      <c r="J696" s="7">
        <v>0.031363</v>
      </c>
      <c r="K696" s="16">
        <v>14436.63</v>
      </c>
      <c r="L696" s="17">
        <v>3944</v>
      </c>
      <c r="M696" s="16">
        <v>25793.17</v>
      </c>
      <c r="N696" s="7">
        <f t="shared" si="90"/>
        <v>3.66040314401623</v>
      </c>
      <c r="O696" s="7">
        <f t="shared" si="91"/>
        <v>0.559707472947296</v>
      </c>
      <c r="P696" s="8">
        <v>345242861.9</v>
      </c>
      <c r="Q696" s="8">
        <f t="shared" si="86"/>
        <v>1.33850496817568</v>
      </c>
      <c r="R696" s="9">
        <v>4807.5</v>
      </c>
      <c r="S696" s="9">
        <v>17187.9</v>
      </c>
      <c r="T696" s="9">
        <v>24368.3</v>
      </c>
      <c r="U696" s="9">
        <v>55619</v>
      </c>
      <c r="V696" s="18">
        <v>1</v>
      </c>
      <c r="W696" s="18">
        <v>0</v>
      </c>
      <c r="X696" s="18">
        <f t="shared" si="87"/>
        <v>0</v>
      </c>
      <c r="Y696" s="12">
        <f t="shared" si="88"/>
        <v>1.5000536746505</v>
      </c>
      <c r="Z696" s="12">
        <f t="shared" si="89"/>
        <v>0.107695283978727</v>
      </c>
      <c r="AA696" s="19">
        <v>13478</v>
      </c>
      <c r="AB696" s="19">
        <v>21548.81</v>
      </c>
      <c r="AC696" s="19">
        <v>750.78</v>
      </c>
      <c r="AD696" s="19">
        <v>1837.74</v>
      </c>
      <c r="AE696" s="19">
        <v>305.88</v>
      </c>
      <c r="AF696" s="19">
        <v>91.12</v>
      </c>
      <c r="AG696" s="19">
        <v>377.11</v>
      </c>
      <c r="AH696" s="19">
        <v>8.51</v>
      </c>
      <c r="AI696" s="19">
        <v>122.86</v>
      </c>
      <c r="AJ696" s="19">
        <v>1912.34</v>
      </c>
      <c r="AK696" s="3">
        <f t="shared" si="93"/>
        <v>1</v>
      </c>
      <c r="AL696" s="3">
        <v>0</v>
      </c>
      <c r="AM696" s="3">
        <f t="shared" si="92"/>
        <v>0</v>
      </c>
    </row>
    <row r="697" spans="1:39">
      <c r="A697" s="7">
        <v>2020</v>
      </c>
      <c r="B697" s="7" t="s">
        <v>65</v>
      </c>
      <c r="C697" s="7">
        <v>0.39253524</v>
      </c>
      <c r="D697" s="7">
        <v>0.06307</v>
      </c>
      <c r="E697" s="7">
        <v>0.015854</v>
      </c>
      <c r="F697" s="7">
        <v>0.026969</v>
      </c>
      <c r="G697" s="7">
        <v>0.009362</v>
      </c>
      <c r="H697" s="7">
        <v>0.010885</v>
      </c>
      <c r="I697" s="7">
        <v>0.06364</v>
      </c>
      <c r="J697" s="7">
        <v>0.031466</v>
      </c>
      <c r="K697" s="16">
        <v>14442.87</v>
      </c>
      <c r="L697" s="17">
        <v>3954.69</v>
      </c>
      <c r="M697" s="16">
        <v>26181.86</v>
      </c>
      <c r="N697" s="7">
        <f t="shared" si="90"/>
        <v>3.65208650994136</v>
      </c>
      <c r="O697" s="7">
        <f t="shared" si="91"/>
        <v>0.551636514747233</v>
      </c>
      <c r="P697" s="8">
        <v>356979050.6</v>
      </c>
      <c r="Q697" s="8">
        <f t="shared" si="86"/>
        <v>1.36345947384945</v>
      </c>
      <c r="R697" s="9">
        <v>5556.9</v>
      </c>
      <c r="S697" s="9">
        <v>17505.6</v>
      </c>
      <c r="T697" s="9">
        <v>25439.2</v>
      </c>
      <c r="U697" s="9">
        <v>58009</v>
      </c>
      <c r="V697" s="18">
        <v>1</v>
      </c>
      <c r="W697" s="18">
        <v>0</v>
      </c>
      <c r="X697" s="18">
        <f t="shared" si="87"/>
        <v>0</v>
      </c>
      <c r="Y697" s="12">
        <f t="shared" si="88"/>
        <v>1.47141701078949</v>
      </c>
      <c r="Z697" s="12">
        <f t="shared" si="89"/>
        <v>0.0733697763097869</v>
      </c>
      <c r="AA697" s="19">
        <v>13512.26</v>
      </c>
      <c r="AB697" s="19">
        <v>22594.58</v>
      </c>
      <c r="AC697" s="19">
        <v>796.68</v>
      </c>
      <c r="AD697" s="19">
        <v>1843.68</v>
      </c>
      <c r="AE697" s="19">
        <v>288.73</v>
      </c>
      <c r="AF697" s="19">
        <v>83.2</v>
      </c>
      <c r="AG697" s="19">
        <v>308.47</v>
      </c>
      <c r="AH697" s="19">
        <v>6.57</v>
      </c>
      <c r="AI697" s="19">
        <v>101.6</v>
      </c>
      <c r="AJ697" s="19">
        <v>1741</v>
      </c>
      <c r="AK697" s="3">
        <f t="shared" si="93"/>
        <v>1</v>
      </c>
      <c r="AL697" s="3">
        <v>0</v>
      </c>
      <c r="AM697" s="3">
        <f t="shared" si="92"/>
        <v>0</v>
      </c>
    </row>
    <row r="698" spans="1:39">
      <c r="A698" s="7">
        <v>2021</v>
      </c>
      <c r="B698" s="7" t="s">
        <v>65</v>
      </c>
      <c r="C698" s="7">
        <v>0.41155459</v>
      </c>
      <c r="D698" s="7">
        <v>0.067032</v>
      </c>
      <c r="E698" s="7">
        <v>0.017371</v>
      </c>
      <c r="F698" s="7">
        <v>0.029818</v>
      </c>
      <c r="G698" s="7">
        <v>0.011751</v>
      </c>
      <c r="H698" s="7">
        <v>0.008092</v>
      </c>
      <c r="I698" s="7">
        <v>0.066316</v>
      </c>
      <c r="J698" s="7">
        <v>0.033155</v>
      </c>
      <c r="K698" s="16">
        <v>15260.07</v>
      </c>
      <c r="L698" s="17">
        <v>3954</v>
      </c>
      <c r="M698" s="16">
        <v>29801</v>
      </c>
      <c r="N698" s="7">
        <f t="shared" si="90"/>
        <v>3.85940060698027</v>
      </c>
      <c r="O698" s="7">
        <f t="shared" si="91"/>
        <v>0.512065702493205</v>
      </c>
      <c r="P698" s="8">
        <v>380256236.7</v>
      </c>
      <c r="Q698" s="8">
        <f t="shared" si="86"/>
        <v>1.27598482165028</v>
      </c>
      <c r="R698" s="9">
        <v>5662</v>
      </c>
      <c r="S698" s="9">
        <v>19949.7</v>
      </c>
      <c r="T698" s="9">
        <v>28476.2</v>
      </c>
      <c r="U698" s="9">
        <v>64610</v>
      </c>
      <c r="V698" s="18">
        <v>1</v>
      </c>
      <c r="W698" s="18">
        <v>0</v>
      </c>
      <c r="X698" s="18">
        <f t="shared" si="87"/>
        <v>0</v>
      </c>
      <c r="Y698" s="12">
        <f t="shared" si="88"/>
        <v>1.36781889095748</v>
      </c>
      <c r="Z698" s="12">
        <f t="shared" si="89"/>
        <v>0.0671390561384285</v>
      </c>
      <c r="AA698" s="19">
        <v>14515.23</v>
      </c>
      <c r="AB698" s="19">
        <v>27477.13</v>
      </c>
      <c r="AC698" s="19">
        <v>766.45</v>
      </c>
      <c r="AD698" s="19">
        <v>1856.17</v>
      </c>
      <c r="AE698" s="19">
        <v>297.26</v>
      </c>
      <c r="AF698" s="19">
        <v>82.89</v>
      </c>
      <c r="AG698" s="19">
        <v>318.15</v>
      </c>
      <c r="AH698" s="19">
        <v>6.91</v>
      </c>
      <c r="AI698" s="19">
        <v>119.38</v>
      </c>
      <c r="AJ698" s="19">
        <v>2217</v>
      </c>
      <c r="AK698" s="3">
        <f t="shared" si="93"/>
        <v>1</v>
      </c>
      <c r="AL698" s="3">
        <v>0</v>
      </c>
      <c r="AM698" s="3">
        <f t="shared" si="92"/>
        <v>0</v>
      </c>
    </row>
    <row r="699" spans="1:39">
      <c r="A699" s="7">
        <v>2022</v>
      </c>
      <c r="B699" s="7" t="s">
        <v>65</v>
      </c>
      <c r="C699" s="7">
        <v>0.41404799</v>
      </c>
      <c r="D699" s="7">
        <v>0.065787</v>
      </c>
      <c r="E699" s="7">
        <v>0.016598</v>
      </c>
      <c r="F699" s="7">
        <v>0.029711</v>
      </c>
      <c r="G699" s="7">
        <v>0.010592</v>
      </c>
      <c r="H699" s="7">
        <v>0.008886</v>
      </c>
      <c r="I699" s="7">
        <v>0.067001</v>
      </c>
      <c r="J699" s="7">
        <v>0.035805</v>
      </c>
      <c r="K699" s="16">
        <v>16677.71</v>
      </c>
      <c r="L699" s="17">
        <v>3956</v>
      </c>
      <c r="M699" s="16">
        <v>32772.7</v>
      </c>
      <c r="N699" s="7">
        <f t="shared" si="90"/>
        <v>4.21580131445905</v>
      </c>
      <c r="O699" s="7">
        <f t="shared" si="91"/>
        <v>0.508890326399717</v>
      </c>
      <c r="P699" s="8">
        <v>381359488.2</v>
      </c>
      <c r="Q699" s="8">
        <f t="shared" si="86"/>
        <v>1.16364989213583</v>
      </c>
      <c r="R699" s="9">
        <v>5965.5</v>
      </c>
      <c r="S699" s="9">
        <v>20591.4</v>
      </c>
      <c r="T699" s="9">
        <v>30053.3</v>
      </c>
      <c r="U699" s="9">
        <v>67610</v>
      </c>
      <c r="V699" s="18">
        <v>1</v>
      </c>
      <c r="W699" s="18">
        <v>0</v>
      </c>
      <c r="X699" s="18">
        <f t="shared" si="87"/>
        <v>0</v>
      </c>
      <c r="Y699" s="12">
        <f t="shared" si="88"/>
        <v>1.27047633725244</v>
      </c>
      <c r="Z699" s="12">
        <f t="shared" si="89"/>
        <v>0.0840837739234346</v>
      </c>
      <c r="AA699" s="19">
        <v>16099.2805700783</v>
      </c>
      <c r="AB699" s="19">
        <v>29067.93</v>
      </c>
      <c r="AC699" s="19">
        <v>866.21</v>
      </c>
      <c r="AD699" s="19">
        <v>1925.92</v>
      </c>
      <c r="AE699" s="19">
        <v>288.59</v>
      </c>
      <c r="AF699" s="19">
        <v>43.31</v>
      </c>
      <c r="AG699" s="19">
        <v>325.8</v>
      </c>
      <c r="AH699" s="19">
        <v>7.6</v>
      </c>
      <c r="AI699" s="19">
        <v>147.95</v>
      </c>
      <c r="AJ699" s="19">
        <v>2375.9</v>
      </c>
      <c r="AK699" s="3">
        <f t="shared" si="93"/>
        <v>1</v>
      </c>
      <c r="AL699" s="3">
        <v>0</v>
      </c>
      <c r="AM699" s="3">
        <f t="shared" si="92"/>
        <v>0</v>
      </c>
    </row>
    <row r="700" spans="1:39">
      <c r="A700" s="7">
        <v>2023</v>
      </c>
      <c r="B700" s="7" t="s">
        <v>65</v>
      </c>
      <c r="C700" s="7">
        <v>0.41242621</v>
      </c>
      <c r="D700" s="7">
        <v>0.064339</v>
      </c>
      <c r="E700" s="7">
        <v>0.015622</v>
      </c>
      <c r="F700" s="7">
        <v>0.029401</v>
      </c>
      <c r="G700" s="7">
        <v>0.009229</v>
      </c>
      <c r="H700" s="7">
        <v>0.009478</v>
      </c>
      <c r="I700" s="7">
        <v>0.067483</v>
      </c>
      <c r="J700" s="7">
        <v>0.038252</v>
      </c>
      <c r="K700" s="16">
        <v>17654.79</v>
      </c>
      <c r="L700" s="17">
        <v>3952</v>
      </c>
      <c r="M700" s="16">
        <v>33786.1</v>
      </c>
      <c r="N700" s="7">
        <f t="shared" si="90"/>
        <v>4.46730516194332</v>
      </c>
      <c r="O700" s="7">
        <f t="shared" si="91"/>
        <v>0.522545958249102</v>
      </c>
      <c r="P700" s="8">
        <v>419222274.9</v>
      </c>
      <c r="Q700" s="8">
        <f t="shared" si="86"/>
        <v>1.24081286357407</v>
      </c>
      <c r="R700" s="9">
        <v>6056.6</v>
      </c>
      <c r="S700" s="9">
        <v>21306.7</v>
      </c>
      <c r="T700" s="9">
        <v>32769.5</v>
      </c>
      <c r="U700" s="9">
        <v>71835</v>
      </c>
      <c r="V700" s="18">
        <v>1</v>
      </c>
      <c r="W700" s="18">
        <v>0</v>
      </c>
      <c r="X700" s="18">
        <f t="shared" si="87"/>
        <v>0</v>
      </c>
      <c r="Y700" s="12">
        <f t="shared" si="88"/>
        <v>1.2756783895882</v>
      </c>
      <c r="Z700" s="12">
        <f t="shared" si="89"/>
        <v>0.0273309686036003</v>
      </c>
      <c r="AA700" s="12"/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3">
        <f t="shared" si="93"/>
        <v>1</v>
      </c>
      <c r="AL700" s="3">
        <v>0</v>
      </c>
      <c r="AM700" s="3">
        <f t="shared" si="92"/>
        <v>0</v>
      </c>
    </row>
    <row r="701" spans="1:39">
      <c r="A701" s="7">
        <v>2024</v>
      </c>
      <c r="B701" s="7" t="s">
        <v>65</v>
      </c>
      <c r="C701" s="7">
        <v>0.41595229</v>
      </c>
      <c r="D701" s="7">
        <v>0.064971</v>
      </c>
      <c r="E701" s="7">
        <v>0.015636</v>
      </c>
      <c r="F701" s="7">
        <v>0.030033</v>
      </c>
      <c r="G701" s="7">
        <v>0.009638</v>
      </c>
      <c r="H701" s="7">
        <v>0.009339</v>
      </c>
      <c r="I701" s="7">
        <v>0.067809</v>
      </c>
      <c r="J701" s="7">
        <v>0.038243</v>
      </c>
      <c r="K701" s="16">
        <v>18643.11</v>
      </c>
      <c r="L701" s="17">
        <v>3953</v>
      </c>
      <c r="M701" s="16">
        <v>35538.8</v>
      </c>
      <c r="N701" s="7">
        <f t="shared" si="90"/>
        <v>4.71619276498862</v>
      </c>
      <c r="O701" s="7">
        <f t="shared" si="91"/>
        <v>0.524584679280111</v>
      </c>
      <c r="P701" s="8">
        <v>448428822.3</v>
      </c>
      <c r="Q701" s="8">
        <f t="shared" si="86"/>
        <v>1.26180068629217</v>
      </c>
      <c r="R701" s="9">
        <v>5619.9</v>
      </c>
      <c r="S701" s="9">
        <v>22816.9</v>
      </c>
      <c r="T701" s="9">
        <v>36260.2</v>
      </c>
      <c r="U701" s="9">
        <v>77333</v>
      </c>
      <c r="V701" s="18">
        <v>1</v>
      </c>
      <c r="W701" s="18">
        <v>0</v>
      </c>
      <c r="X701" s="18">
        <f t="shared" si="87"/>
        <v>0</v>
      </c>
      <c r="Y701" s="12">
        <f t="shared" si="88"/>
        <v>1.21200651315194</v>
      </c>
      <c r="Z701" s="12">
        <f t="shared" si="89"/>
        <v>0</v>
      </c>
      <c r="AA701" s="12"/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3">
        <f t="shared" si="93"/>
        <v>1</v>
      </c>
      <c r="AL701" s="3">
        <v>0</v>
      </c>
      <c r="AM701" s="3">
        <f t="shared" si="92"/>
        <v>0</v>
      </c>
    </row>
    <row r="702" spans="1:39">
      <c r="A702" s="7">
        <v>2000</v>
      </c>
      <c r="B702" s="7" t="s">
        <v>66</v>
      </c>
      <c r="C702" s="7">
        <v>0.01214181</v>
      </c>
      <c r="D702" s="7">
        <v>0.009384</v>
      </c>
      <c r="E702" s="7">
        <v>0.002341</v>
      </c>
      <c r="F702" s="7">
        <v>0.004174</v>
      </c>
      <c r="G702" s="7">
        <v>0.001363</v>
      </c>
      <c r="H702" s="7">
        <v>0.001507</v>
      </c>
      <c r="I702" s="7">
        <v>0.008236</v>
      </c>
      <c r="J702" s="7">
        <v>0.004021</v>
      </c>
      <c r="K702" s="16">
        <v>897.23</v>
      </c>
      <c r="L702" s="17">
        <v>516.5</v>
      </c>
      <c r="M702" s="16">
        <v>263.59</v>
      </c>
      <c r="N702" s="7">
        <f t="shared" si="90"/>
        <v>1.73713455953533</v>
      </c>
      <c r="O702" s="7">
        <f t="shared" si="91"/>
        <v>3.40388482112372</v>
      </c>
      <c r="P702" s="8">
        <v>23938725.96</v>
      </c>
      <c r="Q702" s="8">
        <f t="shared" si="86"/>
        <v>9.08180354338177</v>
      </c>
      <c r="R702" s="9">
        <v>557.4</v>
      </c>
      <c r="S702" s="9">
        <v>730.9</v>
      </c>
      <c r="T702" s="9">
        <v>791.8</v>
      </c>
      <c r="U702" s="9">
        <v>4652</v>
      </c>
      <c r="V702" s="18">
        <v>0</v>
      </c>
      <c r="W702" s="18">
        <v>0</v>
      </c>
      <c r="X702" s="18">
        <f t="shared" si="87"/>
        <v>0</v>
      </c>
      <c r="Y702" s="12">
        <f t="shared" si="88"/>
        <v>4.53658228674969</v>
      </c>
      <c r="Z702" s="12">
        <f t="shared" si="89"/>
        <v>0</v>
      </c>
      <c r="AA702" s="19">
        <v>897.2</v>
      </c>
      <c r="AB702" s="19">
        <v>522.2</v>
      </c>
      <c r="AC702" s="19">
        <v>15.59</v>
      </c>
      <c r="AD702" s="19">
        <v>62.17</v>
      </c>
      <c r="AE702" s="19">
        <v>16.31</v>
      </c>
      <c r="AF702" s="19">
        <v>0.06</v>
      </c>
      <c r="AG702" s="19">
        <v>19.29</v>
      </c>
      <c r="AH702" s="19">
        <v>6.93</v>
      </c>
      <c r="AI702" s="19">
        <v>3.91</v>
      </c>
      <c r="AJ702" s="19">
        <v>109.1</v>
      </c>
      <c r="AK702" s="3">
        <f t="shared" si="93"/>
        <v>0</v>
      </c>
      <c r="AL702" s="3">
        <v>0</v>
      </c>
      <c r="AM702" s="3">
        <f t="shared" si="92"/>
        <v>0</v>
      </c>
    </row>
    <row r="703" spans="1:39">
      <c r="A703" s="7">
        <v>2001</v>
      </c>
      <c r="B703" s="7" t="s">
        <v>66</v>
      </c>
      <c r="C703" s="7">
        <v>0.01793918</v>
      </c>
      <c r="D703" s="7">
        <v>0.009447</v>
      </c>
      <c r="E703" s="7">
        <v>0.002306</v>
      </c>
      <c r="F703" s="7">
        <v>0.004253</v>
      </c>
      <c r="G703" s="7">
        <v>0.001525</v>
      </c>
      <c r="H703" s="7">
        <v>0.001362</v>
      </c>
      <c r="I703" s="7">
        <v>0.010023</v>
      </c>
      <c r="J703" s="7">
        <v>0.005225</v>
      </c>
      <c r="K703" s="16">
        <v>939.33</v>
      </c>
      <c r="L703" s="17">
        <v>523.1</v>
      </c>
      <c r="M703" s="16">
        <v>300.13</v>
      </c>
      <c r="N703" s="7">
        <f t="shared" si="90"/>
        <v>1.79569871917415</v>
      </c>
      <c r="O703" s="7">
        <f t="shared" si="91"/>
        <v>3.12974377769633</v>
      </c>
      <c r="P703" s="8">
        <v>24437535.66</v>
      </c>
      <c r="Q703" s="8">
        <f t="shared" si="86"/>
        <v>8.14231688268417</v>
      </c>
      <c r="R703" s="9">
        <v>576.3</v>
      </c>
      <c r="S703" s="9">
        <v>769.2</v>
      </c>
      <c r="T703" s="9">
        <v>933.8</v>
      </c>
      <c r="U703" s="9">
        <v>5058</v>
      </c>
      <c r="V703" s="18">
        <v>0</v>
      </c>
      <c r="W703" s="18">
        <v>0</v>
      </c>
      <c r="X703" s="18">
        <f t="shared" si="87"/>
        <v>0</v>
      </c>
      <c r="Y703" s="12">
        <f t="shared" si="88"/>
        <v>4.16809156222866</v>
      </c>
      <c r="Z703" s="12">
        <f t="shared" si="89"/>
        <v>0</v>
      </c>
      <c r="AA703" s="19">
        <v>930</v>
      </c>
      <c r="AB703" s="19">
        <v>642</v>
      </c>
      <c r="AC703" s="19">
        <v>17.44</v>
      </c>
      <c r="AD703" s="19">
        <v>65.4</v>
      </c>
      <c r="AE703" s="19">
        <v>17.61</v>
      </c>
      <c r="AF703" s="12">
        <v>0</v>
      </c>
      <c r="AG703" s="19">
        <v>18.59</v>
      </c>
      <c r="AH703" s="19">
        <v>4.86</v>
      </c>
      <c r="AI703" s="19">
        <v>5.85</v>
      </c>
      <c r="AJ703" s="19">
        <v>111.81</v>
      </c>
      <c r="AK703" s="3">
        <f t="shared" si="93"/>
        <v>0</v>
      </c>
      <c r="AL703" s="3">
        <v>0</v>
      </c>
      <c r="AM703" s="3">
        <f t="shared" si="92"/>
        <v>0</v>
      </c>
    </row>
    <row r="704" spans="1:39">
      <c r="A704" s="7">
        <v>2002</v>
      </c>
      <c r="B704" s="7" t="s">
        <v>66</v>
      </c>
      <c r="C704" s="7">
        <v>0.01465072</v>
      </c>
      <c r="D704" s="7">
        <v>0.009086</v>
      </c>
      <c r="E704" s="7">
        <v>0.002151</v>
      </c>
      <c r="F704" s="7">
        <v>0.004058</v>
      </c>
      <c r="G704" s="7">
        <v>0.001554</v>
      </c>
      <c r="H704" s="7">
        <v>0.001324</v>
      </c>
      <c r="I704" s="7">
        <v>0.009688</v>
      </c>
      <c r="J704" s="7">
        <v>0.004641</v>
      </c>
      <c r="K704" s="16">
        <v>1018.83</v>
      </c>
      <c r="L704" s="17">
        <v>528.6</v>
      </c>
      <c r="M704" s="16">
        <v>340.65</v>
      </c>
      <c r="N704" s="7">
        <f t="shared" si="90"/>
        <v>1.92741203178207</v>
      </c>
      <c r="O704" s="7">
        <f t="shared" si="91"/>
        <v>2.99084103918978</v>
      </c>
      <c r="P704" s="8">
        <v>26447095.75</v>
      </c>
      <c r="Q704" s="8">
        <f t="shared" si="86"/>
        <v>7.76371517686775</v>
      </c>
      <c r="R704" s="9">
        <v>602</v>
      </c>
      <c r="S704" s="9">
        <v>844.8</v>
      </c>
      <c r="T704" s="9">
        <v>1077</v>
      </c>
      <c r="U704" s="9">
        <v>5559</v>
      </c>
      <c r="V704" s="18">
        <v>0</v>
      </c>
      <c r="W704" s="18">
        <v>0</v>
      </c>
      <c r="X704" s="18">
        <f t="shared" si="87"/>
        <v>0</v>
      </c>
      <c r="Y704" s="12">
        <f t="shared" si="88"/>
        <v>4.06804884448575</v>
      </c>
      <c r="Z704" s="12">
        <f t="shared" si="89"/>
        <v>0</v>
      </c>
      <c r="AA704" s="19">
        <v>1019</v>
      </c>
      <c r="AB704" s="19">
        <v>620</v>
      </c>
      <c r="AC704" s="19">
        <v>17.88</v>
      </c>
      <c r="AD704" s="19">
        <v>62.43</v>
      </c>
      <c r="AE704" s="19">
        <v>16.1</v>
      </c>
      <c r="AF704" s="12">
        <v>0</v>
      </c>
      <c r="AG704" s="19">
        <v>18.64</v>
      </c>
      <c r="AH704" s="19">
        <v>4.2</v>
      </c>
      <c r="AI704" s="19">
        <v>11.27</v>
      </c>
      <c r="AJ704" s="19">
        <v>132.67</v>
      </c>
      <c r="AK704" s="3">
        <f t="shared" si="93"/>
        <v>0</v>
      </c>
      <c r="AL704" s="3">
        <v>0</v>
      </c>
      <c r="AM704" s="3">
        <f t="shared" si="92"/>
        <v>0</v>
      </c>
    </row>
    <row r="705" spans="1:39">
      <c r="A705" s="7">
        <v>2003</v>
      </c>
      <c r="B705" s="7" t="s">
        <v>66</v>
      </c>
      <c r="C705" s="7">
        <v>0.01221693</v>
      </c>
      <c r="D705" s="7">
        <v>0.008973</v>
      </c>
      <c r="E705" s="7">
        <v>0.002214</v>
      </c>
      <c r="F705" s="7">
        <v>0.004009</v>
      </c>
      <c r="G705" s="7">
        <v>0.001419</v>
      </c>
      <c r="H705" s="7">
        <v>0.001331</v>
      </c>
      <c r="I705" s="7">
        <v>0.008556</v>
      </c>
      <c r="J705" s="7">
        <v>0.004578</v>
      </c>
      <c r="K705" s="16">
        <v>1122.7</v>
      </c>
      <c r="L705" s="17">
        <v>533.8</v>
      </c>
      <c r="M705" s="16">
        <v>390.2</v>
      </c>
      <c r="N705" s="7">
        <f t="shared" si="90"/>
        <v>2.10322218059198</v>
      </c>
      <c r="O705" s="7">
        <f t="shared" si="91"/>
        <v>2.87724243977447</v>
      </c>
      <c r="P705" s="8">
        <v>29860029.11</v>
      </c>
      <c r="Q705" s="8">
        <f t="shared" si="86"/>
        <v>7.65249336494106</v>
      </c>
      <c r="R705" s="9">
        <v>659.6</v>
      </c>
      <c r="S705" s="9">
        <v>955.1</v>
      </c>
      <c r="T705" s="9">
        <v>1183.4</v>
      </c>
      <c r="U705" s="9">
        <v>6120</v>
      </c>
      <c r="V705" s="18">
        <v>0</v>
      </c>
      <c r="W705" s="18">
        <v>0</v>
      </c>
      <c r="X705" s="18">
        <f t="shared" si="87"/>
        <v>0</v>
      </c>
      <c r="Y705" s="12">
        <f t="shared" si="88"/>
        <v>4.08414499624993</v>
      </c>
      <c r="Z705" s="12">
        <f t="shared" si="89"/>
        <v>0</v>
      </c>
      <c r="AA705" s="19">
        <v>1122.7</v>
      </c>
      <c r="AB705" s="19">
        <v>675.43</v>
      </c>
      <c r="AC705" s="19">
        <v>30.27</v>
      </c>
      <c r="AD705" s="19">
        <v>66.73</v>
      </c>
      <c r="AE705" s="19">
        <v>17.16</v>
      </c>
      <c r="AF705" s="12">
        <v>0</v>
      </c>
      <c r="AG705" s="19">
        <v>22.63</v>
      </c>
      <c r="AH705" s="19">
        <v>3.9</v>
      </c>
      <c r="AI705" s="19">
        <v>15.15</v>
      </c>
      <c r="AJ705" s="19">
        <v>158.51</v>
      </c>
      <c r="AK705" s="3">
        <f t="shared" si="93"/>
        <v>0</v>
      </c>
      <c r="AL705" s="3">
        <v>0</v>
      </c>
      <c r="AM705" s="3">
        <f t="shared" si="92"/>
        <v>0</v>
      </c>
    </row>
    <row r="706" spans="1:39">
      <c r="A706" s="7">
        <v>2004</v>
      </c>
      <c r="B706" s="7" t="s">
        <v>66</v>
      </c>
      <c r="C706" s="7">
        <v>0.02044134</v>
      </c>
      <c r="D706" s="7">
        <v>0.009606</v>
      </c>
      <c r="E706" s="7">
        <v>0.002339</v>
      </c>
      <c r="F706" s="7">
        <v>0.004233</v>
      </c>
      <c r="G706" s="7">
        <v>0.001585</v>
      </c>
      <c r="H706" s="7">
        <v>0.001448</v>
      </c>
      <c r="I706" s="7">
        <v>0.010777</v>
      </c>
      <c r="J706" s="7">
        <v>0.005387</v>
      </c>
      <c r="K706" s="16">
        <v>1364.38</v>
      </c>
      <c r="L706" s="17">
        <v>538.6</v>
      </c>
      <c r="M706" s="16">
        <v>466.1</v>
      </c>
      <c r="N706" s="7">
        <f t="shared" si="90"/>
        <v>2.53319717786855</v>
      </c>
      <c r="O706" s="7">
        <f t="shared" si="91"/>
        <v>2.92722591718515</v>
      </c>
      <c r="P706" s="8">
        <v>35064756.1</v>
      </c>
      <c r="Q706" s="8">
        <f t="shared" si="86"/>
        <v>7.52301139240506</v>
      </c>
      <c r="R706" s="9">
        <v>810.1</v>
      </c>
      <c r="S706" s="9">
        <v>1151.1</v>
      </c>
      <c r="T706" s="9">
        <v>1343.8</v>
      </c>
      <c r="U706" s="9">
        <v>7182</v>
      </c>
      <c r="V706" s="18">
        <v>0</v>
      </c>
      <c r="W706" s="18">
        <v>0</v>
      </c>
      <c r="X706" s="18">
        <f t="shared" si="87"/>
        <v>0</v>
      </c>
      <c r="Y706" s="12">
        <f t="shared" si="88"/>
        <v>3.89549779892895</v>
      </c>
      <c r="Z706" s="12">
        <f t="shared" si="89"/>
        <v>0</v>
      </c>
      <c r="AA706" s="19">
        <v>1364.4</v>
      </c>
      <c r="AB706" s="19">
        <v>680.05</v>
      </c>
      <c r="AC706" s="19">
        <v>41.23</v>
      </c>
      <c r="AD706" s="19">
        <v>83.41</v>
      </c>
      <c r="AE706" s="19">
        <v>16.81</v>
      </c>
      <c r="AF706" s="12">
        <v>0</v>
      </c>
      <c r="AG706" s="19">
        <v>23.93</v>
      </c>
      <c r="AH706" s="19">
        <v>2.2</v>
      </c>
      <c r="AI706" s="19">
        <v>17.91</v>
      </c>
      <c r="AJ706" s="19">
        <v>199.64</v>
      </c>
      <c r="AK706" s="3">
        <f t="shared" si="93"/>
        <v>0</v>
      </c>
      <c r="AL706" s="3">
        <v>0</v>
      </c>
      <c r="AM706" s="3">
        <f t="shared" si="92"/>
        <v>0</v>
      </c>
    </row>
    <row r="707" spans="1:39">
      <c r="A707" s="7">
        <v>2005</v>
      </c>
      <c r="B707" s="7" t="s">
        <v>66</v>
      </c>
      <c r="C707" s="7">
        <v>0.0298717</v>
      </c>
      <c r="D707" s="7">
        <v>0.011587</v>
      </c>
      <c r="E707" s="7">
        <v>0.003019</v>
      </c>
      <c r="F707" s="7">
        <v>0.005384</v>
      </c>
      <c r="G707" s="7">
        <v>0.001826</v>
      </c>
      <c r="H707" s="7">
        <v>0.001358</v>
      </c>
      <c r="I707" s="7">
        <v>0.011142</v>
      </c>
      <c r="J707" s="7">
        <v>0.006113</v>
      </c>
      <c r="K707" s="16">
        <v>1830.48</v>
      </c>
      <c r="L707" s="17">
        <v>543.2</v>
      </c>
      <c r="M707" s="16">
        <v>543.32</v>
      </c>
      <c r="N707" s="7">
        <f t="shared" si="90"/>
        <v>3.36980854197349</v>
      </c>
      <c r="O707" s="7">
        <f t="shared" si="91"/>
        <v>3.36906427151586</v>
      </c>
      <c r="P707" s="8">
        <v>38329944.24</v>
      </c>
      <c r="Q707" s="8">
        <f t="shared" ref="Q707:Q751" si="94">P707/10000/M707</f>
        <v>7.05476408746227</v>
      </c>
      <c r="R707" s="9">
        <v>904.8</v>
      </c>
      <c r="S707" s="9">
        <v>1324.3</v>
      </c>
      <c r="T707" s="9">
        <v>1513.1</v>
      </c>
      <c r="U707" s="9">
        <v>8069</v>
      </c>
      <c r="V707" s="18">
        <v>0</v>
      </c>
      <c r="W707" s="18">
        <v>0</v>
      </c>
      <c r="X707" s="18">
        <f t="shared" ref="X707:X751" si="95">V707*W707</f>
        <v>0</v>
      </c>
      <c r="Y707" s="12">
        <f t="shared" ref="Y707:Y751" si="96">AVERAGEIF($A:$A,$A707,$Q:$Q)</f>
        <v>3.71995059106252</v>
      </c>
      <c r="Z707" s="12">
        <f t="shared" ref="Z707:Z751" si="97">MAX(0,1-Q707/Y707)</f>
        <v>0</v>
      </c>
      <c r="AA707" s="19">
        <v>1670.2</v>
      </c>
      <c r="AB707" s="19">
        <v>698.97</v>
      </c>
      <c r="AC707" s="19">
        <v>41.84</v>
      </c>
      <c r="AD707" s="19">
        <v>95.02</v>
      </c>
      <c r="AE707" s="19">
        <v>17.5</v>
      </c>
      <c r="AF707" s="12">
        <v>0</v>
      </c>
      <c r="AG707" s="19">
        <v>24.85</v>
      </c>
      <c r="AH707" s="19">
        <v>0.02</v>
      </c>
      <c r="AI707" s="19">
        <v>22.11</v>
      </c>
      <c r="AJ707" s="19">
        <v>206.56</v>
      </c>
      <c r="AK707" s="3">
        <f t="shared" si="93"/>
        <v>0</v>
      </c>
      <c r="AL707" s="3">
        <v>0</v>
      </c>
      <c r="AM707" s="3">
        <f t="shared" si="92"/>
        <v>0</v>
      </c>
    </row>
    <row r="708" spans="1:39">
      <c r="A708" s="7">
        <v>2006</v>
      </c>
      <c r="B708" s="7" t="s">
        <v>66</v>
      </c>
      <c r="C708" s="7">
        <v>0.03188082</v>
      </c>
      <c r="D708" s="7">
        <v>0.011835</v>
      </c>
      <c r="E708" s="7">
        <v>0.002863</v>
      </c>
      <c r="F708" s="7">
        <v>0.005359</v>
      </c>
      <c r="G708" s="7">
        <v>0.001658</v>
      </c>
      <c r="H708" s="7">
        <v>0.001956</v>
      </c>
      <c r="I708" s="7">
        <v>0.012425</v>
      </c>
      <c r="J708" s="7">
        <v>0.005336</v>
      </c>
      <c r="K708" s="16">
        <v>2085.84</v>
      </c>
      <c r="L708" s="17">
        <v>547.7</v>
      </c>
      <c r="M708" s="16">
        <v>648.5</v>
      </c>
      <c r="N708" s="7">
        <f t="shared" si="90"/>
        <v>3.80836224210334</v>
      </c>
      <c r="O708" s="7">
        <f t="shared" si="91"/>
        <v>3.21640709329221</v>
      </c>
      <c r="P708" s="8">
        <v>46220572.44</v>
      </c>
      <c r="Q708" s="8">
        <f t="shared" si="94"/>
        <v>7.12730492521203</v>
      </c>
      <c r="R708" s="9">
        <v>1024.3</v>
      </c>
      <c r="S708" s="9">
        <v>1604.7</v>
      </c>
      <c r="T708" s="9">
        <v>1788.8</v>
      </c>
      <c r="U708" s="9">
        <v>9421</v>
      </c>
      <c r="V708" s="18">
        <v>0</v>
      </c>
      <c r="W708" s="18">
        <v>0</v>
      </c>
      <c r="X708" s="18">
        <f t="shared" si="95"/>
        <v>0</v>
      </c>
      <c r="Y708" s="12">
        <f t="shared" si="96"/>
        <v>3.57740717995078</v>
      </c>
      <c r="Z708" s="12">
        <f t="shared" si="97"/>
        <v>0</v>
      </c>
      <c r="AA708" s="19">
        <v>1903.22</v>
      </c>
      <c r="AB708" s="19">
        <v>912.39</v>
      </c>
      <c r="AC708" s="19">
        <v>89.51</v>
      </c>
      <c r="AD708" s="19">
        <v>106.11</v>
      </c>
      <c r="AE708" s="19">
        <v>18.39</v>
      </c>
      <c r="AF708" s="12">
        <v>0</v>
      </c>
      <c r="AG708" s="19">
        <v>27.03</v>
      </c>
      <c r="AH708" s="19">
        <v>0.06</v>
      </c>
      <c r="AI708" s="19">
        <v>22.78</v>
      </c>
      <c r="AJ708" s="19">
        <v>246.04</v>
      </c>
      <c r="AK708" s="3">
        <f t="shared" si="93"/>
        <v>0</v>
      </c>
      <c r="AL708" s="3">
        <v>0</v>
      </c>
      <c r="AM708" s="3">
        <f t="shared" si="92"/>
        <v>0</v>
      </c>
    </row>
    <row r="709" spans="1:39">
      <c r="A709" s="7">
        <v>2007</v>
      </c>
      <c r="B709" s="7" t="s">
        <v>66</v>
      </c>
      <c r="C709" s="7">
        <v>0.03541358</v>
      </c>
      <c r="D709" s="7">
        <v>0.01348</v>
      </c>
      <c r="E709" s="7">
        <v>0.003187</v>
      </c>
      <c r="F709" s="7">
        <v>0.005997</v>
      </c>
      <c r="G709" s="7">
        <v>0.00199</v>
      </c>
      <c r="H709" s="7">
        <v>0.002306</v>
      </c>
      <c r="I709" s="7">
        <v>0.010148</v>
      </c>
      <c r="J709" s="7">
        <v>0.005175</v>
      </c>
      <c r="K709" s="16">
        <v>2295.91</v>
      </c>
      <c r="L709" s="17">
        <v>551.6</v>
      </c>
      <c r="M709" s="16">
        <v>797.35</v>
      </c>
      <c r="N709" s="7">
        <f t="shared" si="90"/>
        <v>4.16227338651196</v>
      </c>
      <c r="O709" s="7">
        <f t="shared" si="91"/>
        <v>2.87942559729103</v>
      </c>
      <c r="P709" s="8">
        <v>52999592.65</v>
      </c>
      <c r="Q709" s="8">
        <f t="shared" si="94"/>
        <v>6.64696715996739</v>
      </c>
      <c r="R709" s="9">
        <v>1214.9</v>
      </c>
      <c r="S709" s="9">
        <v>2074</v>
      </c>
      <c r="T709" s="9">
        <v>2185.9</v>
      </c>
      <c r="U709" s="9">
        <v>11542</v>
      </c>
      <c r="V709" s="18">
        <v>0</v>
      </c>
      <c r="W709" s="18">
        <v>0</v>
      </c>
      <c r="X709" s="18">
        <f t="shared" si="95"/>
        <v>0</v>
      </c>
      <c r="Y709" s="12">
        <f t="shared" si="96"/>
        <v>3.23986794305777</v>
      </c>
      <c r="Z709" s="12">
        <f t="shared" si="97"/>
        <v>0</v>
      </c>
      <c r="AA709" s="19">
        <v>2094.89</v>
      </c>
      <c r="AB709" s="19">
        <v>1058.19</v>
      </c>
      <c r="AC709" s="19">
        <v>96.62</v>
      </c>
      <c r="AD709" s="19">
        <v>110.15</v>
      </c>
      <c r="AE709" s="19">
        <v>16.42</v>
      </c>
      <c r="AF709" s="19">
        <v>2.02</v>
      </c>
      <c r="AG709" s="19">
        <v>48.35</v>
      </c>
      <c r="AH709" s="19">
        <v>0.18</v>
      </c>
      <c r="AI709" s="19">
        <v>20.25</v>
      </c>
      <c r="AJ709" s="19">
        <v>287.11</v>
      </c>
      <c r="AK709" s="3">
        <f t="shared" si="93"/>
        <v>0</v>
      </c>
      <c r="AL709" s="3">
        <v>0</v>
      </c>
      <c r="AM709" s="3">
        <f t="shared" si="92"/>
        <v>0</v>
      </c>
    </row>
    <row r="710" spans="1:39">
      <c r="A710" s="7">
        <v>2008</v>
      </c>
      <c r="B710" s="7" t="s">
        <v>66</v>
      </c>
      <c r="C710" s="7">
        <v>0.04682081</v>
      </c>
      <c r="D710" s="7">
        <v>0.013167</v>
      </c>
      <c r="E710" s="7">
        <v>0.00315</v>
      </c>
      <c r="F710" s="7">
        <v>0.006108</v>
      </c>
      <c r="G710" s="7">
        <v>0.001754</v>
      </c>
      <c r="H710" s="7">
        <v>0.002155</v>
      </c>
      <c r="I710" s="7">
        <v>0.014464</v>
      </c>
      <c r="J710" s="7">
        <v>0.007987</v>
      </c>
      <c r="K710" s="16">
        <v>2497.74</v>
      </c>
      <c r="L710" s="17">
        <v>554.3</v>
      </c>
      <c r="M710" s="16">
        <v>1018.62</v>
      </c>
      <c r="N710" s="7">
        <f t="shared" si="90"/>
        <v>4.50611582175717</v>
      </c>
      <c r="O710" s="7">
        <f t="shared" si="91"/>
        <v>2.45208222889792</v>
      </c>
      <c r="P710" s="8">
        <v>52938699.8</v>
      </c>
      <c r="Q710" s="8">
        <f t="shared" si="94"/>
        <v>5.19709997840215</v>
      </c>
      <c r="R710" s="9">
        <v>1422.3</v>
      </c>
      <c r="S710" s="9">
        <v>2466</v>
      </c>
      <c r="T710" s="9">
        <v>2567.2</v>
      </c>
      <c r="U710" s="9">
        <v>13471</v>
      </c>
      <c r="V710" s="18">
        <v>0</v>
      </c>
      <c r="W710" s="18">
        <v>0</v>
      </c>
      <c r="X710" s="18">
        <f t="shared" si="95"/>
        <v>0</v>
      </c>
      <c r="Y710" s="12">
        <f t="shared" si="96"/>
        <v>2.71728515287532</v>
      </c>
      <c r="Z710" s="12">
        <f t="shared" si="97"/>
        <v>0</v>
      </c>
      <c r="AA710" s="19">
        <v>2279</v>
      </c>
      <c r="AB710" s="19">
        <v>1316</v>
      </c>
      <c r="AC710" s="19">
        <v>150.16</v>
      </c>
      <c r="AD710" s="19">
        <v>109.2</v>
      </c>
      <c r="AE710" s="19">
        <v>21.38</v>
      </c>
      <c r="AF710" s="19">
        <v>0.4</v>
      </c>
      <c r="AG710" s="19">
        <v>78.38</v>
      </c>
      <c r="AH710" s="19">
        <v>0.13</v>
      </c>
      <c r="AI710" s="19">
        <v>22.9</v>
      </c>
      <c r="AJ710" s="19">
        <v>313.23</v>
      </c>
      <c r="AK710" s="3">
        <f t="shared" si="93"/>
        <v>0</v>
      </c>
      <c r="AL710" s="3">
        <v>0</v>
      </c>
      <c r="AM710" s="3">
        <f t="shared" si="92"/>
        <v>0</v>
      </c>
    </row>
    <row r="711" spans="1:39">
      <c r="A711" s="7">
        <v>2009</v>
      </c>
      <c r="B711" s="7" t="s">
        <v>66</v>
      </c>
      <c r="C711" s="7">
        <v>0.04911834</v>
      </c>
      <c r="D711" s="7">
        <v>0.01384</v>
      </c>
      <c r="E711" s="7">
        <v>0.003369</v>
      </c>
      <c r="F711" s="7">
        <v>0.006373</v>
      </c>
      <c r="G711" s="7">
        <v>0.002015</v>
      </c>
      <c r="H711" s="7">
        <v>0.002083</v>
      </c>
      <c r="I711" s="7">
        <v>0.015527</v>
      </c>
      <c r="J711" s="7">
        <v>0.007188</v>
      </c>
      <c r="K711" s="16">
        <v>2573.44</v>
      </c>
      <c r="L711" s="17">
        <v>557.3</v>
      </c>
      <c r="M711" s="16">
        <v>1081.27</v>
      </c>
      <c r="N711" s="7">
        <f t="shared" si="90"/>
        <v>4.61769244572044</v>
      </c>
      <c r="O711" s="7">
        <f t="shared" si="91"/>
        <v>2.38001609218789</v>
      </c>
      <c r="P711" s="8">
        <v>54091197.36</v>
      </c>
      <c r="Q711" s="8">
        <f t="shared" si="94"/>
        <v>5.00256155816771</v>
      </c>
      <c r="R711" s="9">
        <v>1425.5</v>
      </c>
      <c r="S711" s="9">
        <v>2715.3</v>
      </c>
      <c r="T711" s="9">
        <v>2972.1</v>
      </c>
      <c r="U711" s="9">
        <v>14708</v>
      </c>
      <c r="V711" s="18">
        <v>0</v>
      </c>
      <c r="W711" s="18">
        <v>0</v>
      </c>
      <c r="X711" s="18">
        <f t="shared" si="95"/>
        <v>0</v>
      </c>
      <c r="Y711" s="12">
        <f t="shared" si="96"/>
        <v>2.66960201713366</v>
      </c>
      <c r="Z711" s="12">
        <f t="shared" si="97"/>
        <v>0</v>
      </c>
      <c r="AA711" s="19">
        <v>2348</v>
      </c>
      <c r="AB711" s="19">
        <v>1310</v>
      </c>
      <c r="AC711" s="19">
        <v>185.56</v>
      </c>
      <c r="AD711" s="19">
        <v>82.03</v>
      </c>
      <c r="AE711" s="19">
        <v>23.17</v>
      </c>
      <c r="AF711" s="19">
        <v>0.16</v>
      </c>
      <c r="AG711" s="19">
        <v>87.11</v>
      </c>
      <c r="AH711" s="19">
        <v>0.16</v>
      </c>
      <c r="AI711" s="19">
        <v>24.56</v>
      </c>
      <c r="AJ711" s="19">
        <v>337.24</v>
      </c>
      <c r="AK711" s="3">
        <f t="shared" si="93"/>
        <v>0</v>
      </c>
      <c r="AL711" s="3">
        <v>0</v>
      </c>
      <c r="AM711" s="3">
        <f t="shared" si="92"/>
        <v>0</v>
      </c>
    </row>
    <row r="712" spans="1:39">
      <c r="A712" s="7">
        <v>2010</v>
      </c>
      <c r="B712" s="7" t="s">
        <v>66</v>
      </c>
      <c r="C712" s="7">
        <v>0.0458625</v>
      </c>
      <c r="D712" s="7">
        <v>0.013607</v>
      </c>
      <c r="E712" s="7">
        <v>0.003431</v>
      </c>
      <c r="F712" s="7">
        <v>0.005962</v>
      </c>
      <c r="G712" s="7">
        <v>0.002134</v>
      </c>
      <c r="H712" s="7">
        <v>0.002081</v>
      </c>
      <c r="I712" s="7">
        <v>0.014362</v>
      </c>
      <c r="J712" s="7">
        <v>0.00669</v>
      </c>
      <c r="K712" s="16">
        <v>2814.57</v>
      </c>
      <c r="L712" s="17">
        <v>563.47</v>
      </c>
      <c r="M712" s="16">
        <v>1350.43</v>
      </c>
      <c r="N712" s="7">
        <f t="shared" si="90"/>
        <v>4.995066285694</v>
      </c>
      <c r="O712" s="7">
        <f t="shared" si="91"/>
        <v>2.0842028094755</v>
      </c>
      <c r="P712" s="8">
        <v>58242129.95</v>
      </c>
      <c r="Q712" s="8">
        <f t="shared" si="94"/>
        <v>4.31285812296824</v>
      </c>
      <c r="R712" s="9">
        <v>1639.7</v>
      </c>
      <c r="S712" s="9">
        <v>3465.2</v>
      </c>
      <c r="T712" s="9">
        <v>3447.6</v>
      </c>
      <c r="U712" s="9">
        <v>18070</v>
      </c>
      <c r="V712" s="18">
        <v>0</v>
      </c>
      <c r="W712" s="18">
        <v>0</v>
      </c>
      <c r="X712" s="18">
        <f t="shared" si="95"/>
        <v>0</v>
      </c>
      <c r="Y712" s="12">
        <f t="shared" si="96"/>
        <v>2.40850270516871</v>
      </c>
      <c r="Z712" s="12">
        <f t="shared" si="97"/>
        <v>0</v>
      </c>
      <c r="AA712" s="19">
        <v>2568.26</v>
      </c>
      <c r="AB712" s="19">
        <v>1270.68</v>
      </c>
      <c r="AC712" s="19">
        <v>160.13</v>
      </c>
      <c r="AD712" s="19">
        <v>127.98</v>
      </c>
      <c r="AE712" s="19">
        <v>26.19</v>
      </c>
      <c r="AF712" s="19">
        <v>0.17</v>
      </c>
      <c r="AG712" s="19">
        <v>89.89</v>
      </c>
      <c r="AH712" s="19">
        <v>0.12</v>
      </c>
      <c r="AI712" s="19">
        <v>23.72</v>
      </c>
      <c r="AJ712" s="19">
        <v>465.18</v>
      </c>
      <c r="AK712" s="3">
        <f t="shared" si="93"/>
        <v>0</v>
      </c>
      <c r="AL712" s="3">
        <v>0</v>
      </c>
      <c r="AM712" s="3">
        <f t="shared" si="92"/>
        <v>0</v>
      </c>
    </row>
    <row r="713" spans="1:39">
      <c r="A713" s="7">
        <v>2011</v>
      </c>
      <c r="B713" s="7" t="s">
        <v>66</v>
      </c>
      <c r="C713" s="7">
        <v>0.04963706</v>
      </c>
      <c r="D713" s="7">
        <v>0.013897</v>
      </c>
      <c r="E713" s="7">
        <v>0.003645</v>
      </c>
      <c r="F713" s="7">
        <v>0.00603</v>
      </c>
      <c r="G713" s="7">
        <v>0.002428</v>
      </c>
      <c r="H713" s="7">
        <v>0.001794</v>
      </c>
      <c r="I713" s="7">
        <v>0.015054</v>
      </c>
      <c r="J713" s="7">
        <v>0.007386</v>
      </c>
      <c r="K713" s="16">
        <v>3145.28</v>
      </c>
      <c r="L713" s="17">
        <v>568</v>
      </c>
      <c r="M713" s="16">
        <v>1670.44</v>
      </c>
      <c r="N713" s="7">
        <f t="shared" si="90"/>
        <v>5.53746478873239</v>
      </c>
      <c r="O713" s="7">
        <f t="shared" si="91"/>
        <v>1.88290510284715</v>
      </c>
      <c r="P713" s="8">
        <v>63081663.63</v>
      </c>
      <c r="Q713" s="8">
        <f t="shared" si="94"/>
        <v>3.77635016103542</v>
      </c>
      <c r="R713" s="9">
        <v>2006.4</v>
      </c>
      <c r="S713" s="9">
        <v>4241.2</v>
      </c>
      <c r="T713" s="9">
        <v>4052.3</v>
      </c>
      <c r="U713" s="9">
        <v>22234</v>
      </c>
      <c r="V713" s="18">
        <v>0</v>
      </c>
      <c r="W713" s="18">
        <v>0</v>
      </c>
      <c r="X713" s="18">
        <f t="shared" si="95"/>
        <v>0</v>
      </c>
      <c r="Y713" s="12">
        <f t="shared" si="96"/>
        <v>2.18035126729488</v>
      </c>
      <c r="Z713" s="12">
        <f t="shared" si="97"/>
        <v>0</v>
      </c>
      <c r="AA713" s="19">
        <v>3189</v>
      </c>
      <c r="AB713" s="19">
        <v>1508</v>
      </c>
      <c r="AC713" s="19">
        <v>156.03</v>
      </c>
      <c r="AD713" s="19">
        <v>156.25</v>
      </c>
      <c r="AE713" s="19">
        <v>28.97</v>
      </c>
      <c r="AF713" s="19">
        <v>0.19</v>
      </c>
      <c r="AG713" s="19">
        <v>102.37</v>
      </c>
      <c r="AH713" s="19">
        <v>0.1</v>
      </c>
      <c r="AI713" s="19">
        <v>32.05</v>
      </c>
      <c r="AJ713" s="19">
        <v>561</v>
      </c>
      <c r="AK713" s="3">
        <f t="shared" si="93"/>
        <v>0</v>
      </c>
      <c r="AL713" s="3">
        <v>0</v>
      </c>
      <c r="AM713" s="3">
        <f t="shared" si="92"/>
        <v>0</v>
      </c>
    </row>
    <row r="714" spans="1:39">
      <c r="A714" s="7">
        <v>2012</v>
      </c>
      <c r="B714" s="7" t="s">
        <v>66</v>
      </c>
      <c r="C714" s="7">
        <v>0.0488025</v>
      </c>
      <c r="D714" s="7">
        <v>0.01345</v>
      </c>
      <c r="E714" s="7">
        <v>0.003181</v>
      </c>
      <c r="F714" s="7">
        <v>0.006086</v>
      </c>
      <c r="G714" s="7">
        <v>0.001818</v>
      </c>
      <c r="H714" s="7">
        <v>0.002366</v>
      </c>
      <c r="I714" s="7">
        <v>0.014615</v>
      </c>
      <c r="J714" s="7">
        <v>0.007988</v>
      </c>
      <c r="K714" s="16">
        <v>3475.88</v>
      </c>
      <c r="L714" s="17">
        <v>571</v>
      </c>
      <c r="M714" s="16">
        <v>1893.54</v>
      </c>
      <c r="N714" s="7">
        <f t="shared" si="90"/>
        <v>6.08735551663748</v>
      </c>
      <c r="O714" s="7">
        <f t="shared" si="91"/>
        <v>1.8356517422394</v>
      </c>
      <c r="P714" s="8">
        <v>66082605.61</v>
      </c>
      <c r="Q714" s="8">
        <f t="shared" si="94"/>
        <v>3.48989752579824</v>
      </c>
      <c r="R714" s="9">
        <v>2126.4</v>
      </c>
      <c r="S714" s="9">
        <v>4503.1</v>
      </c>
      <c r="T714" s="9">
        <v>4674.1</v>
      </c>
      <c r="U714" s="9">
        <v>24181</v>
      </c>
      <c r="V714" s="18">
        <v>0</v>
      </c>
      <c r="W714" s="18">
        <v>0</v>
      </c>
      <c r="X714" s="18">
        <f t="shared" si="95"/>
        <v>0</v>
      </c>
      <c r="Y714" s="12">
        <f t="shared" si="96"/>
        <v>2.01609935715007</v>
      </c>
      <c r="Z714" s="12">
        <f t="shared" si="97"/>
        <v>0</v>
      </c>
      <c r="AA714" s="19">
        <v>3524.06</v>
      </c>
      <c r="AB714" s="19">
        <v>1859</v>
      </c>
      <c r="AC714" s="19">
        <v>196.33</v>
      </c>
      <c r="AD714" s="19">
        <v>145.44</v>
      </c>
      <c r="AE714" s="19">
        <v>29.91</v>
      </c>
      <c r="AF714" s="12">
        <v>0</v>
      </c>
      <c r="AG714" s="19">
        <v>106.16</v>
      </c>
      <c r="AH714" s="19">
        <v>0.17</v>
      </c>
      <c r="AI714" s="19">
        <v>40.11</v>
      </c>
      <c r="AJ714" s="19">
        <v>602.22</v>
      </c>
      <c r="AK714" s="3">
        <f t="shared" si="93"/>
        <v>0</v>
      </c>
      <c r="AL714" s="3">
        <v>0</v>
      </c>
      <c r="AM714" s="3">
        <f t="shared" si="92"/>
        <v>0</v>
      </c>
    </row>
    <row r="715" spans="1:39">
      <c r="A715" s="7">
        <v>2013</v>
      </c>
      <c r="B715" s="7" t="s">
        <v>66</v>
      </c>
      <c r="C715" s="7">
        <v>0.04358104</v>
      </c>
      <c r="D715" s="7">
        <v>0.012951</v>
      </c>
      <c r="E715" s="7">
        <v>0.003136</v>
      </c>
      <c r="F715" s="7">
        <v>0.005812</v>
      </c>
      <c r="G715" s="7">
        <v>0.002048</v>
      </c>
      <c r="H715" s="7">
        <v>0.001956</v>
      </c>
      <c r="I715" s="7">
        <v>0.013291</v>
      </c>
      <c r="J715" s="7">
        <v>0.007596</v>
      </c>
      <c r="K715" s="16">
        <v>3768.16</v>
      </c>
      <c r="L715" s="17">
        <v>571</v>
      </c>
      <c r="M715" s="16">
        <v>2122.06</v>
      </c>
      <c r="N715" s="7">
        <f t="shared" si="90"/>
        <v>6.59922942206655</v>
      </c>
      <c r="O715" s="7">
        <f t="shared" si="91"/>
        <v>1.77570850965571</v>
      </c>
      <c r="P715" s="8">
        <v>69441748.2</v>
      </c>
      <c r="Q715" s="8">
        <f t="shared" si="94"/>
        <v>3.27237440034683</v>
      </c>
      <c r="R715" s="9">
        <v>2290.6</v>
      </c>
      <c r="S715" s="9">
        <v>4709.3</v>
      </c>
      <c r="T715" s="9">
        <v>5448.4</v>
      </c>
      <c r="U715" s="9">
        <v>26416</v>
      </c>
      <c r="V715" s="18">
        <v>0</v>
      </c>
      <c r="W715" s="18">
        <v>0</v>
      </c>
      <c r="X715" s="18">
        <f t="shared" si="95"/>
        <v>0</v>
      </c>
      <c r="Y715" s="12">
        <f t="shared" si="96"/>
        <v>1.91398219724656</v>
      </c>
      <c r="Z715" s="12">
        <f t="shared" si="97"/>
        <v>0</v>
      </c>
      <c r="AA715" s="19">
        <v>3768</v>
      </c>
      <c r="AB715" s="19">
        <v>2073.15</v>
      </c>
      <c r="AC715" s="19">
        <v>230.22</v>
      </c>
      <c r="AD715" s="19">
        <v>146.19</v>
      </c>
      <c r="AE715" s="19">
        <v>32.85</v>
      </c>
      <c r="AF715" s="12">
        <v>0</v>
      </c>
      <c r="AG715" s="19">
        <v>110.77</v>
      </c>
      <c r="AH715" s="19">
        <v>0.12</v>
      </c>
      <c r="AI715" s="19">
        <v>41.56</v>
      </c>
      <c r="AJ715" s="19">
        <v>676.29</v>
      </c>
      <c r="AK715" s="3">
        <f t="shared" si="93"/>
        <v>1</v>
      </c>
      <c r="AL715" s="3">
        <v>0</v>
      </c>
      <c r="AM715" s="3">
        <f t="shared" si="92"/>
        <v>0</v>
      </c>
    </row>
    <row r="716" spans="1:39">
      <c r="A716" s="7">
        <v>2014</v>
      </c>
      <c r="B716" s="7" t="s">
        <v>66</v>
      </c>
      <c r="C716" s="7">
        <v>0.05499513</v>
      </c>
      <c r="D716" s="7">
        <v>0.014192</v>
      </c>
      <c r="E716" s="7">
        <v>0.003531</v>
      </c>
      <c r="F716" s="7">
        <v>0.006395</v>
      </c>
      <c r="G716" s="7">
        <v>0.001919</v>
      </c>
      <c r="H716" s="7">
        <v>0.002348</v>
      </c>
      <c r="I716" s="7">
        <v>0.015799</v>
      </c>
      <c r="J716" s="7">
        <v>0.008611</v>
      </c>
      <c r="K716" s="16">
        <v>3991.7</v>
      </c>
      <c r="L716" s="17">
        <v>576</v>
      </c>
      <c r="M716" s="16">
        <v>2303.32</v>
      </c>
      <c r="N716" s="7">
        <f t="shared" si="90"/>
        <v>6.93003472222222</v>
      </c>
      <c r="O716" s="7">
        <f t="shared" si="91"/>
        <v>1.73302016220065</v>
      </c>
      <c r="P716" s="8">
        <v>69846957.31</v>
      </c>
      <c r="Q716" s="8">
        <f t="shared" si="94"/>
        <v>3.03244695960613</v>
      </c>
      <c r="R716" s="9">
        <v>2413.4</v>
      </c>
      <c r="S716" s="9">
        <v>5145.6</v>
      </c>
      <c r="T716" s="9">
        <v>6028.8</v>
      </c>
      <c r="U716" s="9">
        <v>28603</v>
      </c>
      <c r="V716" s="18">
        <v>0</v>
      </c>
      <c r="W716" s="18">
        <v>0</v>
      </c>
      <c r="X716" s="18">
        <f t="shared" si="95"/>
        <v>0</v>
      </c>
      <c r="Y716" s="12">
        <f t="shared" si="96"/>
        <v>1.79640226266579</v>
      </c>
      <c r="Z716" s="12">
        <f t="shared" si="97"/>
        <v>0</v>
      </c>
      <c r="AA716" s="19">
        <v>3991.7</v>
      </c>
      <c r="AB716" s="19">
        <v>1816.51</v>
      </c>
      <c r="AC716" s="19">
        <v>253.22</v>
      </c>
      <c r="AD716" s="19">
        <v>143.34</v>
      </c>
      <c r="AE716" s="19">
        <v>37.17</v>
      </c>
      <c r="AF716" s="12">
        <v>0</v>
      </c>
      <c r="AG716" s="19">
        <v>113.73</v>
      </c>
      <c r="AH716" s="19">
        <v>0.04</v>
      </c>
      <c r="AI716" s="19">
        <v>40.59</v>
      </c>
      <c r="AJ716" s="19">
        <v>723.21</v>
      </c>
      <c r="AK716" s="3">
        <f t="shared" si="93"/>
        <v>1</v>
      </c>
      <c r="AL716" s="3">
        <v>0</v>
      </c>
      <c r="AM716" s="3">
        <f t="shared" si="92"/>
        <v>0</v>
      </c>
    </row>
    <row r="717" spans="1:39">
      <c r="A717" s="7">
        <v>2015</v>
      </c>
      <c r="B717" s="7" t="s">
        <v>66</v>
      </c>
      <c r="C717" s="7">
        <v>0.05730455</v>
      </c>
      <c r="D717" s="7">
        <v>0.016201</v>
      </c>
      <c r="E717" s="7">
        <v>0.004217</v>
      </c>
      <c r="F717" s="7">
        <v>0.007492</v>
      </c>
      <c r="G717" s="7">
        <v>0.00239</v>
      </c>
      <c r="H717" s="7">
        <v>0.002103</v>
      </c>
      <c r="I717" s="7">
        <v>0.015127</v>
      </c>
      <c r="J717" s="7">
        <v>0.007047</v>
      </c>
      <c r="K717" s="16">
        <v>4124.97</v>
      </c>
      <c r="L717" s="17">
        <v>577</v>
      </c>
      <c r="M717" s="16">
        <v>2417.05</v>
      </c>
      <c r="N717" s="7">
        <f t="shared" si="90"/>
        <v>7.14899480069324</v>
      </c>
      <c r="O717" s="7">
        <f t="shared" si="91"/>
        <v>1.7066134337312</v>
      </c>
      <c r="P717" s="8">
        <v>75769520.1</v>
      </c>
      <c r="Q717" s="8">
        <f t="shared" si="94"/>
        <v>3.13479324383029</v>
      </c>
      <c r="R717" s="9">
        <v>2565.5</v>
      </c>
      <c r="S717" s="9">
        <v>5391</v>
      </c>
      <c r="T717" s="9">
        <v>6841.4</v>
      </c>
      <c r="U717" s="9">
        <v>30890</v>
      </c>
      <c r="V717" s="18">
        <v>0</v>
      </c>
      <c r="W717" s="18">
        <v>0</v>
      </c>
      <c r="X717" s="18">
        <f t="shared" si="95"/>
        <v>0</v>
      </c>
      <c r="Y717" s="12">
        <f t="shared" si="96"/>
        <v>1.71577514742415</v>
      </c>
      <c r="Z717" s="12">
        <f t="shared" si="97"/>
        <v>0</v>
      </c>
      <c r="AA717" s="19">
        <v>4125</v>
      </c>
      <c r="AB717" s="19">
        <v>1508.12</v>
      </c>
      <c r="AC717" s="19">
        <v>249.21</v>
      </c>
      <c r="AD717" s="19">
        <v>154.33</v>
      </c>
      <c r="AE717" s="19">
        <v>44.96</v>
      </c>
      <c r="AF717" s="19">
        <v>0.01</v>
      </c>
      <c r="AG717" s="19">
        <v>114.53</v>
      </c>
      <c r="AH717" s="19">
        <v>0.03</v>
      </c>
      <c r="AI717" s="19">
        <v>44.38</v>
      </c>
      <c r="AJ717" s="19">
        <v>658</v>
      </c>
      <c r="AK717" s="3">
        <f t="shared" si="93"/>
        <v>1</v>
      </c>
      <c r="AL717" s="3">
        <v>0</v>
      </c>
      <c r="AM717" s="3">
        <f t="shared" si="92"/>
        <v>0</v>
      </c>
    </row>
    <row r="718" spans="1:39">
      <c r="A718" s="7">
        <v>2016</v>
      </c>
      <c r="B718" s="7" t="s">
        <v>66</v>
      </c>
      <c r="C718" s="7">
        <v>0.05285348</v>
      </c>
      <c r="D718" s="7">
        <v>0.015565</v>
      </c>
      <c r="E718" s="7">
        <v>0.003851</v>
      </c>
      <c r="F718" s="7">
        <v>0.007171</v>
      </c>
      <c r="G718" s="7">
        <v>0.002182</v>
      </c>
      <c r="H718" s="7">
        <v>0.002362</v>
      </c>
      <c r="I718" s="7">
        <v>0.013479</v>
      </c>
      <c r="J718" s="7">
        <v>0.007068</v>
      </c>
      <c r="K718" s="16">
        <v>4101.36</v>
      </c>
      <c r="L718" s="17">
        <v>582</v>
      </c>
      <c r="M718" s="16">
        <v>2572.49</v>
      </c>
      <c r="N718" s="7">
        <f t="shared" si="90"/>
        <v>7.04701030927835</v>
      </c>
      <c r="O718" s="7">
        <f t="shared" si="91"/>
        <v>1.59431523543337</v>
      </c>
      <c r="P718" s="8">
        <v>78088976.87</v>
      </c>
      <c r="Q718" s="8">
        <f t="shared" si="94"/>
        <v>3.03554054126547</v>
      </c>
      <c r="R718" s="9">
        <v>2800.3</v>
      </c>
      <c r="S718" s="9">
        <v>5621</v>
      </c>
      <c r="T718" s="9">
        <v>7695.3</v>
      </c>
      <c r="U718" s="9">
        <v>33340</v>
      </c>
      <c r="V718" s="18">
        <v>0</v>
      </c>
      <c r="W718" s="18">
        <v>0</v>
      </c>
      <c r="X718" s="18">
        <f t="shared" si="95"/>
        <v>0</v>
      </c>
      <c r="Y718" s="12">
        <f t="shared" si="96"/>
        <v>1.62438398605541</v>
      </c>
      <c r="Z718" s="12">
        <f t="shared" si="97"/>
        <v>0</v>
      </c>
      <c r="AA718" s="19">
        <v>4101</v>
      </c>
      <c r="AB718" s="19">
        <v>1962.4</v>
      </c>
      <c r="AC718" s="19">
        <v>228.44</v>
      </c>
      <c r="AD718" s="19">
        <v>149.45</v>
      </c>
      <c r="AE718" s="19">
        <v>56</v>
      </c>
      <c r="AF718" s="19">
        <v>0.01</v>
      </c>
      <c r="AG718" s="19">
        <v>128.92</v>
      </c>
      <c r="AH718" s="19">
        <v>0.1</v>
      </c>
      <c r="AI718" s="19">
        <v>46.25</v>
      </c>
      <c r="AJ718" s="19">
        <v>637.51</v>
      </c>
      <c r="AK718" s="3">
        <f t="shared" si="93"/>
        <v>1</v>
      </c>
      <c r="AL718" s="3">
        <v>0</v>
      </c>
      <c r="AM718" s="3">
        <f t="shared" si="92"/>
        <v>0</v>
      </c>
    </row>
    <row r="719" spans="1:39">
      <c r="A719" s="7">
        <v>2017</v>
      </c>
      <c r="B719" s="7" t="s">
        <v>66</v>
      </c>
      <c r="C719" s="7">
        <v>0.07912714</v>
      </c>
      <c r="D719" s="7">
        <v>0.01888</v>
      </c>
      <c r="E719" s="7">
        <v>0.004661</v>
      </c>
      <c r="F719" s="7">
        <v>0.008573</v>
      </c>
      <c r="G719" s="7">
        <v>0.00258</v>
      </c>
      <c r="H719" s="7">
        <v>0.003066</v>
      </c>
      <c r="I719" s="7">
        <v>0.018042</v>
      </c>
      <c r="J719" s="7">
        <v>0.009144</v>
      </c>
      <c r="K719" s="16">
        <v>4193.1</v>
      </c>
      <c r="L719" s="17">
        <v>586</v>
      </c>
      <c r="M719" s="16">
        <v>2624.83</v>
      </c>
      <c r="N719" s="7">
        <f t="shared" si="90"/>
        <v>7.15546075085324</v>
      </c>
      <c r="O719" s="7">
        <f t="shared" si="91"/>
        <v>1.59747488408773</v>
      </c>
      <c r="P719" s="8">
        <v>79293537.46</v>
      </c>
      <c r="Q719" s="8">
        <f t="shared" si="94"/>
        <v>3.02090182830888</v>
      </c>
      <c r="R719" s="9">
        <v>2878.3</v>
      </c>
      <c r="S719" s="9">
        <v>6138.3</v>
      </c>
      <c r="T719" s="9">
        <v>8774.1</v>
      </c>
      <c r="U719" s="9">
        <v>36441</v>
      </c>
      <c r="V719" s="18">
        <v>1</v>
      </c>
      <c r="W719" s="18">
        <v>0</v>
      </c>
      <c r="X719" s="18">
        <f t="shared" si="95"/>
        <v>0</v>
      </c>
      <c r="Y719" s="12">
        <f t="shared" si="96"/>
        <v>1.56738551218677</v>
      </c>
      <c r="Z719" s="12">
        <f t="shared" si="97"/>
        <v>0</v>
      </c>
      <c r="AA719" s="19">
        <v>4193</v>
      </c>
      <c r="AB719" s="19">
        <v>1747.01</v>
      </c>
      <c r="AC719" s="19">
        <v>219</v>
      </c>
      <c r="AD719" s="19">
        <v>152.53</v>
      </c>
      <c r="AE719" s="19">
        <v>60.05</v>
      </c>
      <c r="AF719" s="19">
        <v>0.02</v>
      </c>
      <c r="AG719" s="19">
        <v>152.26</v>
      </c>
      <c r="AH719" s="19">
        <v>0.22</v>
      </c>
      <c r="AI719" s="19">
        <v>49.56</v>
      </c>
      <c r="AJ719" s="19">
        <v>687.01</v>
      </c>
      <c r="AK719" s="3">
        <f t="shared" si="93"/>
        <v>1</v>
      </c>
      <c r="AL719" s="3">
        <v>0</v>
      </c>
      <c r="AM719" s="3">
        <f t="shared" si="92"/>
        <v>0</v>
      </c>
    </row>
    <row r="720" spans="1:39">
      <c r="A720" s="7">
        <v>2018</v>
      </c>
      <c r="B720" s="7" t="s">
        <v>66</v>
      </c>
      <c r="C720" s="7">
        <v>0.06701356</v>
      </c>
      <c r="D720" s="7">
        <v>0.01707</v>
      </c>
      <c r="E720" s="7">
        <v>0.004513</v>
      </c>
      <c r="F720" s="7">
        <v>0.007784</v>
      </c>
      <c r="G720" s="7">
        <v>0.002479</v>
      </c>
      <c r="H720" s="7">
        <v>0.002294</v>
      </c>
      <c r="I720" s="7">
        <v>0.018008</v>
      </c>
      <c r="J720" s="7">
        <v>0.007675</v>
      </c>
      <c r="K720" s="16">
        <v>4364.22</v>
      </c>
      <c r="L720" s="17">
        <v>587</v>
      </c>
      <c r="M720" s="16">
        <v>2865.23</v>
      </c>
      <c r="N720" s="7">
        <f t="shared" si="90"/>
        <v>7.4347870528109</v>
      </c>
      <c r="O720" s="7">
        <f t="shared" si="91"/>
        <v>1.52316567954405</v>
      </c>
      <c r="P720" s="8">
        <v>82106776.66</v>
      </c>
      <c r="Q720" s="8">
        <f t="shared" si="94"/>
        <v>2.86562602862597</v>
      </c>
      <c r="R720" s="9">
        <v>3021.1</v>
      </c>
      <c r="S720" s="9">
        <v>6692.9</v>
      </c>
      <c r="T720" s="9">
        <v>9913.9</v>
      </c>
      <c r="U720" s="9">
        <v>39837</v>
      </c>
      <c r="V720" s="18">
        <v>1</v>
      </c>
      <c r="W720" s="18">
        <v>0</v>
      </c>
      <c r="X720" s="18">
        <f t="shared" si="95"/>
        <v>0</v>
      </c>
      <c r="Y720" s="12">
        <f t="shared" si="96"/>
        <v>1.51591455826218</v>
      </c>
      <c r="Z720" s="12">
        <f t="shared" si="97"/>
        <v>0</v>
      </c>
      <c r="AA720" s="19">
        <v>4364</v>
      </c>
      <c r="AB720" s="19">
        <v>1639.64</v>
      </c>
      <c r="AC720" s="19">
        <v>233.12</v>
      </c>
      <c r="AD720" s="19">
        <v>142.51</v>
      </c>
      <c r="AE720" s="19">
        <v>62.08</v>
      </c>
      <c r="AF720" s="19">
        <v>0.02</v>
      </c>
      <c r="AG720" s="19">
        <v>159.36</v>
      </c>
      <c r="AH720" s="19">
        <v>0.18</v>
      </c>
      <c r="AI720" s="19">
        <v>51.25</v>
      </c>
      <c r="AJ720" s="19">
        <v>738.34</v>
      </c>
      <c r="AK720" s="3">
        <f t="shared" si="93"/>
        <v>1</v>
      </c>
      <c r="AL720" s="3">
        <v>0</v>
      </c>
      <c r="AM720" s="3">
        <f t="shared" si="92"/>
        <v>0</v>
      </c>
    </row>
    <row r="721" spans="1:39">
      <c r="A721" s="7">
        <v>2019</v>
      </c>
      <c r="B721" s="7" t="s">
        <v>66</v>
      </c>
      <c r="C721" s="7">
        <v>0.06922246</v>
      </c>
      <c r="D721" s="7">
        <v>0.017139</v>
      </c>
      <c r="E721" s="7">
        <v>0.004377</v>
      </c>
      <c r="F721" s="7">
        <v>0.00793</v>
      </c>
      <c r="G721" s="7">
        <v>0.002504</v>
      </c>
      <c r="H721" s="7">
        <v>0.002329</v>
      </c>
      <c r="I721" s="7">
        <v>0.016582</v>
      </c>
      <c r="J721" s="7">
        <v>0.009312</v>
      </c>
      <c r="K721" s="16">
        <v>4225.77</v>
      </c>
      <c r="L721" s="17">
        <v>590</v>
      </c>
      <c r="M721" s="16">
        <v>2965.95</v>
      </c>
      <c r="N721" s="7">
        <f t="shared" si="90"/>
        <v>7.16232203389831</v>
      </c>
      <c r="O721" s="7">
        <f t="shared" si="91"/>
        <v>1.42476103777879</v>
      </c>
      <c r="P721" s="8">
        <v>80962492.19</v>
      </c>
      <c r="Q721" s="8">
        <f t="shared" si="94"/>
        <v>2.72973220013824</v>
      </c>
      <c r="R721" s="9">
        <v>3389.7</v>
      </c>
      <c r="S721" s="9">
        <v>7046.4</v>
      </c>
      <c r="T721" s="9">
        <v>10801</v>
      </c>
      <c r="U721" s="9">
        <v>42778</v>
      </c>
      <c r="V721" s="18">
        <v>1</v>
      </c>
      <c r="W721" s="18">
        <v>0</v>
      </c>
      <c r="X721" s="18">
        <f t="shared" si="95"/>
        <v>0</v>
      </c>
      <c r="Y721" s="12">
        <f t="shared" si="96"/>
        <v>1.5000536746505</v>
      </c>
      <c r="Z721" s="12">
        <f t="shared" si="97"/>
        <v>0</v>
      </c>
      <c r="AA721" s="19">
        <v>4235</v>
      </c>
      <c r="AB721" s="19">
        <v>1541.92</v>
      </c>
      <c r="AC721" s="19">
        <v>236.06</v>
      </c>
      <c r="AD721" s="19">
        <v>156.45</v>
      </c>
      <c r="AE721" s="19">
        <v>66.78</v>
      </c>
      <c r="AF721" s="19">
        <v>0.02</v>
      </c>
      <c r="AG721" s="19">
        <v>169.08</v>
      </c>
      <c r="AH721" s="19">
        <v>0.2</v>
      </c>
      <c r="AI721" s="19">
        <v>52.12</v>
      </c>
      <c r="AJ721" s="19">
        <v>716.47</v>
      </c>
      <c r="AK721" s="3">
        <f t="shared" si="93"/>
        <v>1</v>
      </c>
      <c r="AL721" s="3">
        <v>0</v>
      </c>
      <c r="AM721" s="3">
        <f t="shared" si="92"/>
        <v>0</v>
      </c>
    </row>
    <row r="722" spans="1:39">
      <c r="A722" s="7">
        <v>2020</v>
      </c>
      <c r="B722" s="7" t="s">
        <v>66</v>
      </c>
      <c r="C722" s="7">
        <v>0.0624092</v>
      </c>
      <c r="D722" s="7">
        <v>0.016779</v>
      </c>
      <c r="E722" s="7">
        <v>0.004281</v>
      </c>
      <c r="F722" s="7">
        <v>0.007328</v>
      </c>
      <c r="G722" s="7">
        <v>0.002636</v>
      </c>
      <c r="H722" s="7">
        <v>0.002534</v>
      </c>
      <c r="I722" s="7">
        <v>0.015128</v>
      </c>
      <c r="J722" s="7">
        <v>0.007518</v>
      </c>
      <c r="K722" s="16">
        <v>4147.54</v>
      </c>
      <c r="L722" s="17">
        <v>592.79</v>
      </c>
      <c r="M722" s="16">
        <v>3005.92</v>
      </c>
      <c r="N722" s="7">
        <f t="shared" si="90"/>
        <v>6.99664299330286</v>
      </c>
      <c r="O722" s="7">
        <f t="shared" si="91"/>
        <v>1.3797905466546</v>
      </c>
      <c r="P722" s="8">
        <v>79801326.75</v>
      </c>
      <c r="Q722" s="8">
        <f t="shared" si="94"/>
        <v>2.65480540899292</v>
      </c>
      <c r="R722" s="9">
        <v>3645.9</v>
      </c>
      <c r="S722" s="9">
        <v>7046.8</v>
      </c>
      <c r="T722" s="9">
        <v>11428.1</v>
      </c>
      <c r="U722" s="9">
        <v>44237</v>
      </c>
      <c r="V722" s="18">
        <v>1</v>
      </c>
      <c r="W722" s="18">
        <v>0</v>
      </c>
      <c r="X722" s="18">
        <f t="shared" si="95"/>
        <v>0</v>
      </c>
      <c r="Y722" s="12">
        <f t="shared" si="96"/>
        <v>1.47141701078949</v>
      </c>
      <c r="Z722" s="12">
        <f t="shared" si="97"/>
        <v>0</v>
      </c>
      <c r="AA722" s="19">
        <v>4150.36</v>
      </c>
      <c r="AB722" s="19">
        <v>1396.38</v>
      </c>
      <c r="AC722" s="19">
        <v>231.98</v>
      </c>
      <c r="AD722" s="19">
        <v>152.43</v>
      </c>
      <c r="AE722" s="19">
        <v>152.43</v>
      </c>
      <c r="AF722" s="19">
        <v>74.76</v>
      </c>
      <c r="AG722" s="19">
        <v>0.55</v>
      </c>
      <c r="AH722" s="19">
        <v>154.26</v>
      </c>
      <c r="AI722" s="19">
        <v>46.09</v>
      </c>
      <c r="AJ722" s="19">
        <v>742</v>
      </c>
      <c r="AK722" s="3">
        <f t="shared" si="93"/>
        <v>1</v>
      </c>
      <c r="AL722" s="3">
        <v>0</v>
      </c>
      <c r="AM722" s="3">
        <f t="shared" si="92"/>
        <v>0</v>
      </c>
    </row>
    <row r="723" spans="1:39">
      <c r="A723" s="7">
        <v>2021</v>
      </c>
      <c r="B723" s="7" t="s">
        <v>66</v>
      </c>
      <c r="C723" s="7">
        <v>0.08241538</v>
      </c>
      <c r="D723" s="7">
        <v>0.019164</v>
      </c>
      <c r="E723" s="7">
        <v>0.004839</v>
      </c>
      <c r="F723" s="7">
        <v>0.008764</v>
      </c>
      <c r="G723" s="7">
        <v>0.002983</v>
      </c>
      <c r="H723" s="7">
        <v>0.002578</v>
      </c>
      <c r="I723" s="7">
        <v>0.018897</v>
      </c>
      <c r="J723" s="7">
        <v>0.00973</v>
      </c>
      <c r="K723" s="16">
        <v>4696.03</v>
      </c>
      <c r="L723" s="17">
        <v>594</v>
      </c>
      <c r="M723" s="16">
        <v>3346.6</v>
      </c>
      <c r="N723" s="7">
        <f t="shared" si="90"/>
        <v>7.90577441077441</v>
      </c>
      <c r="O723" s="7">
        <f t="shared" si="91"/>
        <v>1.40322416781211</v>
      </c>
      <c r="P723" s="8">
        <v>83337486.7</v>
      </c>
      <c r="Q723" s="8">
        <f t="shared" si="94"/>
        <v>2.49021355106675</v>
      </c>
      <c r="R723" s="9">
        <v>4051.3</v>
      </c>
      <c r="S723" s="9">
        <v>8513.9</v>
      </c>
      <c r="T723" s="9">
        <v>12643.9</v>
      </c>
      <c r="U723" s="9">
        <v>50137</v>
      </c>
      <c r="V723" s="18">
        <v>1</v>
      </c>
      <c r="W723" s="18">
        <v>0</v>
      </c>
      <c r="X723" s="18">
        <f t="shared" si="95"/>
        <v>0</v>
      </c>
      <c r="Y723" s="12">
        <f t="shared" si="96"/>
        <v>1.36781889095748</v>
      </c>
      <c r="Z723" s="12">
        <f t="shared" si="97"/>
        <v>0</v>
      </c>
      <c r="AA723" s="19">
        <v>4694.47</v>
      </c>
      <c r="AB723" s="19">
        <v>1667.77</v>
      </c>
      <c r="AC723" s="19">
        <v>277.75</v>
      </c>
      <c r="AD723" s="19">
        <v>143.47</v>
      </c>
      <c r="AE723" s="19">
        <v>81.95</v>
      </c>
      <c r="AF723" s="19">
        <v>0.6</v>
      </c>
      <c r="AG723" s="19">
        <v>167.71</v>
      </c>
      <c r="AH723" s="19">
        <v>0.17</v>
      </c>
      <c r="AI723" s="19">
        <v>51.43</v>
      </c>
      <c r="AJ723" s="19">
        <v>858</v>
      </c>
      <c r="AK723" s="3">
        <f t="shared" si="93"/>
        <v>1</v>
      </c>
      <c r="AL723" s="3">
        <v>0</v>
      </c>
      <c r="AM723" s="3">
        <f t="shared" si="92"/>
        <v>0</v>
      </c>
    </row>
    <row r="724" spans="1:39">
      <c r="A724" s="7">
        <v>2022</v>
      </c>
      <c r="B724" s="7" t="s">
        <v>66</v>
      </c>
      <c r="C724" s="7">
        <v>0.07938572</v>
      </c>
      <c r="D724" s="7">
        <v>0.018442</v>
      </c>
      <c r="E724" s="7">
        <v>0.004286</v>
      </c>
      <c r="F724" s="7">
        <v>0.008395</v>
      </c>
      <c r="G724" s="7">
        <v>0.002908</v>
      </c>
      <c r="H724" s="7">
        <v>0.002853</v>
      </c>
      <c r="I724" s="7">
        <v>0.018285</v>
      </c>
      <c r="J724" s="7">
        <v>0.009738</v>
      </c>
      <c r="K724" s="16">
        <v>4802.8</v>
      </c>
      <c r="L724" s="17">
        <v>595</v>
      </c>
      <c r="M724" s="16">
        <v>3610.1</v>
      </c>
      <c r="N724" s="7">
        <f t="shared" si="90"/>
        <v>8.07193277310924</v>
      </c>
      <c r="O724" s="7">
        <f t="shared" si="91"/>
        <v>1.33037865987092</v>
      </c>
      <c r="P724" s="8">
        <v>82214112.44</v>
      </c>
      <c r="Q724" s="8">
        <f t="shared" si="94"/>
        <v>2.27733615246115</v>
      </c>
      <c r="R724" s="9">
        <v>4270.4</v>
      </c>
      <c r="S724" s="9">
        <v>8819.3</v>
      </c>
      <c r="T724" s="9">
        <v>13096.3</v>
      </c>
      <c r="U724" s="9">
        <v>51936</v>
      </c>
      <c r="V724" s="18">
        <v>1</v>
      </c>
      <c r="W724" s="18">
        <v>0</v>
      </c>
      <c r="X724" s="18">
        <f t="shared" si="95"/>
        <v>0</v>
      </c>
      <c r="Y724" s="12">
        <f t="shared" si="96"/>
        <v>1.27047633725244</v>
      </c>
      <c r="Z724" s="12">
        <f t="shared" si="97"/>
        <v>0</v>
      </c>
      <c r="AA724" s="19">
        <v>4798.03999778505</v>
      </c>
      <c r="AB724" s="19">
        <v>1723.87</v>
      </c>
      <c r="AC724" s="19">
        <v>245.6</v>
      </c>
      <c r="AD724" s="19">
        <v>152.44</v>
      </c>
      <c r="AE724" s="19">
        <v>76.5</v>
      </c>
      <c r="AF724" s="19">
        <v>0.59</v>
      </c>
      <c r="AG724" s="19">
        <v>172.87</v>
      </c>
      <c r="AH724" s="19">
        <v>0.19</v>
      </c>
      <c r="AI724" s="19">
        <v>44.67</v>
      </c>
      <c r="AJ724" s="19">
        <v>930.54</v>
      </c>
      <c r="AK724" s="3">
        <f t="shared" si="93"/>
        <v>1</v>
      </c>
      <c r="AL724" s="3">
        <v>0</v>
      </c>
      <c r="AM724" s="3">
        <f t="shared" si="92"/>
        <v>0</v>
      </c>
    </row>
    <row r="725" spans="1:39">
      <c r="A725" s="7">
        <v>2023</v>
      </c>
      <c r="B725" s="7" t="s">
        <v>66</v>
      </c>
      <c r="C725" s="7">
        <v>0.15488931</v>
      </c>
      <c r="D725" s="7">
        <v>0.021595</v>
      </c>
      <c r="E725" s="7">
        <v>0.007607</v>
      </c>
      <c r="F725" s="7">
        <v>0.0119</v>
      </c>
      <c r="G725" s="7">
        <v>0.006708</v>
      </c>
      <c r="H725" s="7">
        <v>0.007002</v>
      </c>
      <c r="I725" s="7">
        <v>0.021547</v>
      </c>
      <c r="J725" s="7">
        <v>0.013621</v>
      </c>
      <c r="K725" s="16">
        <v>5036.87</v>
      </c>
      <c r="L725" s="17">
        <v>594</v>
      </c>
      <c r="M725" s="16">
        <v>3799.1</v>
      </c>
      <c r="N725" s="7">
        <f t="shared" si="90"/>
        <v>8.47957912457912</v>
      </c>
      <c r="O725" s="7">
        <f t="shared" si="91"/>
        <v>1.32580611197389</v>
      </c>
      <c r="P725" s="8">
        <v>85037859.92</v>
      </c>
      <c r="Q725" s="8">
        <f t="shared" si="94"/>
        <v>2.23836855886921</v>
      </c>
      <c r="R725" s="9">
        <v>4468.2</v>
      </c>
      <c r="S725" s="9">
        <v>8924.1</v>
      </c>
      <c r="T725" s="9">
        <v>13810.1</v>
      </c>
      <c r="U725" s="9">
        <v>54005</v>
      </c>
      <c r="V725" s="18">
        <v>1</v>
      </c>
      <c r="W725" s="18">
        <v>0</v>
      </c>
      <c r="X725" s="18">
        <f t="shared" si="95"/>
        <v>0</v>
      </c>
      <c r="Y725" s="12">
        <f t="shared" si="96"/>
        <v>1.2756783895882</v>
      </c>
      <c r="Z725" s="12">
        <f t="shared" si="97"/>
        <v>0</v>
      </c>
      <c r="AA725" s="12"/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3">
        <f t="shared" si="93"/>
        <v>1</v>
      </c>
      <c r="AL725" s="3">
        <v>0</v>
      </c>
      <c r="AM725" s="3">
        <f t="shared" si="92"/>
        <v>0</v>
      </c>
    </row>
    <row r="726" spans="1:39">
      <c r="A726" s="7">
        <v>2024</v>
      </c>
      <c r="B726" s="7" t="s">
        <v>66</v>
      </c>
      <c r="C726" s="7">
        <v>0.19030883</v>
      </c>
      <c r="D726" s="7">
        <v>0.022711</v>
      </c>
      <c r="E726" s="7">
        <v>0.008731</v>
      </c>
      <c r="F726" s="7">
        <v>0.013124</v>
      </c>
      <c r="G726" s="7">
        <v>0.008688</v>
      </c>
      <c r="H726" s="7">
        <v>0.009357</v>
      </c>
      <c r="I726" s="7">
        <v>0.022531</v>
      </c>
      <c r="J726" s="7">
        <v>0.015567</v>
      </c>
      <c r="K726" s="16">
        <v>5163.91</v>
      </c>
      <c r="L726" s="17">
        <v>593</v>
      </c>
      <c r="M726" s="16">
        <v>3950.8</v>
      </c>
      <c r="N726" s="7">
        <f t="shared" si="90"/>
        <v>8.70811129848229</v>
      </c>
      <c r="O726" s="7">
        <f t="shared" si="91"/>
        <v>1.30705426749013</v>
      </c>
      <c r="P726" s="8">
        <v>88102436.97</v>
      </c>
      <c r="Q726" s="8">
        <f t="shared" si="94"/>
        <v>2.22998979877493</v>
      </c>
      <c r="R726" s="9">
        <v>4751.5</v>
      </c>
      <c r="S726" s="9">
        <v>9301</v>
      </c>
      <c r="T726" s="9">
        <v>14596.9</v>
      </c>
      <c r="U726" s="9">
        <v>57071</v>
      </c>
      <c r="V726" s="18">
        <v>1</v>
      </c>
      <c r="W726" s="18">
        <v>0</v>
      </c>
      <c r="X726" s="18">
        <f t="shared" si="95"/>
        <v>0</v>
      </c>
      <c r="Y726" s="12">
        <f t="shared" si="96"/>
        <v>1.21200651315194</v>
      </c>
      <c r="Z726" s="12">
        <f t="shared" si="97"/>
        <v>0</v>
      </c>
      <c r="AA726" s="12"/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3">
        <f t="shared" si="93"/>
        <v>1</v>
      </c>
      <c r="AL726" s="3">
        <v>0</v>
      </c>
      <c r="AM726" s="3">
        <f t="shared" si="92"/>
        <v>0</v>
      </c>
    </row>
    <row r="727" spans="1:39">
      <c r="A727" s="7">
        <v>2000</v>
      </c>
      <c r="B727" s="7" t="s">
        <v>67</v>
      </c>
      <c r="C727" s="7">
        <v>0.18414008</v>
      </c>
      <c r="D727" s="7">
        <v>0.030745</v>
      </c>
      <c r="E727" s="7">
        <v>0.007925</v>
      </c>
      <c r="F727" s="7">
        <v>0.013383</v>
      </c>
      <c r="G727" s="7">
        <v>0.00445</v>
      </c>
      <c r="H727" s="7">
        <v>0.004987</v>
      </c>
      <c r="I727" s="7">
        <v>0.036209</v>
      </c>
      <c r="J727" s="7">
        <v>0.019945</v>
      </c>
      <c r="K727" s="16">
        <v>6166</v>
      </c>
      <c r="L727" s="17">
        <v>3807</v>
      </c>
      <c r="M727" s="16">
        <v>3253</v>
      </c>
      <c r="N727" s="7">
        <f t="shared" si="90"/>
        <v>1.61964801681114</v>
      </c>
      <c r="O727" s="7">
        <f t="shared" si="91"/>
        <v>1.89548109437442</v>
      </c>
      <c r="P727" s="8">
        <v>104631228.7</v>
      </c>
      <c r="Q727" s="8">
        <f t="shared" si="94"/>
        <v>3.21645338764218</v>
      </c>
      <c r="R727" s="9">
        <v>631</v>
      </c>
      <c r="S727" s="9">
        <v>3287.1</v>
      </c>
      <c r="T727" s="9">
        <v>2246.7</v>
      </c>
      <c r="U727" s="9">
        <v>13467</v>
      </c>
      <c r="V727" s="18">
        <v>0</v>
      </c>
      <c r="W727" s="18">
        <v>0</v>
      </c>
      <c r="X727" s="18">
        <f t="shared" si="95"/>
        <v>0</v>
      </c>
      <c r="Y727" s="12">
        <f t="shared" si="96"/>
        <v>4.53658228674969</v>
      </c>
      <c r="Z727" s="12">
        <f t="shared" si="97"/>
        <v>0.290996352686757</v>
      </c>
      <c r="AA727" s="19">
        <v>6166.15</v>
      </c>
      <c r="AB727" s="19">
        <v>5815.15</v>
      </c>
      <c r="AC727" s="19">
        <v>72.83</v>
      </c>
      <c r="AD727" s="19">
        <v>1601.27</v>
      </c>
      <c r="AE727" s="19">
        <v>244.04</v>
      </c>
      <c r="AF727" s="19">
        <v>8.74</v>
      </c>
      <c r="AG727" s="19">
        <v>409.71</v>
      </c>
      <c r="AH727" s="19">
        <v>135.38</v>
      </c>
      <c r="AI727" s="19">
        <v>23.04</v>
      </c>
      <c r="AJ727" s="19">
        <v>442.28</v>
      </c>
      <c r="AK727" s="3">
        <f t="shared" si="93"/>
        <v>0</v>
      </c>
      <c r="AL727" s="3">
        <v>0</v>
      </c>
      <c r="AM727" s="3">
        <f t="shared" si="92"/>
        <v>0</v>
      </c>
    </row>
    <row r="728" spans="1:39">
      <c r="A728" s="7">
        <v>2001</v>
      </c>
      <c r="B728" s="7" t="s">
        <v>67</v>
      </c>
      <c r="C728" s="7">
        <v>0.20015734</v>
      </c>
      <c r="D728" s="7">
        <v>0.038943</v>
      </c>
      <c r="E728" s="7">
        <v>0.010002</v>
      </c>
      <c r="F728" s="7">
        <v>0.017587</v>
      </c>
      <c r="G728" s="7">
        <v>0.0063</v>
      </c>
      <c r="H728" s="7">
        <v>0.005054</v>
      </c>
      <c r="I728" s="7">
        <v>0.031511</v>
      </c>
      <c r="J728" s="7">
        <v>0.016376</v>
      </c>
      <c r="K728" s="16">
        <v>6037</v>
      </c>
      <c r="L728" s="17">
        <v>3811</v>
      </c>
      <c r="M728" s="16">
        <v>3390.13</v>
      </c>
      <c r="N728" s="7">
        <f t="shared" si="90"/>
        <v>1.58409866176856</v>
      </c>
      <c r="O728" s="7">
        <f t="shared" si="91"/>
        <v>1.78075767005985</v>
      </c>
      <c r="P728" s="8">
        <v>107718689.8</v>
      </c>
      <c r="Q728" s="8">
        <f t="shared" si="94"/>
        <v>3.17742062398787</v>
      </c>
      <c r="R728" s="9">
        <v>659.8</v>
      </c>
      <c r="S728" s="9">
        <v>3590.1</v>
      </c>
      <c r="T728" s="9">
        <v>2677.9</v>
      </c>
      <c r="U728" s="9">
        <v>14726</v>
      </c>
      <c r="V728" s="18">
        <v>0</v>
      </c>
      <c r="W728" s="18">
        <v>0</v>
      </c>
      <c r="X728" s="18">
        <f t="shared" si="95"/>
        <v>0</v>
      </c>
      <c r="Y728" s="12">
        <f t="shared" si="96"/>
        <v>4.16809156222866</v>
      </c>
      <c r="Z728" s="12">
        <f t="shared" si="97"/>
        <v>0.237679744662588</v>
      </c>
      <c r="AA728" s="19">
        <v>6037</v>
      </c>
      <c r="AB728" s="19">
        <v>5537</v>
      </c>
      <c r="AC728" s="19">
        <v>90.44</v>
      </c>
      <c r="AD728" s="19">
        <v>1615.5</v>
      </c>
      <c r="AE728" s="19">
        <v>269.84</v>
      </c>
      <c r="AF728" s="19">
        <v>7.91</v>
      </c>
      <c r="AG728" s="19">
        <v>391.02</v>
      </c>
      <c r="AH728" s="19">
        <v>88.74</v>
      </c>
      <c r="AI728" s="19">
        <v>22.03</v>
      </c>
      <c r="AJ728" s="19">
        <v>468.13</v>
      </c>
      <c r="AK728" s="3">
        <f t="shared" si="93"/>
        <v>0</v>
      </c>
      <c r="AL728" s="3">
        <v>0</v>
      </c>
      <c r="AM728" s="3">
        <f t="shared" si="92"/>
        <v>0</v>
      </c>
    </row>
    <row r="729" spans="1:39">
      <c r="A729" s="7">
        <v>2002</v>
      </c>
      <c r="B729" s="7" t="s">
        <v>67</v>
      </c>
      <c r="C729" s="7">
        <v>0.21091106</v>
      </c>
      <c r="D729" s="7">
        <v>0.037667</v>
      </c>
      <c r="E729" s="7">
        <v>0.009433</v>
      </c>
      <c r="F729" s="7">
        <v>0.017179</v>
      </c>
      <c r="G729" s="7">
        <v>0.006093</v>
      </c>
      <c r="H729" s="7">
        <v>0.004963</v>
      </c>
      <c r="I729" s="7">
        <v>0.037933</v>
      </c>
      <c r="J729" s="7">
        <v>0.018977</v>
      </c>
      <c r="K729" s="16">
        <v>6004</v>
      </c>
      <c r="L729" s="17">
        <v>3813</v>
      </c>
      <c r="M729" s="16">
        <v>3637.2</v>
      </c>
      <c r="N729" s="7">
        <f t="shared" si="90"/>
        <v>1.57461316548649</v>
      </c>
      <c r="O729" s="7">
        <f t="shared" si="91"/>
        <v>1.65072033432311</v>
      </c>
      <c r="P729" s="8">
        <v>115810325.4</v>
      </c>
      <c r="Q729" s="8">
        <f t="shared" si="94"/>
        <v>3.18405161662818</v>
      </c>
      <c r="R729" s="9">
        <v>685.2</v>
      </c>
      <c r="S729" s="9">
        <v>4112.9</v>
      </c>
      <c r="T729" s="9">
        <v>3242.6</v>
      </c>
      <c r="U729" s="9">
        <v>16918</v>
      </c>
      <c r="V729" s="18">
        <v>0</v>
      </c>
      <c r="W729" s="18">
        <v>0</v>
      </c>
      <c r="X729" s="18">
        <f t="shared" si="95"/>
        <v>0</v>
      </c>
      <c r="Y729" s="12">
        <f t="shared" si="96"/>
        <v>4.06804884448575</v>
      </c>
      <c r="Z729" s="12">
        <f t="shared" si="97"/>
        <v>0.217302510773889</v>
      </c>
      <c r="AA729" s="19">
        <v>6004</v>
      </c>
      <c r="AB729" s="19">
        <v>5543</v>
      </c>
      <c r="AC729" s="19">
        <v>79.77</v>
      </c>
      <c r="AD729" s="19">
        <v>1586.16</v>
      </c>
      <c r="AE729" s="19">
        <v>258.57</v>
      </c>
      <c r="AF729" s="19">
        <v>10.61</v>
      </c>
      <c r="AG729" s="19">
        <v>403.39</v>
      </c>
      <c r="AH729" s="19">
        <v>76.77</v>
      </c>
      <c r="AI729" s="19">
        <v>20.22</v>
      </c>
      <c r="AJ729" s="19">
        <v>463.02</v>
      </c>
      <c r="AK729" s="3">
        <f t="shared" si="93"/>
        <v>0</v>
      </c>
      <c r="AL729" s="3">
        <v>0</v>
      </c>
      <c r="AM729" s="3">
        <f t="shared" si="92"/>
        <v>0</v>
      </c>
    </row>
    <row r="730" spans="1:39">
      <c r="A730" s="7">
        <v>2003</v>
      </c>
      <c r="B730" s="7" t="s">
        <v>67</v>
      </c>
      <c r="C730" s="7">
        <v>0.21522489</v>
      </c>
      <c r="D730" s="7">
        <v>0.039545</v>
      </c>
      <c r="E730" s="7">
        <v>0.0098</v>
      </c>
      <c r="F730" s="7">
        <v>0.017645</v>
      </c>
      <c r="G730" s="7">
        <v>0.005469</v>
      </c>
      <c r="H730" s="7">
        <v>0.006631</v>
      </c>
      <c r="I730" s="7">
        <v>0.036604</v>
      </c>
      <c r="J730" s="7">
        <v>0.017555</v>
      </c>
      <c r="K730" s="16">
        <v>6714</v>
      </c>
      <c r="L730" s="17">
        <v>3815</v>
      </c>
      <c r="M730" s="16">
        <v>4057.4</v>
      </c>
      <c r="N730" s="7">
        <f t="shared" ref="N730:N751" si="98">K730/L730</f>
        <v>1.75989515072084</v>
      </c>
      <c r="O730" s="7">
        <f t="shared" ref="O730:O751" si="99">K730/M730</f>
        <v>1.65475427613743</v>
      </c>
      <c r="P730" s="8">
        <v>125977128</v>
      </c>
      <c r="Q730" s="8">
        <f t="shared" si="94"/>
        <v>3.10487326859565</v>
      </c>
      <c r="R730" s="9">
        <v>717.9</v>
      </c>
      <c r="S730" s="9">
        <v>5126.3</v>
      </c>
      <c r="T730" s="9">
        <v>3909.3</v>
      </c>
      <c r="U730" s="9">
        <v>20249</v>
      </c>
      <c r="V730" s="18">
        <v>0</v>
      </c>
      <c r="W730" s="18">
        <v>0</v>
      </c>
      <c r="X730" s="18">
        <f t="shared" si="95"/>
        <v>0</v>
      </c>
      <c r="Y730" s="12">
        <f t="shared" si="96"/>
        <v>4.08414499624993</v>
      </c>
      <c r="Z730" s="12">
        <f t="shared" si="97"/>
        <v>0.239773986612486</v>
      </c>
      <c r="AA730" s="19">
        <v>6713.52</v>
      </c>
      <c r="AB730" s="19">
        <v>6490.46</v>
      </c>
      <c r="AC730" s="19">
        <v>105.99</v>
      </c>
      <c r="AD730" s="19">
        <v>1619.14</v>
      </c>
      <c r="AE730" s="19">
        <v>310.17</v>
      </c>
      <c r="AF730" s="19">
        <v>7.06</v>
      </c>
      <c r="AG730" s="19">
        <v>419.58</v>
      </c>
      <c r="AH730" s="19">
        <v>63.32</v>
      </c>
      <c r="AI730" s="19">
        <v>20.96</v>
      </c>
      <c r="AJ730" s="19">
        <v>503.63</v>
      </c>
      <c r="AK730" s="3">
        <f t="shared" si="93"/>
        <v>0</v>
      </c>
      <c r="AL730" s="3">
        <v>0</v>
      </c>
      <c r="AM730" s="3">
        <f t="shared" si="92"/>
        <v>0</v>
      </c>
    </row>
    <row r="731" spans="1:39">
      <c r="A731" s="7">
        <v>2004</v>
      </c>
      <c r="B731" s="7" t="s">
        <v>67</v>
      </c>
      <c r="C731" s="7">
        <v>0.22077786</v>
      </c>
      <c r="D731" s="7">
        <v>0.039883</v>
      </c>
      <c r="E731" s="7">
        <v>0.010444</v>
      </c>
      <c r="F731" s="7">
        <v>0.018106</v>
      </c>
      <c r="G731" s="7">
        <v>0.005306</v>
      </c>
      <c r="H731" s="7">
        <v>0.006028</v>
      </c>
      <c r="I731" s="7">
        <v>0.03828</v>
      </c>
      <c r="J731" s="7">
        <v>0.019011</v>
      </c>
      <c r="K731" s="16">
        <v>7466</v>
      </c>
      <c r="L731" s="17">
        <v>3816.8</v>
      </c>
      <c r="M731" s="16">
        <v>4750.6</v>
      </c>
      <c r="N731" s="7">
        <f t="shared" si="98"/>
        <v>1.95608887025781</v>
      </c>
      <c r="O731" s="7">
        <f t="shared" si="99"/>
        <v>1.57159095693176</v>
      </c>
      <c r="P731" s="8">
        <v>135016521.4</v>
      </c>
      <c r="Q731" s="8">
        <f t="shared" si="94"/>
        <v>2.84209408074769</v>
      </c>
      <c r="R731" s="9">
        <v>803.8</v>
      </c>
      <c r="S731" s="9">
        <v>6160.4</v>
      </c>
      <c r="T731" s="9">
        <v>4517.9</v>
      </c>
      <c r="U731" s="9">
        <v>23476</v>
      </c>
      <c r="V731" s="18">
        <v>0</v>
      </c>
      <c r="W731" s="18">
        <v>0</v>
      </c>
      <c r="X731" s="18">
        <f t="shared" si="95"/>
        <v>0</v>
      </c>
      <c r="Y731" s="12">
        <f t="shared" si="96"/>
        <v>3.89549779892895</v>
      </c>
      <c r="Z731" s="12">
        <f t="shared" si="97"/>
        <v>0.27041568820059</v>
      </c>
      <c r="AA731" s="19">
        <v>7465.67</v>
      </c>
      <c r="AB731" s="19">
        <v>7347.39</v>
      </c>
      <c r="AC731" s="19">
        <v>97.34</v>
      </c>
      <c r="AD731" s="19">
        <v>1616.07</v>
      </c>
      <c r="AE731" s="19">
        <v>321.58</v>
      </c>
      <c r="AF731" s="19">
        <v>8.94</v>
      </c>
      <c r="AG731" s="19">
        <v>460.4</v>
      </c>
      <c r="AH731" s="19">
        <v>47.68</v>
      </c>
      <c r="AI731" s="19">
        <v>20.34</v>
      </c>
      <c r="AJ731" s="19">
        <v>541.65</v>
      </c>
      <c r="AK731" s="3">
        <f t="shared" si="93"/>
        <v>0</v>
      </c>
      <c r="AL731" s="3">
        <v>0</v>
      </c>
      <c r="AM731" s="3">
        <f t="shared" si="92"/>
        <v>0</v>
      </c>
    </row>
    <row r="732" spans="1:39">
      <c r="A732" s="7">
        <v>2005</v>
      </c>
      <c r="B732" s="7" t="s">
        <v>67</v>
      </c>
      <c r="C732" s="7">
        <v>0.23379563</v>
      </c>
      <c r="D732" s="7">
        <v>0.039522</v>
      </c>
      <c r="E732" s="7">
        <v>0.009908</v>
      </c>
      <c r="F732" s="7">
        <v>0.017688</v>
      </c>
      <c r="G732" s="7">
        <v>0.005359</v>
      </c>
      <c r="H732" s="7">
        <v>0.006567</v>
      </c>
      <c r="I732" s="7">
        <v>0.042308</v>
      </c>
      <c r="J732" s="7">
        <v>0.021718</v>
      </c>
      <c r="K732" s="16">
        <v>8050</v>
      </c>
      <c r="L732" s="17">
        <v>3819.95</v>
      </c>
      <c r="M732" s="16">
        <v>5513.7</v>
      </c>
      <c r="N732" s="7">
        <f t="shared" si="98"/>
        <v>2.10735742614432</v>
      </c>
      <c r="O732" s="7">
        <f t="shared" si="99"/>
        <v>1.45999963726717</v>
      </c>
      <c r="P732" s="8">
        <v>143037975.9</v>
      </c>
      <c r="Q732" s="8">
        <f t="shared" si="94"/>
        <v>2.59422848359541</v>
      </c>
      <c r="R732" s="9">
        <v>881.5</v>
      </c>
      <c r="S732" s="9">
        <v>6953.7</v>
      </c>
      <c r="T732" s="9">
        <v>5193.2</v>
      </c>
      <c r="U732" s="9">
        <v>26277</v>
      </c>
      <c r="V732" s="18">
        <v>0</v>
      </c>
      <c r="W732" s="18">
        <v>0</v>
      </c>
      <c r="X732" s="18">
        <f t="shared" si="95"/>
        <v>0</v>
      </c>
      <c r="Y732" s="12">
        <f t="shared" si="96"/>
        <v>3.71995059106252</v>
      </c>
      <c r="Z732" s="12">
        <f t="shared" si="97"/>
        <v>0.302617489106374</v>
      </c>
      <c r="AA732" s="19">
        <v>8026.2</v>
      </c>
      <c r="AB732" s="19">
        <v>8559.73</v>
      </c>
      <c r="AC732" s="19">
        <v>142.06</v>
      </c>
      <c r="AD732" s="19">
        <v>1785.01</v>
      </c>
      <c r="AE732" s="19">
        <v>312.19</v>
      </c>
      <c r="AF732" s="19">
        <v>7.28</v>
      </c>
      <c r="AG732" s="19">
        <v>473.05</v>
      </c>
      <c r="AH732" s="19">
        <v>39.89</v>
      </c>
      <c r="AI732" s="19">
        <v>24.43</v>
      </c>
      <c r="AJ732" s="19">
        <v>555.85</v>
      </c>
      <c r="AK732" s="3">
        <f t="shared" si="93"/>
        <v>0</v>
      </c>
      <c r="AL732" s="3">
        <v>0</v>
      </c>
      <c r="AM732" s="3">
        <f t="shared" si="92"/>
        <v>0</v>
      </c>
    </row>
    <row r="733" spans="1:39">
      <c r="A733" s="7">
        <v>2006</v>
      </c>
      <c r="B733" s="7" t="s">
        <v>67</v>
      </c>
      <c r="C733" s="7">
        <v>0.26452867</v>
      </c>
      <c r="D733" s="7">
        <v>0.045176</v>
      </c>
      <c r="E733" s="7">
        <v>0.010694</v>
      </c>
      <c r="F733" s="7">
        <v>0.020423</v>
      </c>
      <c r="G733" s="7">
        <v>0.006751</v>
      </c>
      <c r="H733" s="7">
        <v>0.007308</v>
      </c>
      <c r="I733" s="7">
        <v>0.044475</v>
      </c>
      <c r="J733" s="7">
        <v>0.023159</v>
      </c>
      <c r="K733" s="16">
        <v>8731</v>
      </c>
      <c r="L733" s="17">
        <v>3823.01</v>
      </c>
      <c r="M733" s="16">
        <v>6211.8</v>
      </c>
      <c r="N733" s="7">
        <f t="shared" si="98"/>
        <v>2.28380255348534</v>
      </c>
      <c r="O733" s="7">
        <f t="shared" si="99"/>
        <v>1.40555072603754</v>
      </c>
      <c r="P733" s="8">
        <v>148457228</v>
      </c>
      <c r="Q733" s="8">
        <f t="shared" si="94"/>
        <v>2.38992285649892</v>
      </c>
      <c r="R733" s="9">
        <v>913.2</v>
      </c>
      <c r="S733" s="9">
        <v>8295.7</v>
      </c>
      <c r="T733" s="9">
        <v>6093.9</v>
      </c>
      <c r="U733" s="9">
        <v>30415</v>
      </c>
      <c r="V733" s="18">
        <v>0</v>
      </c>
      <c r="W733" s="18">
        <v>0</v>
      </c>
      <c r="X733" s="18">
        <f t="shared" si="95"/>
        <v>0</v>
      </c>
      <c r="Y733" s="12">
        <f t="shared" si="96"/>
        <v>3.57740717995078</v>
      </c>
      <c r="Z733" s="12">
        <f t="shared" si="97"/>
        <v>0.331939939659929</v>
      </c>
      <c r="AA733" s="19">
        <v>8727.5</v>
      </c>
      <c r="AB733" s="19">
        <v>9025.04</v>
      </c>
      <c r="AC733" s="19">
        <v>210.7</v>
      </c>
      <c r="AD733" s="19">
        <v>1850.06</v>
      </c>
      <c r="AE733" s="19">
        <v>345.32</v>
      </c>
      <c r="AF733" s="19">
        <v>10.25</v>
      </c>
      <c r="AG733" s="19">
        <v>477.83</v>
      </c>
      <c r="AH733" s="19">
        <v>44.34</v>
      </c>
      <c r="AI733" s="19">
        <v>24.53</v>
      </c>
      <c r="AJ733" s="19">
        <v>596.86</v>
      </c>
      <c r="AK733" s="3">
        <f t="shared" si="93"/>
        <v>0</v>
      </c>
      <c r="AL733" s="3">
        <v>0</v>
      </c>
      <c r="AM733" s="3">
        <f t="shared" si="92"/>
        <v>0</v>
      </c>
    </row>
    <row r="734" spans="1:39">
      <c r="A734" s="7">
        <v>2007</v>
      </c>
      <c r="B734" s="7" t="s">
        <v>67</v>
      </c>
      <c r="C734" s="7">
        <v>0.2610223</v>
      </c>
      <c r="D734" s="7">
        <v>0.045032</v>
      </c>
      <c r="E734" s="7">
        <v>0.010504</v>
      </c>
      <c r="F734" s="7">
        <v>0.020179</v>
      </c>
      <c r="G734" s="7">
        <v>0.006537</v>
      </c>
      <c r="H734" s="7">
        <v>0.007812</v>
      </c>
      <c r="I734" s="7">
        <v>0.046729</v>
      </c>
      <c r="J734" s="7">
        <v>0.02027</v>
      </c>
      <c r="K734" s="16">
        <v>9377</v>
      </c>
      <c r="L734" s="17">
        <v>3824.03</v>
      </c>
      <c r="M734" s="16">
        <v>7104</v>
      </c>
      <c r="N734" s="7">
        <f t="shared" si="98"/>
        <v>2.45212511408122</v>
      </c>
      <c r="O734" s="7">
        <f t="shared" si="99"/>
        <v>1.31996058558559</v>
      </c>
      <c r="P734" s="8">
        <v>156486072.1</v>
      </c>
      <c r="Q734" s="8">
        <f t="shared" si="94"/>
        <v>2.20278817708333</v>
      </c>
      <c r="R734" s="9">
        <v>969.3</v>
      </c>
      <c r="S734" s="9">
        <v>10122.7</v>
      </c>
      <c r="T734" s="9">
        <v>7547.9</v>
      </c>
      <c r="U734" s="9">
        <v>36454</v>
      </c>
      <c r="V734" s="18">
        <v>0</v>
      </c>
      <c r="W734" s="18">
        <v>0</v>
      </c>
      <c r="X734" s="18">
        <f t="shared" si="95"/>
        <v>0</v>
      </c>
      <c r="Y734" s="12">
        <f t="shared" si="96"/>
        <v>3.23986794305777</v>
      </c>
      <c r="Z734" s="12">
        <f t="shared" si="97"/>
        <v>0.320099394235077</v>
      </c>
      <c r="AA734" s="19">
        <v>9374.49</v>
      </c>
      <c r="AB734" s="19">
        <v>9852.64</v>
      </c>
      <c r="AC734" s="19">
        <v>226.92</v>
      </c>
      <c r="AD734" s="19">
        <v>1886.02</v>
      </c>
      <c r="AE734" s="19">
        <v>376.01</v>
      </c>
      <c r="AF734" s="19">
        <v>3.85</v>
      </c>
      <c r="AG734" s="19">
        <v>497.81</v>
      </c>
      <c r="AH734" s="19">
        <v>47.19</v>
      </c>
      <c r="AI734" s="19">
        <v>30.7</v>
      </c>
      <c r="AJ734" s="19">
        <v>642.94</v>
      </c>
      <c r="AK734" s="3">
        <f t="shared" si="93"/>
        <v>0</v>
      </c>
      <c r="AL734" s="3">
        <v>0</v>
      </c>
      <c r="AM734" s="3">
        <f t="shared" ref="AM734:AM751" si="100">AK734*AL734</f>
        <v>0</v>
      </c>
    </row>
    <row r="735" spans="1:39">
      <c r="A735" s="7">
        <v>2008</v>
      </c>
      <c r="B735" s="7" t="s">
        <v>67</v>
      </c>
      <c r="C735" s="7">
        <v>0.25557237</v>
      </c>
      <c r="D735" s="7">
        <v>0.042577</v>
      </c>
      <c r="E735" s="7">
        <v>0.010598</v>
      </c>
      <c r="F735" s="7">
        <v>0.019167</v>
      </c>
      <c r="G735" s="7">
        <v>0.006454</v>
      </c>
      <c r="H735" s="7">
        <v>0.006357</v>
      </c>
      <c r="I735" s="7">
        <v>0.048084</v>
      </c>
      <c r="J735" s="7">
        <v>0.022123</v>
      </c>
      <c r="K735" s="16">
        <v>9979</v>
      </c>
      <c r="L735" s="17">
        <v>3825.04</v>
      </c>
      <c r="M735" s="16">
        <v>8314.37</v>
      </c>
      <c r="N735" s="7">
        <f t="shared" si="98"/>
        <v>2.60886160667601</v>
      </c>
      <c r="O735" s="7">
        <f t="shared" si="99"/>
        <v>1.2002112006081</v>
      </c>
      <c r="P735" s="8">
        <v>159109128.9</v>
      </c>
      <c r="Q735" s="8">
        <f t="shared" si="94"/>
        <v>1.91366428123839</v>
      </c>
      <c r="R735" s="9">
        <v>1073.3</v>
      </c>
      <c r="S735" s="9">
        <v>11512.7</v>
      </c>
      <c r="T735" s="9">
        <v>8698.6</v>
      </c>
      <c r="U735" s="9">
        <v>41061</v>
      </c>
      <c r="V735" s="18">
        <v>0</v>
      </c>
      <c r="W735" s="18">
        <v>0</v>
      </c>
      <c r="X735" s="18">
        <f t="shared" si="95"/>
        <v>0</v>
      </c>
      <c r="Y735" s="12">
        <f t="shared" si="96"/>
        <v>2.71728515287532</v>
      </c>
      <c r="Z735" s="12">
        <f t="shared" si="97"/>
        <v>0.295744033630983</v>
      </c>
      <c r="AA735" s="19">
        <v>9979</v>
      </c>
      <c r="AB735" s="19">
        <v>11204</v>
      </c>
      <c r="AC735" s="19">
        <v>227.3</v>
      </c>
      <c r="AD735" s="19">
        <v>1735.97</v>
      </c>
      <c r="AE735" s="19">
        <v>278.97</v>
      </c>
      <c r="AF735" s="19">
        <v>0.51</v>
      </c>
      <c r="AG735" s="19">
        <v>440.54</v>
      </c>
      <c r="AH735" s="19">
        <v>69.86</v>
      </c>
      <c r="AI735" s="19">
        <v>31.47</v>
      </c>
      <c r="AJ735" s="19">
        <v>697.1</v>
      </c>
      <c r="AK735" s="3">
        <f t="shared" ref="AK735:AK751" si="101">IF(A735&gt;=2013,1,0)</f>
        <v>0</v>
      </c>
      <c r="AL735" s="3">
        <v>0</v>
      </c>
      <c r="AM735" s="3">
        <f t="shared" si="100"/>
        <v>0</v>
      </c>
    </row>
    <row r="736" spans="1:39">
      <c r="A736" s="7">
        <v>2009</v>
      </c>
      <c r="B736" s="7" t="s">
        <v>67</v>
      </c>
      <c r="C736" s="7">
        <v>0.26818438</v>
      </c>
      <c r="D736" s="7">
        <v>0.044466</v>
      </c>
      <c r="E736" s="7">
        <v>0.011466</v>
      </c>
      <c r="F736" s="7">
        <v>0.020066</v>
      </c>
      <c r="G736" s="7">
        <v>0.006336</v>
      </c>
      <c r="H736" s="7">
        <v>0.006597</v>
      </c>
      <c r="I736" s="7">
        <v>0.046458</v>
      </c>
      <c r="J736" s="7">
        <v>0.025233</v>
      </c>
      <c r="K736" s="16">
        <v>10467</v>
      </c>
      <c r="L736" s="17">
        <v>3826.01</v>
      </c>
      <c r="M736" s="16">
        <v>8587</v>
      </c>
      <c r="N736" s="7">
        <f t="shared" si="98"/>
        <v>2.73574820766281</v>
      </c>
      <c r="O736" s="7">
        <f t="shared" si="99"/>
        <v>1.21893560032607</v>
      </c>
      <c r="P736" s="8">
        <v>162351083.9</v>
      </c>
      <c r="Q736" s="8">
        <f t="shared" si="94"/>
        <v>1.89066127751252</v>
      </c>
      <c r="R736" s="9">
        <v>1134.7</v>
      </c>
      <c r="S736" s="9">
        <v>11882.4</v>
      </c>
      <c r="T736" s="9">
        <v>9816.7</v>
      </c>
      <c r="U736" s="9">
        <v>43543</v>
      </c>
      <c r="V736" s="18">
        <v>0</v>
      </c>
      <c r="W736" s="18">
        <v>0</v>
      </c>
      <c r="X736" s="18">
        <f t="shared" si="95"/>
        <v>0</v>
      </c>
      <c r="Y736" s="12">
        <f t="shared" si="96"/>
        <v>2.66960201713366</v>
      </c>
      <c r="Z736" s="12">
        <f t="shared" si="97"/>
        <v>0.291781596890417</v>
      </c>
      <c r="AA736" s="19">
        <v>10467</v>
      </c>
      <c r="AB736" s="19">
        <v>11050</v>
      </c>
      <c r="AC736" s="19">
        <v>321.9</v>
      </c>
      <c r="AD736" s="19">
        <v>2065.13</v>
      </c>
      <c r="AE736" s="19">
        <v>319.4</v>
      </c>
      <c r="AF736" s="19">
        <v>0.31</v>
      </c>
      <c r="AG736" s="19">
        <v>512.63</v>
      </c>
      <c r="AH736" s="19">
        <v>88.18</v>
      </c>
      <c r="AI736" s="19">
        <v>30</v>
      </c>
      <c r="AJ736" s="19">
        <v>688.66</v>
      </c>
      <c r="AK736" s="3">
        <f t="shared" si="101"/>
        <v>0</v>
      </c>
      <c r="AL736" s="3">
        <v>0</v>
      </c>
      <c r="AM736" s="3">
        <f t="shared" si="100"/>
        <v>0</v>
      </c>
    </row>
    <row r="737" spans="1:39">
      <c r="A737" s="7">
        <v>2010</v>
      </c>
      <c r="B737" s="7" t="s">
        <v>67</v>
      </c>
      <c r="C737" s="7">
        <v>0.29158898</v>
      </c>
      <c r="D737" s="7">
        <v>0.04977</v>
      </c>
      <c r="E737" s="7">
        <v>0.012325</v>
      </c>
      <c r="F737" s="7">
        <v>0.022035</v>
      </c>
      <c r="G737" s="7">
        <v>0.007119</v>
      </c>
      <c r="H737" s="7">
        <v>0.008291</v>
      </c>
      <c r="I737" s="7">
        <v>0.050395</v>
      </c>
      <c r="J737" s="7">
        <v>0.02248</v>
      </c>
      <c r="K737" s="16">
        <v>11234</v>
      </c>
      <c r="L737" s="17">
        <v>3833.35</v>
      </c>
      <c r="M737" s="16">
        <v>10368.6</v>
      </c>
      <c r="N737" s="7">
        <f t="shared" si="98"/>
        <v>2.93059595393064</v>
      </c>
      <c r="O737" s="7">
        <f t="shared" si="99"/>
        <v>1.0834635341319</v>
      </c>
      <c r="P737" s="8">
        <v>172995549.7</v>
      </c>
      <c r="Q737" s="8">
        <f t="shared" si="94"/>
        <v>1.66845620141581</v>
      </c>
      <c r="R737" s="9">
        <v>1322.9</v>
      </c>
      <c r="S737" s="9">
        <v>14140.9</v>
      </c>
      <c r="T737" s="9">
        <v>11936.1</v>
      </c>
      <c r="U737" s="9">
        <v>51110</v>
      </c>
      <c r="V737" s="18">
        <v>0</v>
      </c>
      <c r="W737" s="18">
        <v>0</v>
      </c>
      <c r="X737" s="18">
        <f t="shared" si="95"/>
        <v>0</v>
      </c>
      <c r="Y737" s="12">
        <f t="shared" si="96"/>
        <v>2.40850270516871</v>
      </c>
      <c r="Z737" s="12">
        <f t="shared" si="97"/>
        <v>0.307264136413357</v>
      </c>
      <c r="AA737" s="19">
        <v>11233.51</v>
      </c>
      <c r="AB737" s="19">
        <v>12219.13</v>
      </c>
      <c r="AC737" s="19">
        <v>271.33</v>
      </c>
      <c r="AD737" s="19">
        <v>2106.53</v>
      </c>
      <c r="AE737" s="19">
        <v>363.79</v>
      </c>
      <c r="AF737" s="19">
        <v>24.06</v>
      </c>
      <c r="AG737" s="19">
        <v>598.38</v>
      </c>
      <c r="AH737" s="19">
        <v>88.9</v>
      </c>
      <c r="AI737" s="19">
        <v>29.9</v>
      </c>
      <c r="AJ737" s="19">
        <v>747.84</v>
      </c>
      <c r="AK737" s="3">
        <f t="shared" si="101"/>
        <v>0</v>
      </c>
      <c r="AL737" s="3">
        <v>0</v>
      </c>
      <c r="AM737" s="3">
        <f t="shared" si="100"/>
        <v>0</v>
      </c>
    </row>
    <row r="738" spans="1:39">
      <c r="A738" s="7">
        <v>2011</v>
      </c>
      <c r="B738" s="7" t="s">
        <v>67</v>
      </c>
      <c r="C738" s="7">
        <v>0.31314926</v>
      </c>
      <c r="D738" s="7">
        <v>0.050438</v>
      </c>
      <c r="E738" s="7">
        <v>0.012749</v>
      </c>
      <c r="F738" s="7">
        <v>0.023349</v>
      </c>
      <c r="G738" s="7">
        <v>0.007222</v>
      </c>
      <c r="H738" s="7">
        <v>0.007118</v>
      </c>
      <c r="I738" s="7">
        <v>0.054105</v>
      </c>
      <c r="J738" s="7">
        <v>0.02929</v>
      </c>
      <c r="K738" s="16">
        <v>12119</v>
      </c>
      <c r="L738" s="17">
        <v>3782</v>
      </c>
      <c r="M738" s="16">
        <v>12582</v>
      </c>
      <c r="N738" s="7">
        <f t="shared" si="98"/>
        <v>3.20438921205711</v>
      </c>
      <c r="O738" s="7">
        <f t="shared" si="99"/>
        <v>0.963201398823716</v>
      </c>
      <c r="P738" s="8">
        <v>180122851.1</v>
      </c>
      <c r="Q738" s="8">
        <f t="shared" si="94"/>
        <v>1.43159156811318</v>
      </c>
      <c r="R738" s="9">
        <v>1535.2</v>
      </c>
      <c r="S738" s="9">
        <v>16271</v>
      </c>
      <c r="T738" s="9">
        <v>14048.6</v>
      </c>
      <c r="U738" s="9">
        <v>57828</v>
      </c>
      <c r="V738" s="18">
        <v>0</v>
      </c>
      <c r="W738" s="18">
        <v>0</v>
      </c>
      <c r="X738" s="18">
        <f t="shared" si="95"/>
        <v>0</v>
      </c>
      <c r="Y738" s="12">
        <f t="shared" si="96"/>
        <v>2.18035126729488</v>
      </c>
      <c r="Z738" s="12">
        <f t="shared" si="97"/>
        <v>0.343412417261863</v>
      </c>
      <c r="AA738" s="19">
        <v>12119</v>
      </c>
      <c r="AB738" s="19">
        <v>13200</v>
      </c>
      <c r="AC738" s="19">
        <v>272.75</v>
      </c>
      <c r="AD738" s="19">
        <v>2200.93</v>
      </c>
      <c r="AE738" s="19">
        <v>466.56</v>
      </c>
      <c r="AF738" s="19">
        <v>26.47</v>
      </c>
      <c r="AG738" s="19">
        <v>598.02</v>
      </c>
      <c r="AH738" s="19">
        <v>88.92</v>
      </c>
      <c r="AI738" s="19">
        <v>31</v>
      </c>
      <c r="AJ738" s="19">
        <v>817</v>
      </c>
      <c r="AK738" s="3">
        <f t="shared" si="101"/>
        <v>0</v>
      </c>
      <c r="AL738" s="3">
        <v>0</v>
      </c>
      <c r="AM738" s="3">
        <f t="shared" si="100"/>
        <v>0</v>
      </c>
    </row>
    <row r="739" spans="1:39">
      <c r="A739" s="7">
        <v>2012</v>
      </c>
      <c r="B739" s="7" t="s">
        <v>67</v>
      </c>
      <c r="C739" s="7">
        <v>0.33701838</v>
      </c>
      <c r="D739" s="7">
        <v>0.05718</v>
      </c>
      <c r="E739" s="7">
        <v>0.014188</v>
      </c>
      <c r="F739" s="7">
        <v>0.02561</v>
      </c>
      <c r="G739" s="7">
        <v>0.008764</v>
      </c>
      <c r="H739" s="7">
        <v>0.008618</v>
      </c>
      <c r="I739" s="7">
        <v>0.051868</v>
      </c>
      <c r="J739" s="7">
        <v>0.027815</v>
      </c>
      <c r="K739" s="16">
        <v>12758</v>
      </c>
      <c r="L739" s="17">
        <v>3724</v>
      </c>
      <c r="M739" s="16">
        <v>13691.58</v>
      </c>
      <c r="N739" s="7">
        <f t="shared" si="98"/>
        <v>3.42588614393126</v>
      </c>
      <c r="O739" s="7">
        <f t="shared" si="99"/>
        <v>0.93181356717048</v>
      </c>
      <c r="P739" s="8">
        <v>182154710.2</v>
      </c>
      <c r="Q739" s="8">
        <f t="shared" si="94"/>
        <v>1.33041409537833</v>
      </c>
      <c r="R739" s="9">
        <v>1610.8</v>
      </c>
      <c r="S739" s="9">
        <v>17040.5</v>
      </c>
      <c r="T739" s="9">
        <v>15731.1</v>
      </c>
      <c r="U739" s="9">
        <v>61097</v>
      </c>
      <c r="V739" s="18">
        <v>0</v>
      </c>
      <c r="W739" s="18">
        <v>0</v>
      </c>
      <c r="X739" s="18">
        <f t="shared" si="95"/>
        <v>0</v>
      </c>
      <c r="Y739" s="12">
        <f t="shared" si="96"/>
        <v>2.01609935715007</v>
      </c>
      <c r="Z739" s="12">
        <f t="shared" si="97"/>
        <v>0.340104895792942</v>
      </c>
      <c r="AA739" s="19">
        <v>12757.8</v>
      </c>
      <c r="AB739" s="19">
        <v>13965</v>
      </c>
      <c r="AC739" s="19">
        <v>331.09</v>
      </c>
      <c r="AD739" s="19">
        <v>2166.48</v>
      </c>
      <c r="AE739" s="19">
        <v>465.99</v>
      </c>
      <c r="AF739" s="19">
        <v>65.94</v>
      </c>
      <c r="AG739" s="19">
        <v>604.78</v>
      </c>
      <c r="AH739" s="19">
        <v>99.53</v>
      </c>
      <c r="AI739" s="19">
        <v>33.68</v>
      </c>
      <c r="AJ739" s="19">
        <v>827.9</v>
      </c>
      <c r="AK739" s="3">
        <f t="shared" si="101"/>
        <v>0</v>
      </c>
      <c r="AL739" s="3">
        <v>0</v>
      </c>
      <c r="AM739" s="3">
        <f t="shared" si="100"/>
        <v>0</v>
      </c>
    </row>
    <row r="740" spans="1:39">
      <c r="A740" s="7">
        <v>2013</v>
      </c>
      <c r="B740" s="7" t="s">
        <v>67</v>
      </c>
      <c r="C740" s="7">
        <v>0.32604478</v>
      </c>
      <c r="D740" s="7">
        <v>0.05538</v>
      </c>
      <c r="E740" s="7">
        <v>0.013823</v>
      </c>
      <c r="F740" s="7">
        <v>0.024869</v>
      </c>
      <c r="G740" s="7">
        <v>0.008363</v>
      </c>
      <c r="H740" s="7">
        <v>0.008324</v>
      </c>
      <c r="I740" s="7">
        <v>0.051852</v>
      </c>
      <c r="J740" s="7">
        <v>0.026582</v>
      </c>
      <c r="K740" s="16">
        <v>11853</v>
      </c>
      <c r="L740" s="17">
        <v>3666</v>
      </c>
      <c r="M740" s="16">
        <v>14454.91</v>
      </c>
      <c r="N740" s="7">
        <f t="shared" si="98"/>
        <v>3.23322422258592</v>
      </c>
      <c r="O740" s="7">
        <f t="shared" si="99"/>
        <v>0.819998187467096</v>
      </c>
      <c r="P740" s="8">
        <v>187008980.8</v>
      </c>
      <c r="Q740" s="8">
        <f t="shared" si="94"/>
        <v>1.29374019485421</v>
      </c>
      <c r="R740" s="9">
        <v>1718.7</v>
      </c>
      <c r="S740" s="9">
        <v>18162.8</v>
      </c>
      <c r="T740" s="9">
        <v>17453.1</v>
      </c>
      <c r="U740" s="9">
        <v>65105</v>
      </c>
      <c r="V740" s="18">
        <v>0</v>
      </c>
      <c r="W740" s="18">
        <v>0</v>
      </c>
      <c r="X740" s="18">
        <f t="shared" si="95"/>
        <v>0</v>
      </c>
      <c r="Y740" s="12">
        <f t="shared" si="96"/>
        <v>1.91398219724656</v>
      </c>
      <c r="Z740" s="12">
        <f t="shared" si="97"/>
        <v>0.324058396825543</v>
      </c>
      <c r="AA740" s="19">
        <v>11853</v>
      </c>
      <c r="AB740" s="19">
        <v>13266.81</v>
      </c>
      <c r="AC740" s="19">
        <v>337.65</v>
      </c>
      <c r="AD740" s="19">
        <v>2127.02</v>
      </c>
      <c r="AE740" s="19">
        <v>277.59</v>
      </c>
      <c r="AF740" s="19">
        <v>63.97</v>
      </c>
      <c r="AG740" s="19">
        <v>456.94</v>
      </c>
      <c r="AH740" s="19">
        <v>94.15</v>
      </c>
      <c r="AI740" s="19">
        <v>34.77</v>
      </c>
      <c r="AJ740" s="19">
        <v>845.2</v>
      </c>
      <c r="AK740" s="3">
        <f t="shared" si="101"/>
        <v>1</v>
      </c>
      <c r="AL740" s="3">
        <v>0</v>
      </c>
      <c r="AM740" s="3">
        <f t="shared" si="100"/>
        <v>0</v>
      </c>
    </row>
    <row r="741" spans="1:39">
      <c r="A741" s="7">
        <v>2014</v>
      </c>
      <c r="B741" s="7" t="s">
        <v>67</v>
      </c>
      <c r="C741" s="7">
        <v>0.34085175</v>
      </c>
      <c r="D741" s="7">
        <v>0.059898</v>
      </c>
      <c r="E741" s="7">
        <v>0.01464</v>
      </c>
      <c r="F741" s="7">
        <v>0.028032</v>
      </c>
      <c r="G741" s="7">
        <v>0.009188</v>
      </c>
      <c r="H741" s="7">
        <v>0.008038</v>
      </c>
      <c r="I741" s="7">
        <v>0.049742</v>
      </c>
      <c r="J741" s="7">
        <v>0.027532</v>
      </c>
      <c r="K741" s="16">
        <v>11955</v>
      </c>
      <c r="L741" s="17">
        <v>3608</v>
      </c>
      <c r="M741" s="16">
        <v>15039.38</v>
      </c>
      <c r="N741" s="7">
        <f t="shared" si="98"/>
        <v>3.31347006651885</v>
      </c>
      <c r="O741" s="7">
        <f t="shared" si="99"/>
        <v>0.794913088172518</v>
      </c>
      <c r="P741" s="8">
        <v>182368553.5</v>
      </c>
      <c r="Q741" s="8">
        <f t="shared" si="94"/>
        <v>1.2126068594583</v>
      </c>
      <c r="R741" s="9">
        <v>1726.6</v>
      </c>
      <c r="S741" s="9">
        <v>19580.7</v>
      </c>
      <c r="T741" s="9">
        <v>18716.2</v>
      </c>
      <c r="U741" s="9">
        <v>68569</v>
      </c>
      <c r="V741" s="18">
        <v>0</v>
      </c>
      <c r="W741" s="18">
        <v>0</v>
      </c>
      <c r="X741" s="18">
        <f t="shared" si="95"/>
        <v>0</v>
      </c>
      <c r="Y741" s="12">
        <f t="shared" si="96"/>
        <v>1.79640226266579</v>
      </c>
      <c r="Z741" s="12">
        <f t="shared" si="97"/>
        <v>0.324980331710982</v>
      </c>
      <c r="AA741" s="19">
        <v>11954.9</v>
      </c>
      <c r="AB741" s="19">
        <v>13595.53</v>
      </c>
      <c r="AC741" s="19">
        <v>194.07</v>
      </c>
      <c r="AD741" s="19">
        <v>2141.97</v>
      </c>
      <c r="AE741" s="19">
        <v>314.28</v>
      </c>
      <c r="AF741" s="19">
        <v>73.98</v>
      </c>
      <c r="AG741" s="19">
        <v>466.11</v>
      </c>
      <c r="AH741" s="19">
        <v>115.42</v>
      </c>
      <c r="AI741" s="19">
        <v>35.48</v>
      </c>
      <c r="AJ741" s="19">
        <v>859.42</v>
      </c>
      <c r="AK741" s="3">
        <f t="shared" si="101"/>
        <v>1</v>
      </c>
      <c r="AL741" s="3">
        <v>0</v>
      </c>
      <c r="AM741" s="3">
        <f t="shared" si="100"/>
        <v>0</v>
      </c>
    </row>
    <row r="742" spans="1:39">
      <c r="A742" s="7">
        <v>2015</v>
      </c>
      <c r="B742" s="7" t="s">
        <v>67</v>
      </c>
      <c r="C742" s="7">
        <v>0.36718649</v>
      </c>
      <c r="D742" s="7">
        <v>0.061955</v>
      </c>
      <c r="E742" s="7">
        <v>0.015213</v>
      </c>
      <c r="F742" s="7">
        <v>0.028534</v>
      </c>
      <c r="G742" s="7">
        <v>0.009395</v>
      </c>
      <c r="H742" s="7">
        <v>0.008814</v>
      </c>
      <c r="I742" s="7">
        <v>0.059308</v>
      </c>
      <c r="J742" s="7">
        <v>0.028369</v>
      </c>
      <c r="K742" s="16">
        <v>11104</v>
      </c>
      <c r="L742" s="17">
        <v>3529</v>
      </c>
      <c r="M742" s="16">
        <v>15083.67</v>
      </c>
      <c r="N742" s="7">
        <f t="shared" si="98"/>
        <v>3.14650042504959</v>
      </c>
      <c r="O742" s="7">
        <f t="shared" si="99"/>
        <v>0.736160364155408</v>
      </c>
      <c r="P742" s="8">
        <v>180635797.6</v>
      </c>
      <c r="Q742" s="8">
        <f t="shared" si="94"/>
        <v>1.19755866841425</v>
      </c>
      <c r="R742" s="9">
        <v>1771.4</v>
      </c>
      <c r="S742" s="9">
        <v>20606.6</v>
      </c>
      <c r="T742" s="9">
        <v>21129.8</v>
      </c>
      <c r="U742" s="9">
        <v>73276</v>
      </c>
      <c r="V742" s="18">
        <v>0</v>
      </c>
      <c r="W742" s="18">
        <v>0</v>
      </c>
      <c r="X742" s="18">
        <f t="shared" si="95"/>
        <v>0</v>
      </c>
      <c r="Y742" s="12">
        <f t="shared" si="96"/>
        <v>1.71577514742415</v>
      </c>
      <c r="Z742" s="12">
        <f t="shared" si="97"/>
        <v>0.302030531091374</v>
      </c>
      <c r="AA742" s="19">
        <v>11104</v>
      </c>
      <c r="AB742" s="19">
        <v>12465.43</v>
      </c>
      <c r="AC742" s="19">
        <v>185.68</v>
      </c>
      <c r="AD742" s="19">
        <v>1637.88</v>
      </c>
      <c r="AE742" s="19">
        <v>409.97</v>
      </c>
      <c r="AF742" s="19">
        <v>68.46</v>
      </c>
      <c r="AG742" s="19">
        <v>563.67</v>
      </c>
      <c r="AH742" s="19">
        <v>114.69</v>
      </c>
      <c r="AI742" s="19">
        <v>35.82</v>
      </c>
      <c r="AJ742" s="19">
        <v>869</v>
      </c>
      <c r="AK742" s="3">
        <f t="shared" si="101"/>
        <v>1</v>
      </c>
      <c r="AL742" s="3">
        <v>0</v>
      </c>
      <c r="AM742" s="3">
        <f t="shared" si="100"/>
        <v>0</v>
      </c>
    </row>
    <row r="743" spans="1:39">
      <c r="A743" s="7">
        <v>2016</v>
      </c>
      <c r="B743" s="7" t="s">
        <v>67</v>
      </c>
      <c r="C743" s="7">
        <v>0.34431529</v>
      </c>
      <c r="D743" s="7">
        <v>0.0582</v>
      </c>
      <c r="E743" s="7">
        <v>0.014425</v>
      </c>
      <c r="F743" s="7">
        <v>0.025782</v>
      </c>
      <c r="G743" s="7">
        <v>0.008808</v>
      </c>
      <c r="H743" s="7">
        <v>0.009186</v>
      </c>
      <c r="I743" s="7">
        <v>0.055837</v>
      </c>
      <c r="J743" s="7">
        <v>0.02625</v>
      </c>
      <c r="K743" s="16">
        <v>11070</v>
      </c>
      <c r="L743" s="17">
        <v>3463</v>
      </c>
      <c r="M743" s="16">
        <v>15386.09</v>
      </c>
      <c r="N743" s="7">
        <f t="shared" si="98"/>
        <v>3.19665030320531</v>
      </c>
      <c r="O743" s="7">
        <f t="shared" si="99"/>
        <v>0.719481037742532</v>
      </c>
      <c r="P743" s="8">
        <v>179872553.5</v>
      </c>
      <c r="Q743" s="8">
        <f t="shared" si="94"/>
        <v>1.16905954339277</v>
      </c>
      <c r="R743" s="9">
        <v>1890.4</v>
      </c>
      <c r="S743" s="9">
        <v>21571.3</v>
      </c>
      <c r="T743" s="9">
        <v>23792.4</v>
      </c>
      <c r="U743" s="9">
        <v>78384</v>
      </c>
      <c r="V743" s="18">
        <v>0</v>
      </c>
      <c r="W743" s="18">
        <v>0</v>
      </c>
      <c r="X743" s="18">
        <f t="shared" si="95"/>
        <v>0</v>
      </c>
      <c r="Y743" s="12">
        <f t="shared" si="96"/>
        <v>1.62438398605541</v>
      </c>
      <c r="Z743" s="12">
        <f t="shared" si="97"/>
        <v>0.280305916933059</v>
      </c>
      <c r="AA743" s="19">
        <v>11070</v>
      </c>
      <c r="AB743" s="19">
        <v>12741.39</v>
      </c>
      <c r="AC743" s="19">
        <v>184.19</v>
      </c>
      <c r="AD743" s="19">
        <v>1861.64</v>
      </c>
      <c r="AE743" s="19">
        <v>333.69</v>
      </c>
      <c r="AF743" s="19">
        <v>78.56</v>
      </c>
      <c r="AG743" s="19">
        <v>354.64</v>
      </c>
      <c r="AH743" s="19">
        <v>94.37</v>
      </c>
      <c r="AI743" s="19">
        <v>38.04</v>
      </c>
      <c r="AJ743" s="19">
        <v>896.62</v>
      </c>
      <c r="AK743" s="3">
        <f t="shared" si="101"/>
        <v>1</v>
      </c>
      <c r="AL743" s="3">
        <v>0</v>
      </c>
      <c r="AM743" s="3">
        <f t="shared" si="100"/>
        <v>0</v>
      </c>
    </row>
    <row r="744" spans="1:39">
      <c r="A744" s="7">
        <v>2017</v>
      </c>
      <c r="B744" s="7" t="s">
        <v>67</v>
      </c>
      <c r="C744" s="7">
        <v>0.3597683</v>
      </c>
      <c r="D744" s="7">
        <v>0.055689</v>
      </c>
      <c r="E744" s="7">
        <v>0.014789</v>
      </c>
      <c r="F744" s="7">
        <v>0.024345</v>
      </c>
      <c r="G744" s="7">
        <v>0.008136</v>
      </c>
      <c r="H744" s="7">
        <v>0.008418</v>
      </c>
      <c r="I744" s="7">
        <v>0.060785</v>
      </c>
      <c r="J744" s="7">
        <v>0.033897</v>
      </c>
      <c r="K744" s="16">
        <v>11258</v>
      </c>
      <c r="L744" s="17">
        <v>3399</v>
      </c>
      <c r="M744" s="16">
        <v>15902.68172</v>
      </c>
      <c r="N744" s="7">
        <f t="shared" si="98"/>
        <v>3.31215063253898</v>
      </c>
      <c r="O744" s="7">
        <f t="shared" si="99"/>
        <v>0.707930913679885</v>
      </c>
      <c r="P744" s="8">
        <v>187615466.5</v>
      </c>
      <c r="Q744" s="8">
        <f t="shared" si="94"/>
        <v>1.17977250506149</v>
      </c>
      <c r="R744" s="9">
        <v>1933.9</v>
      </c>
      <c r="S744" s="9">
        <v>23246.7</v>
      </c>
      <c r="T744" s="9">
        <v>27222.5</v>
      </c>
      <c r="U744" s="9">
        <v>85612</v>
      </c>
      <c r="V744" s="18">
        <v>1</v>
      </c>
      <c r="W744" s="18">
        <v>0</v>
      </c>
      <c r="X744" s="18">
        <f t="shared" si="95"/>
        <v>0</v>
      </c>
      <c r="Y744" s="12">
        <f t="shared" si="96"/>
        <v>1.56738551218677</v>
      </c>
      <c r="Z744" s="12">
        <f t="shared" si="97"/>
        <v>0.247299087628093</v>
      </c>
      <c r="AA744" s="19">
        <v>11258</v>
      </c>
      <c r="AB744" s="19">
        <v>12891.15</v>
      </c>
      <c r="AC744" s="19">
        <v>214.76</v>
      </c>
      <c r="AD744" s="19">
        <v>1670.07</v>
      </c>
      <c r="AE744" s="19">
        <v>385.19</v>
      </c>
      <c r="AF744" s="19">
        <v>87.55</v>
      </c>
      <c r="AG744" s="19">
        <v>338.16</v>
      </c>
      <c r="AH744" s="19">
        <v>71.65</v>
      </c>
      <c r="AI744" s="19">
        <v>40.56</v>
      </c>
      <c r="AJ744" s="19">
        <v>928.57</v>
      </c>
      <c r="AK744" s="3">
        <f t="shared" si="101"/>
        <v>1</v>
      </c>
      <c r="AL744" s="3">
        <v>0</v>
      </c>
      <c r="AM744" s="3">
        <f t="shared" si="100"/>
        <v>0</v>
      </c>
    </row>
    <row r="745" spans="1:39">
      <c r="A745" s="7">
        <v>2018</v>
      </c>
      <c r="B745" s="7" t="s">
        <v>67</v>
      </c>
      <c r="C745" s="7">
        <v>0.40485818</v>
      </c>
      <c r="D745" s="7">
        <v>0.067872</v>
      </c>
      <c r="E745" s="7">
        <v>0.017061</v>
      </c>
      <c r="F745" s="7">
        <v>0.031808</v>
      </c>
      <c r="G745" s="7">
        <v>0.009935</v>
      </c>
      <c r="H745" s="7">
        <v>0.009068</v>
      </c>
      <c r="I745" s="7">
        <v>0.061667</v>
      </c>
      <c r="J745" s="7">
        <v>0.033144</v>
      </c>
      <c r="K745" s="16">
        <v>11436</v>
      </c>
      <c r="L745" s="17">
        <v>3327</v>
      </c>
      <c r="M745" s="16">
        <v>16361.62</v>
      </c>
      <c r="N745" s="7">
        <f t="shared" si="98"/>
        <v>3.43733092876465</v>
      </c>
      <c r="O745" s="7">
        <f t="shared" si="99"/>
        <v>0.698952793183071</v>
      </c>
      <c r="P745" s="8">
        <v>191778801.3</v>
      </c>
      <c r="Q745" s="8">
        <f t="shared" si="94"/>
        <v>1.17212599546989</v>
      </c>
      <c r="R745" s="9">
        <v>1975.9</v>
      </c>
      <c r="S745" s="9">
        <v>25308.1</v>
      </c>
      <c r="T745" s="9">
        <v>30718.8</v>
      </c>
      <c r="U745" s="9">
        <v>93230</v>
      </c>
      <c r="V745" s="18">
        <v>1</v>
      </c>
      <c r="W745" s="18">
        <v>0</v>
      </c>
      <c r="X745" s="18">
        <f t="shared" si="95"/>
        <v>0</v>
      </c>
      <c r="Y745" s="12">
        <f t="shared" si="96"/>
        <v>1.51591455826218</v>
      </c>
      <c r="Z745" s="12">
        <f t="shared" si="97"/>
        <v>0.226786239975425</v>
      </c>
      <c r="AA745" s="19">
        <v>11436</v>
      </c>
      <c r="AB745" s="19">
        <v>13370.83</v>
      </c>
      <c r="AC745" s="19">
        <v>327.74</v>
      </c>
      <c r="AD745" s="19">
        <v>1552.63</v>
      </c>
      <c r="AE745" s="19">
        <v>393.15</v>
      </c>
      <c r="AF745" s="19">
        <v>64.01</v>
      </c>
      <c r="AG745" s="19">
        <v>353.08</v>
      </c>
      <c r="AH745" s="19">
        <v>43.11</v>
      </c>
      <c r="AI745" s="19">
        <v>43.84</v>
      </c>
      <c r="AJ745" s="19">
        <v>973.88</v>
      </c>
      <c r="AK745" s="3">
        <f t="shared" si="101"/>
        <v>1</v>
      </c>
      <c r="AL745" s="3">
        <v>0</v>
      </c>
      <c r="AM745" s="3">
        <f t="shared" si="100"/>
        <v>0</v>
      </c>
    </row>
    <row r="746" spans="1:39">
      <c r="A746" s="7">
        <v>2019</v>
      </c>
      <c r="B746" s="7" t="s">
        <v>67</v>
      </c>
      <c r="C746" s="7">
        <v>0.4357437</v>
      </c>
      <c r="D746" s="7">
        <v>0.066587</v>
      </c>
      <c r="E746" s="7">
        <v>0.016364</v>
      </c>
      <c r="F746" s="7">
        <v>0.029823</v>
      </c>
      <c r="G746" s="7">
        <v>0.010057</v>
      </c>
      <c r="H746" s="7">
        <v>0.010342</v>
      </c>
      <c r="I746" s="7">
        <v>0.073482</v>
      </c>
      <c r="J746" s="7">
        <v>0.038416</v>
      </c>
      <c r="K746" s="16">
        <v>11614</v>
      </c>
      <c r="L746" s="17">
        <v>3255</v>
      </c>
      <c r="M746" s="16">
        <v>13612.68</v>
      </c>
      <c r="N746" s="7">
        <f t="shared" si="98"/>
        <v>3.56804915514593</v>
      </c>
      <c r="O746" s="7">
        <f t="shared" si="99"/>
        <v>0.853175127895462</v>
      </c>
      <c r="P746" s="8">
        <v>192390290.2</v>
      </c>
      <c r="Q746" s="8">
        <f t="shared" si="94"/>
        <v>1.41331677671112</v>
      </c>
      <c r="R746" s="9">
        <v>2086.7</v>
      </c>
      <c r="S746" s="9">
        <v>26299.5</v>
      </c>
      <c r="T746" s="9">
        <v>34075.8</v>
      </c>
      <c r="U746" s="9">
        <v>98770</v>
      </c>
      <c r="V746" s="18">
        <v>1</v>
      </c>
      <c r="W746" s="18">
        <v>0</v>
      </c>
      <c r="X746" s="18">
        <f t="shared" si="95"/>
        <v>0</v>
      </c>
      <c r="Y746" s="12">
        <f t="shared" si="96"/>
        <v>1.5000536746505</v>
      </c>
      <c r="Z746" s="12">
        <f t="shared" si="97"/>
        <v>0.0578225295568761</v>
      </c>
      <c r="AA746" s="19">
        <v>11614</v>
      </c>
      <c r="AB746" s="19">
        <v>14142.64</v>
      </c>
      <c r="AC746" s="19">
        <v>373.82</v>
      </c>
      <c r="AD746" s="19">
        <v>1534.76</v>
      </c>
      <c r="AE746" s="19">
        <v>430.27</v>
      </c>
      <c r="AF746" s="19">
        <v>69.77</v>
      </c>
      <c r="AG746" s="19">
        <v>392.18</v>
      </c>
      <c r="AH746" s="19">
        <v>20.95</v>
      </c>
      <c r="AI746" s="19">
        <v>44.37</v>
      </c>
      <c r="AJ746" s="19">
        <v>995.63</v>
      </c>
      <c r="AK746" s="3">
        <f t="shared" si="101"/>
        <v>1</v>
      </c>
      <c r="AL746" s="3">
        <v>0</v>
      </c>
      <c r="AM746" s="3">
        <f t="shared" si="100"/>
        <v>0</v>
      </c>
    </row>
    <row r="747" spans="1:39">
      <c r="A747" s="7">
        <v>2020</v>
      </c>
      <c r="B747" s="7" t="s">
        <v>67</v>
      </c>
      <c r="C747" s="7">
        <v>0.38651585</v>
      </c>
      <c r="D747" s="7">
        <v>0.062768</v>
      </c>
      <c r="E747" s="7">
        <v>0.016159</v>
      </c>
      <c r="F747" s="7">
        <v>0.029076</v>
      </c>
      <c r="G747" s="7">
        <v>0.01003</v>
      </c>
      <c r="H747" s="7">
        <v>0.007503</v>
      </c>
      <c r="I747" s="7">
        <v>0.065957</v>
      </c>
      <c r="J747" s="7">
        <v>0.031706</v>
      </c>
      <c r="K747" s="16">
        <v>11525.1</v>
      </c>
      <c r="L747" s="17">
        <v>3170.91</v>
      </c>
      <c r="M747" s="16">
        <v>13698.5</v>
      </c>
      <c r="N747" s="7">
        <f t="shared" si="98"/>
        <v>3.6346348524556</v>
      </c>
      <c r="O747" s="7">
        <f t="shared" si="99"/>
        <v>0.841340292732781</v>
      </c>
      <c r="P747" s="8">
        <v>194920682.3</v>
      </c>
      <c r="Q747" s="8">
        <f t="shared" si="94"/>
        <v>1.42293449866774</v>
      </c>
      <c r="R747" s="9">
        <v>2166.3</v>
      </c>
      <c r="S747" s="9">
        <v>26361.5</v>
      </c>
      <c r="T747" s="9">
        <v>36161.3</v>
      </c>
      <c r="U747" s="9">
        <v>100738</v>
      </c>
      <c r="V747" s="18">
        <v>1</v>
      </c>
      <c r="W747" s="18">
        <v>0</v>
      </c>
      <c r="X747" s="18">
        <f t="shared" si="95"/>
        <v>0</v>
      </c>
      <c r="Y747" s="12">
        <f t="shared" si="96"/>
        <v>1.47141701078949</v>
      </c>
      <c r="Z747" s="12">
        <f t="shared" si="97"/>
        <v>0.0329495389588688</v>
      </c>
      <c r="AA747" s="19">
        <v>11525.1</v>
      </c>
      <c r="AB747" s="19">
        <v>13964.33</v>
      </c>
      <c r="AC747" s="19">
        <v>383.9</v>
      </c>
      <c r="AD747" s="19">
        <v>1685.99</v>
      </c>
      <c r="AE747" s="19">
        <v>401.14</v>
      </c>
      <c r="AF747" s="19">
        <v>52.1</v>
      </c>
      <c r="AG747" s="19">
        <v>397.17</v>
      </c>
      <c r="AH747" s="19">
        <v>24.56</v>
      </c>
      <c r="AI747" s="19">
        <v>46.68</v>
      </c>
      <c r="AJ747" s="19">
        <v>1014</v>
      </c>
      <c r="AK747" s="3">
        <f t="shared" si="101"/>
        <v>1</v>
      </c>
      <c r="AL747" s="3">
        <v>0</v>
      </c>
      <c r="AM747" s="3">
        <f t="shared" si="100"/>
        <v>0</v>
      </c>
    </row>
    <row r="748" spans="1:39">
      <c r="A748" s="7">
        <v>2021</v>
      </c>
      <c r="B748" s="7" t="s">
        <v>67</v>
      </c>
      <c r="C748" s="7">
        <v>0.42975256</v>
      </c>
      <c r="D748" s="7">
        <v>0.065633</v>
      </c>
      <c r="E748" s="7">
        <v>0.017256</v>
      </c>
      <c r="F748" s="7">
        <v>0.029564</v>
      </c>
      <c r="G748" s="7">
        <v>0.009417</v>
      </c>
      <c r="H748" s="7">
        <v>0.009396</v>
      </c>
      <c r="I748" s="7">
        <v>0.07508</v>
      </c>
      <c r="J748" s="7">
        <v>0.037678</v>
      </c>
      <c r="K748" s="16">
        <v>12191.6</v>
      </c>
      <c r="L748" s="17">
        <v>3125</v>
      </c>
      <c r="M748" s="16">
        <v>14879.2</v>
      </c>
      <c r="N748" s="7">
        <f t="shared" si="98"/>
        <v>3.901312</v>
      </c>
      <c r="O748" s="7">
        <f t="shared" si="99"/>
        <v>0.819372009247809</v>
      </c>
      <c r="P748" s="8">
        <v>204615522</v>
      </c>
      <c r="Q748" s="8">
        <f t="shared" si="94"/>
        <v>1.37517824883058</v>
      </c>
      <c r="R748" s="9">
        <v>2211.7</v>
      </c>
      <c r="S748" s="9">
        <v>31174</v>
      </c>
      <c r="T748" s="9">
        <v>40655.1</v>
      </c>
      <c r="U748" s="9">
        <v>113839</v>
      </c>
      <c r="V748" s="18">
        <v>1</v>
      </c>
      <c r="W748" s="18">
        <v>0</v>
      </c>
      <c r="X748" s="18">
        <f t="shared" si="95"/>
        <v>0</v>
      </c>
      <c r="Y748" s="12">
        <f t="shared" si="96"/>
        <v>1.36781889095748</v>
      </c>
      <c r="Z748" s="12">
        <f t="shared" si="97"/>
        <v>0</v>
      </c>
      <c r="AA748" s="19">
        <v>12191.6</v>
      </c>
      <c r="AB748" s="19">
        <v>15750.99</v>
      </c>
      <c r="AC748" s="19">
        <v>380.71</v>
      </c>
      <c r="AD748" s="19">
        <v>1758.5</v>
      </c>
      <c r="AE748" s="19">
        <v>501.69</v>
      </c>
      <c r="AF748" s="19">
        <v>53.03</v>
      </c>
      <c r="AG748" s="19">
        <v>381.08</v>
      </c>
      <c r="AH748" s="19">
        <v>71.28</v>
      </c>
      <c r="AI748" s="19">
        <v>49.74</v>
      </c>
      <c r="AJ748" s="19">
        <v>1089</v>
      </c>
      <c r="AK748" s="3">
        <f t="shared" si="101"/>
        <v>1</v>
      </c>
      <c r="AL748" s="3">
        <v>0</v>
      </c>
      <c r="AM748" s="3">
        <f t="shared" si="100"/>
        <v>0</v>
      </c>
    </row>
    <row r="749" spans="1:39">
      <c r="A749" s="7">
        <v>2022</v>
      </c>
      <c r="B749" s="7" t="s">
        <v>67</v>
      </c>
      <c r="C749" s="7">
        <v>0.44723547</v>
      </c>
      <c r="D749" s="7">
        <v>0.068396</v>
      </c>
      <c r="E749" s="7">
        <v>0.016615</v>
      </c>
      <c r="F749" s="7">
        <v>0.030849</v>
      </c>
      <c r="G749" s="7">
        <v>0.009893</v>
      </c>
      <c r="H749" s="7">
        <v>0.011039</v>
      </c>
      <c r="I749" s="7">
        <v>0.076879</v>
      </c>
      <c r="J749" s="7">
        <v>0.037995</v>
      </c>
      <c r="K749" s="16">
        <v>12035</v>
      </c>
      <c r="L749" s="17">
        <v>3099</v>
      </c>
      <c r="M749" s="16">
        <v>15901</v>
      </c>
      <c r="N749" s="7">
        <f t="shared" si="98"/>
        <v>3.88351080993869</v>
      </c>
      <c r="O749" s="7">
        <f t="shared" si="99"/>
        <v>0.756870637066851</v>
      </c>
      <c r="P749" s="8">
        <v>204734875.2</v>
      </c>
      <c r="Q749" s="8">
        <f t="shared" si="94"/>
        <v>1.28755974592793</v>
      </c>
      <c r="R749" s="9">
        <v>2185.2</v>
      </c>
      <c r="S749" s="9">
        <v>32973.8</v>
      </c>
      <c r="T749" s="9">
        <v>42901.6</v>
      </c>
      <c r="U749" s="9">
        <v>119022</v>
      </c>
      <c r="V749" s="18">
        <v>1</v>
      </c>
      <c r="W749" s="18">
        <v>0</v>
      </c>
      <c r="X749" s="18">
        <f t="shared" si="95"/>
        <v>0</v>
      </c>
      <c r="Y749" s="12">
        <f t="shared" si="96"/>
        <v>1.27047633725244</v>
      </c>
      <c r="Z749" s="12">
        <f t="shared" si="97"/>
        <v>0</v>
      </c>
      <c r="AA749" s="19">
        <v>12035</v>
      </c>
      <c r="AB749" s="19">
        <v>15594.34</v>
      </c>
      <c r="AC749" s="19">
        <v>386.76</v>
      </c>
      <c r="AD749" s="19">
        <v>1701.68</v>
      </c>
      <c r="AE749" s="19">
        <v>512.01</v>
      </c>
      <c r="AF749" s="19">
        <v>41.14</v>
      </c>
      <c r="AG749" s="19">
        <v>421.87</v>
      </c>
      <c r="AH749" s="19">
        <v>20.14</v>
      </c>
      <c r="AI749" s="19">
        <v>55.2</v>
      </c>
      <c r="AJ749" s="19">
        <v>1179.81</v>
      </c>
      <c r="AK749" s="3">
        <f t="shared" si="101"/>
        <v>1</v>
      </c>
      <c r="AL749" s="3">
        <v>0</v>
      </c>
      <c r="AM749" s="3">
        <f t="shared" si="100"/>
        <v>0</v>
      </c>
    </row>
    <row r="750" spans="1:39">
      <c r="A750" s="7">
        <v>2023</v>
      </c>
      <c r="B750" s="7" t="s">
        <v>67</v>
      </c>
      <c r="C750" s="7">
        <v>0.63692798</v>
      </c>
      <c r="D750" s="7">
        <v>0.079653</v>
      </c>
      <c r="E750" s="7">
        <v>0.024468</v>
      </c>
      <c r="F750" s="7">
        <v>0.040629</v>
      </c>
      <c r="G750" s="7">
        <v>0.018864</v>
      </c>
      <c r="H750" s="7">
        <v>0.021177</v>
      </c>
      <c r="I750" s="7">
        <v>0.087172</v>
      </c>
      <c r="J750" s="7">
        <v>0.046807</v>
      </c>
      <c r="K750" s="16">
        <v>12067.4945</v>
      </c>
      <c r="L750" s="17">
        <v>3062</v>
      </c>
      <c r="M750" s="16">
        <v>15883.9</v>
      </c>
      <c r="N750" s="7">
        <f t="shared" si="98"/>
        <v>3.94104980404964</v>
      </c>
      <c r="O750" s="7">
        <f t="shared" si="99"/>
        <v>0.759731205812175</v>
      </c>
      <c r="P750" s="8">
        <v>209894471.9</v>
      </c>
      <c r="Q750" s="8">
        <f t="shared" si="94"/>
        <v>1.32142906905735</v>
      </c>
      <c r="R750" s="9">
        <v>2332</v>
      </c>
      <c r="S750" s="9">
        <v>33952.7</v>
      </c>
      <c r="T750" s="9">
        <v>46268.6</v>
      </c>
      <c r="U750" s="9">
        <v>125043</v>
      </c>
      <c r="V750" s="18">
        <v>1</v>
      </c>
      <c r="W750" s="18">
        <v>0</v>
      </c>
      <c r="X750" s="18">
        <f t="shared" si="95"/>
        <v>0</v>
      </c>
      <c r="Y750" s="12">
        <f t="shared" si="96"/>
        <v>1.2756783895882</v>
      </c>
      <c r="Z750" s="12">
        <f t="shared" si="97"/>
        <v>0</v>
      </c>
      <c r="AA750" s="12"/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3">
        <f t="shared" si="101"/>
        <v>1</v>
      </c>
      <c r="AL750" s="3">
        <v>0</v>
      </c>
      <c r="AM750" s="3">
        <f t="shared" si="100"/>
        <v>0</v>
      </c>
    </row>
    <row r="751" spans="1:39">
      <c r="A751" s="7">
        <v>2024</v>
      </c>
      <c r="B751" s="7" t="s">
        <v>67</v>
      </c>
      <c r="C751" s="7">
        <v>0.71469352</v>
      </c>
      <c r="D751" s="7">
        <v>0.082458</v>
      </c>
      <c r="E751" s="7">
        <v>0.02667</v>
      </c>
      <c r="F751" s="7">
        <v>0.042984</v>
      </c>
      <c r="G751" s="7">
        <v>0.022282</v>
      </c>
      <c r="H751" s="7">
        <v>0.026309</v>
      </c>
      <c r="I751" s="7">
        <v>0.093891</v>
      </c>
      <c r="J751" s="7">
        <v>0.050675</v>
      </c>
      <c r="K751" s="16">
        <v>12099.989</v>
      </c>
      <c r="L751" s="17">
        <v>3029</v>
      </c>
      <c r="M751" s="16">
        <v>16476.9</v>
      </c>
      <c r="N751" s="7">
        <f t="shared" si="98"/>
        <v>3.99471409706174</v>
      </c>
      <c r="O751" s="7">
        <f t="shared" si="99"/>
        <v>0.734360771747113</v>
      </c>
      <c r="P751" s="8">
        <v>209270462.2</v>
      </c>
      <c r="Q751" s="8">
        <f t="shared" si="94"/>
        <v>1.27008394904381</v>
      </c>
      <c r="R751" s="9">
        <v>2586.4</v>
      </c>
      <c r="S751" s="9">
        <v>34782.7</v>
      </c>
      <c r="T751" s="9">
        <v>52761.4</v>
      </c>
      <c r="U751" s="9">
        <v>135565</v>
      </c>
      <c r="V751" s="18">
        <v>1</v>
      </c>
      <c r="W751" s="18">
        <v>0</v>
      </c>
      <c r="X751" s="18">
        <f t="shared" si="95"/>
        <v>0</v>
      </c>
      <c r="Y751" s="12">
        <f t="shared" si="96"/>
        <v>1.21200651315194</v>
      </c>
      <c r="Z751" s="12">
        <f t="shared" si="97"/>
        <v>0</v>
      </c>
      <c r="AA751" s="12"/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0</v>
      </c>
      <c r="AK751" s="3">
        <f t="shared" si="101"/>
        <v>1</v>
      </c>
      <c r="AL751" s="3">
        <v>0</v>
      </c>
      <c r="AM751" s="3">
        <f t="shared" si="100"/>
        <v>0</v>
      </c>
    </row>
    <row r="752" spans="1:39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spans="1:10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spans="1:10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spans="1:10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spans="1:10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spans="1:10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spans="1:10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spans="1:10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spans="1:10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spans="1:10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spans="1:10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spans="1:10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spans="1:10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spans="1:10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spans="1:10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spans="1:10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spans="1:10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spans="1:10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spans="1:10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spans="1:10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spans="1:10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spans="1:10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spans="1:10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spans="1:10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spans="1:10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spans="1:10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spans="1:10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spans="1:10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spans="1:10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spans="1:10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spans="1:10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spans="1:10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spans="1:10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spans="1:10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spans="1:10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spans="1:10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spans="1:10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spans="1:10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spans="1:10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spans="1:10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spans="1:10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spans="1:10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spans="1:10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spans="1:10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spans="1:10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spans="1:10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spans="1:10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spans="1:10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spans="1:10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spans="1:10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spans="1:10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spans="1:10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spans="1:10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spans="1:10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spans="1:10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spans="1:10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spans="1:10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spans="1:10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spans="1:10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spans="1:10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spans="1:10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spans="1:10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spans="1:10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spans="1:10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spans="1:10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spans="1:10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spans="1:10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spans="1:10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spans="1:10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spans="1:10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spans="1:10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spans="1:10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spans="1:10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spans="1:10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spans="1:10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spans="1:10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spans="1:10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spans="1:10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spans="1:10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spans="1:10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spans="1:10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spans="1:10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spans="1:10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spans="1:10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spans="1:10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spans="1:10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spans="1:10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spans="1:10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spans="1:10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spans="1:10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spans="1:10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spans="1:10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spans="1:10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spans="1:10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spans="1:10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spans="1:10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spans="1:10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spans="1:10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spans="1:10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spans="1:10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spans="1:10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spans="1:10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spans="1:10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spans="1:10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spans="1:10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spans="1:10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spans="1:10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spans="1:10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spans="1:10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spans="1:10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spans="1:10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spans="1:10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spans="1:10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spans="1:10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spans="1:10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spans="1:10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spans="1:10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spans="1:10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spans="1:10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spans="1:10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spans="1:10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spans="1:10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spans="1:10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spans="1:10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spans="1:10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spans="1:10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spans="1:10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spans="1:10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spans="1:10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spans="1:10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spans="1:10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spans="1:10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spans="1:10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spans="1:10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spans="1:10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spans="1:10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spans="1:10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spans="1:10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spans="1:10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spans="1:10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spans="1:10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spans="1:10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spans="1:10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spans="1:10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spans="1:10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spans="1:10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spans="1:10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spans="1:10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spans="1:10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spans="1:10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spans="1:10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spans="1:10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spans="1:10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spans="1:10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spans="1:10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spans="1:10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spans="1:10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spans="1:10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spans="1:10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spans="1:10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spans="1:10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spans="1:10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spans="1:10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spans="1:10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spans="1:10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spans="1:10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spans="1:10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spans="1:10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spans="1:10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spans="1:10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spans="1:10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spans="1:10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spans="1:10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spans="1:10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spans="1:10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spans="1:10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spans="1:10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spans="1:10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spans="1:10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spans="1:10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spans="1:10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spans="1:10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spans="1:10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spans="1:10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spans="1:10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spans="1:10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spans="1:10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spans="1:10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spans="1:10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spans="1:10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spans="1:10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spans="1:10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spans="1:10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spans="1:10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spans="1:10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spans="1:10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spans="1:10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spans="1:10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spans="1:10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spans="1:10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spans="1:10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spans="1:10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spans="1:10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spans="1:10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spans="1:10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spans="1:10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spans="1:10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spans="1:10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spans="1:10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spans="1:10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spans="1:10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spans="1:10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spans="1:10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spans="1:10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spans="1:10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spans="1:10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spans="1:10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spans="1:10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spans="1:10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spans="1:10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spans="1:10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spans="1:10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spans="1:10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spans="1:10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spans="1:10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spans="1:10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spans="1:10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spans="1:10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spans="1:10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spans="1:10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spans="1:10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spans="1:10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spans="1:10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spans="1:10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spans="1:10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spans="1:10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spans="1:10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spans="1:10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spans="1:10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spans="1:10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spans="1:10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spans="1:10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spans="1:10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spans="1:10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spans="1:10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spans="1:10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spans="1:10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spans="1:10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spans="1:1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  <row r="1001" spans="1:10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</row>
    <row r="1002" spans="1:10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</row>
    <row r="1003" spans="1:10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</row>
    <row r="1004" spans="1:10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</row>
    <row r="1005" spans="1:10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</row>
    <row r="1006" spans="1:10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</row>
    <row r="1007" spans="1:10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</row>
    <row r="1008" spans="1:10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</row>
    <row r="1009" spans="1:10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</row>
    <row r="1010" spans="1: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</row>
    <row r="1011" spans="1:10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</row>
    <row r="1012" spans="1:10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</row>
    <row r="1013" spans="1:10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</row>
    <row r="1014" spans="1:10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</row>
    <row r="1015" spans="1:10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</row>
    <row r="1016" spans="1:10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</row>
    <row r="1017" spans="1:10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</row>
    <row r="1018" spans="1:10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</row>
    <row r="1019" spans="1:10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</row>
    <row r="1020" spans="1:1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</row>
    <row r="1021" spans="1:10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</row>
    <row r="1022" spans="1:10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</row>
    <row r="1023" spans="1:10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</row>
    <row r="1024" spans="1:10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</row>
    <row r="1025" spans="1:10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</row>
    <row r="1026" spans="1:10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</row>
    <row r="1027" spans="1:10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</row>
    <row r="1028" spans="1:10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</row>
    <row r="1029" spans="1:10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</row>
    <row r="1030" spans="1:10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</row>
    <row r="1031" spans="1:10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</row>
    <row r="1032" spans="1:10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</row>
    <row r="1033" spans="1:10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</row>
    <row r="1034" spans="1:10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</row>
    <row r="1035" spans="1:10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</row>
    <row r="1036" spans="1:10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</row>
    <row r="1037" spans="1:10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</row>
    <row r="1038" spans="1:10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</row>
    <row r="1039" spans="1:10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</row>
    <row r="1040" spans="1:10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</row>
    <row r="1041" spans="1:10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</row>
    <row r="1042" spans="1:10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</row>
    <row r="1043" spans="1:10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</row>
    <row r="1044" spans="1:10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</row>
    <row r="1045" spans="1:10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</row>
    <row r="1046" spans="1:10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</row>
    <row r="1047" spans="1:10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</row>
    <row r="1048" spans="1:10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</row>
    <row r="1049" spans="1:10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</row>
    <row r="1050" spans="1:10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</row>
    <row r="1051" spans="1:10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</row>
    <row r="1052" spans="1:10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</row>
    <row r="1053" spans="1:10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</row>
    <row r="1054" spans="1:10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</row>
    <row r="1055" spans="1:10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</row>
    <row r="1056" spans="1:10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</row>
    <row r="1057" spans="1:10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</row>
    <row r="1058" spans="1:10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</row>
    <row r="1059" spans="1:10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</row>
    <row r="1060" spans="1:10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</row>
    <row r="1061" spans="1:10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</row>
    <row r="1062" spans="1:10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</row>
    <row r="1063" spans="1:10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</row>
    <row r="1064" spans="1:10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</row>
    <row r="1065" spans="1:10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</row>
    <row r="1066" spans="1:10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</row>
    <row r="1067" spans="1:10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</row>
    <row r="1068" spans="1:10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</row>
    <row r="1069" spans="1:10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</row>
    <row r="1070" spans="1:10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</row>
    <row r="1071" spans="1:10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</row>
    <row r="1072" spans="1:10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</row>
    <row r="1073" spans="1:10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</row>
    <row r="1074" spans="1:10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</row>
    <row r="1075" spans="1:10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</row>
    <row r="1076" spans="1:10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</row>
    <row r="1077" spans="1:10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</row>
    <row r="1078" spans="1:10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</row>
    <row r="1079" spans="1:10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</row>
    <row r="1080" spans="1:10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</row>
    <row r="1081" spans="1:10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</row>
    <row r="1082" spans="1:10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</row>
    <row r="1083" spans="1:10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</row>
    <row r="1084" spans="1:10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</row>
    <row r="1085" spans="1:10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</row>
    <row r="1086" spans="1:10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</row>
    <row r="1087" spans="1:10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</row>
    <row r="1088" spans="1:10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</row>
    <row r="1089" spans="1:10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</row>
    <row r="1090" spans="1:10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</row>
    <row r="1091" spans="1:10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</row>
    <row r="1092" spans="1:10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</row>
    <row r="1093" spans="1:10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</row>
    <row r="1094" spans="1:10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</row>
    <row r="1095" spans="1:10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</row>
    <row r="1096" spans="1:10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</row>
    <row r="1097" spans="1:10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</row>
    <row r="1098" spans="1:10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</row>
    <row r="1099" spans="1:10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</row>
    <row r="1100" spans="1:10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</row>
    <row r="1101" spans="1:10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</row>
    <row r="1102" spans="1:10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</row>
    <row r="1103" spans="1:10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</row>
    <row r="1104" spans="1:10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</row>
    <row r="1105" spans="1:10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</row>
    <row r="1106" spans="1:10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</row>
    <row r="1107" spans="1:10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</row>
    <row r="1108" spans="1:10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</row>
    <row r="1109" spans="1:10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</row>
    <row r="1110" spans="1:10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</row>
    <row r="1111" spans="1:10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</row>
    <row r="1112" spans="1:10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</row>
    <row r="1113" spans="1:10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</row>
    <row r="1114" spans="1:10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</row>
    <row r="1115" spans="1:10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</row>
    <row r="1116" spans="1:10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</row>
    <row r="1117" spans="1:10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</row>
    <row r="1118" spans="1:10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</row>
    <row r="1119" spans="1:10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</row>
    <row r="1120" spans="1:10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</row>
    <row r="1121" spans="1:10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</row>
    <row r="1122" spans="1:10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</row>
    <row r="1123" spans="1:10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</row>
    <row r="1124" spans="1:10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</row>
    <row r="1125" spans="1:10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</row>
    <row r="1126" spans="1:10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</row>
    <row r="1127" spans="1:10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</row>
    <row r="1128" spans="1:10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</row>
    <row r="1129" spans="1:10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</row>
    <row r="1130" spans="1:10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</row>
    <row r="1131" spans="1:10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</row>
    <row r="1132" spans="1:10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</row>
    <row r="1133" spans="1:10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</row>
    <row r="1134" spans="1:10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</row>
    <row r="1135" spans="1:10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</row>
    <row r="1136" spans="1:10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</row>
    <row r="1137" spans="1:10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</row>
    <row r="1138" spans="1:10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</row>
    <row r="1139" spans="1:10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</row>
    <row r="1140" spans="1:10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</row>
    <row r="1141" spans="1:10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</row>
    <row r="1142" spans="1:10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</row>
    <row r="1143" spans="1:10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</row>
    <row r="1144" spans="1:10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</row>
    <row r="1145" spans="1:10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</row>
    <row r="1146" spans="1:10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</row>
    <row r="1147" spans="1:10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</row>
    <row r="1148" spans="1:10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</row>
    <row r="1149" spans="1:10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</row>
    <row r="1150" spans="1:10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</row>
    <row r="1151" spans="1:10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</row>
    <row r="1152" spans="1:10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</row>
    <row r="1153" spans="1:10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</row>
    <row r="1154" spans="1:10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</row>
    <row r="1155" spans="1:10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</row>
    <row r="1156" spans="1:10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</row>
    <row r="1157" spans="1:10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</row>
    <row r="1158" spans="1:10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</row>
    <row r="1159" spans="1:10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</row>
    <row r="1160" spans="1:10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</row>
    <row r="1161" spans="1:10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</row>
    <row r="1162" spans="1:10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</row>
    <row r="1163" spans="1:10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</row>
    <row r="1164" spans="1:10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</row>
    <row r="1165" spans="1:10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</row>
    <row r="1166" spans="1:10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</row>
    <row r="1167" spans="1:10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</row>
    <row r="1168" spans="1:10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</row>
    <row r="1169" spans="1:10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</row>
    <row r="1170" spans="1:10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</row>
    <row r="1171" spans="1:10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</row>
    <row r="1172" spans="1:10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</row>
    <row r="1173" spans="1:10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</row>
    <row r="1174" spans="1:10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</row>
    <row r="1175" spans="1:10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</row>
    <row r="1176" spans="1:10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</row>
    <row r="1177" spans="1:10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</row>
    <row r="1178" spans="1:10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</row>
    <row r="1179" spans="1:10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</row>
    <row r="1180" spans="1:10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</row>
    <row r="1181" spans="1:10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</row>
    <row r="1182" spans="1:10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</row>
    <row r="1183" spans="1:10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</row>
    <row r="1184" spans="1:10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</row>
    <row r="1185" spans="1:10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</row>
    <row r="1186" spans="1:10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</row>
    <row r="1187" spans="1:10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</row>
    <row r="1188" spans="1:10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</row>
    <row r="1189" spans="1:10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</row>
    <row r="1190" spans="1:10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</row>
    <row r="1191" spans="1:10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</row>
    <row r="1192" spans="1:10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</row>
    <row r="1193" spans="1:10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</row>
    <row r="1194" spans="1:10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</row>
    <row r="1195" spans="1:10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</row>
    <row r="1196" spans="1:10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</row>
    <row r="1197" spans="1:10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</row>
    <row r="1198" spans="1:10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</row>
    <row r="1199" spans="1:10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</row>
    <row r="1200" spans="1:10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</row>
    <row r="1201" spans="1:10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</row>
    <row r="1202" spans="1:10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</row>
    <row r="1203" spans="1:10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</row>
    <row r="1204" spans="1:10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</row>
    <row r="1205" spans="1:10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</row>
    <row r="1206" spans="1:10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</row>
    <row r="1207" spans="1:10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</row>
    <row r="1208" spans="1:10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</row>
    <row r="1209" spans="1:10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</row>
    <row r="1210" spans="1:10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</row>
    <row r="1211" spans="1:10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</row>
    <row r="1212" spans="1:10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</row>
    <row r="1213" spans="1:10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</row>
    <row r="1214" spans="1:10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</row>
    <row r="1215" spans="1:10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</row>
    <row r="1216" spans="1:10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</row>
    <row r="1217" spans="1:10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</row>
    <row r="1218" spans="1:10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</row>
    <row r="1219" spans="1:10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</row>
    <row r="1220" spans="1:10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</row>
    <row r="1221" spans="1:10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</row>
    <row r="1222" spans="1:10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</row>
    <row r="1223" spans="1:10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</row>
    <row r="1224" spans="1:10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</row>
    <row r="1225" spans="1:10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</row>
    <row r="1226" spans="1:10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</row>
    <row r="1227" spans="1:10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</row>
    <row r="1228" spans="1:10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</row>
    <row r="1229" spans="1:10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</row>
    <row r="1230" spans="1:10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</row>
    <row r="1231" spans="1:10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</row>
    <row r="1232" spans="1:10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</row>
    <row r="1233" spans="1:10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</row>
    <row r="1234" spans="1:10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</row>
    <row r="1235" spans="1:10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</row>
    <row r="1236" spans="1:10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</row>
    <row r="1237" spans="1:10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</row>
    <row r="1238" spans="1:10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</row>
    <row r="1239" spans="1:10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</row>
    <row r="1240" spans="1:10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</row>
    <row r="1241" spans="1:10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</row>
    <row r="1242" spans="1:10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</row>
    <row r="1243" spans="1:10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</row>
    <row r="1244" spans="1:10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</row>
    <row r="1245" spans="1:10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</row>
    <row r="1246" spans="1:10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</row>
    <row r="1247" spans="1:10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</row>
    <row r="1248" spans="1:10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</row>
    <row r="1249" spans="1:10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</row>
    <row r="1250" spans="1:10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</row>
    <row r="1251" spans="1:10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</row>
    <row r="1252" spans="1:10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</row>
    <row r="1253" spans="1:10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</row>
    <row r="1254" spans="1:10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</row>
    <row r="1255" spans="1:10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</row>
    <row r="1256" spans="1:10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</row>
    <row r="1257" spans="1:10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</row>
    <row r="1258" spans="1:10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</row>
    <row r="1259" spans="1:10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</row>
    <row r="1260" spans="1:10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</row>
    <row r="1261" spans="1:10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</row>
    <row r="1262" spans="1:10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</row>
    <row r="1263" spans="1:10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</row>
    <row r="1264" spans="1:10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</row>
    <row r="1265" spans="1:10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</row>
    <row r="1266" spans="1:10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</row>
    <row r="1267" spans="1:10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</row>
    <row r="1268" spans="1:10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</row>
    <row r="1269" spans="1:10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</row>
    <row r="1270" spans="1:10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</row>
    <row r="1271" spans="1:10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</row>
    <row r="1272" spans="1:10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</row>
    <row r="1273" spans="1:10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</row>
    <row r="1274" spans="1:10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</row>
    <row r="1275" spans="1:10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</row>
    <row r="1276" spans="1:10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</row>
    <row r="1277" spans="1:10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</row>
    <row r="1278" spans="1:10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</row>
    <row r="1279" spans="1:10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</row>
    <row r="1280" spans="1:10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</row>
    <row r="1281" spans="1:10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</row>
    <row r="1282" spans="1:10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</row>
    <row r="1283" spans="1:10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</row>
    <row r="1284" spans="1:10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</row>
    <row r="1285" spans="1:10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</row>
    <row r="1286" spans="1:10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</row>
    <row r="1287" spans="1:10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</row>
    <row r="1288" spans="1:10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</row>
    <row r="1289" spans="1:10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</row>
    <row r="1290" spans="1:10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</row>
    <row r="1291" spans="1:10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</row>
    <row r="1292" spans="1:10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</row>
    <row r="1293" spans="1:10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</row>
    <row r="1294" spans="1:10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</row>
    <row r="1295" spans="1:10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</row>
    <row r="1296" spans="1:10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</row>
    <row r="1297" spans="1:10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</row>
    <row r="1298" spans="1:10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</row>
    <row r="1299" spans="1:10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</row>
    <row r="1300" spans="1:10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</row>
    <row r="1301" spans="1:10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</row>
    <row r="1302" spans="1:10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</row>
    <row r="1303" spans="1:10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</row>
    <row r="1304" spans="1:10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</row>
    <row r="1305" spans="1:10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</row>
    <row r="1306" spans="1:10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</row>
    <row r="1307" spans="1:10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</row>
    <row r="1308" spans="1:10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</row>
    <row r="1309" spans="1:10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</row>
    <row r="1310" spans="1:10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</row>
    <row r="1311" spans="1:10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</row>
    <row r="1312" spans="1:10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</row>
    <row r="1313" spans="1:10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</row>
    <row r="1314" spans="1:10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</row>
    <row r="1315" spans="1:10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</row>
    <row r="1316" spans="1:10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</row>
    <row r="1317" spans="1:10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</row>
    <row r="1318" spans="1:10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</row>
    <row r="1319" spans="1:10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</row>
    <row r="1320" spans="1:10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</row>
    <row r="1321" spans="1:10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</row>
    <row r="1322" spans="1:10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</row>
    <row r="1323" spans="1:10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</row>
    <row r="1324" spans="1:10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</row>
    <row r="1325" spans="1:10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</row>
    <row r="1326" spans="1:10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</row>
    <row r="1327" spans="1:10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</row>
    <row r="1328" spans="1:10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</row>
    <row r="1329" spans="1:10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</row>
    <row r="1330" spans="1:10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</row>
    <row r="1331" spans="1:10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</row>
    <row r="1332" spans="1:10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</row>
    <row r="1333" spans="1:10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</row>
    <row r="1334" spans="1:10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</row>
    <row r="1335" spans="1:10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</row>
    <row r="1336" spans="1:10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</row>
    <row r="1337" spans="1:10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</row>
    <row r="1338" spans="1:10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</row>
    <row r="1339" spans="1:10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</row>
    <row r="1340" spans="1:10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</row>
    <row r="1341" spans="1:10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</row>
    <row r="1342" spans="1:10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</row>
    <row r="1343" spans="1:10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</row>
    <row r="1344" spans="1:10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</row>
    <row r="1345" spans="1:10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</row>
    <row r="1346" spans="1:10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</row>
    <row r="1347" spans="1:10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</row>
    <row r="1348" spans="1:10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</row>
    <row r="1349" spans="1:10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</row>
    <row r="1350" spans="1:10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</row>
    <row r="1351" spans="1:10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</row>
    <row r="1352" spans="1:10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</row>
    <row r="1353" spans="1:10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</row>
    <row r="1354" spans="1:10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</row>
    <row r="1355" spans="1:10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</row>
    <row r="1356" spans="1:10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</row>
    <row r="1357" spans="1:10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</row>
    <row r="1358" spans="1:10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</row>
    <row r="1359" spans="1:10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</row>
    <row r="1360" spans="1:10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</row>
    <row r="1361" spans="1:10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</row>
    <row r="1362" spans="1:10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</row>
    <row r="1363" spans="1:10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</row>
    <row r="1364" spans="1:10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</row>
    <row r="1365" spans="1:10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</row>
    <row r="1366" spans="1:10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</row>
    <row r="1367" spans="1:10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</row>
    <row r="1368" spans="1:10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</row>
    <row r="1369" spans="1:10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</row>
    <row r="1370" spans="1:10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</row>
    <row r="1371" spans="1:10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</row>
    <row r="1372" spans="1:10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</row>
    <row r="1373" spans="1:10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</row>
    <row r="1374" spans="1:10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</row>
    <row r="1375" spans="1:10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</row>
    <row r="1376" spans="1:10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</row>
    <row r="1377" spans="1:10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</row>
    <row r="1378" spans="1:10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</row>
    <row r="1379" spans="1:10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</row>
    <row r="1380" spans="1:10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</row>
    <row r="1381" spans="1:10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</row>
    <row r="1382" spans="1:10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</row>
    <row r="1383" spans="1:10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</row>
    <row r="1384" spans="1:10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</row>
    <row r="1385" spans="1:10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</row>
    <row r="1386" spans="1:10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</row>
    <row r="1387" spans="1:10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</row>
    <row r="1388" spans="1:10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</row>
    <row r="1389" spans="1:10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</row>
    <row r="1390" spans="1:10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</row>
    <row r="1391" spans="1:10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</row>
    <row r="1392" spans="1:10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</row>
    <row r="1393" spans="1:10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</row>
    <row r="1394" spans="1:10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</row>
    <row r="1395" spans="1:10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</row>
    <row r="1396" spans="1:10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</row>
    <row r="1397" spans="1:10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</row>
    <row r="1398" spans="1:10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</row>
    <row r="1399" spans="1:10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</row>
    <row r="1400" spans="1:10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</row>
    <row r="1401" spans="1:10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</row>
    <row r="1402" spans="1:10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</row>
    <row r="1403" spans="1:10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</row>
    <row r="1404" spans="1:10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</row>
    <row r="1405" spans="1:10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</row>
    <row r="1406" spans="1:10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</row>
    <row r="1407" spans="1:10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</row>
    <row r="1408" spans="1:10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</row>
    <row r="1409" spans="1:10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</row>
    <row r="1410" spans="1:10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</row>
    <row r="1411" spans="1:10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</row>
    <row r="1412" spans="1:10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</row>
    <row r="1413" spans="1:10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</row>
    <row r="1414" spans="1:10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</row>
    <row r="1415" spans="1:10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</row>
    <row r="1416" spans="1:10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</row>
    <row r="1417" spans="1:10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</row>
    <row r="1418" spans="1:10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</row>
    <row r="1419" spans="1:10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</row>
    <row r="1420" spans="1:10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</row>
    <row r="1421" spans="1:10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</row>
    <row r="1422" spans="1:10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</row>
    <row r="1423" spans="1:10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</row>
    <row r="1424" spans="1:10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</row>
    <row r="1425" spans="1:10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</row>
    <row r="1426" spans="1:10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</row>
    <row r="1427" spans="1:10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</row>
    <row r="1428" spans="1:10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</row>
    <row r="1429" spans="1:10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</row>
    <row r="1430" spans="1:10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</row>
    <row r="1431" spans="1:10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</row>
    <row r="1432" spans="1:10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</row>
    <row r="1433" spans="1:10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</row>
    <row r="1434" spans="1:10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</row>
    <row r="1435" spans="1:10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</row>
    <row r="1436" spans="1:10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</row>
    <row r="1437" spans="1:10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</row>
    <row r="1438" spans="1:10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</row>
    <row r="1439" spans="1:10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</row>
    <row r="1440" spans="1:10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</row>
    <row r="1441" spans="1:10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</row>
    <row r="1442" spans="1:10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</row>
    <row r="1443" spans="1:10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</row>
    <row r="1444" spans="1:10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</row>
    <row r="1445" spans="1:10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</row>
    <row r="1446" spans="1:10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</row>
    <row r="1447" spans="1:10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</row>
    <row r="1448" spans="1:10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</row>
    <row r="1449" spans="1:10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</row>
    <row r="1450" spans="1:10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</row>
    <row r="1451" spans="1:10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</row>
    <row r="1452" spans="1:10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</row>
    <row r="1453" spans="1:10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</row>
    <row r="1454" spans="1:10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</row>
    <row r="1455" spans="1:10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</row>
    <row r="1456" spans="1:10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</row>
    <row r="1457" spans="1:10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</row>
    <row r="1458" spans="1:10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</row>
    <row r="1459" spans="1:10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</row>
    <row r="1460" spans="1:10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</row>
    <row r="1461" spans="1:10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</row>
    <row r="1462" spans="1:10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</row>
    <row r="1463" spans="1:10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</row>
    <row r="1464" spans="1:10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</row>
    <row r="1465" spans="1:10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</row>
    <row r="1466" spans="1:10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</row>
    <row r="1467" spans="1:10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</row>
    <row r="1468" spans="1:10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</row>
    <row r="1469" spans="1:10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</row>
    <row r="1470" spans="1:10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</row>
    <row r="1471" spans="1:10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</row>
    <row r="1472" spans="1:10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</row>
    <row r="1473" spans="1:10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</row>
    <row r="1474" spans="1:10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</row>
    <row r="1475" spans="1:10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</row>
    <row r="1476" spans="1:10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</row>
    <row r="1477" spans="1:10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</row>
    <row r="1478" spans="1:10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</row>
    <row r="1479" spans="1:10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</row>
    <row r="1480" spans="1:10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</row>
    <row r="1481" spans="1:10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</row>
    <row r="1482" spans="1:10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</row>
    <row r="1483" spans="1:10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</row>
    <row r="1484" spans="1:10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</row>
    <row r="1485" spans="1:10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</row>
    <row r="1486" spans="1:10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</row>
    <row r="1487" spans="1:10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</row>
    <row r="1488" spans="1:10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</row>
    <row r="1489" spans="1:10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</row>
    <row r="1490" spans="1:10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</row>
    <row r="1491" spans="1:10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</row>
    <row r="1492" spans="1:10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</row>
    <row r="1493" spans="1:10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</row>
    <row r="1494" spans="1:10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</row>
    <row r="1495" spans="1:10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</row>
    <row r="1496" spans="1:10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</row>
    <row r="1497" spans="1:10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</row>
    <row r="1498" spans="1:10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</row>
    <row r="1499" spans="1:10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</row>
    <row r="1500" spans="1:10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</row>
    <row r="1501" spans="1:10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</row>
    <row r="1502" spans="1:10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</row>
    <row r="1503" spans="1:10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</row>
    <row r="1504" spans="1:10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</row>
    <row r="1505" spans="1:10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</row>
    <row r="1506" spans="1:10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</row>
    <row r="1507" spans="1:10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</row>
    <row r="1508" spans="1:10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</row>
    <row r="1509" spans="1:10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</row>
    <row r="1510" spans="1:10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</row>
    <row r="1511" spans="1:10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</row>
    <row r="1512" spans="1:10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</row>
    <row r="1513" spans="1:10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</row>
    <row r="1514" spans="1:10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</row>
    <row r="1515" spans="1:10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</row>
    <row r="1516" spans="1:10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</row>
    <row r="1517" spans="1:10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</row>
    <row r="1518" spans="1:10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</row>
    <row r="1519" spans="1:10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</row>
    <row r="1520" spans="1:10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</row>
    <row r="1521" spans="1:10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</row>
    <row r="1522" spans="1:10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</row>
    <row r="1523" spans="1:10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</row>
    <row r="1524" spans="1:10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</row>
    <row r="1525" spans="1:10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</row>
    <row r="1526" spans="1:10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</row>
    <row r="1527" spans="1:10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</row>
    <row r="1528" spans="1:10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</row>
    <row r="1529" spans="1:10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</row>
    <row r="1530" spans="1:10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</row>
    <row r="1531" spans="1:10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</row>
    <row r="1532" spans="1:10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</row>
    <row r="1533" spans="1:10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</row>
    <row r="1534" spans="1:10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</row>
    <row r="1535" spans="1:10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</row>
    <row r="1536" spans="1:10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</row>
    <row r="1537" spans="1:10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</row>
    <row r="1538" spans="1:10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</row>
    <row r="1539" spans="1:10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</row>
    <row r="1540" spans="1:10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</row>
    <row r="1541" spans="1:10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</row>
    <row r="1542" spans="1:10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</row>
    <row r="1543" spans="1:10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</row>
    <row r="1544" spans="1:10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</row>
    <row r="1545" spans="1:10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</row>
    <row r="1546" spans="1:10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</row>
    <row r="1547" spans="1:10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</row>
    <row r="1548" spans="1:10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</row>
    <row r="1549" spans="1:10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</row>
    <row r="1550" spans="1:10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</row>
    <row r="1551" spans="1:10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</row>
    <row r="1552" spans="1:10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</row>
    <row r="1553" spans="1:10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</row>
    <row r="1554" spans="1:10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</row>
    <row r="1555" spans="1:10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</row>
    <row r="1556" spans="1:10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</row>
    <row r="1557" spans="1:10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许伟</dc:creator>
  <cp:lastModifiedBy>kkk</cp:lastModifiedBy>
  <dcterms:created xsi:type="dcterms:W3CDTF">2015-06-05T18:19:00Z</dcterms:created>
  <dcterms:modified xsi:type="dcterms:W3CDTF">2026-04-13T13:45:06Z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CEF92D3C7F0044F4B38930334B5E16A2_13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